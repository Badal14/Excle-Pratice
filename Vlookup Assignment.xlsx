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lass-UpGrad\Excle\"/>
    </mc:Choice>
  </mc:AlternateContent>
  <xr:revisionPtr revIDLastSave="0" documentId="13_ncr:1_{7D7BAB31-542C-418B-BB9D-5B25F8625247}" xr6:coauthVersionLast="47" xr6:coauthVersionMax="47" xr10:uidLastSave="{00000000-0000-0000-0000-000000000000}"/>
  <bookViews>
    <workbookView xWindow="-120" yWindow="-120" windowWidth="29040" windowHeight="15720" activeTab="3" xr2:uid="{8EA1452A-A1C5-4764-B875-E98848F4888C}"/>
  </bookViews>
  <sheets>
    <sheet name="WA_Fn-UseC_-HR-Employee-Attriti" sheetId="3" r:id="rId1"/>
    <sheet name="VLOOKUP_EASY" sheetId="1" r:id="rId2"/>
    <sheet name="VLOOKUP_HARD" sheetId="2" r:id="rId3"/>
    <sheet name="Sheet1" sheetId="4" r:id="rId4"/>
  </sheets>
  <definedNames>
    <definedName name="_xlnm._FilterDatabase" localSheetId="3" hidden="1">Sheet1!$E$46:$E$82</definedName>
    <definedName name="ExternalData_1" localSheetId="0" hidden="1">'WA_Fn-UseC_-HR-Employee-Attriti'!$A$1:$AM$1471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6" i="4" l="1"/>
  <c r="B83" i="4" a="1"/>
  <c r="K62" i="4" a="1"/>
  <c r="L62" i="4" s="1"/>
  <c r="M62" i="4" s="1"/>
  <c r="K61" i="4" a="1"/>
  <c r="L61" i="4" s="1"/>
  <c r="M61" i="4" s="1"/>
  <c r="K60" i="4" a="1"/>
  <c r="L60" i="4" s="1"/>
  <c r="M60" i="4" s="1"/>
  <c r="K59" i="4" a="1"/>
  <c r="L59" i="4" s="1"/>
  <c r="M59" i="4" s="1"/>
  <c r="K58" i="4" a="1"/>
  <c r="L58" i="4" s="1"/>
  <c r="M58" i="4" s="1"/>
  <c r="C60" i="4"/>
  <c r="J59" i="4"/>
  <c r="J60" i="4"/>
  <c r="J61" i="4"/>
  <c r="J62" i="4"/>
  <c r="J58" i="4"/>
  <c r="X22" i="4" a="1"/>
  <c r="V36" i="4" a="1"/>
  <c r="C59" i="4"/>
  <c r="V2" i="3" a="1"/>
  <c r="V3" i="3" a="1"/>
  <c r="V4" i="3" a="1"/>
  <c r="V5" i="3" a="1"/>
  <c r="V6" i="3" a="1"/>
  <c r="V7" i="3" a="1"/>
  <c r="V8" i="3" a="1"/>
  <c r="V9" i="3" a="1"/>
  <c r="V10" i="3" a="1"/>
  <c r="V11" i="3" a="1"/>
  <c r="V12" i="3" a="1"/>
  <c r="V13" i="3" a="1"/>
  <c r="V14" i="3" a="1"/>
  <c r="V15" i="3" a="1"/>
  <c r="V16" i="3" a="1"/>
  <c r="V17" i="3" a="1"/>
  <c r="V18" i="3" a="1"/>
  <c r="V19" i="3" a="1"/>
  <c r="V20" i="3" a="1"/>
  <c r="V21" i="3" a="1"/>
  <c r="V22" i="3" a="1"/>
  <c r="V23" i="3" a="1"/>
  <c r="V24" i="3" a="1"/>
  <c r="V25" i="3" a="1"/>
  <c r="V26" i="3" a="1"/>
  <c r="V27" i="3" a="1"/>
  <c r="V28" i="3" a="1"/>
  <c r="V29" i="3" a="1"/>
  <c r="V30" i="3" a="1"/>
  <c r="V31" i="3" a="1"/>
  <c r="V32" i="3" a="1"/>
  <c r="V33" i="3" a="1"/>
  <c r="V34" i="3" a="1"/>
  <c r="V35" i="3" a="1"/>
  <c r="V36" i="3" a="1"/>
  <c r="V37" i="3" a="1"/>
  <c r="V38" i="3" a="1"/>
  <c r="V39" i="3" a="1"/>
  <c r="V40" i="3" a="1"/>
  <c r="V41" i="3" a="1"/>
  <c r="V42" i="3" a="1"/>
  <c r="V43" i="3" a="1"/>
  <c r="V44" i="3" a="1"/>
  <c r="V45" i="3" a="1"/>
  <c r="V46" i="3" a="1"/>
  <c r="V47" i="3" a="1"/>
  <c r="V48" i="3" a="1"/>
  <c r="V49" i="3" a="1"/>
  <c r="V50" i="3" a="1"/>
  <c r="V51" i="3" a="1"/>
  <c r="V52" i="3" a="1"/>
  <c r="V53" i="3" a="1"/>
  <c r="V54" i="3" a="1"/>
  <c r="V55" i="3" a="1"/>
  <c r="V56" i="3" a="1"/>
  <c r="V57" i="3" a="1"/>
  <c r="V58" i="3" a="1"/>
  <c r="V59" i="3" a="1"/>
  <c r="V60" i="3" a="1"/>
  <c r="V61" i="3" a="1"/>
  <c r="V62" i="3" a="1"/>
  <c r="V63" i="3" a="1"/>
  <c r="V64" i="3" a="1"/>
  <c r="V65" i="3" a="1"/>
  <c r="V66" i="3" a="1"/>
  <c r="V67" i="3" a="1"/>
  <c r="V68" i="3" a="1"/>
  <c r="V69" i="3" a="1"/>
  <c r="V70" i="3" a="1"/>
  <c r="V71" i="3" a="1"/>
  <c r="V72" i="3" a="1"/>
  <c r="V73" i="3" a="1"/>
  <c r="V74" i="3" a="1"/>
  <c r="V75" i="3" a="1"/>
  <c r="V76" i="3" a="1"/>
  <c r="V77" i="3" a="1"/>
  <c r="V78" i="3" a="1"/>
  <c r="V79" i="3" a="1"/>
  <c r="V80" i="3" a="1"/>
  <c r="V81" i="3" a="1"/>
  <c r="V82" i="3" a="1"/>
  <c r="V83" i="3" a="1"/>
  <c r="V84" i="3" a="1"/>
  <c r="V85" i="3" a="1"/>
  <c r="V86" i="3" a="1"/>
  <c r="V87" i="3" a="1"/>
  <c r="V88" i="3" a="1"/>
  <c r="V89" i="3" a="1"/>
  <c r="V90" i="3" a="1"/>
  <c r="V91" i="3" a="1"/>
  <c r="V92" i="3" a="1"/>
  <c r="V93" i="3" a="1"/>
  <c r="V94" i="3" a="1"/>
  <c r="V95" i="3" a="1"/>
  <c r="V96" i="3" a="1"/>
  <c r="V97" i="3" a="1"/>
  <c r="V98" i="3" a="1"/>
  <c r="V99" i="3" a="1"/>
  <c r="V100" i="3" a="1"/>
  <c r="V101" i="3" a="1"/>
  <c r="V102" i="3" a="1"/>
  <c r="V103" i="3" a="1"/>
  <c r="V104" i="3" a="1"/>
  <c r="V105" i="3" a="1"/>
  <c r="V106" i="3" a="1"/>
  <c r="V107" i="3" a="1"/>
  <c r="V108" i="3" a="1"/>
  <c r="V109" i="3" a="1"/>
  <c r="V110" i="3" a="1"/>
  <c r="V111" i="3" a="1"/>
  <c r="V112" i="3" a="1"/>
  <c r="V113" i="3" a="1"/>
  <c r="V114" i="3" a="1"/>
  <c r="V115" i="3" a="1"/>
  <c r="V116" i="3" a="1"/>
  <c r="V117" i="3" a="1"/>
  <c r="V118" i="3" a="1"/>
  <c r="V119" i="3" a="1"/>
  <c r="V120" i="3" a="1"/>
  <c r="V121" i="3" a="1"/>
  <c r="V122" i="3" a="1"/>
  <c r="V123" i="3" a="1"/>
  <c r="V124" i="3" a="1"/>
  <c r="V125" i="3" a="1"/>
  <c r="V126" i="3" a="1"/>
  <c r="V127" i="3" a="1"/>
  <c r="V128" i="3" a="1"/>
  <c r="V129" i="3" a="1"/>
  <c r="V130" i="3" a="1"/>
  <c r="V131" i="3" a="1"/>
  <c r="V132" i="3" a="1"/>
  <c r="V133" i="3" a="1"/>
  <c r="V134" i="3" a="1"/>
  <c r="V135" i="3" a="1"/>
  <c r="V136" i="3" a="1"/>
  <c r="V137" i="3" a="1"/>
  <c r="V138" i="3" a="1"/>
  <c r="V139" i="3" a="1"/>
  <c r="V140" i="3" a="1"/>
  <c r="V141" i="3" a="1"/>
  <c r="V142" i="3" a="1"/>
  <c r="V143" i="3" a="1"/>
  <c r="V144" i="3" a="1"/>
  <c r="V145" i="3" a="1"/>
  <c r="V146" i="3" a="1"/>
  <c r="V147" i="3" a="1"/>
  <c r="V148" i="3" a="1"/>
  <c r="V149" i="3" a="1"/>
  <c r="V150" i="3" a="1"/>
  <c r="V151" i="3" a="1"/>
  <c r="V152" i="3" a="1"/>
  <c r="V153" i="3" a="1"/>
  <c r="V154" i="3" a="1"/>
  <c r="V155" i="3" a="1"/>
  <c r="V156" i="3" a="1"/>
  <c r="V157" i="3" a="1"/>
  <c r="V158" i="3" a="1"/>
  <c r="V159" i="3" a="1"/>
  <c r="V160" i="3" a="1"/>
  <c r="V161" i="3" a="1"/>
  <c r="V162" i="3" a="1"/>
  <c r="V163" i="3" a="1"/>
  <c r="V164" i="3" a="1"/>
  <c r="V165" i="3" a="1"/>
  <c r="V166" i="3" a="1"/>
  <c r="V167" i="3" a="1"/>
  <c r="V168" i="3" a="1"/>
  <c r="V169" i="3" a="1"/>
  <c r="V170" i="3" a="1"/>
  <c r="V171" i="3" a="1"/>
  <c r="V172" i="3" a="1"/>
  <c r="V173" i="3" a="1"/>
  <c r="V174" i="3" a="1"/>
  <c r="V175" i="3" a="1"/>
  <c r="V176" i="3" a="1"/>
  <c r="V177" i="3" a="1"/>
  <c r="V178" i="3" a="1"/>
  <c r="V179" i="3" a="1"/>
  <c r="V180" i="3" a="1"/>
  <c r="V181" i="3" a="1"/>
  <c r="V182" i="3" a="1"/>
  <c r="V183" i="3" a="1"/>
  <c r="V184" i="3" a="1"/>
  <c r="V185" i="3" a="1"/>
  <c r="V186" i="3" a="1"/>
  <c r="V187" i="3" a="1"/>
  <c r="V188" i="3" a="1"/>
  <c r="V189" i="3" a="1"/>
  <c r="V190" i="3" a="1"/>
  <c r="V191" i="3" a="1"/>
  <c r="V192" i="3" a="1"/>
  <c r="V193" i="3" a="1"/>
  <c r="V194" i="3" a="1"/>
  <c r="V195" i="3" a="1"/>
  <c r="V196" i="3" a="1"/>
  <c r="V197" i="3" a="1"/>
  <c r="V198" i="3" a="1"/>
  <c r="V199" i="3" a="1"/>
  <c r="V200" i="3" a="1"/>
  <c r="V201" i="3" a="1"/>
  <c r="V202" i="3" a="1"/>
  <c r="V203" i="3" a="1"/>
  <c r="V204" i="3" a="1"/>
  <c r="V205" i="3" a="1"/>
  <c r="V206" i="3" a="1"/>
  <c r="V207" i="3" a="1"/>
  <c r="V208" i="3" a="1"/>
  <c r="V209" i="3" a="1"/>
  <c r="V210" i="3" a="1"/>
  <c r="V211" i="3" a="1"/>
  <c r="V212" i="3" a="1"/>
  <c r="V213" i="3" a="1"/>
  <c r="V214" i="3" a="1"/>
  <c r="V215" i="3" a="1"/>
  <c r="V216" i="3" a="1"/>
  <c r="V217" i="3" a="1"/>
  <c r="V218" i="3" a="1"/>
  <c r="V219" i="3" a="1"/>
  <c r="V220" i="3" a="1"/>
  <c r="V221" i="3" a="1"/>
  <c r="V222" i="3" a="1"/>
  <c r="V223" i="3" a="1"/>
  <c r="V224" i="3" a="1"/>
  <c r="V225" i="3" a="1"/>
  <c r="V226" i="3" a="1"/>
  <c r="V227" i="3" a="1"/>
  <c r="V228" i="3" a="1"/>
  <c r="V229" i="3" a="1"/>
  <c r="V230" i="3" a="1"/>
  <c r="V231" i="3" a="1"/>
  <c r="V232" i="3" a="1"/>
  <c r="V233" i="3" a="1"/>
  <c r="V234" i="3" a="1"/>
  <c r="V235" i="3" a="1"/>
  <c r="V236" i="3" a="1"/>
  <c r="V237" i="3" a="1"/>
  <c r="V238" i="3" a="1"/>
  <c r="V239" i="3" a="1"/>
  <c r="V240" i="3" a="1"/>
  <c r="V241" i="3" a="1"/>
  <c r="V242" i="3" a="1"/>
  <c r="V243" i="3" a="1"/>
  <c r="V244" i="3" a="1"/>
  <c r="V245" i="3" a="1"/>
  <c r="V246" i="3" a="1"/>
  <c r="V247" i="3" a="1"/>
  <c r="V248" i="3" a="1"/>
  <c r="V249" i="3" a="1"/>
  <c r="V250" i="3" a="1"/>
  <c r="V251" i="3" a="1"/>
  <c r="V252" i="3" a="1"/>
  <c r="V253" i="3" a="1"/>
  <c r="V254" i="3" a="1"/>
  <c r="V255" i="3" a="1"/>
  <c r="V256" i="3" a="1"/>
  <c r="V257" i="3" a="1"/>
  <c r="V258" i="3" a="1"/>
  <c r="V259" i="3" a="1"/>
  <c r="V260" i="3" a="1"/>
  <c r="V261" i="3" a="1"/>
  <c r="V262" i="3" a="1"/>
  <c r="V263" i="3" a="1"/>
  <c r="V264" i="3" a="1"/>
  <c r="V265" i="3" a="1"/>
  <c r="V266" i="3" a="1"/>
  <c r="V267" i="3" a="1"/>
  <c r="V268" i="3" a="1"/>
  <c r="V269" i="3" a="1"/>
  <c r="V270" i="3" a="1"/>
  <c r="V271" i="3" a="1"/>
  <c r="V272" i="3" a="1"/>
  <c r="V273" i="3" a="1"/>
  <c r="V274" i="3" a="1"/>
  <c r="V275" i="3" a="1"/>
  <c r="V276" i="3" a="1"/>
  <c r="V277" i="3" a="1"/>
  <c r="V278" i="3" a="1"/>
  <c r="V279" i="3" a="1"/>
  <c r="V280" i="3" a="1"/>
  <c r="V281" i="3" a="1"/>
  <c r="V282" i="3" a="1"/>
  <c r="V283" i="3" a="1"/>
  <c r="V284" i="3" a="1"/>
  <c r="V285" i="3" a="1"/>
  <c r="V286" i="3" a="1"/>
  <c r="V287" i="3" a="1"/>
  <c r="V288" i="3" a="1"/>
  <c r="V289" i="3" a="1"/>
  <c r="V290" i="3" a="1"/>
  <c r="V291" i="3" a="1"/>
  <c r="V292" i="3" a="1"/>
  <c r="V293" i="3" a="1"/>
  <c r="V294" i="3" a="1"/>
  <c r="V295" i="3" a="1"/>
  <c r="V296" i="3" a="1"/>
  <c r="V297" i="3" a="1"/>
  <c r="V298" i="3" a="1"/>
  <c r="V299" i="3" a="1"/>
  <c r="V300" i="3" a="1"/>
  <c r="V301" i="3" a="1"/>
  <c r="V302" i="3" a="1"/>
  <c r="V303" i="3" a="1"/>
  <c r="V304" i="3" a="1"/>
  <c r="V305" i="3" a="1"/>
  <c r="V306" i="3" a="1"/>
  <c r="V307" i="3" a="1"/>
  <c r="V308" i="3" a="1"/>
  <c r="V309" i="3" a="1"/>
  <c r="V310" i="3" a="1"/>
  <c r="V311" i="3" a="1"/>
  <c r="V312" i="3" a="1"/>
  <c r="V313" i="3" a="1"/>
  <c r="V314" i="3" a="1"/>
  <c r="V315" i="3" a="1"/>
  <c r="V316" i="3" a="1"/>
  <c r="V317" i="3" a="1"/>
  <c r="V318" i="3" a="1"/>
  <c r="V319" i="3" a="1"/>
  <c r="V320" i="3" a="1"/>
  <c r="V321" i="3" a="1"/>
  <c r="V322" i="3" a="1"/>
  <c r="V323" i="3" a="1"/>
  <c r="V324" i="3" a="1"/>
  <c r="V325" i="3" a="1"/>
  <c r="V326" i="3" a="1"/>
  <c r="V327" i="3" a="1"/>
  <c r="V328" i="3" a="1"/>
  <c r="V329" i="3" a="1"/>
  <c r="V330" i="3" a="1"/>
  <c r="V331" i="3" a="1"/>
  <c r="V332" i="3" a="1"/>
  <c r="V333" i="3" a="1"/>
  <c r="V334" i="3" a="1"/>
  <c r="V335" i="3" a="1"/>
  <c r="V336" i="3" a="1"/>
  <c r="V337" i="3" a="1"/>
  <c r="V338" i="3" a="1"/>
  <c r="V339" i="3" a="1"/>
  <c r="V340" i="3" a="1"/>
  <c r="V341" i="3" a="1"/>
  <c r="V342" i="3" a="1"/>
  <c r="V343" i="3" a="1"/>
  <c r="V344" i="3" a="1"/>
  <c r="V345" i="3" a="1"/>
  <c r="V346" i="3" a="1"/>
  <c r="V347" i="3" a="1"/>
  <c r="V348" i="3" a="1"/>
  <c r="V349" i="3" a="1"/>
  <c r="V350" i="3" a="1"/>
  <c r="V351" i="3" a="1"/>
  <c r="V352" i="3" a="1"/>
  <c r="V353" i="3" a="1"/>
  <c r="V354" i="3" a="1"/>
  <c r="V355" i="3" a="1"/>
  <c r="V356" i="3" a="1"/>
  <c r="V357" i="3" a="1"/>
  <c r="V358" i="3" a="1"/>
  <c r="V359" i="3" a="1"/>
  <c r="V360" i="3" a="1"/>
  <c r="V361" i="3" a="1"/>
  <c r="V362" i="3" a="1"/>
  <c r="V363" i="3" a="1"/>
  <c r="V364" i="3" a="1"/>
  <c r="V365" i="3" a="1"/>
  <c r="V366" i="3" a="1"/>
  <c r="V367" i="3" a="1"/>
  <c r="V368" i="3" a="1"/>
  <c r="V369" i="3" a="1"/>
  <c r="V370" i="3" a="1"/>
  <c r="V371" i="3" a="1"/>
  <c r="V372" i="3" a="1"/>
  <c r="V373" i="3" a="1"/>
  <c r="V374" i="3" a="1"/>
  <c r="V375" i="3" a="1"/>
  <c r="V376" i="3" a="1"/>
  <c r="V377" i="3" a="1"/>
  <c r="V378" i="3" a="1"/>
  <c r="V379" i="3" a="1"/>
  <c r="V380" i="3" a="1"/>
  <c r="V381" i="3" a="1"/>
  <c r="V382" i="3" a="1"/>
  <c r="V383" i="3" a="1"/>
  <c r="V384" i="3" a="1"/>
  <c r="V385" i="3" a="1"/>
  <c r="V386" i="3" a="1"/>
  <c r="V387" i="3" a="1"/>
  <c r="V388" i="3" a="1"/>
  <c r="V389" i="3" a="1"/>
  <c r="V390" i="3" a="1"/>
  <c r="V391" i="3" a="1"/>
  <c r="V392" i="3" a="1"/>
  <c r="V393" i="3" a="1"/>
  <c r="V394" i="3" a="1"/>
  <c r="V395" i="3" a="1"/>
  <c r="V396" i="3" a="1"/>
  <c r="V397" i="3" a="1"/>
  <c r="V398" i="3" a="1"/>
  <c r="V399" i="3" a="1"/>
  <c r="V400" i="3" a="1"/>
  <c r="V401" i="3" a="1"/>
  <c r="V402" i="3" a="1"/>
  <c r="V403" i="3" a="1"/>
  <c r="V404" i="3" a="1"/>
  <c r="V405" i="3" a="1"/>
  <c r="V406" i="3" a="1"/>
  <c r="V407" i="3" a="1"/>
  <c r="V408" i="3" a="1"/>
  <c r="V409" i="3" a="1"/>
  <c r="V410" i="3" a="1"/>
  <c r="V411" i="3" a="1"/>
  <c r="V412" i="3" a="1"/>
  <c r="V413" i="3" a="1"/>
  <c r="V414" i="3" a="1"/>
  <c r="V415" i="3" a="1"/>
  <c r="V416" i="3" a="1"/>
  <c r="V417" i="3" a="1"/>
  <c r="V418" i="3" a="1"/>
  <c r="V419" i="3" a="1"/>
  <c r="V420" i="3" a="1"/>
  <c r="V421" i="3" a="1"/>
  <c r="V422" i="3" a="1"/>
  <c r="V423" i="3" a="1"/>
  <c r="V424" i="3" a="1"/>
  <c r="V425" i="3" a="1"/>
  <c r="V426" i="3" a="1"/>
  <c r="V427" i="3" a="1"/>
  <c r="V428" i="3" a="1"/>
  <c r="V429" i="3" a="1"/>
  <c r="V430" i="3" a="1"/>
  <c r="V431" i="3" a="1"/>
  <c r="V432" i="3" a="1"/>
  <c r="V433" i="3" a="1"/>
  <c r="V434" i="3" a="1"/>
  <c r="V435" i="3" a="1"/>
  <c r="V436" i="3" a="1"/>
  <c r="V437" i="3" a="1"/>
  <c r="V438" i="3" a="1"/>
  <c r="V439" i="3" a="1"/>
  <c r="V440" i="3" a="1"/>
  <c r="V441" i="3" a="1"/>
  <c r="V442" i="3" a="1"/>
  <c r="V443" i="3" a="1"/>
  <c r="V444" i="3" a="1"/>
  <c r="V445" i="3" a="1"/>
  <c r="V446" i="3" a="1"/>
  <c r="V447" i="3" a="1"/>
  <c r="V448" i="3" a="1"/>
  <c r="V449" i="3" a="1"/>
  <c r="V450" i="3" a="1"/>
  <c r="V451" i="3" a="1"/>
  <c r="V452" i="3" a="1"/>
  <c r="V453" i="3" a="1"/>
  <c r="V454" i="3" a="1"/>
  <c r="V455" i="3" a="1"/>
  <c r="V456" i="3" a="1"/>
  <c r="V457" i="3" a="1"/>
  <c r="V458" i="3" a="1"/>
  <c r="V459" i="3" a="1"/>
  <c r="V460" i="3" a="1"/>
  <c r="V461" i="3" a="1"/>
  <c r="V462" i="3" a="1"/>
  <c r="V463" i="3" a="1"/>
  <c r="V464" i="3" a="1"/>
  <c r="V465" i="3" a="1"/>
  <c r="V466" i="3" a="1"/>
  <c r="V467" i="3" a="1"/>
  <c r="V468" i="3" a="1"/>
  <c r="V469" i="3" a="1"/>
  <c r="V470" i="3" a="1"/>
  <c r="V471" i="3" a="1"/>
  <c r="V472" i="3" a="1"/>
  <c r="V473" i="3" a="1"/>
  <c r="V474" i="3" a="1"/>
  <c r="V475" i="3" a="1"/>
  <c r="V476" i="3" a="1"/>
  <c r="V477" i="3" a="1"/>
  <c r="V478" i="3" a="1"/>
  <c r="V479" i="3" a="1"/>
  <c r="V480" i="3" a="1"/>
  <c r="V481" i="3" a="1"/>
  <c r="V482" i="3" a="1"/>
  <c r="V483" i="3" a="1"/>
  <c r="V484" i="3" a="1"/>
  <c r="V485" i="3" a="1"/>
  <c r="V486" i="3" a="1"/>
  <c r="V487" i="3" a="1"/>
  <c r="V488" i="3" a="1"/>
  <c r="V489" i="3" a="1"/>
  <c r="V490" i="3" a="1"/>
  <c r="V491" i="3" a="1"/>
  <c r="V492" i="3" a="1"/>
  <c r="V493" i="3" a="1"/>
  <c r="V494" i="3" a="1"/>
  <c r="V495" i="3" a="1"/>
  <c r="V496" i="3" a="1"/>
  <c r="V497" i="3" a="1"/>
  <c r="V498" i="3" a="1"/>
  <c r="V499" i="3" a="1"/>
  <c r="V500" i="3" a="1"/>
  <c r="V501" i="3" a="1"/>
  <c r="V502" i="3" a="1"/>
  <c r="V503" i="3" a="1"/>
  <c r="V504" i="3" a="1"/>
  <c r="V505" i="3" a="1"/>
  <c r="V506" i="3" a="1"/>
  <c r="V507" i="3" a="1"/>
  <c r="V508" i="3" a="1"/>
  <c r="V509" i="3" a="1"/>
  <c r="V510" i="3" a="1"/>
  <c r="V511" i="3" a="1"/>
  <c r="V512" i="3" a="1"/>
  <c r="V513" i="3" a="1"/>
  <c r="V514" i="3" a="1"/>
  <c r="V515" i="3" a="1"/>
  <c r="V516" i="3" a="1"/>
  <c r="V517" i="3" a="1"/>
  <c r="V518" i="3" a="1"/>
  <c r="V519" i="3" a="1"/>
  <c r="V520" i="3" a="1"/>
  <c r="V521" i="3" a="1"/>
  <c r="V522" i="3" a="1"/>
  <c r="V523" i="3" a="1"/>
  <c r="V524" i="3" a="1"/>
  <c r="V525" i="3" a="1"/>
  <c r="V526" i="3" a="1"/>
  <c r="V527" i="3" a="1"/>
  <c r="V528" i="3" a="1"/>
  <c r="V529" i="3" a="1"/>
  <c r="V530" i="3" a="1"/>
  <c r="V531" i="3" a="1"/>
  <c r="V532" i="3" a="1"/>
  <c r="V533" i="3" a="1"/>
  <c r="V534" i="3" a="1"/>
  <c r="V535" i="3" a="1"/>
  <c r="V536" i="3" a="1"/>
  <c r="V537" i="3" a="1"/>
  <c r="V538" i="3" a="1"/>
  <c r="V539" i="3" a="1"/>
  <c r="V540" i="3" a="1"/>
  <c r="V541" i="3" a="1"/>
  <c r="V542" i="3" a="1"/>
  <c r="V543" i="3" a="1"/>
  <c r="V544" i="3" a="1"/>
  <c r="V545" i="3" a="1"/>
  <c r="V546" i="3" a="1"/>
  <c r="V547" i="3" a="1"/>
  <c r="V548" i="3" a="1"/>
  <c r="V549" i="3" a="1"/>
  <c r="V550" i="3" a="1"/>
  <c r="V551" i="3" a="1"/>
  <c r="V552" i="3" a="1"/>
  <c r="V553" i="3" a="1"/>
  <c r="V554" i="3" a="1"/>
  <c r="V555" i="3" a="1"/>
  <c r="V556" i="3" a="1"/>
  <c r="V557" i="3" a="1"/>
  <c r="V558" i="3" a="1"/>
  <c r="V559" i="3" a="1"/>
  <c r="V560" i="3" a="1"/>
  <c r="V561" i="3" a="1"/>
  <c r="V562" i="3" a="1"/>
  <c r="V563" i="3" a="1"/>
  <c r="V564" i="3" a="1"/>
  <c r="V565" i="3" a="1"/>
  <c r="V566" i="3" a="1"/>
  <c r="V567" i="3" a="1"/>
  <c r="V568" i="3" a="1"/>
  <c r="V569" i="3" a="1"/>
  <c r="V570" i="3" a="1"/>
  <c r="V571" i="3" a="1"/>
  <c r="V572" i="3" a="1"/>
  <c r="V573" i="3" a="1"/>
  <c r="V574" i="3" a="1"/>
  <c r="V575" i="3" a="1"/>
  <c r="V576" i="3" a="1"/>
  <c r="V577" i="3" a="1"/>
  <c r="V578" i="3" a="1"/>
  <c r="V579" i="3" a="1"/>
  <c r="V580" i="3" a="1"/>
  <c r="V581" i="3" a="1"/>
  <c r="V582" i="3" a="1"/>
  <c r="V583" i="3" a="1"/>
  <c r="V584" i="3" a="1"/>
  <c r="V585" i="3" a="1"/>
  <c r="V586" i="3" a="1"/>
  <c r="V587" i="3" a="1"/>
  <c r="V588" i="3" a="1"/>
  <c r="V589" i="3" a="1"/>
  <c r="V590" i="3" a="1"/>
  <c r="V591" i="3" a="1"/>
  <c r="V592" i="3" a="1"/>
  <c r="V593" i="3" a="1"/>
  <c r="V594" i="3" a="1"/>
  <c r="V595" i="3" a="1"/>
  <c r="V596" i="3" a="1"/>
  <c r="V597" i="3" a="1"/>
  <c r="V598" i="3" a="1"/>
  <c r="V599" i="3" a="1"/>
  <c r="V600" i="3" a="1"/>
  <c r="V601" i="3" a="1"/>
  <c r="V602" i="3" a="1"/>
  <c r="V603" i="3" a="1"/>
  <c r="V604" i="3" a="1"/>
  <c r="V605" i="3" a="1"/>
  <c r="V606" i="3" a="1"/>
  <c r="V607" i="3" a="1"/>
  <c r="V608" i="3" a="1"/>
  <c r="V609" i="3" a="1"/>
  <c r="V610" i="3" a="1"/>
  <c r="V611" i="3" a="1"/>
  <c r="V612" i="3" a="1"/>
  <c r="V613" i="3" a="1"/>
  <c r="V614" i="3" a="1"/>
  <c r="V615" i="3" a="1"/>
  <c r="V616" i="3" a="1"/>
  <c r="V617" i="3" a="1"/>
  <c r="V618" i="3" a="1"/>
  <c r="V619" i="3" a="1"/>
  <c r="V620" i="3" a="1"/>
  <c r="V621" i="3" a="1"/>
  <c r="V622" i="3" a="1"/>
  <c r="V623" i="3" a="1"/>
  <c r="V624" i="3" a="1"/>
  <c r="V625" i="3" a="1"/>
  <c r="V626" i="3" a="1"/>
  <c r="V627" i="3" a="1"/>
  <c r="V628" i="3" a="1"/>
  <c r="V629" i="3" a="1"/>
  <c r="V630" i="3" a="1"/>
  <c r="V631" i="3" a="1"/>
  <c r="V632" i="3" a="1"/>
  <c r="V633" i="3" a="1"/>
  <c r="V634" i="3" a="1"/>
  <c r="V635" i="3" a="1"/>
  <c r="V636" i="3" a="1"/>
  <c r="V637" i="3" a="1"/>
  <c r="V638" i="3" a="1"/>
  <c r="V639" i="3" a="1"/>
  <c r="V640" i="3" a="1"/>
  <c r="V641" i="3" a="1"/>
  <c r="V642" i="3" a="1"/>
  <c r="V643" i="3" a="1"/>
  <c r="V644" i="3" a="1"/>
  <c r="V645" i="3" a="1"/>
  <c r="V646" i="3" a="1"/>
  <c r="V647" i="3" a="1"/>
  <c r="V648" i="3" a="1"/>
  <c r="V649" i="3" a="1"/>
  <c r="V650" i="3" a="1"/>
  <c r="V651" i="3" a="1"/>
  <c r="V652" i="3" a="1"/>
  <c r="V653" i="3" a="1"/>
  <c r="V654" i="3" a="1"/>
  <c r="V655" i="3" a="1"/>
  <c r="V656" i="3" a="1"/>
  <c r="V657" i="3" a="1"/>
  <c r="V658" i="3" a="1"/>
  <c r="V659" i="3" a="1"/>
  <c r="V660" i="3" a="1"/>
  <c r="V661" i="3" a="1"/>
  <c r="V662" i="3" a="1"/>
  <c r="V663" i="3" a="1"/>
  <c r="V664" i="3" a="1"/>
  <c r="V665" i="3" a="1"/>
  <c r="V666" i="3" a="1"/>
  <c r="V667" i="3" a="1"/>
  <c r="V668" i="3" a="1"/>
  <c r="V669" i="3" a="1"/>
  <c r="V670" i="3" a="1"/>
  <c r="V671" i="3" a="1"/>
  <c r="V672" i="3" a="1"/>
  <c r="V673" i="3" a="1"/>
  <c r="V674" i="3" a="1"/>
  <c r="V675" i="3" a="1"/>
  <c r="V676" i="3" a="1"/>
  <c r="V677" i="3" a="1"/>
  <c r="V678" i="3" a="1"/>
  <c r="V679" i="3" a="1"/>
  <c r="V680" i="3" a="1"/>
  <c r="V681" i="3" a="1"/>
  <c r="V682" i="3" a="1"/>
  <c r="V683" i="3" a="1"/>
  <c r="V684" i="3" a="1"/>
  <c r="V685" i="3" a="1"/>
  <c r="V686" i="3" a="1"/>
  <c r="V687" i="3" a="1"/>
  <c r="V688" i="3" a="1"/>
  <c r="V689" i="3" a="1"/>
  <c r="V690" i="3" a="1"/>
  <c r="V691" i="3" a="1"/>
  <c r="V692" i="3" a="1"/>
  <c r="V693" i="3" a="1"/>
  <c r="V694" i="3" a="1"/>
  <c r="V695" i="3" a="1"/>
  <c r="V696" i="3" a="1"/>
  <c r="V697" i="3" a="1"/>
  <c r="V698" i="3" a="1"/>
  <c r="V699" i="3" a="1"/>
  <c r="V700" i="3" a="1"/>
  <c r="V701" i="3" a="1"/>
  <c r="V702" i="3" a="1"/>
  <c r="V703" i="3" a="1"/>
  <c r="V704" i="3" a="1"/>
  <c r="V705" i="3" a="1"/>
  <c r="V706" i="3" a="1"/>
  <c r="V707" i="3" a="1"/>
  <c r="V708" i="3" a="1"/>
  <c r="V709" i="3" a="1"/>
  <c r="V710" i="3" a="1"/>
  <c r="V711" i="3" a="1"/>
  <c r="V712" i="3" a="1"/>
  <c r="V713" i="3" a="1"/>
  <c r="V714" i="3" a="1"/>
  <c r="V715" i="3" a="1"/>
  <c r="V716" i="3" a="1"/>
  <c r="V717" i="3" a="1"/>
  <c r="V718" i="3" a="1"/>
  <c r="V719" i="3" a="1"/>
  <c r="V720" i="3" a="1"/>
  <c r="V721" i="3" a="1"/>
  <c r="V722" i="3" a="1"/>
  <c r="V723" i="3" a="1"/>
  <c r="V724" i="3" a="1"/>
  <c r="V725" i="3" a="1"/>
  <c r="V726" i="3" a="1"/>
  <c r="V727" i="3" a="1"/>
  <c r="V728" i="3" a="1"/>
  <c r="V729" i="3" a="1"/>
  <c r="V730" i="3" a="1"/>
  <c r="V731" i="3" a="1"/>
  <c r="V732" i="3" a="1"/>
  <c r="V733" i="3" a="1"/>
  <c r="V734" i="3" a="1"/>
  <c r="V735" i="3" a="1"/>
  <c r="V736" i="3" a="1"/>
  <c r="V737" i="3" a="1"/>
  <c r="V738" i="3" a="1"/>
  <c r="V739" i="3" a="1"/>
  <c r="V740" i="3" a="1"/>
  <c r="V741" i="3" a="1"/>
  <c r="V742" i="3" a="1"/>
  <c r="V743" i="3" a="1"/>
  <c r="V744" i="3" a="1"/>
  <c r="V745" i="3" a="1"/>
  <c r="V746" i="3" a="1"/>
  <c r="V747" i="3" a="1"/>
  <c r="V748" i="3" a="1"/>
  <c r="V749" i="3" a="1"/>
  <c r="V750" i="3" a="1"/>
  <c r="V751" i="3" a="1"/>
  <c r="V752" i="3" a="1"/>
  <c r="V753" i="3" a="1"/>
  <c r="V754" i="3" a="1"/>
  <c r="V755" i="3" a="1"/>
  <c r="V756" i="3" a="1"/>
  <c r="V757" i="3" a="1"/>
  <c r="V758" i="3" a="1"/>
  <c r="V759" i="3" a="1"/>
  <c r="V760" i="3" a="1"/>
  <c r="V761" i="3" a="1"/>
  <c r="V762" i="3" a="1"/>
  <c r="V763" i="3" a="1"/>
  <c r="V764" i="3" a="1"/>
  <c r="V765" i="3" a="1"/>
  <c r="V766" i="3" a="1"/>
  <c r="V767" i="3" a="1"/>
  <c r="V768" i="3" a="1"/>
  <c r="V769" i="3" a="1"/>
  <c r="V770" i="3" a="1"/>
  <c r="V771" i="3" a="1"/>
  <c r="V772" i="3" a="1"/>
  <c r="V773" i="3" a="1"/>
  <c r="V774" i="3" a="1"/>
  <c r="V775" i="3" a="1"/>
  <c r="V776" i="3" a="1"/>
  <c r="V777" i="3" a="1"/>
  <c r="V778" i="3" a="1"/>
  <c r="V779" i="3" a="1"/>
  <c r="V780" i="3" a="1"/>
  <c r="V781" i="3" a="1"/>
  <c r="V782" i="3" a="1"/>
  <c r="V783" i="3" a="1"/>
  <c r="V784" i="3" a="1"/>
  <c r="V785" i="3" a="1"/>
  <c r="V786" i="3" a="1"/>
  <c r="V787" i="3" a="1"/>
  <c r="V788" i="3" a="1"/>
  <c r="V789" i="3" a="1"/>
  <c r="V790" i="3" a="1"/>
  <c r="V791" i="3" a="1"/>
  <c r="V792" i="3" a="1"/>
  <c r="V793" i="3" a="1"/>
  <c r="V794" i="3" a="1"/>
  <c r="V795" i="3" a="1"/>
  <c r="V796" i="3" a="1"/>
  <c r="V797" i="3" a="1"/>
  <c r="V798" i="3" a="1"/>
  <c r="V799" i="3" a="1"/>
  <c r="V800" i="3" a="1"/>
  <c r="V801" i="3" a="1"/>
  <c r="V802" i="3" a="1"/>
  <c r="V803" i="3" a="1"/>
  <c r="V804" i="3" a="1"/>
  <c r="V805" i="3" a="1"/>
  <c r="V806" i="3" a="1"/>
  <c r="V807" i="3" a="1"/>
  <c r="V808" i="3" a="1"/>
  <c r="V809" i="3" a="1"/>
  <c r="V810" i="3" a="1"/>
  <c r="V811" i="3" a="1"/>
  <c r="V812" i="3" a="1"/>
  <c r="V813" i="3" a="1"/>
  <c r="V814" i="3" a="1"/>
  <c r="V815" i="3" a="1"/>
  <c r="V816" i="3" a="1"/>
  <c r="V817" i="3" a="1"/>
  <c r="V818" i="3" a="1"/>
  <c r="V819" i="3" a="1"/>
  <c r="V820" i="3" a="1"/>
  <c r="V821" i="3" a="1"/>
  <c r="V822" i="3" a="1"/>
  <c r="V823" i="3" a="1"/>
  <c r="V824" i="3" a="1"/>
  <c r="V825" i="3" a="1"/>
  <c r="V826" i="3" a="1"/>
  <c r="V827" i="3" a="1"/>
  <c r="V828" i="3" a="1"/>
  <c r="V829" i="3" a="1"/>
  <c r="V830" i="3" a="1"/>
  <c r="V831" i="3" a="1"/>
  <c r="V832" i="3" a="1"/>
  <c r="V833" i="3" a="1"/>
  <c r="V834" i="3" a="1"/>
  <c r="V835" i="3" a="1"/>
  <c r="V836" i="3" a="1"/>
  <c r="V837" i="3" a="1"/>
  <c r="V838" i="3" a="1"/>
  <c r="V839" i="3" a="1"/>
  <c r="V840" i="3" a="1"/>
  <c r="V841" i="3" a="1"/>
  <c r="V842" i="3" a="1"/>
  <c r="V843" i="3" a="1"/>
  <c r="V844" i="3" a="1"/>
  <c r="V845" i="3" a="1"/>
  <c r="V846" i="3" a="1"/>
  <c r="V847" i="3" a="1"/>
  <c r="V848" i="3" a="1"/>
  <c r="V849" i="3" a="1"/>
  <c r="V850" i="3" a="1"/>
  <c r="V851" i="3" a="1"/>
  <c r="V852" i="3" a="1"/>
  <c r="V853" i="3" a="1"/>
  <c r="V854" i="3" a="1"/>
  <c r="V855" i="3" a="1"/>
  <c r="V856" i="3" a="1"/>
  <c r="V857" i="3" a="1"/>
  <c r="V858" i="3" a="1"/>
  <c r="V859" i="3" a="1"/>
  <c r="V860" i="3" a="1"/>
  <c r="V861" i="3" a="1"/>
  <c r="V862" i="3" a="1"/>
  <c r="V863" i="3" a="1"/>
  <c r="V864" i="3" a="1"/>
  <c r="V865" i="3" a="1"/>
  <c r="V866" i="3" a="1"/>
  <c r="V867" i="3" a="1"/>
  <c r="V868" i="3" a="1"/>
  <c r="V869" i="3" a="1"/>
  <c r="V870" i="3" a="1"/>
  <c r="V871" i="3" a="1"/>
  <c r="V872" i="3" a="1"/>
  <c r="V873" i="3" a="1"/>
  <c r="V874" i="3" a="1"/>
  <c r="V875" i="3" a="1"/>
  <c r="V876" i="3" a="1"/>
  <c r="V877" i="3" a="1"/>
  <c r="V878" i="3" a="1"/>
  <c r="V879" i="3" a="1"/>
  <c r="V880" i="3" a="1"/>
  <c r="V881" i="3" a="1"/>
  <c r="V882" i="3" a="1"/>
  <c r="V883" i="3" a="1"/>
  <c r="V884" i="3" a="1"/>
  <c r="V885" i="3" a="1"/>
  <c r="V886" i="3" a="1"/>
  <c r="V887" i="3" a="1"/>
  <c r="V888" i="3" a="1"/>
  <c r="V889" i="3" a="1"/>
  <c r="V890" i="3" a="1"/>
  <c r="V891" i="3" a="1"/>
  <c r="V892" i="3" a="1"/>
  <c r="V893" i="3" a="1"/>
  <c r="V894" i="3" a="1"/>
  <c r="V895" i="3" a="1"/>
  <c r="V896" i="3" a="1"/>
  <c r="V897" i="3" a="1"/>
  <c r="V898" i="3" a="1"/>
  <c r="V899" i="3" a="1"/>
  <c r="V900" i="3" a="1"/>
  <c r="V901" i="3" a="1"/>
  <c r="V902" i="3" a="1"/>
  <c r="V903" i="3" a="1"/>
  <c r="V904" i="3" a="1"/>
  <c r="V905" i="3" a="1"/>
  <c r="V906" i="3" a="1"/>
  <c r="V907" i="3" a="1"/>
  <c r="V908" i="3" a="1"/>
  <c r="V909" i="3" a="1"/>
  <c r="V910" i="3" a="1"/>
  <c r="V911" i="3" a="1"/>
  <c r="V912" i="3" a="1"/>
  <c r="V913" i="3" a="1"/>
  <c r="V914" i="3" a="1"/>
  <c r="V915" i="3" a="1"/>
  <c r="V916" i="3" a="1"/>
  <c r="V917" i="3" a="1"/>
  <c r="V918" i="3" a="1"/>
  <c r="V919" i="3" a="1"/>
  <c r="V920" i="3" a="1"/>
  <c r="V921" i="3" a="1"/>
  <c r="V922" i="3" a="1"/>
  <c r="V923" i="3" a="1"/>
  <c r="V924" i="3" a="1"/>
  <c r="V925" i="3" a="1"/>
  <c r="V926" i="3" a="1"/>
  <c r="V927" i="3" a="1"/>
  <c r="V928" i="3" a="1"/>
  <c r="V929" i="3" a="1"/>
  <c r="V930" i="3" a="1"/>
  <c r="V931" i="3" a="1"/>
  <c r="V932" i="3" a="1"/>
  <c r="V933" i="3" a="1"/>
  <c r="V934" i="3" a="1"/>
  <c r="V935" i="3" a="1"/>
  <c r="V936" i="3" a="1"/>
  <c r="V937" i="3" a="1"/>
  <c r="V938" i="3" a="1"/>
  <c r="V939" i="3" a="1"/>
  <c r="V940" i="3" a="1"/>
  <c r="V941" i="3" a="1"/>
  <c r="V942" i="3" a="1"/>
  <c r="V943" i="3" a="1"/>
  <c r="V944" i="3" a="1"/>
  <c r="V945" i="3" a="1"/>
  <c r="V946" i="3" a="1"/>
  <c r="V947" i="3" a="1"/>
  <c r="V948" i="3" a="1"/>
  <c r="V949" i="3" a="1"/>
  <c r="V950" i="3" a="1"/>
  <c r="V951" i="3" a="1"/>
  <c r="V952" i="3" a="1"/>
  <c r="V953" i="3" a="1"/>
  <c r="V954" i="3" a="1"/>
  <c r="V955" i="3" a="1"/>
  <c r="V956" i="3" a="1"/>
  <c r="V957" i="3" a="1"/>
  <c r="V958" i="3" a="1"/>
  <c r="V959" i="3" a="1"/>
  <c r="V960" i="3" a="1"/>
  <c r="V961" i="3" a="1"/>
  <c r="V962" i="3" a="1"/>
  <c r="V963" i="3" a="1"/>
  <c r="V964" i="3" a="1"/>
  <c r="V965" i="3" a="1"/>
  <c r="V966" i="3" a="1"/>
  <c r="V967" i="3" a="1"/>
  <c r="V968" i="3" a="1"/>
  <c r="V969" i="3" a="1"/>
  <c r="V970" i="3" a="1"/>
  <c r="V971" i="3" a="1"/>
  <c r="V972" i="3" a="1"/>
  <c r="V973" i="3" a="1"/>
  <c r="V974" i="3" a="1"/>
  <c r="V975" i="3" a="1"/>
  <c r="V976" i="3" a="1"/>
  <c r="V977" i="3" a="1"/>
  <c r="V978" i="3" a="1"/>
  <c r="V979" i="3" a="1"/>
  <c r="V980" i="3" a="1"/>
  <c r="V981" i="3" a="1"/>
  <c r="V982" i="3" a="1"/>
  <c r="V983" i="3" a="1"/>
  <c r="V984" i="3" a="1"/>
  <c r="V985" i="3" a="1"/>
  <c r="V986" i="3" a="1"/>
  <c r="V987" i="3" a="1"/>
  <c r="V988" i="3" a="1"/>
  <c r="V989" i="3" a="1"/>
  <c r="V990" i="3" a="1"/>
  <c r="V991" i="3" a="1"/>
  <c r="V992" i="3" a="1"/>
  <c r="V993" i="3" a="1"/>
  <c r="V994" i="3" a="1"/>
  <c r="V995" i="3" a="1"/>
  <c r="V996" i="3" a="1"/>
  <c r="V997" i="3" a="1"/>
  <c r="V998" i="3" a="1"/>
  <c r="V999" i="3" a="1"/>
  <c r="V1000" i="3" a="1"/>
  <c r="V1001" i="3" a="1"/>
  <c r="V1002" i="3" a="1"/>
  <c r="V1003" i="3" a="1"/>
  <c r="V1004" i="3" a="1"/>
  <c r="V1005" i="3" a="1"/>
  <c r="V1006" i="3" a="1"/>
  <c r="V1007" i="3" a="1"/>
  <c r="V1008" i="3" a="1"/>
  <c r="V1009" i="3" a="1"/>
  <c r="V1010" i="3" a="1"/>
  <c r="V1011" i="3" a="1"/>
  <c r="V1012" i="3" a="1"/>
  <c r="V1013" i="3" a="1"/>
  <c r="V1014" i="3" a="1"/>
  <c r="V1015" i="3" a="1"/>
  <c r="V1016" i="3" a="1"/>
  <c r="V1017" i="3" a="1"/>
  <c r="V1018" i="3" a="1"/>
  <c r="V1019" i="3" a="1"/>
  <c r="V1020" i="3" a="1"/>
  <c r="V1021" i="3" a="1"/>
  <c r="V1022" i="3" a="1"/>
  <c r="V1023" i="3" a="1"/>
  <c r="V1024" i="3" a="1"/>
  <c r="V1025" i="3" a="1"/>
  <c r="V1026" i="3" a="1"/>
  <c r="V1027" i="3" a="1"/>
  <c r="V1028" i="3" a="1"/>
  <c r="V1029" i="3" a="1"/>
  <c r="V1030" i="3" a="1"/>
  <c r="V1031" i="3" a="1"/>
  <c r="V1032" i="3" a="1"/>
  <c r="V1033" i="3" a="1"/>
  <c r="V1034" i="3" a="1"/>
  <c r="V1035" i="3" a="1"/>
  <c r="V1036" i="3" a="1"/>
  <c r="V1037" i="3" a="1"/>
  <c r="V1038" i="3" a="1"/>
  <c r="V1039" i="3" a="1"/>
  <c r="V1040" i="3" a="1"/>
  <c r="V1041" i="3" a="1"/>
  <c r="V1042" i="3" a="1"/>
  <c r="V1043" i="3" a="1"/>
  <c r="V1044" i="3" a="1"/>
  <c r="V1045" i="3" a="1"/>
  <c r="V1046" i="3" a="1"/>
  <c r="V1047" i="3" a="1"/>
  <c r="V1048" i="3" a="1"/>
  <c r="V1049" i="3" a="1"/>
  <c r="V1050" i="3" a="1"/>
  <c r="V1051" i="3" a="1"/>
  <c r="V1052" i="3" a="1"/>
  <c r="V1053" i="3" a="1"/>
  <c r="V1054" i="3" a="1"/>
  <c r="V1055" i="3" a="1"/>
  <c r="V1056" i="3" a="1"/>
  <c r="V1057" i="3" a="1"/>
  <c r="V1058" i="3" a="1"/>
  <c r="V1059" i="3" a="1"/>
  <c r="V1060" i="3" a="1"/>
  <c r="V1061" i="3" a="1"/>
  <c r="V1062" i="3" a="1"/>
  <c r="V1063" i="3" a="1"/>
  <c r="V1064" i="3" a="1"/>
  <c r="V1065" i="3" a="1"/>
  <c r="V1066" i="3" a="1"/>
  <c r="V1067" i="3" a="1"/>
  <c r="V1068" i="3" a="1"/>
  <c r="V1069" i="3" a="1"/>
  <c r="V1070" i="3" a="1"/>
  <c r="V1071" i="3" a="1"/>
  <c r="V1072" i="3" a="1"/>
  <c r="V1073" i="3" a="1"/>
  <c r="V1074" i="3" a="1"/>
  <c r="V1075" i="3" a="1"/>
  <c r="V1076" i="3" a="1"/>
  <c r="V1077" i="3" a="1"/>
  <c r="V1078" i="3" a="1"/>
  <c r="V1079" i="3" a="1"/>
  <c r="V1080" i="3" a="1"/>
  <c r="V1081" i="3" a="1"/>
  <c r="V1082" i="3" a="1"/>
  <c r="V1083" i="3" a="1"/>
  <c r="V1084" i="3" a="1"/>
  <c r="V1085" i="3" a="1"/>
  <c r="V1086" i="3" a="1"/>
  <c r="V1087" i="3" a="1"/>
  <c r="V1088" i="3" a="1"/>
  <c r="V1089" i="3" a="1"/>
  <c r="V1090" i="3" a="1"/>
  <c r="V1091" i="3" a="1"/>
  <c r="V1092" i="3" a="1"/>
  <c r="V1093" i="3" a="1"/>
  <c r="V1094" i="3" a="1"/>
  <c r="V1095" i="3" a="1"/>
  <c r="V1096" i="3" a="1"/>
  <c r="V1097" i="3" a="1"/>
  <c r="V1098" i="3" a="1"/>
  <c r="V1099" i="3" a="1"/>
  <c r="V1100" i="3" a="1"/>
  <c r="V1101" i="3" a="1"/>
  <c r="V1102" i="3" a="1"/>
  <c r="V1103" i="3" a="1"/>
  <c r="V1104" i="3" a="1"/>
  <c r="V1105" i="3" a="1"/>
  <c r="V1106" i="3" a="1"/>
  <c r="V1107" i="3" a="1"/>
  <c r="V1108" i="3" a="1"/>
  <c r="V1109" i="3" a="1"/>
  <c r="V1110" i="3" a="1"/>
  <c r="V1111" i="3" a="1"/>
  <c r="V1112" i="3" a="1"/>
  <c r="V1113" i="3" a="1"/>
  <c r="V1114" i="3" a="1"/>
  <c r="V1115" i="3" a="1"/>
  <c r="V1116" i="3" a="1"/>
  <c r="V1117" i="3" a="1"/>
  <c r="V1118" i="3" a="1"/>
  <c r="V1119" i="3" a="1"/>
  <c r="V1120" i="3" a="1"/>
  <c r="V1121" i="3" a="1"/>
  <c r="V1122" i="3" a="1"/>
  <c r="V1123" i="3" a="1"/>
  <c r="V1124" i="3" a="1"/>
  <c r="V1125" i="3" a="1"/>
  <c r="V1126" i="3" a="1"/>
  <c r="V1127" i="3" a="1"/>
  <c r="V1128" i="3" a="1"/>
  <c r="V1129" i="3" a="1"/>
  <c r="V1130" i="3" a="1"/>
  <c r="V1131" i="3" a="1"/>
  <c r="V1132" i="3" a="1"/>
  <c r="V1133" i="3" a="1"/>
  <c r="V1134" i="3" a="1"/>
  <c r="V1135" i="3" a="1"/>
  <c r="V1136" i="3" a="1"/>
  <c r="V1137" i="3" a="1"/>
  <c r="V1138" i="3" a="1"/>
  <c r="V1139" i="3" a="1"/>
  <c r="V1140" i="3" a="1"/>
  <c r="V1141" i="3" a="1"/>
  <c r="V1142" i="3" a="1"/>
  <c r="V1143" i="3" a="1"/>
  <c r="V1144" i="3" a="1"/>
  <c r="V1145" i="3" a="1"/>
  <c r="V1146" i="3" a="1"/>
  <c r="V1147" i="3" a="1"/>
  <c r="V1148" i="3" a="1"/>
  <c r="V1149" i="3" a="1"/>
  <c r="V1150" i="3" a="1"/>
  <c r="V1151" i="3" a="1"/>
  <c r="V1152" i="3" a="1"/>
  <c r="V1153" i="3" a="1"/>
  <c r="V1154" i="3" a="1"/>
  <c r="V1155" i="3" a="1"/>
  <c r="V1156" i="3" a="1"/>
  <c r="V1157" i="3" a="1"/>
  <c r="V1158" i="3" a="1"/>
  <c r="V1159" i="3" a="1"/>
  <c r="V1160" i="3" a="1"/>
  <c r="V1161" i="3" a="1"/>
  <c r="V1162" i="3" a="1"/>
  <c r="V1163" i="3" a="1"/>
  <c r="V1164" i="3" a="1"/>
  <c r="V1165" i="3" a="1"/>
  <c r="V1166" i="3" a="1"/>
  <c r="V1167" i="3" a="1"/>
  <c r="V1168" i="3" a="1"/>
  <c r="V1169" i="3" a="1"/>
  <c r="V1170" i="3" a="1"/>
  <c r="V1171" i="3" a="1"/>
  <c r="V1172" i="3" a="1"/>
  <c r="V1173" i="3" a="1"/>
  <c r="V1174" i="3" a="1"/>
  <c r="V1175" i="3" a="1"/>
  <c r="V1176" i="3" a="1"/>
  <c r="V1177" i="3" a="1"/>
  <c r="V1178" i="3" a="1"/>
  <c r="V1179" i="3" a="1"/>
  <c r="V1180" i="3" a="1"/>
  <c r="V1181" i="3" a="1"/>
  <c r="V1182" i="3" a="1"/>
  <c r="V1183" i="3" a="1"/>
  <c r="V1184" i="3" a="1"/>
  <c r="V1185" i="3" a="1"/>
  <c r="V1186" i="3" a="1"/>
  <c r="V1187" i="3" a="1"/>
  <c r="V1188" i="3" a="1"/>
  <c r="V1189" i="3" a="1"/>
  <c r="V1190" i="3" a="1"/>
  <c r="V1191" i="3" a="1"/>
  <c r="V1192" i="3" a="1"/>
  <c r="V1193" i="3" a="1"/>
  <c r="V1194" i="3" a="1"/>
  <c r="V1195" i="3" a="1"/>
  <c r="V1196" i="3" a="1"/>
  <c r="V1197" i="3" a="1"/>
  <c r="V1198" i="3" a="1"/>
  <c r="V1199" i="3" a="1"/>
  <c r="V1200" i="3" a="1"/>
  <c r="V1201" i="3" a="1"/>
  <c r="V1202" i="3" a="1"/>
  <c r="V1203" i="3" a="1"/>
  <c r="V1204" i="3" a="1"/>
  <c r="V1205" i="3" a="1"/>
  <c r="V1206" i="3" a="1"/>
  <c r="V1207" i="3" a="1"/>
  <c r="V1208" i="3" a="1"/>
  <c r="V1209" i="3" a="1"/>
  <c r="V1210" i="3" a="1"/>
  <c r="V1211" i="3" a="1"/>
  <c r="V1212" i="3" a="1"/>
  <c r="V1213" i="3" a="1"/>
  <c r="V1214" i="3" a="1"/>
  <c r="V1215" i="3" a="1"/>
  <c r="V1216" i="3" a="1"/>
  <c r="V1217" i="3" a="1"/>
  <c r="V1218" i="3" a="1"/>
  <c r="V1219" i="3" a="1"/>
  <c r="V1220" i="3" a="1"/>
  <c r="V1221" i="3" a="1"/>
  <c r="V1222" i="3" a="1"/>
  <c r="V1223" i="3" a="1"/>
  <c r="V1224" i="3" a="1"/>
  <c r="V1225" i="3" a="1"/>
  <c r="V1226" i="3" a="1"/>
  <c r="V1227" i="3" a="1"/>
  <c r="V1228" i="3" a="1"/>
  <c r="V1229" i="3" a="1"/>
  <c r="V1230" i="3" a="1"/>
  <c r="V1231" i="3" a="1"/>
  <c r="V1232" i="3" a="1"/>
  <c r="V1233" i="3" a="1"/>
  <c r="V1234" i="3" a="1"/>
  <c r="V1235" i="3" a="1"/>
  <c r="V1236" i="3" a="1"/>
  <c r="V1237" i="3" a="1"/>
  <c r="V1238" i="3" a="1"/>
  <c r="V1239" i="3" a="1"/>
  <c r="V1240" i="3" a="1"/>
  <c r="V1241" i="3" a="1"/>
  <c r="V1242" i="3" a="1"/>
  <c r="V1243" i="3" a="1"/>
  <c r="V1244" i="3" a="1"/>
  <c r="V1245" i="3" a="1"/>
  <c r="V1246" i="3" a="1"/>
  <c r="V1247" i="3" a="1"/>
  <c r="V1248" i="3" a="1"/>
  <c r="V1249" i="3" a="1"/>
  <c r="V1250" i="3" a="1"/>
  <c r="V1251" i="3" a="1"/>
  <c r="V1252" i="3" a="1"/>
  <c r="V1253" i="3" a="1"/>
  <c r="V1254" i="3" a="1"/>
  <c r="V1255" i="3" a="1"/>
  <c r="V1256" i="3" a="1"/>
  <c r="V1257" i="3" a="1"/>
  <c r="V1258" i="3" a="1"/>
  <c r="V1259" i="3" a="1"/>
  <c r="V1260" i="3" a="1"/>
  <c r="V1261" i="3" a="1"/>
  <c r="V1262" i="3" a="1"/>
  <c r="V1263" i="3" a="1"/>
  <c r="V1264" i="3" a="1"/>
  <c r="V1265" i="3" a="1"/>
  <c r="V1266" i="3" a="1"/>
  <c r="V1267" i="3" a="1"/>
  <c r="V1268" i="3" a="1"/>
  <c r="V1269" i="3" a="1"/>
  <c r="V1270" i="3" a="1"/>
  <c r="V1271" i="3" a="1"/>
  <c r="V1272" i="3" a="1"/>
  <c r="V1273" i="3" a="1"/>
  <c r="V1274" i="3" a="1"/>
  <c r="V1275" i="3" a="1"/>
  <c r="V1276" i="3" a="1"/>
  <c r="V1277" i="3" a="1"/>
  <c r="V1278" i="3" a="1"/>
  <c r="V1279" i="3" a="1"/>
  <c r="V1280" i="3" a="1"/>
  <c r="V1281" i="3" a="1"/>
  <c r="V1282" i="3" a="1"/>
  <c r="V1283" i="3" a="1"/>
  <c r="V1284" i="3" a="1"/>
  <c r="V1285" i="3" a="1"/>
  <c r="V1286" i="3" a="1"/>
  <c r="V1287" i="3" a="1"/>
  <c r="V1288" i="3" a="1"/>
  <c r="V1289" i="3" a="1"/>
  <c r="V1290" i="3" a="1"/>
  <c r="V1291" i="3" a="1"/>
  <c r="V1292" i="3" a="1"/>
  <c r="V1293" i="3" a="1"/>
  <c r="V1294" i="3" a="1"/>
  <c r="V1295" i="3" a="1"/>
  <c r="V1296" i="3" a="1"/>
  <c r="V1297" i="3" a="1"/>
  <c r="V1298" i="3" a="1"/>
  <c r="V1299" i="3" a="1"/>
  <c r="V1300" i="3" a="1"/>
  <c r="V1301" i="3" a="1"/>
  <c r="V1302" i="3" a="1"/>
  <c r="V1303" i="3" a="1"/>
  <c r="V1304" i="3" a="1"/>
  <c r="V1305" i="3" a="1"/>
  <c r="V1306" i="3" a="1"/>
  <c r="V1307" i="3" a="1"/>
  <c r="V1308" i="3" a="1"/>
  <c r="V1309" i="3" a="1"/>
  <c r="V1310" i="3" a="1"/>
  <c r="V1311" i="3" a="1"/>
  <c r="V1312" i="3" a="1"/>
  <c r="V1313" i="3" a="1"/>
  <c r="V1314" i="3" a="1"/>
  <c r="V1315" i="3" a="1"/>
  <c r="V1316" i="3" a="1"/>
  <c r="V1317" i="3" a="1"/>
  <c r="V1318" i="3" a="1"/>
  <c r="V1319" i="3" a="1"/>
  <c r="V1320" i="3" a="1"/>
  <c r="V1321" i="3" a="1"/>
  <c r="V1322" i="3" a="1"/>
  <c r="V1323" i="3" a="1"/>
  <c r="V1324" i="3" a="1"/>
  <c r="V1325" i="3" a="1"/>
  <c r="V1326" i="3" a="1"/>
  <c r="V1327" i="3" a="1"/>
  <c r="V1328" i="3" a="1"/>
  <c r="V1329" i="3" a="1"/>
  <c r="V1330" i="3" a="1"/>
  <c r="V1331" i="3" a="1"/>
  <c r="V1332" i="3" a="1"/>
  <c r="V1333" i="3" a="1"/>
  <c r="V1334" i="3" a="1"/>
  <c r="V1335" i="3" a="1"/>
  <c r="V1336" i="3" a="1"/>
  <c r="V1337" i="3" a="1"/>
  <c r="V1338" i="3" a="1"/>
  <c r="V1339" i="3" a="1"/>
  <c r="V1340" i="3" a="1"/>
  <c r="V1341" i="3" a="1"/>
  <c r="V1342" i="3" a="1"/>
  <c r="V1343" i="3" a="1"/>
  <c r="V1344" i="3" a="1"/>
  <c r="V1345" i="3" a="1"/>
  <c r="V1346" i="3" a="1"/>
  <c r="V1347" i="3" a="1"/>
  <c r="V1348" i="3" a="1"/>
  <c r="V1349" i="3" a="1"/>
  <c r="V1350" i="3" a="1"/>
  <c r="V1351" i="3" a="1"/>
  <c r="V1352" i="3" a="1"/>
  <c r="V1353" i="3" a="1"/>
  <c r="V1354" i="3" a="1"/>
  <c r="V1355" i="3" a="1"/>
  <c r="V1356" i="3" a="1"/>
  <c r="V1357" i="3" a="1"/>
  <c r="V1358" i="3" a="1"/>
  <c r="V1359" i="3" a="1"/>
  <c r="V1360" i="3" a="1"/>
  <c r="V1361" i="3" a="1"/>
  <c r="V1362" i="3" a="1"/>
  <c r="V1363" i="3" a="1"/>
  <c r="V1364" i="3" a="1"/>
  <c r="V1365" i="3" a="1"/>
  <c r="V1366" i="3" a="1"/>
  <c r="V1367" i="3" a="1"/>
  <c r="V1368" i="3" a="1"/>
  <c r="V1369" i="3" a="1"/>
  <c r="V1370" i="3" a="1"/>
  <c r="V1371" i="3" a="1"/>
  <c r="V1372" i="3" a="1"/>
  <c r="V1373" i="3" a="1"/>
  <c r="V1374" i="3" a="1"/>
  <c r="V1375" i="3" a="1"/>
  <c r="V1376" i="3" a="1"/>
  <c r="V1377" i="3" a="1"/>
  <c r="V1378" i="3" a="1"/>
  <c r="V1379" i="3" a="1"/>
  <c r="V1380" i="3" a="1"/>
  <c r="V1381" i="3" a="1"/>
  <c r="V1382" i="3" a="1"/>
  <c r="V1383" i="3" a="1"/>
  <c r="V1384" i="3" a="1"/>
  <c r="V1385" i="3" a="1"/>
  <c r="V1386" i="3" a="1"/>
  <c r="V1387" i="3" a="1"/>
  <c r="V1388" i="3" a="1"/>
  <c r="V1389" i="3" a="1"/>
  <c r="V1390" i="3" a="1"/>
  <c r="V1391" i="3" a="1"/>
  <c r="V1392" i="3" a="1"/>
  <c r="V1393" i="3" a="1"/>
  <c r="V1394" i="3" a="1"/>
  <c r="V1395" i="3" a="1"/>
  <c r="V1396" i="3" a="1"/>
  <c r="V1397" i="3" a="1"/>
  <c r="V1398" i="3" a="1"/>
  <c r="V1399" i="3" a="1"/>
  <c r="V1400" i="3" a="1"/>
  <c r="V1401" i="3" a="1"/>
  <c r="V1402" i="3" a="1"/>
  <c r="V1403" i="3" a="1"/>
  <c r="V1404" i="3" a="1"/>
  <c r="V1405" i="3" a="1"/>
  <c r="V1406" i="3" a="1"/>
  <c r="V1407" i="3" a="1"/>
  <c r="V1408" i="3" a="1"/>
  <c r="V1409" i="3" a="1"/>
  <c r="V1410" i="3" a="1"/>
  <c r="V1411" i="3" a="1"/>
  <c r="V1412" i="3" a="1"/>
  <c r="V1413" i="3" a="1"/>
  <c r="V1414" i="3" a="1"/>
  <c r="V1415" i="3" a="1"/>
  <c r="V1416" i="3" a="1"/>
  <c r="V1417" i="3" a="1"/>
  <c r="V1418" i="3" a="1"/>
  <c r="V1419" i="3" a="1"/>
  <c r="V1420" i="3" a="1"/>
  <c r="V1421" i="3" a="1"/>
  <c r="V1422" i="3" a="1"/>
  <c r="V1423" i="3" a="1"/>
  <c r="V1424" i="3" a="1"/>
  <c r="V1425" i="3" a="1"/>
  <c r="V1426" i="3" a="1"/>
  <c r="V1427" i="3" a="1"/>
  <c r="V1428" i="3" a="1"/>
  <c r="V1429" i="3" a="1"/>
  <c r="V1430" i="3" a="1"/>
  <c r="V1431" i="3" a="1"/>
  <c r="V1432" i="3" a="1"/>
  <c r="V1433" i="3" a="1"/>
  <c r="V1434" i="3" a="1"/>
  <c r="V1435" i="3" a="1"/>
  <c r="V1436" i="3" a="1"/>
  <c r="V1437" i="3" a="1"/>
  <c r="V1438" i="3" a="1"/>
  <c r="V1439" i="3" a="1"/>
  <c r="V1440" i="3" a="1"/>
  <c r="V1441" i="3" a="1"/>
  <c r="V1442" i="3" a="1"/>
  <c r="V1443" i="3" a="1"/>
  <c r="V1444" i="3" a="1"/>
  <c r="V1445" i="3" a="1"/>
  <c r="V1446" i="3" a="1"/>
  <c r="V1447" i="3" a="1"/>
  <c r="V1448" i="3" a="1"/>
  <c r="V1449" i="3" a="1"/>
  <c r="V1450" i="3" a="1"/>
  <c r="V1451" i="3" a="1"/>
  <c r="V1452" i="3" a="1"/>
  <c r="V1453" i="3" a="1"/>
  <c r="V1454" i="3" a="1"/>
  <c r="V1455" i="3" a="1"/>
  <c r="V1456" i="3" a="1"/>
  <c r="V1457" i="3" a="1"/>
  <c r="V1458" i="3" a="1"/>
  <c r="V1459" i="3" a="1"/>
  <c r="V1460" i="3" a="1"/>
  <c r="V1461" i="3" a="1"/>
  <c r="V1462" i="3" a="1"/>
  <c r="V1463" i="3" a="1"/>
  <c r="V1464" i="3" a="1"/>
  <c r="V1465" i="3" a="1"/>
  <c r="V1466" i="3" a="1"/>
  <c r="V1467" i="3" a="1"/>
  <c r="V1468" i="3" a="1"/>
  <c r="V1469" i="3" a="1"/>
  <c r="V1470" i="3" a="1"/>
  <c r="V1471" i="3" a="1"/>
  <c r="AL515" i="3" a="1"/>
  <c r="AL729" i="3" a="1"/>
  <c r="AL766" i="3" a="1"/>
  <c r="AL1340" i="3" a="1"/>
  <c r="AL1367" i="3" a="1"/>
  <c r="AL179" i="3" a="1"/>
  <c r="AL913" i="3" a="1"/>
  <c r="AL1404" i="3" a="1"/>
  <c r="AL303" i="3" a="1"/>
  <c r="AL912" i="3" a="1"/>
  <c r="AL25" i="3" a="1"/>
  <c r="AL1018" i="3" a="1"/>
  <c r="AL1054" i="3" a="1"/>
  <c r="AL517" i="3" a="1"/>
  <c r="AL1014" i="3" a="1"/>
  <c r="AL1207" i="3" a="1"/>
  <c r="AL779" i="3" a="1"/>
  <c r="AL298" i="3" a="1"/>
  <c r="AL151" i="3" a="1"/>
  <c r="AL1313" i="3" a="1"/>
  <c r="AL1224" i="3" a="1"/>
  <c r="AL1071" i="3" a="1"/>
  <c r="AL1155" i="3" a="1"/>
  <c r="AL587" i="3" a="1"/>
  <c r="AL974" i="3" a="1"/>
  <c r="AL129" i="3" a="1"/>
  <c r="AL418" i="3" a="1"/>
  <c r="AL617" i="3" a="1"/>
  <c r="AL1440" i="3" a="1"/>
  <c r="AL894" i="3" a="1"/>
  <c r="AL459" i="3" a="1"/>
  <c r="AL830" i="3" a="1"/>
  <c r="AL42" i="3" a="1"/>
  <c r="AL1459" i="3" a="1"/>
  <c r="AL771" i="3" a="1"/>
  <c r="AL673" i="3" a="1"/>
  <c r="AL1417" i="3" a="1"/>
  <c r="AL893" i="3" a="1"/>
  <c r="AL1182" i="3" a="1"/>
  <c r="AL39" i="3" a="1"/>
  <c r="AL1085" i="3" a="1"/>
  <c r="AL638" i="3" a="1"/>
  <c r="AL163" i="3" a="1"/>
  <c r="AL16" i="3" a="1"/>
  <c r="AL1212" i="3" a="1"/>
  <c r="AL979" i="3" a="1"/>
  <c r="AL482" i="3" a="1"/>
  <c r="AL1063" i="3" a="1"/>
  <c r="AL101" i="3" a="1"/>
  <c r="AL764" i="3" a="1"/>
  <c r="AL664" i="3" a="1"/>
  <c r="AL1285" i="3" a="1"/>
  <c r="AL514" i="3" a="1"/>
  <c r="AL219" i="3" a="1"/>
  <c r="AL1120" i="3" a="1"/>
  <c r="AL1345" i="3" a="1"/>
  <c r="AL1066" i="3" a="1"/>
  <c r="AL1025" i="3" a="1"/>
  <c r="AL274" i="3" a="1"/>
  <c r="AL817" i="3" a="1"/>
  <c r="AL102" i="3" a="1"/>
  <c r="AL1129" i="3" a="1"/>
  <c r="AL1112" i="3" a="1"/>
  <c r="AL89" i="3" a="1"/>
  <c r="AL935" i="3" a="1"/>
  <c r="AL503" i="3" a="1"/>
  <c r="AL35" i="3" a="1"/>
  <c r="AL174" i="3" a="1"/>
  <c r="AL195" i="3" a="1"/>
  <c r="AL4" i="3" a="1"/>
  <c r="AL443" i="3" a="1"/>
  <c r="AL480" i="3" a="1"/>
  <c r="AL936" i="3" a="1"/>
  <c r="AL421" i="3" a="1"/>
  <c r="AL1019" i="3" a="1"/>
  <c r="AL1323" i="3" a="1"/>
  <c r="AL866" i="3" a="1"/>
  <c r="AL1037" i="3" a="1"/>
  <c r="AL1260" i="3" a="1"/>
  <c r="AL287" i="3" a="1"/>
  <c r="AL338" i="3" a="1"/>
  <c r="AL690" i="3" a="1"/>
  <c r="AL478" i="3" a="1"/>
  <c r="AL1030" i="3" a="1"/>
  <c r="AL722" i="3" a="1"/>
  <c r="AL1094" i="3" a="1"/>
  <c r="AL1375" i="3" a="1"/>
  <c r="AL1143" i="3" a="1"/>
  <c r="AL601" i="3" a="1"/>
  <c r="AL1383" i="3" a="1"/>
  <c r="AL1247" i="3" a="1"/>
  <c r="AL1299" i="3" a="1"/>
  <c r="AL209" i="3" a="1"/>
  <c r="AL923" i="3" a="1"/>
  <c r="AL699" i="3" a="1"/>
  <c r="AL1173" i="3" a="1"/>
  <c r="AL861" i="3" a="1"/>
  <c r="AL359" i="3" a="1"/>
  <c r="AL264" i="3" a="1"/>
  <c r="AL227" i="3" a="1"/>
  <c r="AL761" i="3" a="1"/>
  <c r="AL1248" i="3" a="1"/>
  <c r="AL487" i="3" a="1"/>
  <c r="AL1413" i="3" a="1"/>
  <c r="AL70" i="3" a="1"/>
  <c r="AL373" i="3" a="1"/>
  <c r="AL34" i="3" a="1"/>
  <c r="AL795" i="3" a="1"/>
  <c r="AL873" i="3" a="1"/>
  <c r="AL363" i="3" a="1"/>
  <c r="AL542" i="3" a="1"/>
  <c r="AL401" i="3" a="1"/>
  <c r="AL765" i="3" a="1"/>
  <c r="AL1369" i="3" a="1"/>
  <c r="AL161" i="3" a="1"/>
  <c r="AL242" i="3" a="1"/>
  <c r="AL891" i="3" a="1"/>
  <c r="AL150" i="3" a="1"/>
  <c r="AL385" i="3" a="1"/>
  <c r="AL397" i="3" a="1"/>
  <c r="AL842" i="3" a="1"/>
  <c r="AL680" i="3" a="1"/>
  <c r="AL234" i="3" a="1"/>
  <c r="AL51" i="3" a="1"/>
  <c r="AL1430" i="3" a="1"/>
  <c r="AL715" i="3" a="1"/>
  <c r="AL1084" i="3" a="1"/>
  <c r="AL605" i="3" a="1"/>
  <c r="AL1215" i="3" a="1"/>
  <c r="AL657" i="3" a="1"/>
  <c r="AL193" i="3" a="1"/>
  <c r="AL387" i="3" a="1"/>
  <c r="AL181" i="3" a="1"/>
  <c r="AL1268" i="3" a="1"/>
  <c r="AL864" i="3" a="1"/>
  <c r="AL36" i="3" a="1"/>
  <c r="AL44" i="3" a="1"/>
  <c r="AL1099" i="3" a="1"/>
  <c r="AL557" i="3" a="1"/>
  <c r="AL954" i="3" a="1"/>
  <c r="AL1226" i="3" a="1"/>
  <c r="AL154" i="3" a="1"/>
  <c r="AL1355" i="3" a="1"/>
  <c r="AL1089" i="3" a="1"/>
  <c r="AL183" i="3" a="1"/>
  <c r="AL800" i="3" a="1"/>
  <c r="AL639" i="3" a="1"/>
  <c r="AL672" i="3" a="1"/>
  <c r="AL591" i="3" a="1"/>
  <c r="AL711" i="3" a="1"/>
  <c r="AL88" i="3" a="1"/>
  <c r="AL162" i="3" a="1"/>
  <c r="AL778" i="3" a="1"/>
  <c r="AL173" i="3" a="1"/>
  <c r="AL296" i="3" a="1"/>
  <c r="AL208" i="3" a="1"/>
  <c r="AL677" i="3" a="1"/>
  <c r="AL684" i="3" a="1"/>
  <c r="AL1315" i="3" a="1"/>
  <c r="AL1446" i="3" a="1"/>
  <c r="AL254" i="3" a="1"/>
  <c r="AL465" i="3" a="1"/>
  <c r="AL43" i="3" a="1"/>
  <c r="AL555" i="3" a="1"/>
  <c r="AL635" i="3" a="1"/>
  <c r="AL756" i="3" a="1"/>
  <c r="AL1281" i="3" a="1"/>
  <c r="AL1047" i="3" a="1"/>
  <c r="AL155" i="3" a="1"/>
  <c r="AL417" i="3" a="1"/>
  <c r="AL646" i="3" a="1"/>
  <c r="AL955" i="3" a="1"/>
  <c r="AL1079" i="3" a="1"/>
  <c r="AL616" i="3" a="1"/>
  <c r="AL1116" i="3" a="1"/>
  <c r="AL1392" i="3" a="1"/>
  <c r="AL127" i="3" a="1"/>
  <c r="AL353" i="3" a="1"/>
  <c r="AL927" i="3" a="1"/>
  <c r="AL940" i="3" a="1"/>
  <c r="AL290" i="3" a="1"/>
  <c r="AL850" i="3" a="1"/>
  <c r="AL670" i="3" a="1"/>
  <c r="AL799" i="3" a="1"/>
  <c r="AL1319" i="3" a="1"/>
  <c r="AL662" i="3" a="1"/>
  <c r="AL744" i="3" a="1"/>
  <c r="AL1438" i="3" a="1"/>
  <c r="AL969" i="3" a="1"/>
  <c r="AL231" i="3" a="1"/>
  <c r="AL999" i="3" a="1"/>
  <c r="AL1275" i="3" a="1"/>
  <c r="AL472" i="3" a="1"/>
  <c r="AL671" i="3" a="1"/>
  <c r="AL713" i="3" a="1"/>
  <c r="AL1061" i="3" a="1"/>
  <c r="AL63" i="3" a="1"/>
  <c r="AL1429" i="3" a="1"/>
  <c r="AL1138" i="3" a="1"/>
  <c r="AL685" i="3" a="1"/>
  <c r="AL734" i="3" a="1"/>
  <c r="AL12" i="3" a="1"/>
  <c r="AL1102" i="3" a="1"/>
  <c r="AL1377" i="3" a="1"/>
  <c r="AL236" i="3" a="1"/>
  <c r="AL1437" i="3" a="1"/>
  <c r="AL1264" i="3" a="1"/>
  <c r="AL1295" i="3" a="1"/>
  <c r="AL1334" i="3" a="1"/>
  <c r="AL1451" i="3" a="1"/>
  <c r="AL1195" i="3" a="1"/>
  <c r="AL558" i="3" a="1"/>
  <c r="AL1110" i="3" a="1"/>
  <c r="AL168" i="3" a="1"/>
  <c r="AL736" i="3" a="1"/>
  <c r="AL1106" i="3" a="1"/>
  <c r="AL317" i="3" a="1"/>
  <c r="AL781" i="3" a="1"/>
  <c r="AL1258" i="3" a="1"/>
  <c r="AL1341" i="3" a="1"/>
  <c r="AL383" i="3" a="1"/>
  <c r="AL320" i="3" a="1"/>
  <c r="AL702" i="3" a="1"/>
  <c r="AL32" i="3" a="1"/>
  <c r="AL178" i="3" a="1"/>
  <c r="AL552" i="3" a="1"/>
  <c r="AL74" i="3" a="1"/>
  <c r="AL598" i="3" a="1"/>
  <c r="AL810" i="3" a="1"/>
  <c r="AL634" i="3" a="1"/>
  <c r="AL844" i="3" a="1"/>
  <c r="AL904" i="3" a="1"/>
  <c r="AL689" i="3" a="1"/>
  <c r="AL130" i="3" a="1"/>
  <c r="AL659" i="3" a="1"/>
  <c r="AL972" i="3" a="1"/>
  <c r="AL835" i="3" a="1"/>
  <c r="AL379" i="3" a="1"/>
  <c r="AL1363" i="3" a="1"/>
  <c r="AL423" i="3" a="1"/>
  <c r="AL855" i="3" a="1"/>
  <c r="AL608" i="3" a="1"/>
  <c r="AL622" i="3" a="1"/>
  <c r="AL660" i="3" a="1"/>
  <c r="AL903" i="3" a="1"/>
  <c r="AL1070" i="3" a="1"/>
  <c r="AL424" i="3" a="1"/>
  <c r="AL428" i="3" a="1"/>
  <c r="AL166" i="3" a="1"/>
  <c r="AL1208" i="3" a="1"/>
  <c r="AL1467" i="3" a="1"/>
  <c r="AL582" i="3" a="1"/>
  <c r="AL390" i="3" a="1"/>
  <c r="AL496" i="3" a="1"/>
  <c r="AL1172" i="3" a="1"/>
  <c r="AL908" i="3" a="1"/>
  <c r="AL1194" i="3" a="1"/>
  <c r="AL1356" i="3" a="1"/>
  <c r="AL1291" i="3" a="1"/>
  <c r="AL258" i="3" a="1"/>
  <c r="AL802" i="3" a="1"/>
  <c r="AL733" i="3" a="1"/>
  <c r="AL364" i="3" a="1"/>
  <c r="AL833" i="3" a="1"/>
  <c r="AL984" i="3" a="1"/>
  <c r="AL122" i="3" a="1"/>
  <c r="AL492" i="3" a="1"/>
  <c r="AL223" i="3" a="1"/>
  <c r="AL917" i="3" a="1"/>
  <c r="AL145" i="3" a="1"/>
  <c r="AL548" i="3" a="1"/>
  <c r="AL1104" i="3" a="1"/>
  <c r="AL37" i="3" a="1"/>
  <c r="AL1410" i="3" a="1"/>
  <c r="AL409" i="3" a="1"/>
  <c r="AL1206" i="3" a="1"/>
  <c r="AL216" i="3" a="1"/>
  <c r="AL371" i="3" a="1"/>
  <c r="AL507" i="3" a="1"/>
  <c r="AL1424" i="3" a="1"/>
  <c r="AL15" i="3" a="1"/>
  <c r="AL1338" i="3" a="1"/>
  <c r="AL8" i="3" a="1"/>
  <c r="AL878" i="3" a="1"/>
  <c r="AL1273" i="3" a="1"/>
  <c r="AL38" i="3" a="1"/>
  <c r="AL724" i="3" a="1"/>
  <c r="AL564" i="3" a="1"/>
  <c r="AL1136" i="3" a="1"/>
  <c r="AL505" i="3" a="1"/>
  <c r="AL9" i="3" a="1"/>
  <c r="AL665" i="3" a="1"/>
  <c r="AL588" i="3" a="1"/>
  <c r="AL314" i="3" a="1"/>
  <c r="AL352" i="3" a="1"/>
  <c r="AL596" i="3" a="1"/>
  <c r="AL73" i="3" a="1"/>
  <c r="AL829" i="3" a="1"/>
  <c r="AL1304" i="3" a="1"/>
  <c r="AL1325" i="3" a="1"/>
  <c r="AL238" i="3" a="1"/>
  <c r="AL164" i="3" a="1"/>
  <c r="AL372" i="3" a="1"/>
  <c r="AL1262" i="3" a="1"/>
  <c r="AL148" i="3" a="1"/>
  <c r="AL521" i="3" a="1"/>
  <c r="AL260" i="3" a="1"/>
  <c r="AL476" i="3" a="1"/>
  <c r="AL1199" i="3" a="1"/>
  <c r="AL205" i="3" a="1"/>
  <c r="AL455" i="3" a="1"/>
  <c r="AL875" i="3" a="1"/>
  <c r="AL1041" i="3" a="1"/>
  <c r="AL754" i="3" a="1"/>
  <c r="AL882" i="3" a="1"/>
  <c r="AL187" i="3" a="1"/>
  <c r="AL549" i="3" a="1"/>
  <c r="AL1251" i="3" a="1"/>
  <c r="AL1265" i="3" a="1"/>
  <c r="AL434" i="3" a="1"/>
  <c r="AL500" i="3" a="1"/>
  <c r="AL115" i="3" a="1"/>
  <c r="AL669" i="3" a="1"/>
  <c r="AL885" i="3" a="1"/>
  <c r="AL579" i="3" a="1"/>
  <c r="AL1422" i="3" a="1"/>
  <c r="AL1180" i="3" a="1"/>
  <c r="AL982" i="3" a="1"/>
  <c r="AL294" i="3" a="1"/>
  <c r="AL820" i="3" a="1"/>
  <c r="AL228" i="3" a="1"/>
  <c r="AL262" i="3" a="1"/>
  <c r="AL658" i="3" a="1"/>
  <c r="AL675" i="3" a="1"/>
  <c r="AL647" i="3" a="1"/>
  <c r="AL1331" i="3" a="1"/>
  <c r="AL1457" i="3" a="1"/>
  <c r="AL1385" i="3" a="1"/>
  <c r="AL719" i="3" a="1"/>
  <c r="AL1139" i="3" a="1"/>
  <c r="AL633" i="3" a="1"/>
  <c r="AL518" i="3" a="1"/>
  <c r="AL767" i="3" a="1"/>
  <c r="AL852" i="3" a="1"/>
  <c r="AL120" i="3" a="1"/>
  <c r="AL489" i="3" a="1"/>
  <c r="AL1428" i="3" a="1"/>
  <c r="AL932" i="3" a="1"/>
  <c r="AL828" i="3" a="1"/>
  <c r="AL365" i="3" a="1"/>
  <c r="AL862" i="3" a="1"/>
  <c r="AL1339" i="3" a="1"/>
  <c r="AL1393" i="3" a="1"/>
  <c r="AL83" i="3" a="1"/>
  <c r="AL1235" i="3" a="1"/>
  <c r="AL1381" i="3" a="1"/>
  <c r="AL1388" i="3" a="1"/>
  <c r="AL111" i="3" a="1"/>
  <c r="AL914" i="3" a="1"/>
  <c r="AL420" i="3" a="1"/>
  <c r="AL481" i="3" a="1"/>
  <c r="AL110" i="3" a="1"/>
  <c r="AL1399" i="3" a="1"/>
  <c r="AL644" i="3" a="1"/>
  <c r="AL347" i="3" a="1"/>
  <c r="AL5" i="3" a="1"/>
  <c r="AL1058" i="3" a="1"/>
  <c r="AL14" i="3" a="1"/>
  <c r="AL248" i="3" a="1"/>
  <c r="AL104" i="3" a="1"/>
  <c r="AL1214" i="3" a="1"/>
  <c r="AL1254" i="3" a="1"/>
  <c r="AL1351" i="3" a="1"/>
  <c r="AL19" i="3" a="1"/>
  <c r="AL859" i="3" a="1"/>
  <c r="AL1322" i="3" a="1"/>
  <c r="AL136" i="3" a="1"/>
  <c r="AL774" i="3" a="1"/>
  <c r="AL1002" i="3" a="1"/>
  <c r="AL103" i="3" a="1"/>
  <c r="AL1314" i="3" a="1"/>
  <c r="AL26" i="3" a="1"/>
  <c r="AL1466" i="3" a="1"/>
  <c r="AL1117" i="3" a="1"/>
  <c r="AL650" i="3" a="1"/>
  <c r="AL691" i="3" a="1"/>
  <c r="AL1221" i="3" a="1"/>
  <c r="AL349" i="3" a="1"/>
  <c r="AL1460" i="3" a="1"/>
  <c r="AL805" i="3" a="1"/>
  <c r="AL439" i="3" a="1"/>
  <c r="AL1402" i="3" a="1"/>
  <c r="AL911" i="3" a="1"/>
  <c r="AL991" i="3" a="1"/>
  <c r="AL1017" i="3" a="1"/>
  <c r="AL49" i="3" a="1"/>
  <c r="AL858" i="3" a="1"/>
  <c r="AL388" i="3" a="1"/>
  <c r="AL76" i="3" a="1"/>
  <c r="AL171" i="3" a="1"/>
  <c r="AL497" i="3" a="1"/>
  <c r="AL1267" i="3" a="1"/>
  <c r="AL561" i="3" a="1"/>
  <c r="AL172" i="3" a="1"/>
  <c r="AL1384" i="3" a="1"/>
  <c r="AL1419" i="3" a="1"/>
  <c r="AL7" i="3" a="1"/>
  <c r="AL1157" i="3" a="1"/>
  <c r="AL175" i="3" a="1"/>
  <c r="AL244" i="3" a="1"/>
  <c r="AL384" i="3" a="1"/>
  <c r="AL1154" i="3" a="1"/>
  <c r="AL854" i="3" a="1"/>
  <c r="AL184" i="3" a="1"/>
  <c r="AL1284" i="3" a="1"/>
  <c r="AL589" i="3" a="1"/>
  <c r="AL288" i="3" a="1"/>
  <c r="AL642" i="3" a="1"/>
  <c r="AL1044" i="3" a="1"/>
  <c r="AL1062" i="3" a="1"/>
  <c r="AL1074" i="3" a="1"/>
  <c r="AL1202" i="3" a="1"/>
  <c r="AL870" i="3" a="1"/>
  <c r="AL821" i="3" a="1"/>
  <c r="AL416" i="3" a="1"/>
  <c r="AL147" i="3" a="1"/>
  <c r="AL271" i="3" a="1"/>
  <c r="AL1149" i="3" a="1"/>
  <c r="AL232" i="3" a="1"/>
  <c r="AL525" i="3" a="1"/>
  <c r="AL1005" i="3" a="1"/>
  <c r="AL276" i="3" a="1"/>
  <c r="AL576" i="3" a="1"/>
  <c r="AL825" i="3" a="1"/>
  <c r="AL667" i="3" a="1"/>
  <c r="AL1029" i="3" a="1"/>
  <c r="AL1240" i="3" a="1"/>
  <c r="AL18" i="3" a="1"/>
  <c r="AL1204" i="3" a="1"/>
  <c r="AL291" i="3" a="1"/>
  <c r="AL1141" i="3" a="1"/>
  <c r="AL245" i="3" a="1"/>
  <c r="AL934" i="3" a="1"/>
  <c r="AL159" i="3" a="1"/>
  <c r="AL516" i="3" a="1"/>
  <c r="AL1425" i="3" a="1"/>
  <c r="AL785" i="3" a="1"/>
  <c r="AL1288" i="3" a="1"/>
  <c r="AL71" i="3" a="1"/>
  <c r="AL23" i="3" a="1"/>
  <c r="AL1132" i="3" a="1"/>
  <c r="AL438" i="3" a="1"/>
  <c r="AL40" i="3" a="1"/>
  <c r="AL1022" i="3" a="1"/>
  <c r="AL1048" i="3" a="1"/>
  <c r="AL945" i="3" a="1"/>
  <c r="AL620" i="3" a="1"/>
  <c r="AL1228" i="3" a="1"/>
  <c r="AL53" i="3" a="1"/>
  <c r="AL1250" i="3" a="1"/>
  <c r="AL498" i="3" a="1"/>
  <c r="AL393" i="3" a="1"/>
  <c r="AL143" i="3" a="1"/>
  <c r="AL366" i="3" a="1"/>
  <c r="AL714" i="3" a="1"/>
  <c r="AL325" i="3" a="1"/>
  <c r="AL6" i="3" a="1"/>
  <c r="AL1229" i="3" a="1"/>
  <c r="AL261" i="3" a="1"/>
  <c r="AL1436" i="3" a="1"/>
  <c r="AL266" i="3" a="1"/>
  <c r="AL876" i="3" a="1"/>
  <c r="AL1024" i="3" a="1"/>
  <c r="AL567" i="3" a="1"/>
  <c r="AL926" i="3" a="1"/>
  <c r="AL1171" i="3" a="1"/>
  <c r="AL1209" i="3" a="1"/>
  <c r="AL1271" i="3" a="1"/>
  <c r="AL1330" i="3" a="1"/>
  <c r="AL959" i="3" a="1"/>
  <c r="AL197" i="3" a="1"/>
  <c r="AL1006" i="3" a="1"/>
  <c r="AL888" i="3" a="1"/>
  <c r="AL641" i="3" a="1"/>
  <c r="AL1309" i="3" a="1"/>
  <c r="AL843" i="3" a="1"/>
  <c r="AL865" i="3" a="1"/>
  <c r="AL693" i="3" a="1"/>
  <c r="AL483" i="3" a="1"/>
  <c r="AL1003" i="3" a="1"/>
  <c r="AL720" i="3" a="1"/>
  <c r="AL1034" i="3" a="1"/>
  <c r="AL790" i="3" a="1"/>
  <c r="AL967" i="3" a="1"/>
  <c r="AL1052" i="3" a="1"/>
  <c r="AL485" i="3" a="1"/>
  <c r="AL300" i="3" a="1"/>
  <c r="AL185" i="3" a="1"/>
  <c r="AL798" i="3" a="1"/>
  <c r="AL902" i="3" a="1"/>
  <c r="AL336" i="3" a="1"/>
  <c r="AL1274" i="3" a="1"/>
  <c r="AL545" i="3" a="1"/>
  <c r="AL1038" i="3" a="1"/>
  <c r="AL241" i="3" a="1"/>
  <c r="AL615" i="3" a="1"/>
  <c r="AL727" i="3" a="1"/>
  <c r="AL1414" i="3" a="1"/>
  <c r="AL451" i="3" a="1"/>
  <c r="AL895" i="3" a="1"/>
  <c r="AL1170" i="3" a="1"/>
  <c r="AL625" i="3" a="1"/>
  <c r="AL433" i="3" a="1"/>
  <c r="AL1462" i="3" a="1"/>
  <c r="AL1320" i="3" a="1"/>
  <c r="AL204" i="3" a="1"/>
  <c r="AL375" i="3" a="1"/>
  <c r="AL583" i="3" a="1"/>
  <c r="AL1068" i="3" a="1"/>
  <c r="AL931" i="3" a="1"/>
  <c r="AL541" i="3" a="1"/>
  <c r="AL1349" i="3" a="1"/>
  <c r="AL445" i="3" a="1"/>
  <c r="AL1337" i="3" a="1"/>
  <c r="AL942" i="3" a="1"/>
  <c r="AL1000" i="3" a="1"/>
  <c r="AL1232" i="3" a="1"/>
  <c r="AL742" i="3" a="1"/>
  <c r="AL28" i="3" a="1"/>
  <c r="AL250" i="3" a="1"/>
  <c r="AL182" i="3" a="1"/>
  <c r="AL240" i="3" a="1"/>
  <c r="AL1165" i="3" a="1"/>
  <c r="AL21" i="3" a="1"/>
  <c r="AL783" i="3" a="1"/>
  <c r="AL1327" i="3" a="1"/>
  <c r="AL1031" i="3" a="1"/>
  <c r="AL1415" i="3" a="1"/>
  <c r="AL1362" i="3" a="1"/>
  <c r="AL339" i="3" a="1"/>
  <c r="AL1210" i="3" a="1"/>
  <c r="AL1203" i="3" a="1"/>
  <c r="AL269" i="3" a="1"/>
  <c r="AL1269" i="3" a="1"/>
  <c r="AL22" i="3" a="1"/>
  <c r="AL46" i="3" a="1"/>
  <c r="AL59" i="3" a="1"/>
  <c r="AL678" i="3" a="1"/>
  <c r="AL758" i="3" a="1"/>
  <c r="AL1461" i="3" a="1"/>
  <c r="AL520" i="3" a="1"/>
  <c r="AL407" i="3" a="1"/>
  <c r="AL824" i="3" a="1"/>
  <c r="AL1067" i="3" a="1"/>
  <c r="AL621" i="3" a="1"/>
  <c r="AL446" i="3" a="1"/>
  <c r="AL1151" i="3" a="1"/>
  <c r="AL1100" i="3" a="1"/>
  <c r="AL1282" i="3" a="1"/>
  <c r="AL993" i="3" a="1"/>
  <c r="AL997" i="3" a="1"/>
  <c r="AL1087" i="3" a="1"/>
  <c r="AL1115" i="3" a="1"/>
  <c r="AL490" i="3" a="1"/>
  <c r="AL962" i="3" a="1"/>
  <c r="AL1395" i="3" a="1"/>
  <c r="AL769" i="3" a="1"/>
  <c r="AL1431" i="3" a="1"/>
  <c r="AL867" i="3" a="1"/>
  <c r="AL1294" i="3" a="1"/>
  <c r="AL728" i="3" a="1"/>
  <c r="AL1159" i="3" a="1"/>
  <c r="AL90" i="3" a="1"/>
  <c r="AL56" i="3" a="1"/>
  <c r="AL1027" i="3" a="1"/>
  <c r="AL721" i="3" a="1"/>
  <c r="AL668" i="3" a="1"/>
  <c r="AL1190" i="3" a="1"/>
  <c r="AL1278" i="3" a="1"/>
  <c r="AL13" i="3" a="1"/>
  <c r="AL636" i="3" a="1"/>
  <c r="AL391" i="3" a="1"/>
  <c r="AL1343" i="3" a="1"/>
  <c r="AL1122" i="3" a="1"/>
  <c r="AL142" i="3" a="1"/>
  <c r="AL1293" i="3" a="1"/>
  <c r="AL99" i="3" a="1"/>
  <c r="AL741" i="3" a="1"/>
  <c r="AL432" i="3" a="1"/>
  <c r="AL484" i="3" a="1"/>
  <c r="AL737" i="3" a="1"/>
  <c r="AL584" i="3" a="1"/>
  <c r="AL963" i="3" a="1"/>
  <c r="AL640" i="3" a="1"/>
  <c r="AL177" i="3" a="1"/>
  <c r="AL572" i="3" a="1"/>
  <c r="AL382" i="3" a="1"/>
  <c r="AL456" i="3" a="1"/>
  <c r="AL826" i="3" a="1"/>
  <c r="AL1008" i="3" a="1"/>
  <c r="AL1346" i="3" a="1"/>
  <c r="AL1091" i="3" a="1"/>
  <c r="AL506" i="3" a="1"/>
  <c r="AL687" i="3" a="1"/>
  <c r="AL202" i="3" a="1"/>
  <c r="AL804" i="3" a="1"/>
  <c r="AL396" i="3" a="1"/>
  <c r="AL462" i="3" a="1"/>
  <c r="AL78" i="3" a="1"/>
  <c r="AL144" i="3" a="1"/>
  <c r="AL157" i="3" a="1"/>
  <c r="AL1093" i="3" a="1"/>
  <c r="AL837" i="3" a="1"/>
  <c r="AL86" i="3" a="1"/>
  <c r="AL868" i="3" a="1"/>
  <c r="AL1406" i="3" a="1"/>
  <c r="AL574" i="3" a="1"/>
  <c r="AL578" i="3" a="1"/>
  <c r="AL226" i="3" a="1"/>
  <c r="AL573" i="3" a="1"/>
  <c r="AL1049" i="3" a="1"/>
  <c r="AL1184" i="3" a="1"/>
  <c r="AL726" i="3" a="1"/>
  <c r="AL581" i="3" a="1"/>
  <c r="AL600" i="3" a="1"/>
  <c r="AL1145" i="3" a="1"/>
  <c r="AL1358" i="3" a="1"/>
  <c r="AL1023" i="3" a="1"/>
  <c r="AL1219" i="3" a="1"/>
  <c r="AL624" i="3" a="1"/>
  <c r="AL1471" i="3" a="1"/>
  <c r="AL845" i="3" a="1"/>
  <c r="AL847" i="3" a="1"/>
  <c r="AL77" i="3" a="1"/>
  <c r="AL198" i="3" a="1"/>
  <c r="AL606" i="3" a="1"/>
  <c r="AL1408" i="3" a="1"/>
  <c r="AL1418" i="3" a="1"/>
  <c r="AL922" i="3" a="1"/>
  <c r="AL698" i="3" a="1"/>
  <c r="AL1306" i="3" a="1"/>
  <c r="AL400" i="3" a="1"/>
  <c r="AL186" i="3" a="1"/>
  <c r="AL243" i="3" a="1"/>
  <c r="AL856" i="3" a="1"/>
  <c r="AL322" i="3" a="1"/>
  <c r="AL293" i="3" a="1"/>
  <c r="AL399" i="3" a="1"/>
  <c r="AL925" i="3" a="1"/>
  <c r="AL1222" i="3" a="1"/>
  <c r="AL116" i="3" a="1"/>
  <c r="AL1256" i="3" a="1"/>
  <c r="AL794" i="3" a="1"/>
  <c r="AL398" i="3" a="1"/>
  <c r="AL415" i="3" a="1"/>
  <c r="AL951" i="3" a="1"/>
  <c r="AL653" i="3" a="1"/>
  <c r="AL919" i="3" a="1"/>
  <c r="AL874" i="3" a="1"/>
  <c r="AL877" i="3" a="1"/>
  <c r="AL528" i="3" a="1"/>
  <c r="AL284" i="3" a="1"/>
  <c r="AL411" i="3" a="1"/>
  <c r="AL406" i="3" a="1"/>
  <c r="AL134" i="3" a="1"/>
  <c r="AL48" i="3" a="1"/>
  <c r="AL527" i="3" a="1"/>
  <c r="AL1188" i="3" a="1"/>
  <c r="AL1069" i="3" a="1"/>
  <c r="AL1060" i="3" a="1"/>
  <c r="AL700" i="3" a="1"/>
  <c r="AL983" i="3" a="1"/>
  <c r="AL780" i="3" a="1"/>
  <c r="AL1409" i="3" a="1"/>
  <c r="AL788" i="3" a="1"/>
  <c r="AL943" i="3" a="1"/>
  <c r="AL970" i="3" a="1"/>
  <c r="AL1134" i="3" a="1"/>
  <c r="AL523" i="3" a="1"/>
  <c r="AL1321" i="3" a="1"/>
  <c r="AL351" i="3" a="1"/>
  <c r="AL961" i="3" a="1"/>
  <c r="AL1147" i="3" a="1"/>
  <c r="AL146" i="3" a="1"/>
  <c r="AL682" i="3" a="1"/>
  <c r="AL524" i="3" a="1"/>
  <c r="AL330" i="3" a="1"/>
  <c r="AL1311" i="3" a="1"/>
  <c r="AL933" i="3" a="1"/>
  <c r="AL471" i="3" a="1"/>
  <c r="AL449" i="3" a="1"/>
  <c r="AL688" i="3" a="1"/>
  <c r="AL1124" i="3" a="1"/>
  <c r="AL986" i="3" a="1"/>
  <c r="AL1148" i="3" a="1"/>
  <c r="AL803" i="3" a="1"/>
  <c r="AL1189" i="3" a="1"/>
  <c r="AL356" i="3" a="1"/>
  <c r="AL132" i="3" a="1"/>
  <c r="AL286" i="3" a="1"/>
  <c r="AL1050" i="3" a="1"/>
  <c r="AL663" i="3" a="1"/>
  <c r="AL832" i="3" a="1"/>
  <c r="AL1053" i="3" a="1"/>
  <c r="AL1378" i="3" a="1"/>
  <c r="AL1336" i="3" a="1"/>
  <c r="AL632" i="3" a="1"/>
  <c r="AL746" i="3" a="1"/>
  <c r="AL614" i="3" a="1"/>
  <c r="AL1015" i="3" a="1"/>
  <c r="AL1444" i="3" a="1"/>
  <c r="AL1347" i="3" a="1"/>
  <c r="AL1073" i="3" a="1"/>
  <c r="AL454" i="3" a="1"/>
  <c r="AL105" i="3" a="1"/>
  <c r="AL414" i="3" a="1"/>
  <c r="AL311" i="3" a="1"/>
  <c r="AL763" i="3" a="1"/>
  <c r="AL1090" i="3" a="1"/>
  <c r="AL1456" i="3" a="1"/>
  <c r="AL519" i="3" a="1"/>
  <c r="AL1114" i="3" a="1"/>
  <c r="AL463" i="3" a="1"/>
  <c r="AL334" i="3" a="1"/>
  <c r="AL210" i="3" a="1"/>
  <c r="AL1135" i="3" a="1"/>
  <c r="AL1153" i="3" a="1"/>
  <c r="AL1427" i="3" a="1"/>
  <c r="AL941" i="3" a="1"/>
  <c r="AL257" i="3" a="1"/>
  <c r="AL1072" i="3" a="1"/>
  <c r="AL1055" i="3" a="1"/>
  <c r="AL283" i="3" a="1"/>
  <c r="AL1435" i="3" a="1"/>
  <c r="AL661" i="3" a="1"/>
  <c r="AL1217" i="3" a="1"/>
  <c r="AL378" i="3" a="1"/>
  <c r="AL631" i="3" a="1"/>
  <c r="AL137" i="3" a="1"/>
  <c r="AL319" i="3" a="1"/>
  <c r="AL887" i="3" a="1"/>
  <c r="AL534" i="3" a="1"/>
  <c r="AL124" i="3" a="1"/>
  <c r="AL822" i="3" a="1"/>
  <c r="AL1246" i="3" a="1"/>
  <c r="AL750" i="3" a="1"/>
  <c r="AL1236" i="3" a="1"/>
  <c r="AL883" i="3" a="1"/>
  <c r="AL98" i="3" a="1"/>
  <c r="AL739" i="3" a="1"/>
  <c r="AL1391" i="3" a="1"/>
  <c r="AL176" i="3" a="1"/>
  <c r="AL96" i="3" a="1"/>
  <c r="AL81" i="3" a="1"/>
  <c r="AL1354" i="3" a="1"/>
  <c r="AL1161" i="3" a="1"/>
  <c r="AL324" i="3" a="1"/>
  <c r="AL827" i="3" a="1"/>
  <c r="AL1133" i="3" a="1"/>
  <c r="AL709" i="3" a="1"/>
  <c r="AL430" i="3" a="1"/>
  <c r="AL976" i="3" a="1"/>
  <c r="AL710" i="3" a="1"/>
  <c r="AL1380" i="3" a="1"/>
  <c r="AL559" i="3" a="1"/>
  <c r="AL603" i="3" a="1"/>
  <c r="AL1426" i="3" a="1"/>
  <c r="AL562" i="3" a="1"/>
  <c r="AL82" i="3" a="1"/>
  <c r="AL3" i="3" a="1"/>
  <c r="AL1442" i="3" a="1"/>
  <c r="AL1255" i="3" a="1"/>
  <c r="AL1374" i="3" a="1"/>
  <c r="AL1316" i="3" a="1"/>
  <c r="AL841" i="3" a="1"/>
  <c r="AL610" i="3" a="1"/>
  <c r="AL106" i="3" a="1"/>
  <c r="AL899" i="3" a="1"/>
  <c r="AL628" i="3" a="1"/>
  <c r="AL656" i="3" a="1"/>
  <c r="AL1394" i="3" a="1"/>
  <c r="AL1176" i="3" a="1"/>
  <c r="AL1097" i="3" a="1"/>
  <c r="AL1152" i="3" a="1"/>
  <c r="AL94" i="3" a="1"/>
  <c r="AL313" i="3" a="1"/>
  <c r="AL881" i="3" a="1"/>
  <c r="AL321" i="3" a="1"/>
  <c r="AL595" i="3" a="1"/>
  <c r="AL645" i="3" a="1"/>
  <c r="AL11" i="3" a="1"/>
  <c r="AL329" i="3" a="1"/>
  <c r="AL1241" i="3" a="1"/>
  <c r="AL263" i="3" a="1"/>
  <c r="AL376" i="3" a="1"/>
  <c r="AL332" i="3" a="1"/>
  <c r="AL367" i="3" a="1"/>
  <c r="AL199" i="3" a="1"/>
  <c r="AL1261" i="3" a="1"/>
  <c r="AL1177" i="3" a="1"/>
  <c r="AL357" i="3" a="1"/>
  <c r="AL1051" i="3" a="1"/>
  <c r="AL380" i="3" a="1"/>
  <c r="AL547" i="3" a="1"/>
  <c r="AL560" i="3" a="1"/>
  <c r="AL1420" i="3" a="1"/>
  <c r="AL593" i="3" a="1"/>
  <c r="AL575" i="3" a="1"/>
  <c r="AL85" i="3" a="1"/>
  <c r="AL1146" i="3" a="1"/>
  <c r="AL464" i="3" a="1"/>
  <c r="AL849" i="3" a="1"/>
  <c r="AL1453" i="3" a="1"/>
  <c r="AL851" i="3" a="1"/>
  <c r="AL1292" i="3" a="1"/>
  <c r="AL1201" i="3" a="1"/>
  <c r="AL975" i="3" a="1"/>
  <c r="AL1200" i="3" a="1"/>
  <c r="AL1389" i="3" a="1"/>
  <c r="AL41" i="3" a="1"/>
  <c r="AL1150" i="3" a="1"/>
  <c r="AL1373" i="3" a="1"/>
  <c r="AL52" i="3" a="1"/>
  <c r="AL1470" i="3" a="1"/>
  <c r="AL529" i="3" a="1"/>
  <c r="AL1364" i="3" a="1"/>
  <c r="AL538" i="3" a="1"/>
  <c r="AL1310" i="3" a="1"/>
  <c r="AL1449" i="3" a="1"/>
  <c r="AL929" i="3" a="1"/>
  <c r="AL1421" i="3" a="1"/>
  <c r="AL285" i="3" a="1"/>
  <c r="AL981" i="3" a="1"/>
  <c r="AL1181" i="3" a="1"/>
  <c r="AL1169" i="3" a="1"/>
  <c r="AL93" i="3" a="1"/>
  <c r="AL54" i="3" a="1"/>
  <c r="AL486" i="3" a="1"/>
  <c r="AL990" i="3" a="1"/>
  <c r="AL1372" i="3" a="1"/>
  <c r="AL1276" i="3" a="1"/>
  <c r="AL1192" i="3" a="1"/>
  <c r="AL735" i="3" a="1"/>
  <c r="AL72" i="3" a="1"/>
  <c r="AL1096" i="3" a="1"/>
  <c r="AL1193" i="3" a="1"/>
  <c r="AL301" i="3" a="1"/>
  <c r="AL308" i="3" a="1"/>
  <c r="AL1119" i="3" a="1"/>
  <c r="AL577" i="3" a="1"/>
  <c r="AL1040" i="3" a="1"/>
  <c r="AL1365" i="3" a="1"/>
  <c r="AL717" i="3" a="1"/>
  <c r="AL1191" i="3" a="1"/>
  <c r="AL1357" i="3" a="1"/>
  <c r="AL1289" i="3" a="1"/>
  <c r="AL509" i="3" a="1"/>
  <c r="AL1382" i="3" a="1"/>
  <c r="AL652" i="3" a="1"/>
  <c r="AL1130" i="3" a="1"/>
  <c r="AL1233" i="3" a="1"/>
  <c r="AL470" i="3" a="1"/>
  <c r="AL268" i="3" a="1"/>
  <c r="AL807" i="3" a="1"/>
  <c r="AL152" i="3" a="1"/>
  <c r="AL279" i="3" a="1"/>
  <c r="AL1397" i="3" a="1"/>
  <c r="AL1021" i="3" a="1"/>
  <c r="AL310" i="3" a="1"/>
  <c r="AL304" i="3" a="1"/>
  <c r="AL705" i="3" a="1"/>
  <c r="AL1342" i="3" a="1"/>
  <c r="AL307" i="3" a="1"/>
  <c r="AL1318" i="3" a="1"/>
  <c r="AL1412" i="3" a="1"/>
  <c r="AL493" i="3" a="1"/>
  <c r="AL1458" i="3" a="1"/>
  <c r="AL836" i="3" a="1"/>
  <c r="AL389" i="3" a="1"/>
  <c r="AL834" i="3" a="1"/>
  <c r="AL1368" i="3" a="1"/>
  <c r="AL1167" i="3" a="1"/>
  <c r="AL109" i="3" a="1"/>
  <c r="AL289" i="3" a="1"/>
  <c r="AL1370" i="3" a="1"/>
  <c r="AL1290" i="3" a="1"/>
  <c r="AL1059" i="3" a="1"/>
  <c r="AL1160" i="3" a="1"/>
  <c r="AL998" i="3" a="1"/>
  <c r="AL1144" i="3" a="1"/>
  <c r="AL1162" i="3" a="1"/>
  <c r="AL50" i="3" a="1"/>
  <c r="AL326" i="3" a="1"/>
  <c r="AL1020" i="3" a="1"/>
  <c r="AL1263" i="3" a="1"/>
  <c r="AL1283" i="3" a="1"/>
  <c r="AL295" i="3" a="1"/>
  <c r="AL692" i="3" a="1"/>
  <c r="AL1174" i="3" a="1"/>
  <c r="AL1103" i="3" a="1"/>
  <c r="AL139" i="3" a="1"/>
  <c r="AL1348" i="3" a="1"/>
  <c r="AL222" i="3" a="1"/>
  <c r="AL60" i="3" a="1"/>
  <c r="AL194" i="3" a="1"/>
  <c r="AL619" i="3" a="1"/>
  <c r="AL221" i="3" a="1"/>
  <c r="AL249" i="3" a="1"/>
  <c r="AL1400" i="3" a="1"/>
  <c r="AL355" i="3" a="1"/>
  <c r="AL580" i="3" a="1"/>
  <c r="AL495" i="3" a="1"/>
  <c r="AL61" i="3" a="1"/>
  <c r="AL1272" i="3" a="1"/>
  <c r="AL348" i="3" a="1"/>
  <c r="AL599" i="3" a="1"/>
  <c r="AL113" i="3" a="1"/>
  <c r="AL1109" i="3" a="1"/>
  <c r="AL412" i="3" a="1"/>
  <c r="AL340" i="3" a="1"/>
  <c r="AL988" i="3" a="1"/>
  <c r="AL966" i="3" a="1"/>
  <c r="AL158" i="3" a="1"/>
  <c r="AL1238" i="3" a="1"/>
  <c r="AL551" i="3" a="1"/>
  <c r="AL1125" i="3" a="1"/>
  <c r="AL1469" i="3" a="1"/>
  <c r="AL123" i="3" a="1"/>
  <c r="AL953" i="3" a="1"/>
  <c r="AL62" i="3" a="1"/>
  <c r="AL602" i="3" a="1"/>
  <c r="AL126" i="3" a="1"/>
  <c r="AL987" i="3" a="1"/>
  <c r="AL565" i="3" a="1"/>
  <c r="AL623" i="3" a="1"/>
  <c r="AL937" i="3" a="1"/>
  <c r="AL341" i="3" a="1"/>
  <c r="AL75" i="3" a="1"/>
  <c r="AL448" i="3" a="1"/>
  <c r="AL995" i="3" a="1"/>
  <c r="AL674" i="3" a="1"/>
  <c r="AL201" i="3" a="1"/>
  <c r="AL477" i="3" a="1"/>
  <c r="AL880" i="3" a="1"/>
  <c r="AL569" i="3" a="1"/>
  <c r="AL607" i="3" a="1"/>
  <c r="AL1252" i="3" a="1"/>
  <c r="AL1443" i="3" a="1"/>
  <c r="AL502" i="3" a="1"/>
  <c r="AL1411" i="3" a="1"/>
  <c r="AL630" i="3" a="1"/>
  <c r="AL141" i="3" a="1"/>
  <c r="AL342" i="3" a="1"/>
  <c r="AL753" i="3" a="1"/>
  <c r="AL333" i="3" a="1"/>
  <c r="AL980" i="3" a="1"/>
  <c r="AL370" i="3" a="1"/>
  <c r="AL1326" i="3" a="1"/>
  <c r="AL747" i="3" a="1"/>
  <c r="AL1076" i="3" a="1"/>
  <c r="AL553" i="3" a="1"/>
  <c r="AL1107" i="3" a="1"/>
  <c r="AL280" i="3" a="1"/>
  <c r="AL568" i="3" a="1"/>
  <c r="AL312" i="3" a="1"/>
  <c r="AL1230" i="3" a="1"/>
  <c r="AL251" i="3" a="1"/>
  <c r="AL1105" i="3" a="1"/>
  <c r="AL474" i="3" a="1"/>
  <c r="AL33" i="3" a="1"/>
  <c r="AL1242" i="3" a="1"/>
  <c r="AL857" i="3" a="1"/>
  <c r="AL68" i="3" a="1"/>
  <c r="AL585" i="3" a="1"/>
  <c r="AL1352" i="3" a="1"/>
  <c r="AL275" i="3" a="1"/>
  <c r="AL1301" i="3" a="1"/>
  <c r="AL1231" i="3" a="1"/>
  <c r="AL643" i="3" a="1"/>
  <c r="AL395" i="3" a="1"/>
  <c r="AL374" i="3" a="1"/>
  <c r="AL255" i="3" a="1"/>
  <c r="AL1075" i="3" a="1"/>
  <c r="AL200" i="3" a="1"/>
  <c r="AL131" i="3" a="1"/>
  <c r="AL404" i="3" a="1"/>
  <c r="AL846" i="3" a="1"/>
  <c r="AL452" i="3" a="1"/>
  <c r="AL1360" i="3" a="1"/>
  <c r="AL666" i="3" a="1"/>
  <c r="AL905" i="3" a="1"/>
  <c r="AL566" i="3" a="1"/>
  <c r="AL267" i="3" a="1"/>
  <c r="AL510" i="3" a="1"/>
  <c r="AL1046" i="3" a="1"/>
  <c r="AL1455" i="3" a="1"/>
  <c r="AL360" i="3" a="1"/>
  <c r="AL1390" i="3" a="1"/>
  <c r="AL206" i="3" a="1"/>
  <c r="AL946" i="3" a="1"/>
  <c r="AL985" i="3" a="1"/>
  <c r="AL797" i="3" a="1"/>
  <c r="AL218" i="3" a="1"/>
  <c r="AL1448" i="3" a="1"/>
  <c r="AL694" i="3" a="1"/>
  <c r="AL1454" i="3" a="1"/>
  <c r="AL1239" i="3" a="1"/>
  <c r="AL362" i="3" a="1"/>
  <c r="AL358" i="3" a="1"/>
  <c r="AL818" i="3" a="1"/>
  <c r="AL530" i="3" a="1"/>
  <c r="AL1302" i="3" a="1"/>
  <c r="AL203" i="3" a="1"/>
  <c r="AL550" i="3" a="1"/>
  <c r="AL461" i="3" a="1"/>
  <c r="AL556" i="3" a="1"/>
  <c r="AL898" i="3" a="1"/>
  <c r="AL1123" i="3" a="1"/>
  <c r="AL29" i="3" a="1"/>
  <c r="AL897" i="3" a="1"/>
  <c r="AL1366" i="3" a="1"/>
  <c r="AL1185" i="3" a="1"/>
  <c r="AL886" i="3" a="1"/>
  <c r="AL1307" i="3" a="1"/>
  <c r="AL749" i="3" a="1"/>
  <c r="AL1296" i="3" a="1"/>
  <c r="AL604" i="3" a="1"/>
  <c r="AL1234" i="3" a="1"/>
  <c r="AL965" i="3" a="1"/>
  <c r="AL305" i="3" a="1"/>
  <c r="AL256" i="3" a="1"/>
  <c r="AL681" i="3" a="1"/>
  <c r="AL696" i="3" a="1"/>
  <c r="AL1317" i="3" a="1"/>
  <c r="AL1205" i="3" a="1"/>
  <c r="AL1198" i="3" a="1"/>
  <c r="AL1086" i="3" a="1"/>
  <c r="AL944" i="3" a="1"/>
  <c r="AL501" i="3" a="1"/>
  <c r="AL792" i="3" a="1"/>
  <c r="AL1253" i="3" a="1"/>
  <c r="AL344" i="3" a="1"/>
  <c r="AL87" i="3" a="1"/>
  <c r="AL704" i="3" a="1"/>
  <c r="AL153" i="3" a="1"/>
  <c r="AL1335" i="3" a="1"/>
  <c r="AL838" i="3" a="1"/>
  <c r="AL813" i="3" a="1"/>
  <c r="AL879" i="3" a="1"/>
  <c r="AL679" i="3" a="1"/>
  <c r="AL453" i="3" a="1"/>
  <c r="AL532" i="3" a="1"/>
  <c r="AL117" i="3" a="1"/>
  <c r="AL1101" i="3" a="1"/>
  <c r="AL1035" i="3" a="1"/>
  <c r="AL337" i="3" a="1"/>
  <c r="AL112" i="3" a="1"/>
  <c r="AL466" i="3" a="1"/>
  <c r="AL1401" i="3" a="1"/>
  <c r="AL762" i="3" a="1"/>
  <c r="AL323" i="3" a="1"/>
  <c r="AL1009" i="3" a="1"/>
  <c r="AL571" i="3" a="1"/>
  <c r="AL386" i="3" a="1"/>
  <c r="AL531" i="3" a="1"/>
  <c r="AL440" i="3" a="1"/>
  <c r="AL65" i="3" a="1"/>
  <c r="AL207" i="3" a="1"/>
  <c r="AL654" i="3" a="1"/>
  <c r="AL1441" i="3" a="1"/>
  <c r="AL609" i="3" a="1"/>
  <c r="AL811" i="3" a="1"/>
  <c r="AL511" i="3" a="1"/>
  <c r="AL796" i="3" a="1"/>
  <c r="AL1163" i="3" a="1"/>
  <c r="AL819" i="3" a="1"/>
  <c r="AL706" i="3" a="1"/>
  <c r="AL1218" i="3" a="1"/>
  <c r="AL544" i="3" a="1"/>
  <c r="AL1216" i="3" a="1"/>
  <c r="AL707" i="3" a="1"/>
  <c r="AL971" i="3" a="1"/>
  <c r="AL229" i="3" a="1"/>
  <c r="AL1166" i="3" a="1"/>
  <c r="AL408" i="3" a="1"/>
  <c r="AL930" i="3" a="1"/>
  <c r="AL1007" i="3" a="1"/>
  <c r="AL1287" i="3" a="1"/>
  <c r="AL1175" i="3" a="1"/>
  <c r="AL299" i="3" a="1"/>
  <c r="AL346" i="3" a="1"/>
  <c r="AL1361" i="3" a="1"/>
  <c r="AL522" i="3" a="1"/>
  <c r="AL1259" i="3" a="1"/>
  <c r="AL135" i="3" a="1"/>
  <c r="AL831" i="3" a="1"/>
  <c r="AL1126" i="3" a="1"/>
  <c r="AL345" i="3" a="1"/>
  <c r="AL1280" i="3" a="1"/>
  <c r="AL1249" i="3" a="1"/>
  <c r="AL1081" i="3" a="1"/>
  <c r="AL910" i="3" a="1"/>
  <c r="AL504" i="3" a="1"/>
  <c r="AL405" i="3" a="1"/>
  <c r="AL770" i="3" a="1"/>
  <c r="AL425" i="3" a="1"/>
  <c r="AL949" i="3" a="1"/>
  <c r="AL1043" i="3" a="1"/>
  <c r="AL213" i="3" a="1"/>
  <c r="AL960" i="3" a="1"/>
  <c r="AL1257" i="3" a="1"/>
  <c r="AL1324" i="3" a="1"/>
  <c r="AL1083" i="3" a="1"/>
  <c r="AL1065" i="3" a="1"/>
  <c r="AL526" i="3" a="1"/>
  <c r="AL1387" i="3" a="1"/>
  <c r="AL1416" i="3" a="1"/>
  <c r="AL140" i="3" a="1"/>
  <c r="AL170" i="3" a="1"/>
  <c r="AL782" i="3" a="1"/>
  <c r="AL45" i="3" a="1"/>
  <c r="AL809" i="3" a="1"/>
  <c r="AL230" i="3" a="1"/>
  <c r="AL539" i="3" a="1"/>
  <c r="AL786" i="3" a="1"/>
  <c r="AL469" i="3" a="1"/>
  <c r="AL1452" i="3" a="1"/>
  <c r="AL513" i="3" a="1"/>
  <c r="AL1127" i="3" a="1"/>
  <c r="AL775" i="3" a="1"/>
  <c r="AL220" i="3" a="1"/>
  <c r="AL1300" i="3" a="1"/>
  <c r="AL1450" i="3" a="1"/>
  <c r="AL327" i="3" a="1"/>
  <c r="AL872" i="3" a="1"/>
  <c r="AL156" i="3" a="1"/>
  <c r="AL58" i="3" a="1"/>
  <c r="AL435" i="3" a="1"/>
  <c r="AL948" i="3" a="1"/>
  <c r="AL1028" i="3" a="1"/>
  <c r="AL133" i="3" a="1"/>
  <c r="AL1220" i="3" a="1"/>
  <c r="AL1111" i="3" a="1"/>
  <c r="AL1013" i="3" a="1"/>
  <c r="AL368" i="3" a="1"/>
  <c r="AL1004" i="3" a="1"/>
  <c r="AL1039" i="3" a="1"/>
  <c r="AL211" i="3" a="1"/>
  <c r="AL169" i="3" a="1"/>
  <c r="AL508" i="3" a="1"/>
  <c r="AL165" i="3" a="1"/>
  <c r="AL1213" i="3" a="1"/>
  <c r="AL10" i="3" a="1"/>
  <c r="AL190" i="3" a="1"/>
  <c r="AL793" i="3" a="1"/>
  <c r="AL488" i="3" a="1"/>
  <c r="AL1243" i="3" a="1"/>
  <c r="AL306" i="3" a="1"/>
  <c r="AL91" i="3" a="1"/>
  <c r="AL1308" i="3" a="1"/>
  <c r="AL1298" i="3" a="1"/>
  <c r="AL1396" i="3" a="1"/>
  <c r="AL361" i="3" a="1"/>
  <c r="AL686" i="3" a="1"/>
  <c r="AL1344" i="3" a="1"/>
  <c r="AL1108" i="3" a="1"/>
  <c r="AL1092" i="3" a="1"/>
  <c r="AL69" i="3" a="1"/>
  <c r="AL759" i="3" a="1"/>
  <c r="AL119" i="3" a="1"/>
  <c r="AL1245" i="3" a="1"/>
  <c r="AL441" i="3" a="1"/>
  <c r="AL473" i="3" a="1"/>
  <c r="AL952" i="3" a="1"/>
  <c r="AL1371" i="3" a="1"/>
  <c r="AL55" i="3" a="1"/>
  <c r="AL1386" i="3" a="1"/>
  <c r="AL1328" i="3" a="1"/>
  <c r="AL1121" i="3" a="1"/>
  <c r="AL1465" i="3" a="1"/>
  <c r="AL442" i="3" a="1"/>
  <c r="AL784" i="3" a="1"/>
  <c r="AL17" i="3" a="1"/>
  <c r="AL444" i="3" a="1"/>
  <c r="AL214" i="3" a="1"/>
  <c r="AL335" i="3" a="1"/>
  <c r="AL1468" i="3" a="1"/>
  <c r="AL992" i="3" a="1"/>
  <c r="AL968" i="3" a="1"/>
  <c r="AL252" i="3" a="1"/>
  <c r="AL66" i="3" a="1"/>
  <c r="AL1033" i="3" a="1"/>
  <c r="AL1095" i="3" a="1"/>
  <c r="AL1113" i="3" a="1"/>
  <c r="AL1064" i="3" a="1"/>
  <c r="AL613" i="3" a="1"/>
  <c r="AL928" i="3" a="1"/>
  <c r="AL84" i="3" a="1"/>
  <c r="AL30" i="3" a="1"/>
  <c r="AL884" i="3" a="1"/>
  <c r="AL429" i="3" a="1"/>
  <c r="AL848" i="3" a="1"/>
  <c r="AL1164" i="3" a="1"/>
  <c r="AL128" i="3" a="1"/>
  <c r="AL787" i="3" a="1"/>
  <c r="AL695" i="3" a="1"/>
  <c r="AL1305" i="3" a="1"/>
  <c r="AL1237" i="3" a="1"/>
  <c r="AL890" i="3" a="1"/>
  <c r="AL731" i="3" a="1"/>
  <c r="AL212" i="3" a="1"/>
  <c r="AL1433" i="3" a="1"/>
  <c r="AL1158" i="3" a="1"/>
  <c r="AL808" i="3" a="1"/>
  <c r="AL1297" i="3" a="1"/>
  <c r="AL1398" i="3" a="1"/>
  <c r="AL180" i="3" a="1"/>
  <c r="AL1056" i="3" a="1"/>
  <c r="AL535" i="3" a="1"/>
  <c r="AL791" i="3" a="1"/>
  <c r="AL369" i="3" a="1"/>
  <c r="AL892" i="3" a="1"/>
  <c r="AL921" i="3" a="1"/>
  <c r="AL467" i="3" a="1"/>
  <c r="AL676" i="3" a="1"/>
  <c r="AL989" i="3" a="1"/>
  <c r="AL225" i="3" a="1"/>
  <c r="AL697" i="3" a="1"/>
  <c r="AL436" i="3" a="1"/>
  <c r="AL138" i="3" a="1"/>
  <c r="AL95" i="3" a="1"/>
  <c r="AL637" i="3" a="1"/>
  <c r="AL773" i="3" a="1"/>
  <c r="AL512" i="3" a="1"/>
  <c r="AL730" i="3" a="1"/>
  <c r="AL1223" i="3" a="1"/>
  <c r="AL627" i="3" a="1"/>
  <c r="AL1032" i="3" a="1"/>
  <c r="AL777" i="3" a="1"/>
  <c r="AL814" i="3" a="1"/>
  <c r="AL725" i="3" a="1"/>
  <c r="AL1036" i="3" a="1"/>
  <c r="AL1463" i="3" a="1"/>
  <c r="AL160" i="3" a="1"/>
  <c r="AL755" i="3" a="1"/>
  <c r="AL1211" i="3" a="1"/>
  <c r="AL649" i="3" a="1"/>
  <c r="AL994" i="3" a="1"/>
  <c r="AL460" i="3" a="1"/>
  <c r="AL626" i="3" a="1"/>
  <c r="AL253" i="3" a="1"/>
  <c r="AL377" i="3" a="1"/>
  <c r="AL789" i="3" a="1"/>
  <c r="AL738" i="3" a="1"/>
  <c r="AL1407" i="3" a="1"/>
  <c r="AL554" i="3" a="1"/>
  <c r="AL533" i="3" a="1"/>
  <c r="AL1077" i="3" a="1"/>
  <c r="AL1140" i="3" a="1"/>
  <c r="AL732" i="3" a="1"/>
  <c r="AL343" i="3" a="1"/>
  <c r="AL458" i="3" a="1"/>
  <c r="AL118" i="3" a="1"/>
  <c r="AL592" i="3" a="1"/>
  <c r="AL543" i="3" a="1"/>
  <c r="AL648" i="3" a="1"/>
  <c r="AL273" i="3" a="1"/>
  <c r="AL315" i="3" a="1"/>
  <c r="AL760" i="3" a="1"/>
  <c r="AL950" i="3" a="1"/>
  <c r="AL422" i="3" a="1"/>
  <c r="AL1423" i="3" a="1"/>
  <c r="AL24" i="3" a="1"/>
  <c r="AL278" i="3" a="1"/>
  <c r="AL1464" i="3" a="1"/>
  <c r="AL309" i="3" a="1"/>
  <c r="AL815" i="3" a="1"/>
  <c r="AL224" i="3" a="1"/>
  <c r="AL215" i="3" a="1"/>
  <c r="AL354" i="3" a="1"/>
  <c r="AL740" i="3" a="1"/>
  <c r="AL612" i="3" a="1"/>
  <c r="AL1225" i="3" a="1"/>
  <c r="AL1270" i="3" a="1"/>
  <c r="AL1277" i="3" a="1"/>
  <c r="AL823" i="3" a="1"/>
  <c r="AL973" i="3" a="1"/>
  <c r="AL889" i="3" a="1"/>
  <c r="AL708" i="3" a="1"/>
  <c r="AL1432" i="3" a="1"/>
  <c r="AL403" i="3" a="1"/>
  <c r="AL1329" i="3" a="1"/>
  <c r="AL450" i="3" a="1"/>
  <c r="AL79" i="3" a="1"/>
  <c r="AL996" i="3" a="1"/>
  <c r="AL1179" i="3" a="1"/>
  <c r="AL752" i="3" a="1"/>
  <c r="AL1405" i="3" a="1"/>
  <c r="AL1359" i="3" a="1"/>
  <c r="AL978" i="3" a="1"/>
  <c r="AL57" i="3" a="1"/>
  <c r="AL1286" i="3" a="1"/>
  <c r="AL270" i="3" a="1"/>
  <c r="AL839" i="3" a="1"/>
  <c r="AL92" i="3" a="1"/>
  <c r="AL297" i="3" a="1"/>
  <c r="AL97" i="3" a="1"/>
  <c r="AL1447" i="3" a="1"/>
  <c r="AL916" i="3" a="1"/>
  <c r="AL683" i="3" a="1"/>
  <c r="AL217" i="3" a="1"/>
  <c r="AL277" i="3" a="1"/>
  <c r="AL437" i="3" a="1"/>
  <c r="AL80" i="3" a="1"/>
  <c r="AL247" i="3" a="1"/>
  <c r="AL977" i="3" a="1"/>
  <c r="AL745" i="3" a="1"/>
  <c r="AL191" i="3" a="1"/>
  <c r="AL1434" i="3" a="1"/>
  <c r="AL1042" i="3" a="1"/>
  <c r="AL840" i="3" a="1"/>
  <c r="AL546" i="3" a="1"/>
  <c r="AL629" i="3" a="1"/>
  <c r="AL100" i="3" a="1"/>
  <c r="AL318" i="3" a="1"/>
  <c r="AL1183" i="3" a="1"/>
  <c r="AL723" i="3" a="1"/>
  <c r="AL964" i="3" a="1"/>
  <c r="AL426" i="3" a="1"/>
  <c r="AL651" i="3" a="1"/>
  <c r="AL392" i="3" a="1"/>
  <c r="AL1088" i="3" a="1"/>
  <c r="AL1012" i="3" a="1"/>
  <c r="AL67" i="3" a="1"/>
  <c r="AL536" i="3" a="1"/>
  <c r="AL703" i="3" a="1"/>
  <c r="AL1168" i="3" a="1"/>
  <c r="AL1197" i="3" a="1"/>
  <c r="AL494" i="3" a="1"/>
  <c r="AL20" i="3" a="1"/>
  <c r="AL1312" i="3" a="1"/>
  <c r="AL1196" i="3" a="1"/>
  <c r="AL350" i="3" a="1"/>
  <c r="AL302" i="3" a="1"/>
  <c r="AL1078" i="3" a="1"/>
  <c r="AL237" i="3" a="1"/>
  <c r="AL907" i="3" a="1"/>
  <c r="AL457" i="3" a="1"/>
  <c r="AL1303" i="3" a="1"/>
  <c r="AL618" i="3" a="1"/>
  <c r="AL1080" i="3" a="1"/>
  <c r="AL1178" i="3" a="1"/>
  <c r="AL1016" i="3" a="1"/>
  <c r="AL1098" i="3" a="1"/>
  <c r="AL410" i="3" a="1"/>
  <c r="AL468" i="3" a="1"/>
  <c r="AL1045" i="3" a="1"/>
  <c r="AL1082" i="3" a="1"/>
  <c r="AL491" i="3" a="1"/>
  <c r="AL381" i="3" a="1"/>
  <c r="AL1227" i="3" a="1"/>
  <c r="AL594" i="3" a="1"/>
  <c r="AL776" i="3" a="1"/>
  <c r="AL196" i="3" a="1"/>
  <c r="AL1001" i="3" a="1"/>
  <c r="AL1350" i="3" a="1"/>
  <c r="AL447" i="3" a="1"/>
  <c r="AL563" i="3" a="1"/>
  <c r="AL265" i="3" a="1"/>
  <c r="AL947" i="3" a="1"/>
  <c r="AL806" i="3" a="1"/>
  <c r="AL121" i="3" a="1"/>
  <c r="AL1057" i="3" a="1"/>
  <c r="AL427" i="3" a="1"/>
  <c r="AL863" i="3" a="1"/>
  <c r="AL316" i="3" a="1"/>
  <c r="AL701" i="3" a="1"/>
  <c r="AL939" i="3" a="1"/>
  <c r="AL611" i="3" a="1"/>
  <c r="AL1026" i="3" a="1"/>
  <c r="AL1353" i="3" a="1"/>
  <c r="AL149" i="3" a="1"/>
  <c r="AL114" i="3" a="1"/>
  <c r="AL1010" i="3" a="1"/>
  <c r="AL716" i="3" a="1"/>
  <c r="AL1186" i="3" a="1"/>
  <c r="AL712" i="3" a="1"/>
  <c r="AL812" i="3" a="1"/>
  <c r="AL1137" i="3" a="1"/>
  <c r="AL282" i="3" a="1"/>
  <c r="AL1187" i="3" a="1"/>
  <c r="AL590" i="3" a="1"/>
  <c r="AL757" i="3" a="1"/>
  <c r="AL801" i="3" a="1"/>
  <c r="AL896" i="3" a="1"/>
  <c r="AL869" i="3" a="1"/>
  <c r="AL431" i="3" a="1"/>
  <c r="AL956" i="3" a="1"/>
  <c r="AL1376" i="3" a="1"/>
  <c r="AL655" i="3" a="1"/>
  <c r="AL419" i="3" a="1"/>
  <c r="AL938" i="3" a="1"/>
  <c r="AL108" i="3" a="1"/>
  <c r="AL479" i="3" a="1"/>
  <c r="AL909" i="3" a="1"/>
  <c r="AL906" i="3" a="1"/>
  <c r="AL331" i="3" a="1"/>
  <c r="AL743" i="3" a="1"/>
  <c r="AL586" i="3" a="1"/>
  <c r="AL860" i="3" a="1"/>
  <c r="AL292" i="3" a="1"/>
  <c r="AL901" i="3" a="1"/>
  <c r="AL189" i="3" a="1"/>
  <c r="AL64" i="3" a="1"/>
  <c r="AL918" i="3" a="1"/>
  <c r="AL915" i="3" a="1"/>
  <c r="AL107" i="3" a="1"/>
  <c r="AL1445" i="3" a="1"/>
  <c r="AL31" i="3" a="1"/>
  <c r="AL188" i="3" a="1"/>
  <c r="AL1266" i="3" a="1"/>
  <c r="AL272" i="3" a="1"/>
  <c r="AL1142" i="3" a="1"/>
  <c r="AL239" i="3" a="1"/>
  <c r="AL871" i="3" a="1"/>
  <c r="AL27" i="3" a="1"/>
  <c r="AL537" i="3" a="1"/>
  <c r="AL281" i="3" a="1"/>
  <c r="AL1379" i="3" a="1"/>
  <c r="AL957" i="3" a="1"/>
  <c r="AL540" i="3" a="1"/>
  <c r="AL924" i="3" a="1"/>
  <c r="AL402" i="3" a="1"/>
  <c r="AL246" i="3" a="1"/>
  <c r="AL233" i="3" a="1"/>
  <c r="AL768" i="3" a="1"/>
  <c r="AL597" i="3" a="1"/>
  <c r="AL328" i="3" a="1"/>
  <c r="AL1279" i="3" a="1"/>
  <c r="AL1128" i="3" a="1"/>
  <c r="AL1332" i="3" a="1"/>
  <c r="AL394" i="3" a="1"/>
  <c r="AL718" i="3" a="1"/>
  <c r="AL1439" i="3" a="1"/>
  <c r="AL259" i="3" a="1"/>
  <c r="AL475" i="3" a="1"/>
  <c r="AL499" i="3" a="1"/>
  <c r="AL235" i="3" a="1"/>
  <c r="AL125" i="3" a="1"/>
  <c r="AL47" i="3" a="1"/>
  <c r="AL413" i="3" a="1"/>
  <c r="AL1118" i="3" a="1"/>
  <c r="AL1131" i="3" a="1"/>
  <c r="AL816" i="3" a="1"/>
  <c r="AL772" i="3" a="1"/>
  <c r="AL1403" i="3" a="1"/>
  <c r="AL1156" i="3" a="1"/>
  <c r="AL1333" i="3" a="1"/>
  <c r="AL1011" i="3" a="1"/>
  <c r="AL958" i="3" a="1"/>
  <c r="AL900" i="3" a="1"/>
  <c r="AL1244" i="3" a="1"/>
  <c r="AL751" i="3" a="1"/>
  <c r="AL920" i="3" a="1"/>
  <c r="AL570" i="3" a="1"/>
  <c r="AL167" i="3" a="1"/>
  <c r="AL853" i="3" a="1"/>
  <c r="AL748" i="3" a="1"/>
  <c r="AL192" i="3" a="1"/>
  <c r="C6" i="4"/>
  <c r="J729" i="3"/>
  <c r="J766" i="3"/>
  <c r="J1340" i="3"/>
  <c r="J1367" i="3"/>
  <c r="J179" i="3"/>
  <c r="J913" i="3"/>
  <c r="J1404" i="3"/>
  <c r="J303" i="3"/>
  <c r="J912" i="3"/>
  <c r="J25" i="3"/>
  <c r="J1018" i="3"/>
  <c r="J1054" i="3"/>
  <c r="J517" i="3"/>
  <c r="J1014" i="3"/>
  <c r="J1207" i="3"/>
  <c r="J779" i="3"/>
  <c r="J298" i="3"/>
  <c r="J151" i="3"/>
  <c r="J1313" i="3"/>
  <c r="J1224" i="3"/>
  <c r="J1071" i="3"/>
  <c r="J1155" i="3"/>
  <c r="J587" i="3"/>
  <c r="J974" i="3"/>
  <c r="J129" i="3"/>
  <c r="J418" i="3"/>
  <c r="J617" i="3"/>
  <c r="J1440" i="3"/>
  <c r="J894" i="3"/>
  <c r="J459" i="3"/>
  <c r="J830" i="3"/>
  <c r="J42" i="3"/>
  <c r="J1459" i="3"/>
  <c r="J771" i="3"/>
  <c r="J673" i="3"/>
  <c r="J1417" i="3"/>
  <c r="J893" i="3"/>
  <c r="J1182" i="3"/>
  <c r="J39" i="3"/>
  <c r="J1085" i="3"/>
  <c r="J638" i="3"/>
  <c r="J163" i="3"/>
  <c r="J16" i="3"/>
  <c r="J1212" i="3"/>
  <c r="J979" i="3"/>
  <c r="J482" i="3"/>
  <c r="J1063" i="3"/>
  <c r="J101" i="3"/>
  <c r="J764" i="3"/>
  <c r="J664" i="3"/>
  <c r="J1285" i="3"/>
  <c r="J514" i="3"/>
  <c r="J219" i="3"/>
  <c r="J1120" i="3"/>
  <c r="J1345" i="3"/>
  <c r="J1066" i="3"/>
  <c r="J1025" i="3"/>
  <c r="J274" i="3"/>
  <c r="J817" i="3"/>
  <c r="J102" i="3"/>
  <c r="J1129" i="3"/>
  <c r="J1112" i="3"/>
  <c r="J89" i="3"/>
  <c r="J935" i="3"/>
  <c r="J503" i="3"/>
  <c r="J35" i="3"/>
  <c r="J174" i="3"/>
  <c r="J195" i="3"/>
  <c r="J4" i="3"/>
  <c r="J443" i="3"/>
  <c r="J480" i="3"/>
  <c r="J936" i="3"/>
  <c r="J421" i="3"/>
  <c r="J1019" i="3"/>
  <c r="J1323" i="3"/>
  <c r="J866" i="3"/>
  <c r="J1037" i="3"/>
  <c r="J1260" i="3"/>
  <c r="J287" i="3"/>
  <c r="J338" i="3"/>
  <c r="J690" i="3"/>
  <c r="J478" i="3"/>
  <c r="J1030" i="3"/>
  <c r="J722" i="3"/>
  <c r="J1094" i="3"/>
  <c r="J1375" i="3"/>
  <c r="J1143" i="3"/>
  <c r="J601" i="3"/>
  <c r="J1383" i="3"/>
  <c r="J1247" i="3"/>
  <c r="J1299" i="3"/>
  <c r="J209" i="3"/>
  <c r="J923" i="3"/>
  <c r="J699" i="3"/>
  <c r="J1173" i="3"/>
  <c r="J861" i="3"/>
  <c r="J359" i="3"/>
  <c r="J264" i="3"/>
  <c r="J227" i="3"/>
  <c r="J761" i="3"/>
  <c r="J1248" i="3"/>
  <c r="J487" i="3"/>
  <c r="J1413" i="3"/>
  <c r="J70" i="3"/>
  <c r="J373" i="3"/>
  <c r="J34" i="3"/>
  <c r="J795" i="3"/>
  <c r="J873" i="3"/>
  <c r="J363" i="3"/>
  <c r="J542" i="3"/>
  <c r="J401" i="3"/>
  <c r="J765" i="3"/>
  <c r="J1369" i="3"/>
  <c r="J161" i="3"/>
  <c r="J242" i="3"/>
  <c r="J891" i="3"/>
  <c r="J150" i="3"/>
  <c r="J385" i="3"/>
  <c r="J397" i="3"/>
  <c r="J842" i="3"/>
  <c r="J680" i="3"/>
  <c r="J234" i="3"/>
  <c r="J51" i="3"/>
  <c r="J1430" i="3"/>
  <c r="J715" i="3"/>
  <c r="J1084" i="3"/>
  <c r="J605" i="3"/>
  <c r="J1215" i="3"/>
  <c r="J657" i="3"/>
  <c r="J193" i="3"/>
  <c r="J387" i="3"/>
  <c r="J181" i="3"/>
  <c r="J1268" i="3"/>
  <c r="J864" i="3"/>
  <c r="J36" i="3"/>
  <c r="J44" i="3"/>
  <c r="J1099" i="3"/>
  <c r="J557" i="3"/>
  <c r="J954" i="3"/>
  <c r="J1226" i="3"/>
  <c r="J154" i="3"/>
  <c r="J1355" i="3"/>
  <c r="J1089" i="3"/>
  <c r="J183" i="3"/>
  <c r="J800" i="3"/>
  <c r="J639" i="3"/>
  <c r="J672" i="3"/>
  <c r="J591" i="3"/>
  <c r="J711" i="3"/>
  <c r="J88" i="3"/>
  <c r="J162" i="3"/>
  <c r="J778" i="3"/>
  <c r="J173" i="3"/>
  <c r="J296" i="3"/>
  <c r="J208" i="3"/>
  <c r="J677" i="3"/>
  <c r="J684" i="3"/>
  <c r="J1315" i="3"/>
  <c r="J1446" i="3"/>
  <c r="J254" i="3"/>
  <c r="J465" i="3"/>
  <c r="J43" i="3"/>
  <c r="J555" i="3"/>
  <c r="J635" i="3"/>
  <c r="J756" i="3"/>
  <c r="J1281" i="3"/>
  <c r="J1047" i="3"/>
  <c r="J155" i="3"/>
  <c r="J417" i="3"/>
  <c r="J646" i="3"/>
  <c r="J955" i="3"/>
  <c r="J1079" i="3"/>
  <c r="J616" i="3"/>
  <c r="J1116" i="3"/>
  <c r="J1392" i="3"/>
  <c r="J127" i="3"/>
  <c r="J353" i="3"/>
  <c r="J927" i="3"/>
  <c r="J940" i="3"/>
  <c r="J290" i="3"/>
  <c r="J850" i="3"/>
  <c r="J670" i="3"/>
  <c r="J799" i="3"/>
  <c r="J1319" i="3"/>
  <c r="J662" i="3"/>
  <c r="J744" i="3"/>
  <c r="J1438" i="3"/>
  <c r="J969" i="3"/>
  <c r="J231" i="3"/>
  <c r="J999" i="3"/>
  <c r="J1275" i="3"/>
  <c r="J472" i="3"/>
  <c r="J671" i="3"/>
  <c r="J713" i="3"/>
  <c r="J1061" i="3"/>
  <c r="J63" i="3"/>
  <c r="J1429" i="3"/>
  <c r="J1138" i="3"/>
  <c r="J685" i="3"/>
  <c r="J734" i="3"/>
  <c r="J12" i="3"/>
  <c r="J1102" i="3"/>
  <c r="J1377" i="3"/>
  <c r="J236" i="3"/>
  <c r="J1437" i="3"/>
  <c r="J1264" i="3"/>
  <c r="J1295" i="3"/>
  <c r="J1334" i="3"/>
  <c r="J1451" i="3"/>
  <c r="J1195" i="3"/>
  <c r="J558" i="3"/>
  <c r="J1110" i="3"/>
  <c r="J168" i="3"/>
  <c r="J736" i="3"/>
  <c r="J1106" i="3"/>
  <c r="J317" i="3"/>
  <c r="J781" i="3"/>
  <c r="J1258" i="3"/>
  <c r="J1341" i="3"/>
  <c r="J383" i="3"/>
  <c r="J320" i="3"/>
  <c r="J702" i="3"/>
  <c r="J32" i="3"/>
  <c r="J178" i="3"/>
  <c r="J552" i="3"/>
  <c r="J74" i="3"/>
  <c r="J598" i="3"/>
  <c r="J810" i="3"/>
  <c r="J634" i="3"/>
  <c r="J844" i="3"/>
  <c r="J904" i="3"/>
  <c r="J689" i="3"/>
  <c r="J130" i="3"/>
  <c r="J659" i="3"/>
  <c r="J972" i="3"/>
  <c r="J835" i="3"/>
  <c r="J379" i="3"/>
  <c r="J1363" i="3"/>
  <c r="J423" i="3"/>
  <c r="J855" i="3"/>
  <c r="J608" i="3"/>
  <c r="J622" i="3"/>
  <c r="J660" i="3"/>
  <c r="J903" i="3"/>
  <c r="J1070" i="3"/>
  <c r="J424" i="3"/>
  <c r="J428" i="3"/>
  <c r="J166" i="3"/>
  <c r="J1208" i="3"/>
  <c r="J1467" i="3"/>
  <c r="J582" i="3"/>
  <c r="J390" i="3"/>
  <c r="J496" i="3"/>
  <c r="J1172" i="3"/>
  <c r="J908" i="3"/>
  <c r="J1194" i="3"/>
  <c r="J1356" i="3"/>
  <c r="J1291" i="3"/>
  <c r="J258" i="3"/>
  <c r="J802" i="3"/>
  <c r="J733" i="3"/>
  <c r="J364" i="3"/>
  <c r="J833" i="3"/>
  <c r="J984" i="3"/>
  <c r="J122" i="3"/>
  <c r="J492" i="3"/>
  <c r="J223" i="3"/>
  <c r="J917" i="3"/>
  <c r="J145" i="3"/>
  <c r="J548" i="3"/>
  <c r="J1104" i="3"/>
  <c r="J37" i="3"/>
  <c r="J1410" i="3"/>
  <c r="J409" i="3"/>
  <c r="J1206" i="3"/>
  <c r="J216" i="3"/>
  <c r="J371" i="3"/>
  <c r="J507" i="3"/>
  <c r="J1424" i="3"/>
  <c r="J15" i="3"/>
  <c r="J1338" i="3"/>
  <c r="J8" i="3"/>
  <c r="J878" i="3"/>
  <c r="J1273" i="3"/>
  <c r="J38" i="3"/>
  <c r="J724" i="3"/>
  <c r="J564" i="3"/>
  <c r="J1136" i="3"/>
  <c r="J505" i="3"/>
  <c r="J9" i="3"/>
  <c r="J665" i="3"/>
  <c r="J588" i="3"/>
  <c r="J314" i="3"/>
  <c r="J352" i="3"/>
  <c r="J596" i="3"/>
  <c r="J73" i="3"/>
  <c r="J829" i="3"/>
  <c r="J1304" i="3"/>
  <c r="J1325" i="3"/>
  <c r="J238" i="3"/>
  <c r="J164" i="3"/>
  <c r="J372" i="3"/>
  <c r="J1262" i="3"/>
  <c r="J148" i="3"/>
  <c r="J521" i="3"/>
  <c r="J260" i="3"/>
  <c r="J476" i="3"/>
  <c r="J1199" i="3"/>
  <c r="J205" i="3"/>
  <c r="J455" i="3"/>
  <c r="J875" i="3"/>
  <c r="J1041" i="3"/>
  <c r="J754" i="3"/>
  <c r="J882" i="3"/>
  <c r="J187" i="3"/>
  <c r="J549" i="3"/>
  <c r="J1251" i="3"/>
  <c r="J1265" i="3"/>
  <c r="J434" i="3"/>
  <c r="J500" i="3"/>
  <c r="J115" i="3"/>
  <c r="J669" i="3"/>
  <c r="J885" i="3"/>
  <c r="J579" i="3"/>
  <c r="J1422" i="3"/>
  <c r="J1180" i="3"/>
  <c r="J982" i="3"/>
  <c r="J294" i="3"/>
  <c r="J820" i="3"/>
  <c r="J228" i="3"/>
  <c r="J262" i="3"/>
  <c r="J658" i="3"/>
  <c r="J675" i="3"/>
  <c r="J647" i="3"/>
  <c r="J1331" i="3"/>
  <c r="J1457" i="3"/>
  <c r="J1385" i="3"/>
  <c r="J719" i="3"/>
  <c r="J1139" i="3"/>
  <c r="J633" i="3"/>
  <c r="J518" i="3"/>
  <c r="J767" i="3"/>
  <c r="J852" i="3"/>
  <c r="J120" i="3"/>
  <c r="J489" i="3"/>
  <c r="J1428" i="3"/>
  <c r="J932" i="3"/>
  <c r="J828" i="3"/>
  <c r="J365" i="3"/>
  <c r="J862" i="3"/>
  <c r="J1339" i="3"/>
  <c r="J1393" i="3"/>
  <c r="J83" i="3"/>
  <c r="J1235" i="3"/>
  <c r="J1381" i="3"/>
  <c r="J1388" i="3"/>
  <c r="J111" i="3"/>
  <c r="J914" i="3"/>
  <c r="J420" i="3"/>
  <c r="J481" i="3"/>
  <c r="J110" i="3"/>
  <c r="J1399" i="3"/>
  <c r="J644" i="3"/>
  <c r="J347" i="3"/>
  <c r="J5" i="3"/>
  <c r="J1058" i="3"/>
  <c r="J14" i="3"/>
  <c r="J248" i="3"/>
  <c r="J104" i="3"/>
  <c r="J1214" i="3"/>
  <c r="J1254" i="3"/>
  <c r="J1351" i="3"/>
  <c r="J19" i="3"/>
  <c r="J859" i="3"/>
  <c r="J1322" i="3"/>
  <c r="J136" i="3"/>
  <c r="J774" i="3"/>
  <c r="J1002" i="3"/>
  <c r="J103" i="3"/>
  <c r="J1314" i="3"/>
  <c r="J26" i="3"/>
  <c r="J1466" i="3"/>
  <c r="J1117" i="3"/>
  <c r="J650" i="3"/>
  <c r="J691" i="3"/>
  <c r="J1221" i="3"/>
  <c r="J349" i="3"/>
  <c r="J1460" i="3"/>
  <c r="J805" i="3"/>
  <c r="J439" i="3"/>
  <c r="J1402" i="3"/>
  <c r="J911" i="3"/>
  <c r="J991" i="3"/>
  <c r="J1017" i="3"/>
  <c r="J49" i="3"/>
  <c r="J858" i="3"/>
  <c r="J388" i="3"/>
  <c r="J76" i="3"/>
  <c r="J171" i="3"/>
  <c r="J497" i="3"/>
  <c r="J1267" i="3"/>
  <c r="J561" i="3"/>
  <c r="J172" i="3"/>
  <c r="J1384" i="3"/>
  <c r="J1419" i="3"/>
  <c r="J7" i="3"/>
  <c r="J1157" i="3"/>
  <c r="J175" i="3"/>
  <c r="J244" i="3"/>
  <c r="J384" i="3"/>
  <c r="J1154" i="3"/>
  <c r="J854" i="3"/>
  <c r="J184" i="3"/>
  <c r="J1284" i="3"/>
  <c r="J589" i="3"/>
  <c r="J288" i="3"/>
  <c r="J642" i="3"/>
  <c r="J1044" i="3"/>
  <c r="J1062" i="3"/>
  <c r="J1074" i="3"/>
  <c r="J1202" i="3"/>
  <c r="J870" i="3"/>
  <c r="J821" i="3"/>
  <c r="J416" i="3"/>
  <c r="J147" i="3"/>
  <c r="J271" i="3"/>
  <c r="J1149" i="3"/>
  <c r="J232" i="3"/>
  <c r="J525" i="3"/>
  <c r="J1005" i="3"/>
  <c r="J276" i="3"/>
  <c r="J576" i="3"/>
  <c r="J825" i="3"/>
  <c r="J667" i="3"/>
  <c r="J1029" i="3"/>
  <c r="J1240" i="3"/>
  <c r="J18" i="3"/>
  <c r="J1204" i="3"/>
  <c r="J291" i="3"/>
  <c r="J1141" i="3"/>
  <c r="J245" i="3"/>
  <c r="J934" i="3"/>
  <c r="J159" i="3"/>
  <c r="J516" i="3"/>
  <c r="J1425" i="3"/>
  <c r="J785" i="3"/>
  <c r="J1288" i="3"/>
  <c r="J71" i="3"/>
  <c r="J23" i="3"/>
  <c r="J1132" i="3"/>
  <c r="J438" i="3"/>
  <c r="J40" i="3"/>
  <c r="J1022" i="3"/>
  <c r="J1048" i="3"/>
  <c r="J945" i="3"/>
  <c r="J620" i="3"/>
  <c r="J1228" i="3"/>
  <c r="J53" i="3"/>
  <c r="J1250" i="3"/>
  <c r="J498" i="3"/>
  <c r="J393" i="3"/>
  <c r="J143" i="3"/>
  <c r="J366" i="3"/>
  <c r="J714" i="3"/>
  <c r="J325" i="3"/>
  <c r="J6" i="3"/>
  <c r="J1229" i="3"/>
  <c r="J261" i="3"/>
  <c r="J1436" i="3"/>
  <c r="J266" i="3"/>
  <c r="J876" i="3"/>
  <c r="J1024" i="3"/>
  <c r="J567" i="3"/>
  <c r="J926" i="3"/>
  <c r="J1171" i="3"/>
  <c r="J1209" i="3"/>
  <c r="J1271" i="3"/>
  <c r="J1330" i="3"/>
  <c r="J959" i="3"/>
  <c r="J197" i="3"/>
  <c r="J1006" i="3"/>
  <c r="J888" i="3"/>
  <c r="J641" i="3"/>
  <c r="J1309" i="3"/>
  <c r="J843" i="3"/>
  <c r="J865" i="3"/>
  <c r="J693" i="3"/>
  <c r="J483" i="3"/>
  <c r="J1003" i="3"/>
  <c r="J720" i="3"/>
  <c r="J1034" i="3"/>
  <c r="J790" i="3"/>
  <c r="J967" i="3"/>
  <c r="J1052" i="3"/>
  <c r="J485" i="3"/>
  <c r="J300" i="3"/>
  <c r="J185" i="3"/>
  <c r="J798" i="3"/>
  <c r="J902" i="3"/>
  <c r="J336" i="3"/>
  <c r="J1274" i="3"/>
  <c r="J545" i="3"/>
  <c r="J1038" i="3"/>
  <c r="J241" i="3"/>
  <c r="J615" i="3"/>
  <c r="J727" i="3"/>
  <c r="J1414" i="3"/>
  <c r="J451" i="3"/>
  <c r="J895" i="3"/>
  <c r="J1170" i="3"/>
  <c r="J625" i="3"/>
  <c r="J433" i="3"/>
  <c r="J1462" i="3"/>
  <c r="J1320" i="3"/>
  <c r="J204" i="3"/>
  <c r="J375" i="3"/>
  <c r="J583" i="3"/>
  <c r="J1068" i="3"/>
  <c r="J931" i="3"/>
  <c r="J541" i="3"/>
  <c r="J1349" i="3"/>
  <c r="J445" i="3"/>
  <c r="J1337" i="3"/>
  <c r="J942" i="3"/>
  <c r="J1000" i="3"/>
  <c r="J1232" i="3"/>
  <c r="J742" i="3"/>
  <c r="J28" i="3"/>
  <c r="J250" i="3"/>
  <c r="J182" i="3"/>
  <c r="J240" i="3"/>
  <c r="J1165" i="3"/>
  <c r="J21" i="3"/>
  <c r="J783" i="3"/>
  <c r="J1327" i="3"/>
  <c r="J1031" i="3"/>
  <c r="J1415" i="3"/>
  <c r="J1362" i="3"/>
  <c r="J339" i="3"/>
  <c r="J1210" i="3"/>
  <c r="J1203" i="3"/>
  <c r="J269" i="3"/>
  <c r="J1269" i="3"/>
  <c r="J22" i="3"/>
  <c r="J46" i="3"/>
  <c r="J59" i="3"/>
  <c r="J678" i="3"/>
  <c r="J758" i="3"/>
  <c r="J1461" i="3"/>
  <c r="J520" i="3"/>
  <c r="J407" i="3"/>
  <c r="J824" i="3"/>
  <c r="J1067" i="3"/>
  <c r="J621" i="3"/>
  <c r="J446" i="3"/>
  <c r="J1151" i="3"/>
  <c r="J1100" i="3"/>
  <c r="J1282" i="3"/>
  <c r="J993" i="3"/>
  <c r="J997" i="3"/>
  <c r="J1087" i="3"/>
  <c r="J1115" i="3"/>
  <c r="J490" i="3"/>
  <c r="J962" i="3"/>
  <c r="J1395" i="3"/>
  <c r="J769" i="3"/>
  <c r="J1431" i="3"/>
  <c r="J867" i="3"/>
  <c r="J1294" i="3"/>
  <c r="J728" i="3"/>
  <c r="J1159" i="3"/>
  <c r="J90" i="3"/>
  <c r="J56" i="3"/>
  <c r="J1027" i="3"/>
  <c r="J721" i="3"/>
  <c r="J668" i="3"/>
  <c r="J1190" i="3"/>
  <c r="J1278" i="3"/>
  <c r="J13" i="3"/>
  <c r="J636" i="3"/>
  <c r="J391" i="3"/>
  <c r="J1343" i="3"/>
  <c r="J1122" i="3"/>
  <c r="J142" i="3"/>
  <c r="J1293" i="3"/>
  <c r="J99" i="3"/>
  <c r="J741" i="3"/>
  <c r="J432" i="3"/>
  <c r="J484" i="3"/>
  <c r="J737" i="3"/>
  <c r="J584" i="3"/>
  <c r="J963" i="3"/>
  <c r="J640" i="3"/>
  <c r="J177" i="3"/>
  <c r="J572" i="3"/>
  <c r="J382" i="3"/>
  <c r="J456" i="3"/>
  <c r="J826" i="3"/>
  <c r="J1008" i="3"/>
  <c r="J1346" i="3"/>
  <c r="J1091" i="3"/>
  <c r="J506" i="3"/>
  <c r="J687" i="3"/>
  <c r="J202" i="3"/>
  <c r="J804" i="3"/>
  <c r="J396" i="3"/>
  <c r="J462" i="3"/>
  <c r="J78" i="3"/>
  <c r="J144" i="3"/>
  <c r="J157" i="3"/>
  <c r="J1093" i="3"/>
  <c r="J837" i="3"/>
  <c r="J86" i="3"/>
  <c r="J868" i="3"/>
  <c r="J1406" i="3"/>
  <c r="J574" i="3"/>
  <c r="J578" i="3"/>
  <c r="J226" i="3"/>
  <c r="J573" i="3"/>
  <c r="J1049" i="3"/>
  <c r="J1184" i="3"/>
  <c r="J726" i="3"/>
  <c r="J581" i="3"/>
  <c r="J600" i="3"/>
  <c r="J1145" i="3"/>
  <c r="J1358" i="3"/>
  <c r="J1023" i="3"/>
  <c r="J1219" i="3"/>
  <c r="J624" i="3"/>
  <c r="J1471" i="3"/>
  <c r="J845" i="3"/>
  <c r="J847" i="3"/>
  <c r="J77" i="3"/>
  <c r="J198" i="3"/>
  <c r="J606" i="3"/>
  <c r="J1408" i="3"/>
  <c r="J1418" i="3"/>
  <c r="J922" i="3"/>
  <c r="J698" i="3"/>
  <c r="J1306" i="3"/>
  <c r="J400" i="3"/>
  <c r="J186" i="3"/>
  <c r="J243" i="3"/>
  <c r="J856" i="3"/>
  <c r="J322" i="3"/>
  <c r="J293" i="3"/>
  <c r="J399" i="3"/>
  <c r="J925" i="3"/>
  <c r="J1222" i="3"/>
  <c r="J116" i="3"/>
  <c r="J1256" i="3"/>
  <c r="J794" i="3"/>
  <c r="J398" i="3"/>
  <c r="J415" i="3"/>
  <c r="J951" i="3"/>
  <c r="J653" i="3"/>
  <c r="J919" i="3"/>
  <c r="J874" i="3"/>
  <c r="J877" i="3"/>
  <c r="J528" i="3"/>
  <c r="J284" i="3"/>
  <c r="J411" i="3"/>
  <c r="J406" i="3"/>
  <c r="J134" i="3"/>
  <c r="J48" i="3"/>
  <c r="J527" i="3"/>
  <c r="J1188" i="3"/>
  <c r="J1069" i="3"/>
  <c r="J1060" i="3"/>
  <c r="J700" i="3"/>
  <c r="J983" i="3"/>
  <c r="J780" i="3"/>
  <c r="J1409" i="3"/>
  <c r="J788" i="3"/>
  <c r="J943" i="3"/>
  <c r="J970" i="3"/>
  <c r="J1134" i="3"/>
  <c r="J523" i="3"/>
  <c r="J1321" i="3"/>
  <c r="J351" i="3"/>
  <c r="J961" i="3"/>
  <c r="J1147" i="3"/>
  <c r="J146" i="3"/>
  <c r="J682" i="3"/>
  <c r="J524" i="3"/>
  <c r="J330" i="3"/>
  <c r="J1311" i="3"/>
  <c r="J933" i="3"/>
  <c r="J471" i="3"/>
  <c r="J449" i="3"/>
  <c r="J688" i="3"/>
  <c r="J1124" i="3"/>
  <c r="J986" i="3"/>
  <c r="J1148" i="3"/>
  <c r="J803" i="3"/>
  <c r="J1189" i="3"/>
  <c r="J356" i="3"/>
  <c r="J132" i="3"/>
  <c r="J286" i="3"/>
  <c r="J1050" i="3"/>
  <c r="J663" i="3"/>
  <c r="J832" i="3"/>
  <c r="J1053" i="3"/>
  <c r="J1378" i="3"/>
  <c r="J1336" i="3"/>
  <c r="J632" i="3"/>
  <c r="J746" i="3"/>
  <c r="J614" i="3"/>
  <c r="J1015" i="3"/>
  <c r="J1444" i="3"/>
  <c r="J1347" i="3"/>
  <c r="J1073" i="3"/>
  <c r="J454" i="3"/>
  <c r="J105" i="3"/>
  <c r="J414" i="3"/>
  <c r="J311" i="3"/>
  <c r="J763" i="3"/>
  <c r="J1090" i="3"/>
  <c r="J1456" i="3"/>
  <c r="J519" i="3"/>
  <c r="J1114" i="3"/>
  <c r="J463" i="3"/>
  <c r="J334" i="3"/>
  <c r="J210" i="3"/>
  <c r="J1135" i="3"/>
  <c r="J1153" i="3"/>
  <c r="J1427" i="3"/>
  <c r="J941" i="3"/>
  <c r="J257" i="3"/>
  <c r="J1072" i="3"/>
  <c r="J1055" i="3"/>
  <c r="J283" i="3"/>
  <c r="J1435" i="3"/>
  <c r="J661" i="3"/>
  <c r="J1217" i="3"/>
  <c r="J378" i="3"/>
  <c r="J631" i="3"/>
  <c r="J137" i="3"/>
  <c r="J319" i="3"/>
  <c r="J887" i="3"/>
  <c r="J534" i="3"/>
  <c r="J124" i="3"/>
  <c r="J822" i="3"/>
  <c r="J1246" i="3"/>
  <c r="J750" i="3"/>
  <c r="J1236" i="3"/>
  <c r="J883" i="3"/>
  <c r="J98" i="3"/>
  <c r="J739" i="3"/>
  <c r="J1391" i="3"/>
  <c r="J176" i="3"/>
  <c r="J96" i="3"/>
  <c r="J81" i="3"/>
  <c r="J1354" i="3"/>
  <c r="J1161" i="3"/>
  <c r="J324" i="3"/>
  <c r="J827" i="3"/>
  <c r="J1133" i="3"/>
  <c r="J709" i="3"/>
  <c r="J430" i="3"/>
  <c r="J976" i="3"/>
  <c r="J710" i="3"/>
  <c r="J1380" i="3"/>
  <c r="J559" i="3"/>
  <c r="J603" i="3"/>
  <c r="J1426" i="3"/>
  <c r="J562" i="3"/>
  <c r="J82" i="3"/>
  <c r="J3" i="3"/>
  <c r="J1442" i="3"/>
  <c r="J1255" i="3"/>
  <c r="J1374" i="3"/>
  <c r="J1316" i="3"/>
  <c r="J841" i="3"/>
  <c r="J610" i="3"/>
  <c r="J106" i="3"/>
  <c r="J899" i="3"/>
  <c r="J628" i="3"/>
  <c r="J656" i="3"/>
  <c r="J1394" i="3"/>
  <c r="J1176" i="3"/>
  <c r="J1097" i="3"/>
  <c r="J1152" i="3"/>
  <c r="J94" i="3"/>
  <c r="J313" i="3"/>
  <c r="J881" i="3"/>
  <c r="J321" i="3"/>
  <c r="J595" i="3"/>
  <c r="J645" i="3"/>
  <c r="J11" i="3"/>
  <c r="J329" i="3"/>
  <c r="J1241" i="3"/>
  <c r="J263" i="3"/>
  <c r="J376" i="3"/>
  <c r="J332" i="3"/>
  <c r="J367" i="3"/>
  <c r="J199" i="3"/>
  <c r="J1261" i="3"/>
  <c r="J1177" i="3"/>
  <c r="J357" i="3"/>
  <c r="J1051" i="3"/>
  <c r="J380" i="3"/>
  <c r="J547" i="3"/>
  <c r="J560" i="3"/>
  <c r="J1420" i="3"/>
  <c r="J593" i="3"/>
  <c r="J575" i="3"/>
  <c r="J85" i="3"/>
  <c r="J1146" i="3"/>
  <c r="J464" i="3"/>
  <c r="J849" i="3"/>
  <c r="J1453" i="3"/>
  <c r="J851" i="3"/>
  <c r="J1292" i="3"/>
  <c r="J1201" i="3"/>
  <c r="J975" i="3"/>
  <c r="J1200" i="3"/>
  <c r="J1389" i="3"/>
  <c r="J41" i="3"/>
  <c r="J1150" i="3"/>
  <c r="J1373" i="3"/>
  <c r="J52" i="3"/>
  <c r="J1470" i="3"/>
  <c r="J529" i="3"/>
  <c r="J1364" i="3"/>
  <c r="J538" i="3"/>
  <c r="J1310" i="3"/>
  <c r="J1449" i="3"/>
  <c r="J929" i="3"/>
  <c r="J1421" i="3"/>
  <c r="J285" i="3"/>
  <c r="J981" i="3"/>
  <c r="J1181" i="3"/>
  <c r="J1169" i="3"/>
  <c r="J93" i="3"/>
  <c r="J54" i="3"/>
  <c r="J486" i="3"/>
  <c r="J990" i="3"/>
  <c r="J1372" i="3"/>
  <c r="J1276" i="3"/>
  <c r="J1192" i="3"/>
  <c r="J735" i="3"/>
  <c r="J72" i="3"/>
  <c r="J1096" i="3"/>
  <c r="J1193" i="3"/>
  <c r="J301" i="3"/>
  <c r="J308" i="3"/>
  <c r="J1119" i="3"/>
  <c r="J577" i="3"/>
  <c r="J1040" i="3"/>
  <c r="J1365" i="3"/>
  <c r="J717" i="3"/>
  <c r="J1191" i="3"/>
  <c r="J1357" i="3"/>
  <c r="J1289" i="3"/>
  <c r="J509" i="3"/>
  <c r="J1382" i="3"/>
  <c r="J652" i="3"/>
  <c r="J1130" i="3"/>
  <c r="J1233" i="3"/>
  <c r="J470" i="3"/>
  <c r="J268" i="3"/>
  <c r="J807" i="3"/>
  <c r="J152" i="3"/>
  <c r="J279" i="3"/>
  <c r="J1397" i="3"/>
  <c r="J1021" i="3"/>
  <c r="J310" i="3"/>
  <c r="J304" i="3"/>
  <c r="J705" i="3"/>
  <c r="J1342" i="3"/>
  <c r="J307" i="3"/>
  <c r="J1318" i="3"/>
  <c r="J1412" i="3"/>
  <c r="J493" i="3"/>
  <c r="J1458" i="3"/>
  <c r="J836" i="3"/>
  <c r="J389" i="3"/>
  <c r="J834" i="3"/>
  <c r="J1368" i="3"/>
  <c r="J1167" i="3"/>
  <c r="J109" i="3"/>
  <c r="J289" i="3"/>
  <c r="J1370" i="3"/>
  <c r="J1290" i="3"/>
  <c r="J1059" i="3"/>
  <c r="J1160" i="3"/>
  <c r="J998" i="3"/>
  <c r="J1144" i="3"/>
  <c r="J1162" i="3"/>
  <c r="J50" i="3"/>
  <c r="J326" i="3"/>
  <c r="J1020" i="3"/>
  <c r="J1263" i="3"/>
  <c r="J1283" i="3"/>
  <c r="J295" i="3"/>
  <c r="J692" i="3"/>
  <c r="J1174" i="3"/>
  <c r="J1103" i="3"/>
  <c r="J139" i="3"/>
  <c r="J1348" i="3"/>
  <c r="J222" i="3"/>
  <c r="J60" i="3"/>
  <c r="J194" i="3"/>
  <c r="J619" i="3"/>
  <c r="J221" i="3"/>
  <c r="J249" i="3"/>
  <c r="J1400" i="3"/>
  <c r="J355" i="3"/>
  <c r="J580" i="3"/>
  <c r="J495" i="3"/>
  <c r="J2" i="3"/>
  <c r="J61" i="3"/>
  <c r="J1272" i="3"/>
  <c r="J348" i="3"/>
  <c r="J599" i="3"/>
  <c r="J113" i="3"/>
  <c r="J1109" i="3"/>
  <c r="J412" i="3"/>
  <c r="J340" i="3"/>
  <c r="J988" i="3"/>
  <c r="J966" i="3"/>
  <c r="J158" i="3"/>
  <c r="J1238" i="3"/>
  <c r="J551" i="3"/>
  <c r="J1125" i="3"/>
  <c r="J1469" i="3"/>
  <c r="J123" i="3"/>
  <c r="J953" i="3"/>
  <c r="J62" i="3"/>
  <c r="J602" i="3"/>
  <c r="J126" i="3"/>
  <c r="J987" i="3"/>
  <c r="J565" i="3"/>
  <c r="J623" i="3"/>
  <c r="J937" i="3"/>
  <c r="J341" i="3"/>
  <c r="J75" i="3"/>
  <c r="J448" i="3"/>
  <c r="J995" i="3"/>
  <c r="J674" i="3"/>
  <c r="J201" i="3"/>
  <c r="J477" i="3"/>
  <c r="J880" i="3"/>
  <c r="J569" i="3"/>
  <c r="J607" i="3"/>
  <c r="J1252" i="3"/>
  <c r="J1443" i="3"/>
  <c r="J502" i="3"/>
  <c r="J1411" i="3"/>
  <c r="J630" i="3"/>
  <c r="J141" i="3"/>
  <c r="J342" i="3"/>
  <c r="J753" i="3"/>
  <c r="J333" i="3"/>
  <c r="J980" i="3"/>
  <c r="J370" i="3"/>
  <c r="J1326" i="3"/>
  <c r="J747" i="3"/>
  <c r="J1076" i="3"/>
  <c r="J553" i="3"/>
  <c r="J1107" i="3"/>
  <c r="J280" i="3"/>
  <c r="J568" i="3"/>
  <c r="J312" i="3"/>
  <c r="J1230" i="3"/>
  <c r="J251" i="3"/>
  <c r="J1105" i="3"/>
  <c r="J474" i="3"/>
  <c r="J33" i="3"/>
  <c r="J1242" i="3"/>
  <c r="J857" i="3"/>
  <c r="J68" i="3"/>
  <c r="J585" i="3"/>
  <c r="J1352" i="3"/>
  <c r="J275" i="3"/>
  <c r="J1301" i="3"/>
  <c r="J1231" i="3"/>
  <c r="J643" i="3"/>
  <c r="J395" i="3"/>
  <c r="J374" i="3"/>
  <c r="J255" i="3"/>
  <c r="J1075" i="3"/>
  <c r="J200" i="3"/>
  <c r="J131" i="3"/>
  <c r="J404" i="3"/>
  <c r="J846" i="3"/>
  <c r="J452" i="3"/>
  <c r="J1360" i="3"/>
  <c r="J666" i="3"/>
  <c r="J905" i="3"/>
  <c r="J566" i="3"/>
  <c r="J267" i="3"/>
  <c r="J510" i="3"/>
  <c r="J1046" i="3"/>
  <c r="J1455" i="3"/>
  <c r="J360" i="3"/>
  <c r="J1390" i="3"/>
  <c r="J206" i="3"/>
  <c r="J946" i="3"/>
  <c r="J985" i="3"/>
  <c r="J797" i="3"/>
  <c r="J218" i="3"/>
  <c r="J1448" i="3"/>
  <c r="J694" i="3"/>
  <c r="J1454" i="3"/>
  <c r="J1239" i="3"/>
  <c r="J362" i="3"/>
  <c r="J358" i="3"/>
  <c r="J818" i="3"/>
  <c r="J530" i="3"/>
  <c r="J1302" i="3"/>
  <c r="J203" i="3"/>
  <c r="J550" i="3"/>
  <c r="J461" i="3"/>
  <c r="J556" i="3"/>
  <c r="J898" i="3"/>
  <c r="J1123" i="3"/>
  <c r="J29" i="3"/>
  <c r="J897" i="3"/>
  <c r="J1366" i="3"/>
  <c r="J1185" i="3"/>
  <c r="J886" i="3"/>
  <c r="J1307" i="3"/>
  <c r="J749" i="3"/>
  <c r="J1296" i="3"/>
  <c r="J604" i="3"/>
  <c r="J1234" i="3"/>
  <c r="J965" i="3"/>
  <c r="J305" i="3"/>
  <c r="J256" i="3"/>
  <c r="J681" i="3"/>
  <c r="J696" i="3"/>
  <c r="J1317" i="3"/>
  <c r="J1205" i="3"/>
  <c r="J1198" i="3"/>
  <c r="J1086" i="3"/>
  <c r="J944" i="3"/>
  <c r="J501" i="3"/>
  <c r="J792" i="3"/>
  <c r="J1253" i="3"/>
  <c r="J344" i="3"/>
  <c r="J87" i="3"/>
  <c r="J704" i="3"/>
  <c r="J153" i="3"/>
  <c r="J1335" i="3"/>
  <c r="J838" i="3"/>
  <c r="J813" i="3"/>
  <c r="J879" i="3"/>
  <c r="J679" i="3"/>
  <c r="J453" i="3"/>
  <c r="J532" i="3"/>
  <c r="J117" i="3"/>
  <c r="J1101" i="3"/>
  <c r="J1035" i="3"/>
  <c r="J337" i="3"/>
  <c r="J112" i="3"/>
  <c r="J466" i="3"/>
  <c r="J1401" i="3"/>
  <c r="J762" i="3"/>
  <c r="J323" i="3"/>
  <c r="J1009" i="3"/>
  <c r="J571" i="3"/>
  <c r="J386" i="3"/>
  <c r="J531" i="3"/>
  <c r="J440" i="3"/>
  <c r="J65" i="3"/>
  <c r="J207" i="3"/>
  <c r="J654" i="3"/>
  <c r="J1441" i="3"/>
  <c r="J609" i="3"/>
  <c r="J811" i="3"/>
  <c r="J511" i="3"/>
  <c r="J796" i="3"/>
  <c r="J1163" i="3"/>
  <c r="J819" i="3"/>
  <c r="J706" i="3"/>
  <c r="J1218" i="3"/>
  <c r="J544" i="3"/>
  <c r="J1216" i="3"/>
  <c r="J707" i="3"/>
  <c r="J971" i="3"/>
  <c r="J229" i="3"/>
  <c r="J1166" i="3"/>
  <c r="J408" i="3"/>
  <c r="J930" i="3"/>
  <c r="J1007" i="3"/>
  <c r="J1287" i="3"/>
  <c r="J1175" i="3"/>
  <c r="J299" i="3"/>
  <c r="J346" i="3"/>
  <c r="J1361" i="3"/>
  <c r="J522" i="3"/>
  <c r="J1259" i="3"/>
  <c r="J135" i="3"/>
  <c r="J831" i="3"/>
  <c r="J1126" i="3"/>
  <c r="J345" i="3"/>
  <c r="J1280" i="3"/>
  <c r="J1249" i="3"/>
  <c r="J1081" i="3"/>
  <c r="J910" i="3"/>
  <c r="J504" i="3"/>
  <c r="J405" i="3"/>
  <c r="J770" i="3"/>
  <c r="J425" i="3"/>
  <c r="J949" i="3"/>
  <c r="J1043" i="3"/>
  <c r="J213" i="3"/>
  <c r="J960" i="3"/>
  <c r="J1257" i="3"/>
  <c r="J1324" i="3"/>
  <c r="J1083" i="3"/>
  <c r="J1065" i="3"/>
  <c r="J526" i="3"/>
  <c r="J1387" i="3"/>
  <c r="J1416" i="3"/>
  <c r="J140" i="3"/>
  <c r="J170" i="3"/>
  <c r="J782" i="3"/>
  <c r="J45" i="3"/>
  <c r="J809" i="3"/>
  <c r="J230" i="3"/>
  <c r="J539" i="3"/>
  <c r="J786" i="3"/>
  <c r="J469" i="3"/>
  <c r="J1452" i="3"/>
  <c r="J513" i="3"/>
  <c r="J1127" i="3"/>
  <c r="J775" i="3"/>
  <c r="J220" i="3"/>
  <c r="J1300" i="3"/>
  <c r="J1450" i="3"/>
  <c r="J327" i="3"/>
  <c r="J872" i="3"/>
  <c r="J156" i="3"/>
  <c r="J58" i="3"/>
  <c r="J435" i="3"/>
  <c r="J948" i="3"/>
  <c r="J1028" i="3"/>
  <c r="J133" i="3"/>
  <c r="J1220" i="3"/>
  <c r="J1111" i="3"/>
  <c r="J1013" i="3"/>
  <c r="J368" i="3"/>
  <c r="J1004" i="3"/>
  <c r="J1039" i="3"/>
  <c r="J211" i="3"/>
  <c r="J169" i="3"/>
  <c r="J508" i="3"/>
  <c r="J165" i="3"/>
  <c r="J1213" i="3"/>
  <c r="J10" i="3"/>
  <c r="J190" i="3"/>
  <c r="J793" i="3"/>
  <c r="J488" i="3"/>
  <c r="J1243" i="3"/>
  <c r="J306" i="3"/>
  <c r="J91" i="3"/>
  <c r="J1308" i="3"/>
  <c r="J1298" i="3"/>
  <c r="J1396" i="3"/>
  <c r="J361" i="3"/>
  <c r="J686" i="3"/>
  <c r="J1344" i="3"/>
  <c r="J1108" i="3"/>
  <c r="J1092" i="3"/>
  <c r="J69" i="3"/>
  <c r="J759" i="3"/>
  <c r="J119" i="3"/>
  <c r="J1245" i="3"/>
  <c r="J441" i="3"/>
  <c r="J473" i="3"/>
  <c r="J952" i="3"/>
  <c r="J1371" i="3"/>
  <c r="J55" i="3"/>
  <c r="J1386" i="3"/>
  <c r="J1328" i="3"/>
  <c r="J1121" i="3"/>
  <c r="J1465" i="3"/>
  <c r="J442" i="3"/>
  <c r="J784" i="3"/>
  <c r="J17" i="3"/>
  <c r="J444" i="3"/>
  <c r="J214" i="3"/>
  <c r="J335" i="3"/>
  <c r="J1468" i="3"/>
  <c r="J992" i="3"/>
  <c r="J968" i="3"/>
  <c r="J252" i="3"/>
  <c r="J66" i="3"/>
  <c r="J1033" i="3"/>
  <c r="J1095" i="3"/>
  <c r="J1113" i="3"/>
  <c r="J1064" i="3"/>
  <c r="J613" i="3"/>
  <c r="J928" i="3"/>
  <c r="J84" i="3"/>
  <c r="J30" i="3"/>
  <c r="J884" i="3"/>
  <c r="J429" i="3"/>
  <c r="J848" i="3"/>
  <c r="J1164" i="3"/>
  <c r="J128" i="3"/>
  <c r="J787" i="3"/>
  <c r="J695" i="3"/>
  <c r="J1305" i="3"/>
  <c r="J1237" i="3"/>
  <c r="J890" i="3"/>
  <c r="J731" i="3"/>
  <c r="J212" i="3"/>
  <c r="J1433" i="3"/>
  <c r="J1158" i="3"/>
  <c r="J808" i="3"/>
  <c r="J1297" i="3"/>
  <c r="J1398" i="3"/>
  <c r="J180" i="3"/>
  <c r="J1056" i="3"/>
  <c r="J535" i="3"/>
  <c r="J791" i="3"/>
  <c r="J369" i="3"/>
  <c r="J892" i="3"/>
  <c r="J921" i="3"/>
  <c r="J467" i="3"/>
  <c r="J676" i="3"/>
  <c r="J989" i="3"/>
  <c r="J225" i="3"/>
  <c r="J697" i="3"/>
  <c r="J436" i="3"/>
  <c r="J138" i="3"/>
  <c r="J95" i="3"/>
  <c r="J637" i="3"/>
  <c r="J773" i="3"/>
  <c r="J512" i="3"/>
  <c r="J730" i="3"/>
  <c r="J1223" i="3"/>
  <c r="J627" i="3"/>
  <c r="J1032" i="3"/>
  <c r="J777" i="3"/>
  <c r="J814" i="3"/>
  <c r="J725" i="3"/>
  <c r="J1036" i="3"/>
  <c r="J1463" i="3"/>
  <c r="J160" i="3"/>
  <c r="J755" i="3"/>
  <c r="J1211" i="3"/>
  <c r="J649" i="3"/>
  <c r="J994" i="3"/>
  <c r="J460" i="3"/>
  <c r="J626" i="3"/>
  <c r="J253" i="3"/>
  <c r="J377" i="3"/>
  <c r="J789" i="3"/>
  <c r="J738" i="3"/>
  <c r="J1407" i="3"/>
  <c r="J554" i="3"/>
  <c r="J533" i="3"/>
  <c r="J1077" i="3"/>
  <c r="J1140" i="3"/>
  <c r="J732" i="3"/>
  <c r="J343" i="3"/>
  <c r="J458" i="3"/>
  <c r="J118" i="3"/>
  <c r="J592" i="3"/>
  <c r="J543" i="3"/>
  <c r="J648" i="3"/>
  <c r="J273" i="3"/>
  <c r="J315" i="3"/>
  <c r="J760" i="3"/>
  <c r="J950" i="3"/>
  <c r="J422" i="3"/>
  <c r="J1423" i="3"/>
  <c r="J24" i="3"/>
  <c r="J278" i="3"/>
  <c r="J1464" i="3"/>
  <c r="J309" i="3"/>
  <c r="J815" i="3"/>
  <c r="J224" i="3"/>
  <c r="J215" i="3"/>
  <c r="J354" i="3"/>
  <c r="J740" i="3"/>
  <c r="J612" i="3"/>
  <c r="J1225" i="3"/>
  <c r="J1270" i="3"/>
  <c r="J1277" i="3"/>
  <c r="J823" i="3"/>
  <c r="J973" i="3"/>
  <c r="J889" i="3"/>
  <c r="J708" i="3"/>
  <c r="J1432" i="3"/>
  <c r="J403" i="3"/>
  <c r="J1329" i="3"/>
  <c r="J450" i="3"/>
  <c r="J79" i="3"/>
  <c r="J996" i="3"/>
  <c r="J1179" i="3"/>
  <c r="J752" i="3"/>
  <c r="J1405" i="3"/>
  <c r="J1359" i="3"/>
  <c r="J978" i="3"/>
  <c r="J57" i="3"/>
  <c r="J1286" i="3"/>
  <c r="J270" i="3"/>
  <c r="J839" i="3"/>
  <c r="J92" i="3"/>
  <c r="J297" i="3"/>
  <c r="J97" i="3"/>
  <c r="J1447" i="3"/>
  <c r="J916" i="3"/>
  <c r="J683" i="3"/>
  <c r="J217" i="3"/>
  <c r="J277" i="3"/>
  <c r="J437" i="3"/>
  <c r="J80" i="3"/>
  <c r="J247" i="3"/>
  <c r="J977" i="3"/>
  <c r="J745" i="3"/>
  <c r="J191" i="3"/>
  <c r="J1434" i="3"/>
  <c r="J1042" i="3"/>
  <c r="J840" i="3"/>
  <c r="J546" i="3"/>
  <c r="J629" i="3"/>
  <c r="J100" i="3"/>
  <c r="J318" i="3"/>
  <c r="J1183" i="3"/>
  <c r="J723" i="3"/>
  <c r="J964" i="3"/>
  <c r="J426" i="3"/>
  <c r="J651" i="3"/>
  <c r="J392" i="3"/>
  <c r="J1088" i="3"/>
  <c r="J1012" i="3"/>
  <c r="J67" i="3"/>
  <c r="J536" i="3"/>
  <c r="J703" i="3"/>
  <c r="J1168" i="3"/>
  <c r="J1197" i="3"/>
  <c r="J494" i="3"/>
  <c r="J20" i="3"/>
  <c r="J1312" i="3"/>
  <c r="J1196" i="3"/>
  <c r="J350" i="3"/>
  <c r="J302" i="3"/>
  <c r="J1078" i="3"/>
  <c r="J237" i="3"/>
  <c r="J907" i="3"/>
  <c r="J457" i="3"/>
  <c r="J1303" i="3"/>
  <c r="J618" i="3"/>
  <c r="J1080" i="3"/>
  <c r="J1178" i="3"/>
  <c r="J1016" i="3"/>
  <c r="J1098" i="3"/>
  <c r="J410" i="3"/>
  <c r="J468" i="3"/>
  <c r="J1045" i="3"/>
  <c r="J1082" i="3"/>
  <c r="J491" i="3"/>
  <c r="J381" i="3"/>
  <c r="J1227" i="3"/>
  <c r="J594" i="3"/>
  <c r="J776" i="3"/>
  <c r="J196" i="3"/>
  <c r="J1001" i="3"/>
  <c r="J1350" i="3"/>
  <c r="J447" i="3"/>
  <c r="J563" i="3"/>
  <c r="J265" i="3"/>
  <c r="J947" i="3"/>
  <c r="J806" i="3"/>
  <c r="J121" i="3"/>
  <c r="J1057" i="3"/>
  <c r="J427" i="3"/>
  <c r="J863" i="3"/>
  <c r="J316" i="3"/>
  <c r="J701" i="3"/>
  <c r="J939" i="3"/>
  <c r="J611" i="3"/>
  <c r="J1026" i="3"/>
  <c r="J1353" i="3"/>
  <c r="J149" i="3"/>
  <c r="J114" i="3"/>
  <c r="J1010" i="3"/>
  <c r="J716" i="3"/>
  <c r="J1186" i="3"/>
  <c r="J712" i="3"/>
  <c r="J812" i="3"/>
  <c r="J1137" i="3"/>
  <c r="J282" i="3"/>
  <c r="J1187" i="3"/>
  <c r="J590" i="3"/>
  <c r="J757" i="3"/>
  <c r="J801" i="3"/>
  <c r="J896" i="3"/>
  <c r="J869" i="3"/>
  <c r="J431" i="3"/>
  <c r="J956" i="3"/>
  <c r="J1376" i="3"/>
  <c r="J655" i="3"/>
  <c r="J419" i="3"/>
  <c r="J938" i="3"/>
  <c r="J108" i="3"/>
  <c r="J479" i="3"/>
  <c r="J909" i="3"/>
  <c r="J906" i="3"/>
  <c r="J331" i="3"/>
  <c r="J743" i="3"/>
  <c r="J586" i="3"/>
  <c r="J860" i="3"/>
  <c r="J292" i="3"/>
  <c r="J901" i="3"/>
  <c r="J189" i="3"/>
  <c r="J64" i="3"/>
  <c r="J918" i="3"/>
  <c r="J915" i="3"/>
  <c r="J107" i="3"/>
  <c r="J1445" i="3"/>
  <c r="J31" i="3"/>
  <c r="J188" i="3"/>
  <c r="J1266" i="3"/>
  <c r="J272" i="3"/>
  <c r="J1142" i="3"/>
  <c r="J239" i="3"/>
  <c r="J871" i="3"/>
  <c r="J27" i="3"/>
  <c r="J537" i="3"/>
  <c r="J281" i="3"/>
  <c r="J1379" i="3"/>
  <c r="J957" i="3"/>
  <c r="J540" i="3"/>
  <c r="J924" i="3"/>
  <c r="J402" i="3"/>
  <c r="J246" i="3"/>
  <c r="J233" i="3"/>
  <c r="J768" i="3"/>
  <c r="J597" i="3"/>
  <c r="J328" i="3"/>
  <c r="J1279" i="3"/>
  <c r="J1128" i="3"/>
  <c r="J1332" i="3"/>
  <c r="J394" i="3"/>
  <c r="J718" i="3"/>
  <c r="J1439" i="3"/>
  <c r="J259" i="3"/>
  <c r="J475" i="3"/>
  <c r="J499" i="3"/>
  <c r="J235" i="3"/>
  <c r="J125" i="3"/>
  <c r="J47" i="3"/>
  <c r="J413" i="3"/>
  <c r="J1118" i="3"/>
  <c r="J1131" i="3"/>
  <c r="J816" i="3"/>
  <c r="J772" i="3"/>
  <c r="J1403" i="3"/>
  <c r="J1156" i="3"/>
  <c r="J1333" i="3"/>
  <c r="J1011" i="3"/>
  <c r="J958" i="3"/>
  <c r="J900" i="3"/>
  <c r="J1244" i="3"/>
  <c r="J751" i="3"/>
  <c r="J920" i="3"/>
  <c r="J570" i="3"/>
  <c r="J167" i="3"/>
  <c r="J853" i="3"/>
  <c r="J748" i="3"/>
  <c r="J192" i="3"/>
  <c r="J515" i="3"/>
  <c r="H73" i="4"/>
  <c r="H72" i="4"/>
  <c r="G62" i="4"/>
  <c r="G63" i="4"/>
  <c r="F63" i="4" a="1"/>
  <c r="C58" i="4"/>
  <c r="G60" i="4"/>
  <c r="G59" i="4"/>
  <c r="G58" i="4"/>
  <c r="G57" i="4"/>
  <c r="G61" i="4"/>
  <c r="H46" i="4"/>
  <c r="C49" i="4"/>
  <c r="C48" i="4"/>
  <c r="C47" i="4"/>
  <c r="C33" i="4"/>
  <c r="C39" i="4"/>
  <c r="C36" i="4"/>
  <c r="E34" i="4"/>
  <c r="E33" i="4"/>
  <c r="E32" i="4"/>
  <c r="C24" i="4"/>
  <c r="C25" i="4"/>
  <c r="H4" i="4" a="1"/>
  <c r="G4" i="4" a="1"/>
  <c r="B8" i="1"/>
  <c r="B22" i="1"/>
  <c r="B20" i="1"/>
  <c r="B18" i="1"/>
  <c r="B16" i="1"/>
  <c r="B14" i="1"/>
  <c r="B12" i="1"/>
  <c r="B10" i="1"/>
  <c r="B6" i="1"/>
  <c r="B4" i="1"/>
  <c r="C7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1E195D-B0CD-48E2-854D-3F51C843133A}" keepAlive="1" name="Query - WA_Fn-UseC_-HR-Employee-Attrition" description="Connection to the 'WA_Fn-UseC_-HR-Employee-Attrition' query in the workbook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<sst xmlns="http://schemas.openxmlformats.org/spreadsheetml/2006/main" count="13355" uniqueCount="129">
  <si>
    <t>Age</t>
  </si>
  <si>
    <t>Attrition</t>
  </si>
  <si>
    <t>BusinessTravel</t>
  </si>
  <si>
    <t>DailyRate</t>
  </si>
  <si>
    <t>Department</t>
  </si>
  <si>
    <t>Helper_col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</si>
  <si>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</si>
  <si>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</si>
  <si>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</si>
  <si>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</si>
  <si>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</si>
  <si>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</si>
  <si>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</si>
  <si>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</si>
  <si>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</si>
  <si>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</si>
  <si>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</si>
  <si>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</si>
  <si>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</si>
  <si>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</si>
  <si>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</si>
  <si>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</si>
  <si>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</si>
  <si>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</si>
  <si>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</si>
  <si>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</si>
  <si>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</si>
  <si>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</si>
  <si>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</si>
  <si>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</si>
  <si>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</si>
  <si>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</si>
  <si>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</si>
  <si>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</si>
  <si>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</si>
  <si>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</si>
  <si>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</si>
  <si>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</si>
  <si>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</si>
  <si>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</si>
  <si>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</si>
  <si>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</si>
  <si>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</si>
  <si>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</si>
  <si>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</si>
  <si>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</si>
  <si>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</si>
  <si>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</si>
  <si>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</si>
  <si>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</si>
  <si>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</si>
  <si>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</si>
  <si>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</si>
  <si>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</si>
  <si>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</si>
  <si>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</si>
  <si>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</si>
  <si>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</si>
  <si>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</si>
  <si>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</si>
  <si>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</si>
  <si>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</si>
  <si>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</si>
  <si>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Question</t>
  </si>
  <si>
    <t>Answers</t>
  </si>
  <si>
    <r>
      <t xml:space="preserve">Find the Age of employee with EmployeeNumber = </t>
    </r>
    <r>
      <rPr>
        <b/>
        <i/>
        <sz val="13.5"/>
        <color theme="1"/>
        <rFont val="Aptos Narrow"/>
        <family val="2"/>
        <scheme val="minor"/>
      </rPr>
      <t>1024</t>
    </r>
    <r>
      <rPr>
        <b/>
        <sz val="13.5"/>
        <color theme="1"/>
        <rFont val="Aptos Narrow"/>
        <family val="2"/>
        <scheme val="minor"/>
      </rPr>
      <t>.</t>
    </r>
  </si>
  <si>
    <r>
      <t xml:space="preserve">Get the Department for EmployeeNumber = </t>
    </r>
    <r>
      <rPr>
        <b/>
        <i/>
        <sz val="13.5"/>
        <color theme="1"/>
        <rFont val="Aptos Narrow"/>
        <family val="2"/>
        <scheme val="minor"/>
      </rPr>
      <t>1355</t>
    </r>
    <r>
      <rPr>
        <b/>
        <sz val="13.5"/>
        <color theme="1"/>
        <rFont val="Aptos Narrow"/>
        <family val="2"/>
        <scheme val="minor"/>
      </rPr>
      <t>.</t>
    </r>
  </si>
  <si>
    <r>
      <t xml:space="preserve">Return the Job Role for EmployeeNumber = </t>
    </r>
    <r>
      <rPr>
        <b/>
        <i/>
        <sz val="13.5"/>
        <color theme="1"/>
        <rFont val="Aptos Narrow"/>
        <family val="2"/>
        <scheme val="minor"/>
      </rPr>
      <t>501</t>
    </r>
    <r>
      <rPr>
        <b/>
        <sz val="13.5"/>
        <color theme="1"/>
        <rFont val="Aptos Narrow"/>
        <family val="2"/>
        <scheme val="minor"/>
      </rPr>
      <t>.</t>
    </r>
  </si>
  <si>
    <r>
      <t xml:space="preserve">Retrieve the Monthly Income for EmployeeNumber = </t>
    </r>
    <r>
      <rPr>
        <b/>
        <i/>
        <sz val="13.5"/>
        <color theme="1"/>
        <rFont val="Aptos Narrow"/>
        <family val="2"/>
        <scheme val="minor"/>
      </rPr>
      <t>2040</t>
    </r>
    <r>
      <rPr>
        <b/>
        <sz val="13.5"/>
        <color theme="1"/>
        <rFont val="Aptos Narrow"/>
        <family val="2"/>
        <scheme val="minor"/>
      </rPr>
      <t>.</t>
    </r>
  </si>
  <si>
    <r>
      <t xml:space="preserve">Look up the Gender for EmployeeNumber = </t>
    </r>
    <r>
      <rPr>
        <b/>
        <i/>
        <sz val="13.5"/>
        <color theme="1"/>
        <rFont val="Aptos Narrow"/>
        <family val="2"/>
        <scheme val="minor"/>
      </rPr>
      <t>1100</t>
    </r>
    <r>
      <rPr>
        <b/>
        <sz val="13.5"/>
        <color theme="1"/>
        <rFont val="Aptos Narrow"/>
        <family val="2"/>
        <scheme val="minor"/>
      </rPr>
      <t>.</t>
    </r>
  </si>
  <si>
    <r>
      <t xml:space="preserve">Find the Education Field for EmployeeNumber = </t>
    </r>
    <r>
      <rPr>
        <b/>
        <i/>
        <sz val="13.5"/>
        <color theme="1"/>
        <rFont val="Aptos Narrow"/>
        <family val="2"/>
        <scheme val="minor"/>
      </rPr>
      <t>980</t>
    </r>
    <r>
      <rPr>
        <b/>
        <sz val="13.5"/>
        <color theme="1"/>
        <rFont val="Aptos Narrow"/>
        <family val="2"/>
        <scheme val="minor"/>
      </rPr>
      <t>.</t>
    </r>
  </si>
  <si>
    <r>
      <t xml:space="preserve">Get the Years At Company for EmployeeNumber = </t>
    </r>
    <r>
      <rPr>
        <b/>
        <i/>
        <sz val="13.5"/>
        <color theme="1"/>
        <rFont val="Aptos Narrow"/>
        <family val="2"/>
        <scheme val="minor"/>
      </rPr>
      <t>1442</t>
    </r>
    <r>
      <rPr>
        <b/>
        <sz val="13.5"/>
        <color theme="1"/>
        <rFont val="Aptos Narrow"/>
        <family val="2"/>
        <scheme val="minor"/>
      </rPr>
      <t>.</t>
    </r>
  </si>
  <si>
    <r>
      <t xml:space="preserve">Look up the Performance Rating for EmployeeNumber = </t>
    </r>
    <r>
      <rPr>
        <b/>
        <i/>
        <sz val="13.5"/>
        <color theme="1"/>
        <rFont val="Aptos Narrow"/>
        <family val="2"/>
        <scheme val="minor"/>
      </rPr>
      <t>410</t>
    </r>
    <r>
      <rPr>
        <b/>
        <sz val="13.5"/>
        <color theme="1"/>
        <rFont val="Aptos Narrow"/>
        <family val="2"/>
        <scheme val="minor"/>
      </rPr>
      <t>.</t>
    </r>
  </si>
  <si>
    <r>
      <t xml:space="preserve">Return the Attrition Status (Yes/No) for EmployeeNumber = </t>
    </r>
    <r>
      <rPr>
        <b/>
        <i/>
        <sz val="13.5"/>
        <color theme="1"/>
        <rFont val="Aptos Narrow"/>
        <family val="2"/>
        <scheme val="minor"/>
      </rPr>
      <t>240</t>
    </r>
    <r>
      <rPr>
        <b/>
        <sz val="13.5"/>
        <color theme="1"/>
        <rFont val="Aptos Narrow"/>
        <family val="2"/>
        <scheme val="minor"/>
      </rPr>
      <t>.</t>
    </r>
  </si>
  <si>
    <t>Find the average Income for an employee whose department field contains "Research &amp; development".</t>
  </si>
  <si>
    <t>Questions</t>
  </si>
  <si>
    <r>
      <t>(H1) Create a helper column combining Education_field</t>
    </r>
    <r>
      <rPr>
        <b/>
        <i/>
        <sz val="13.5"/>
        <color theme="1"/>
        <rFont val="Aptos Narrow"/>
        <family val="2"/>
        <scheme val="minor"/>
      </rPr>
      <t xml:space="preserve"> + Department</t>
    </r>
    <r>
      <rPr>
        <b/>
        <sz val="13.5"/>
        <color theme="1"/>
        <rFont val="Aptos Narrow"/>
        <family val="2"/>
        <scheme val="minor"/>
      </rPr>
      <t xml:space="preserve"> and lookup Monthly Income.</t>
    </r>
  </si>
  <si>
    <t>(H2) Use VLOOKUP + MATCH to build a fully dynamic lookup (user chooses field).</t>
  </si>
  <si>
    <t>(H3) Use VLOOKUP + LARGE to find the top 3 highest incomes, return JobRole.</t>
  </si>
  <si>
    <t>(H4) Use VLOOKUP to find the EmployeeNumber for the longest-serving employee (MAX YearsAtCompany).</t>
  </si>
  <si>
    <r>
      <t xml:space="preserve">(H5) Return the Attrition status for 5 employees with the </t>
    </r>
    <r>
      <rPr>
        <b/>
        <i/>
        <sz val="13.5"/>
        <color theme="1"/>
        <rFont val="Aptos Narrow"/>
        <family val="2"/>
        <scheme val="minor"/>
      </rPr>
      <t>lowest</t>
    </r>
    <r>
      <rPr>
        <b/>
        <sz val="13.5"/>
        <color theme="1"/>
        <rFont val="Aptos Narrow"/>
        <family val="2"/>
        <scheme val="minor"/>
      </rPr>
      <t xml:space="preserve"> performance rating &amp; Salary.</t>
    </r>
  </si>
  <si>
    <t>(H6) Build a salary band table (e.g., &lt;3000 = Low, 3000–6000 = Medium, etc.) &amp; return band using approximate match.</t>
  </si>
  <si>
    <t>(H7) Use VLOOKUP with wildcards to find all job roles containing “Manager”.</t>
  </si>
  <si>
    <t>(H8) Build a reverse lookup: find education_field based on salary.</t>
  </si>
  <si>
    <t>(H10) Create a lookup that returns multiple results (salary, age, department) using INDEX + MATCH fallback.</t>
  </si>
  <si>
    <t>(H11) Use VLOOKUP inside an IF statement to check whether employee income &gt; company average.</t>
  </si>
  <si>
    <t>(H12) Use VLOOKUP to return Department for an employee whose promotion gap &gt; 5 years.</t>
  </si>
  <si>
    <t>(H13) Dynamic Range Lookup: Create a named range for “Sales Dept” employees and lookup roles inside it.</t>
  </si>
  <si>
    <t>(H14) Use VLOOKUP + COUNTIF to find duplicate EmployeeNames.</t>
  </si>
  <si>
    <t>(H15) Use VLOOKUP to fetch average income per department (separate table).</t>
  </si>
  <si>
    <t>(H16) Lookup EmployeeNumber based on partial JobRole text like “Engineer”.</t>
  </si>
  <si>
    <t>(H17) Use VLOOKUP to return highest performance rating inside R&amp;D department.</t>
  </si>
  <si>
    <t>(H18) Build a Summary Dashboard where selecting an EmployeeNumber auto-populates all details using VLOOKUP.</t>
  </si>
  <si>
    <t>(H19) Use VLOOKUP to fetch YearsAtCompany for employees with “Yes” Attrition — multi-criteria using helper.</t>
  </si>
  <si>
    <t>(H20) Use VLOOKUP + MATCH to create a search box that returns whatever column the user types.</t>
  </si>
  <si>
    <t>(H1) Create a helper column combining Education_field + Department and lookup Monthly Income.</t>
  </si>
  <si>
    <t>edu + dept</t>
  </si>
  <si>
    <t>Emp No</t>
  </si>
  <si>
    <t>Dept</t>
  </si>
  <si>
    <t>income</t>
  </si>
  <si>
    <t>Job role</t>
  </si>
  <si>
    <t>top 1</t>
  </si>
  <si>
    <t>top 2</t>
  </si>
  <si>
    <t>top 3</t>
  </si>
  <si>
    <t>Emp Dept</t>
  </si>
  <si>
    <t>Emp Age</t>
  </si>
  <si>
    <t>max experience =&gt;</t>
  </si>
  <si>
    <t>(H5) Return the Attrition status for 5 employees with the lowest performance rating &amp; Salary.</t>
  </si>
  <si>
    <t>Attrition status</t>
  </si>
  <si>
    <t>lowest Salary</t>
  </si>
  <si>
    <t>salary =&gt;</t>
  </si>
  <si>
    <t>Rating</t>
  </si>
  <si>
    <t>Salary</t>
  </si>
  <si>
    <t>count of salary &lt;3k</t>
  </si>
  <si>
    <t>count of salary 3k - 6k</t>
  </si>
  <si>
    <t>Edu field</t>
  </si>
  <si>
    <t xml:space="preserve">Dept </t>
  </si>
  <si>
    <t>lookup</t>
  </si>
  <si>
    <t>Column1</t>
  </si>
  <si>
    <t>salary</t>
  </si>
  <si>
    <t>Band</t>
  </si>
  <si>
    <t>Low</t>
  </si>
  <si>
    <t>Medium</t>
  </si>
  <si>
    <t>High</t>
  </si>
  <si>
    <t>No data</t>
  </si>
  <si>
    <t>lowest Rating</t>
  </si>
  <si>
    <t>monthly Salary</t>
  </si>
  <si>
    <t>Job Roles</t>
  </si>
  <si>
    <t>contain "Manager"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</si>
</sst>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i/>
      <sz val="13.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Palace Script MT"/>
      <family val="4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3" borderId="8" xfId="0" applyFill="1" applyBorder="1"/>
    <xf numFmtId="0" fontId="0" fillId="3" borderId="8" xfId="0" applyFill="1" applyBorder="1" applyAlignment="1">
      <alignment horizontal="center" vertical="center"/>
    </xf>
    <xf numFmtId="0" fontId="0" fillId="3" borderId="0" xfId="0" applyFill="1"/>
    <xf numFmtId="0" fontId="0" fillId="0" borderId="9" xfId="0" applyBorder="1"/>
    <xf numFmtId="0" fontId="0" fillId="8" borderId="8" xfId="0" applyFill="1" applyBorder="1"/>
    <xf numFmtId="0" fontId="0" fillId="0" borderId="8" xfId="0" applyBorder="1" applyAlignment="1">
      <alignment horizontal="center"/>
    </xf>
    <xf numFmtId="0" fontId="0" fillId="9" borderId="8" xfId="0" applyFill="1" applyBorder="1"/>
    <xf numFmtId="0" fontId="0" fillId="0" borderId="10" xfId="0" applyBorder="1" applyAlignment="1">
      <alignment horizontal="center"/>
    </xf>
    <xf numFmtId="0" fontId="0" fillId="7" borderId="8" xfId="0" applyFill="1" applyBorder="1"/>
    <xf numFmtId="0" fontId="0" fillId="10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11" borderId="8" xfId="0" applyFill="1" applyBorder="1"/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0" fontId="0" fillId="2" borderId="0" xfId="0" applyFill="1"/>
    <xf numFmtId="0" fontId="0" fillId="12" borderId="8" xfId="0" applyFill="1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85301C-9563-4EC9-B69B-8DB6E0E492E7}" autoFormatId="16" applyNumberFormats="0" applyBorderFormats="0" applyFontFormats="0" applyPatternFormats="0" applyAlignmentFormats="0" applyWidthHeightFormats="0">
  <queryTableRefresh nextId="40">
    <queryTableFields count="39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36" dataBound="0" tableColumnId="36"/>
      <queryTableField id="6" name="DistanceFromHome" tableColumnId="6"/>
      <queryTableField id="7" name="Education" tableColumnId="7"/>
      <queryTableField id="8" name="EducationField" tableColumnId="8"/>
      <queryTableField id="37" dataBound="0" tableColumnId="3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39" dataBound="0" tableColumnId="3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8" dataBound="0" tableColumnId="37"/>
      <queryTableField id="35" name="YearsWithCurr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FC3239-E509-4604-AE29-FB389BE44086}" name="WA_Fn_UseC__HR_Employee_Attrition" displayName="WA_Fn_UseC__HR_Employee_Attrition" ref="A1:AM1471" tableType="queryTable" totalsRowShown="0">
  <autoFilter ref="A1:AM1471" xr:uid="{E1FC3239-E509-4604-AE29-FB389BE44086}"/>
  <sortState xmlns:xlrd2="http://schemas.microsoft.com/office/spreadsheetml/2017/richdata2" ref="A2:AM1471">
    <sortCondition ref="L1:L1471"/>
  </sortState>
  <tableColumns count="39">
    <tableColumn id="1" xr3:uid="{95204554-B605-4C2F-97FA-F387F78F11FE}" uniqueName="1" name="Age" queryTableFieldId="1"/>
    <tableColumn id="2" xr3:uid="{63107E34-08B5-4744-8BB5-C61589DDAFCD}" uniqueName="2" name="Attrition" queryTableFieldId="2" dataDxfId="12"/>
    <tableColumn id="3" xr3:uid="{801301F6-8E03-4559-9329-DFD9C064E964}" uniqueName="3" name="BusinessTravel" queryTableFieldId="3" dataDxfId="11"/>
    <tableColumn id="4" xr3:uid="{10BAC635-8DAD-493C-B90F-9B9EE0B2B6F7}" uniqueName="4" name="DailyRate" queryTableFieldId="4"/>
    <tableColumn id="5" xr3:uid="{B8305274-F8AA-45E4-AE2A-E6201EBED781}" uniqueName="5" name="Department" queryTableFieldId="5" dataDxfId="10"/>
    <tableColumn id="36" xr3:uid="{A0856EF7-CFB4-4D22-A173-B790FDBA37B2}" uniqueName="36" name="Helper_col" queryTableFieldId="36" dataDxfId="9"/>
    <tableColumn id="6" xr3:uid="{87025EF7-8823-453A-89D2-6678DDF4A48B}" uniqueName="6" name="DistanceFromHome" queryTableFieldId="6"/>
    <tableColumn id="7" xr3:uid="{A4DF0405-A553-4A7A-8A04-89392C2FDBE4}" uniqueName="7" name="Education" queryTableFieldId="7"/>
    <tableColumn id="8" xr3:uid="{8E5525C9-CBBB-4153-9202-182B18F77F42}" uniqueName="8" name="EducationField" queryTableFieldId="8" dataDxfId="8"/>
    <tableColumn id="38" xr3:uid="{CE2054F5-7AE8-463F-8D41-B06BF17009B4}" uniqueName="38" name="edu + dept" queryTableFieldId="37" dataDxfId="7">
      <calculatedColumnFormula>WA_Fn_UseC__HR_Employee_Attrition[[#This Row],[EducationField]]&amp;"-"&amp;WA_Fn_UseC__HR_Employee_Attrition[[#This Row],[Department]]</calculatedColumnFormula>
    </tableColumn>
    <tableColumn id="9" xr3:uid="{D8994BEF-4246-49F5-99A4-2D9EA6090494}" uniqueName="9" name="EmployeeCount" queryTableFieldId="9"/>
    <tableColumn id="10" xr3:uid="{7B2D600A-B107-4DC3-8590-A420F525BDED}" uniqueName="10" name="EmployeeNumber" queryTableFieldId="10"/>
    <tableColumn id="11" xr3:uid="{648DCB7A-C793-432F-A770-A5E02CCE0F95}" uniqueName="11" name="EnvironmentSatisfaction" queryTableFieldId="11"/>
    <tableColumn id="12" xr3:uid="{3054B92F-9630-48FC-80B8-7273D8B4D9AA}" uniqueName="12" name="Gender" queryTableFieldId="12" dataDxfId="6"/>
    <tableColumn id="13" xr3:uid="{43C18349-1A04-40B8-A4E0-CDEB80FEBDFB}" uniqueName="13" name="HourlyRate" queryTableFieldId="13"/>
    <tableColumn id="14" xr3:uid="{3A8B4CA4-01AC-4A4E-9B27-D2C9667BB6C6}" uniqueName="14" name="JobInvolvement" queryTableFieldId="14"/>
    <tableColumn id="15" xr3:uid="{C916E0E1-BBEB-4D37-BF6D-FFAE4B1BEEAB}" uniqueName="15" name="JobLevel" queryTableFieldId="15"/>
    <tableColumn id="16" xr3:uid="{B7636B93-EACE-4457-99EF-D43AA5F3B182}" uniqueName="16" name="JobRole" queryTableFieldId="16" dataDxfId="5"/>
    <tableColumn id="17" xr3:uid="{E5ACDD62-CBC7-42AF-B872-319B7E79CD12}" uniqueName="17" name="JobSatisfaction" queryTableFieldId="17"/>
    <tableColumn id="18" xr3:uid="{D469AAB4-B895-4E00-BC6E-5A11407A69FD}" uniqueName="18" name="MaritalStatus" queryTableFieldId="18" dataDxfId="4"/>
    <tableColumn id="19" xr3:uid="{B15807FD-6BBB-4D5C-9EBE-BBADEDEA8A72}" uniqueName="19" name="MonthlyIncome" queryTableFieldId="19"/>
    <tableColumn id="39" xr3:uid="{85D14FF9-701A-4800-AD27-A90557515539}" uniqueName="39" name="Column1" queryTableFieldId="39" dataDxfId="3">
      <calculatedColumnFormula array="1">_xlfn.IFS(WA_Fn_UseC__HR_Employee_Attrition[[#This Row],[MonthlyIncome]]&lt;3000,"Low",WA_Fn_UseC__HR_Employee_Attrition[[#This Row],[MonthlyIncome]]&lt;6000,"Medium",WA_Fn_UseC__HR_Employee_Attrition[[#This Row],[MonthlyIncome]]&gt;6000,"High")</calculatedColumnFormula>
    </tableColumn>
    <tableColumn id="20" xr3:uid="{B302FAB4-D86C-4E46-B099-0C98C810B8C0}" uniqueName="20" name="MonthlyRate" queryTableFieldId="20"/>
    <tableColumn id="21" xr3:uid="{16772BB0-233A-4684-AF84-B2077F0B9D00}" uniqueName="21" name="NumCompaniesWorked" queryTableFieldId="21"/>
    <tableColumn id="22" xr3:uid="{83C81BB5-A6A0-472D-9DAE-FC7D48DD8F58}" uniqueName="22" name="Over18" queryTableFieldId="22" dataDxfId="2"/>
    <tableColumn id="23" xr3:uid="{D88AB53A-EF08-4CDD-A4D4-36B8DD96C979}" uniqueName="23" name="OverTime" queryTableFieldId="23" dataDxfId="1"/>
    <tableColumn id="24" xr3:uid="{0A026622-B8EB-4068-8895-2BFD44229BD7}" uniqueName="24" name="PercentSalaryHike" queryTableFieldId="24"/>
    <tableColumn id="25" xr3:uid="{542EC530-678E-4393-91CF-45D6D06E28E4}" uniqueName="25" name="PerformanceRating" queryTableFieldId="25"/>
    <tableColumn id="26" xr3:uid="{A535C406-CABB-4667-8E12-E0DA890B352B}" uniqueName="26" name="RelationshipSatisfaction" queryTableFieldId="26"/>
    <tableColumn id="27" xr3:uid="{6F166D21-C1E2-48A9-AFAD-425A5B742728}" uniqueName="27" name="StandardHours" queryTableFieldId="27"/>
    <tableColumn id="28" xr3:uid="{B4CE5230-CC68-4627-9690-0242D5207C9A}" uniqueName="28" name="StockOptionLevel" queryTableFieldId="28"/>
    <tableColumn id="29" xr3:uid="{25B2D2DB-6E14-417C-B9EA-B6A211A11B2F}" uniqueName="29" name="TotalWorkingYears" queryTableFieldId="29"/>
    <tableColumn id="30" xr3:uid="{B2BF7186-94DD-4743-A572-70B3E6ED4FCD}" uniqueName="30" name="TrainingTimesLastYear" queryTableFieldId="30"/>
    <tableColumn id="31" xr3:uid="{C6F3B440-3B43-4D26-A562-4DE20E26109C}" uniqueName="31" name="WorkLifeBalance" queryTableFieldId="31"/>
    <tableColumn id="32" xr3:uid="{F565F895-A588-4C95-9EC5-136EE5C39D34}" uniqueName="32" name="YearsAtCompany" queryTableFieldId="32"/>
    <tableColumn id="33" xr3:uid="{DC1BCBB6-BF57-47CD-AEF5-0363D5D945D8}" uniqueName="33" name="YearsInCurrentRole" queryTableFieldId="33"/>
    <tableColumn id="34" xr3:uid="{E8115E31-247A-4A90-9583-FCC8AEBA70C9}" uniqueName="34" name="YearsSinceLastPromotion" queryTableFieldId="34"/>
    <tableColumn id="37" xr3:uid="{5067A689-7041-4C08-B657-64979EBF6CE2}" uniqueName="37" name="salary" queryTableFieldId="38" dataDxfId="0">
      <calculatedColumnFormula array="1">_xlfn.IFS(WA_Fn_UseC__HR_Employee_Attrition[[#This Row],[MonthlyIncome]]&lt;3000,"Low",WA_Fn_UseC__HR_Employee_Attrition[[#This Row],[MonthlyIncome]]&lt;6000,"Medium",WA_Fn_UseC__HR_Employee_Attrition[[#This Row],[MonthlyIncome]]&gt;6000,"High")</calculatedColumnFormula>
    </tableColumn>
    <tableColumn id="35" xr3:uid="{6694114A-E83A-4FFC-8943-A4671C6FF3A7}" uniqueName="35" name="YearsWithCurrManager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7F20B-CB40-4732-9BD6-EAD7ED9EE766}">
  <dimension ref="A1:AM1471"/>
  <sheetViews>
    <sheetView topLeftCell="K1" zoomScale="97" workbookViewId="0">
      <selection activeCell="V14" sqref="V14"/>
    </sheetView>
  </sheetViews>
  <sheetFormatPr defaultRowHeight="15" x14ac:dyDescent="0.25"/>
  <cols>
    <col min="1" max="1" width="6.28515625" bestFit="1" customWidth="1"/>
    <col min="2" max="2" width="10.140625" bestFit="1" customWidth="1"/>
    <col min="3" max="3" width="15.7109375" bestFit="1" customWidth="1"/>
    <col min="4" max="4" width="11.28515625" bestFit="1" customWidth="1"/>
    <col min="5" max="5" width="21.42578125" bestFit="1" customWidth="1"/>
    <col min="6" max="6" width="21.42578125" customWidth="1"/>
    <col min="7" max="7" width="20.140625" bestFit="1" customWidth="1"/>
    <col min="8" max="8" width="11.5703125" bestFit="1" customWidth="1"/>
    <col min="9" max="9" width="15.85546875" bestFit="1" customWidth="1"/>
    <col min="10" max="10" width="31.85546875" customWidth="1"/>
    <col min="11" max="11" width="16.42578125" bestFit="1" customWidth="1"/>
    <col min="12" max="12" width="18.28515625" bestFit="1" customWidth="1"/>
    <col min="13" max="13" width="24" bestFit="1" customWidth="1"/>
    <col min="14" max="14" width="9.28515625" bestFit="1" customWidth="1"/>
    <col min="15" max="15" width="12.42578125" bestFit="1" customWidth="1"/>
    <col min="16" max="16" width="16.28515625" bestFit="1" customWidth="1"/>
    <col min="17" max="17" width="10.28515625" bestFit="1" customWidth="1"/>
    <col min="18" max="18" width="22.7109375" bestFit="1" customWidth="1"/>
    <col min="19" max="19" width="16.140625" bestFit="1" customWidth="1"/>
    <col min="20" max="20" width="14.42578125" bestFit="1" customWidth="1"/>
    <col min="21" max="21" width="16.140625" bestFit="1" customWidth="1"/>
    <col min="22" max="22" width="16.140625" customWidth="1"/>
    <col min="23" max="23" width="13.5703125" bestFit="1" customWidth="1"/>
    <col min="24" max="24" width="23.28515625" bestFit="1" customWidth="1"/>
    <col min="25" max="25" width="9.140625" bestFit="1" customWidth="1"/>
    <col min="26" max="26" width="11.28515625" bestFit="1" customWidth="1"/>
    <col min="27" max="27" width="18.85546875" bestFit="1" customWidth="1"/>
    <col min="28" max="28" width="19.28515625" bestFit="1" customWidth="1"/>
    <col min="29" max="29" width="24" bestFit="1" customWidth="1"/>
    <col min="30" max="30" width="15.85546875" bestFit="1" customWidth="1"/>
    <col min="31" max="31" width="18.140625" bestFit="1" customWidth="1"/>
    <col min="32" max="32" width="18.7109375" bestFit="1" customWidth="1"/>
    <col min="33" max="33" width="22.140625" bestFit="1" customWidth="1"/>
    <col min="34" max="34" width="17.28515625" bestFit="1" customWidth="1"/>
    <col min="35" max="35" width="17.5703125" bestFit="1" customWidth="1"/>
    <col min="36" max="36" width="19.42578125" bestFit="1" customWidth="1"/>
    <col min="37" max="37" width="24.85546875" bestFit="1" customWidth="1"/>
    <col min="38" max="38" width="24.85546875" customWidth="1"/>
    <col min="39" max="39" width="22.425781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118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119</v>
      </c>
      <c r="AM1" t="s">
        <v>35</v>
      </c>
    </row>
    <row r="2" spans="1:39" x14ac:dyDescent="0.25">
      <c r="A2">
        <v>41</v>
      </c>
      <c r="B2" t="s">
        <v>36</v>
      </c>
      <c r="C2" t="s">
        <v>37</v>
      </c>
      <c r="D2">
        <v>1102</v>
      </c>
      <c r="E2" t="s">
        <v>38</v>
      </c>
      <c r="G2">
        <v>1</v>
      </c>
      <c r="H2">
        <v>2</v>
      </c>
      <c r="I2" t="s">
        <v>39</v>
      </c>
      <c r="J2" t="str">
        <f>WA_Fn_UseC__HR_Employee_Attrition[[#This Row],[EducationField]]&amp;"-"&amp;WA_Fn_UseC__HR_Employee_Attrition[[#This Row],[Department]]</f>
        <v>Life Sciences-Sales</v>
      </c>
      <c r="K2">
        <v>1</v>
      </c>
      <c r="L2">
        <v>1</v>
      </c>
      <c r="M2">
        <v>2</v>
      </c>
      <c r="N2" t="s">
        <v>40</v>
      </c>
      <c r="O2">
        <v>94</v>
      </c>
      <c r="P2">
        <v>3</v>
      </c>
      <c r="Q2">
        <v>2</v>
      </c>
      <c r="R2" t="s">
        <v>41</v>
      </c>
      <c r="S2">
        <v>4</v>
      </c>
      <c r="T2" t="s">
        <v>42</v>
      </c>
      <c r="U2">
        <v>5993</v>
      </c>
      <c r="V2" t="str" cm="1">
        <f t="array" ref="V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">
        <v>19479</v>
      </c>
      <c r="X2">
        <v>8</v>
      </c>
      <c r="Y2" t="s">
        <v>43</v>
      </c>
      <c r="Z2" t="s">
        <v>36</v>
      </c>
      <c r="AA2">
        <v>11</v>
      </c>
      <c r="AB2">
        <v>3</v>
      </c>
      <c r="AC2">
        <v>1</v>
      </c>
      <c r="AD2">
        <v>80</v>
      </c>
      <c r="AE2">
        <v>0</v>
      </c>
      <c r="AF2">
        <v>8</v>
      </c>
      <c r="AG2">
        <v>0</v>
      </c>
      <c r="AH2">
        <v>1</v>
      </c>
      <c r="AI2">
        <v>6</v>
      </c>
      <c r="AJ2">
        <v>4</v>
      </c>
      <c r="AK2">
        <v>0</v>
      </c>
      <c r="AM2">
        <v>5</v>
      </c>
    </row>
    <row r="3" spans="1:39" x14ac:dyDescent="0.25">
      <c r="A3">
        <v>49</v>
      </c>
      <c r="B3" t="s">
        <v>44</v>
      </c>
      <c r="C3" t="s">
        <v>45</v>
      </c>
      <c r="D3">
        <v>279</v>
      </c>
      <c r="E3" t="s">
        <v>46</v>
      </c>
      <c r="G3">
        <v>8</v>
      </c>
      <c r="H3">
        <v>1</v>
      </c>
      <c r="I3" t="s">
        <v>39</v>
      </c>
      <c r="J3" t="str">
        <f>WA_Fn_UseC__HR_Employee_Attrition[[#This Row],[EducationField]]&amp;"-"&amp;WA_Fn_UseC__HR_Employee_Attrition[[#This Row],[Department]]</f>
        <v>Life Sciences-Research &amp; Development</v>
      </c>
      <c r="K3">
        <v>1</v>
      </c>
      <c r="L3">
        <v>2</v>
      </c>
      <c r="M3">
        <v>3</v>
      </c>
      <c r="N3" t="s">
        <v>47</v>
      </c>
      <c r="O3">
        <v>61</v>
      </c>
      <c r="P3">
        <v>2</v>
      </c>
      <c r="Q3">
        <v>2</v>
      </c>
      <c r="R3" t="s">
        <v>48</v>
      </c>
      <c r="S3">
        <v>2</v>
      </c>
      <c r="T3" t="s">
        <v>49</v>
      </c>
      <c r="U3">
        <v>5130</v>
      </c>
      <c r="V3" t="str" cm="1">
        <f t="array" ref="V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">
        <v>24907</v>
      </c>
      <c r="X3">
        <v>1</v>
      </c>
      <c r="Y3" t="s">
        <v>43</v>
      </c>
      <c r="Z3" t="s">
        <v>44</v>
      </c>
      <c r="AA3">
        <v>23</v>
      </c>
      <c r="AB3">
        <v>4</v>
      </c>
      <c r="AC3">
        <v>4</v>
      </c>
      <c r="AD3">
        <v>80</v>
      </c>
      <c r="AE3">
        <v>1</v>
      </c>
      <c r="AF3">
        <v>10</v>
      </c>
      <c r="AG3">
        <v>3</v>
      </c>
      <c r="AH3">
        <v>3</v>
      </c>
      <c r="AI3">
        <v>10</v>
      </c>
      <c r="AJ3">
        <v>7</v>
      </c>
      <c r="AK3">
        <v>1</v>
      </c>
      <c r="AL3" t="str" cm="1">
        <f t="array" ref="AL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">
        <v>7</v>
      </c>
    </row>
    <row r="4" spans="1:39" x14ac:dyDescent="0.25">
      <c r="A4">
        <v>37</v>
      </c>
      <c r="B4" t="s">
        <v>36</v>
      </c>
      <c r="C4" t="s">
        <v>37</v>
      </c>
      <c r="D4">
        <v>1373</v>
      </c>
      <c r="E4" t="s">
        <v>46</v>
      </c>
      <c r="G4">
        <v>2</v>
      </c>
      <c r="H4">
        <v>2</v>
      </c>
      <c r="I4" t="s">
        <v>50</v>
      </c>
      <c r="J4" t="str">
        <f>WA_Fn_UseC__HR_Employee_Attrition[[#This Row],[EducationField]]&amp;"-"&amp;WA_Fn_UseC__HR_Employee_Attrition[[#This Row],[Department]]</f>
        <v>Other-Research &amp; Development</v>
      </c>
      <c r="K4">
        <v>1</v>
      </c>
      <c r="L4">
        <v>4</v>
      </c>
      <c r="M4">
        <v>4</v>
      </c>
      <c r="N4" t="s">
        <v>47</v>
      </c>
      <c r="O4">
        <v>92</v>
      </c>
      <c r="P4">
        <v>2</v>
      </c>
      <c r="Q4">
        <v>1</v>
      </c>
      <c r="R4" t="s">
        <v>51</v>
      </c>
      <c r="S4">
        <v>3</v>
      </c>
      <c r="T4" t="s">
        <v>42</v>
      </c>
      <c r="U4">
        <v>2090</v>
      </c>
      <c r="V4" t="str" cm="1">
        <f t="array" ref="V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">
        <v>2396</v>
      </c>
      <c r="X4">
        <v>6</v>
      </c>
      <c r="Y4" t="s">
        <v>43</v>
      </c>
      <c r="Z4" t="s">
        <v>36</v>
      </c>
      <c r="AA4">
        <v>15</v>
      </c>
      <c r="AB4">
        <v>3</v>
      </c>
      <c r="AC4">
        <v>2</v>
      </c>
      <c r="AD4">
        <v>80</v>
      </c>
      <c r="AE4">
        <v>0</v>
      </c>
      <c r="AF4">
        <v>7</v>
      </c>
      <c r="AG4">
        <v>3</v>
      </c>
      <c r="AH4">
        <v>3</v>
      </c>
      <c r="AI4">
        <v>0</v>
      </c>
      <c r="AJ4">
        <v>0</v>
      </c>
      <c r="AK4">
        <v>0</v>
      </c>
      <c r="AL4" t="str" cm="1">
        <f t="array" ref="AL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">
        <v>0</v>
      </c>
    </row>
    <row r="5" spans="1:39" x14ac:dyDescent="0.25">
      <c r="A5">
        <v>33</v>
      </c>
      <c r="B5" t="s">
        <v>44</v>
      </c>
      <c r="C5" t="s">
        <v>45</v>
      </c>
      <c r="D5">
        <v>1392</v>
      </c>
      <c r="E5" t="s">
        <v>46</v>
      </c>
      <c r="G5">
        <v>3</v>
      </c>
      <c r="H5">
        <v>4</v>
      </c>
      <c r="I5" t="s">
        <v>39</v>
      </c>
      <c r="J5" t="str">
        <f>WA_Fn_UseC__HR_Employee_Attrition[[#This Row],[EducationField]]&amp;"-"&amp;WA_Fn_UseC__HR_Employee_Attrition[[#This Row],[Department]]</f>
        <v>Life Sciences-Research &amp; Development</v>
      </c>
      <c r="K5">
        <v>1</v>
      </c>
      <c r="L5">
        <v>5</v>
      </c>
      <c r="M5">
        <v>4</v>
      </c>
      <c r="N5" t="s">
        <v>40</v>
      </c>
      <c r="O5">
        <v>56</v>
      </c>
      <c r="P5">
        <v>3</v>
      </c>
      <c r="Q5">
        <v>1</v>
      </c>
      <c r="R5" t="s">
        <v>48</v>
      </c>
      <c r="S5">
        <v>3</v>
      </c>
      <c r="T5" t="s">
        <v>49</v>
      </c>
      <c r="U5">
        <v>2909</v>
      </c>
      <c r="V5" t="str" cm="1">
        <f t="array" ref="V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">
        <v>23159</v>
      </c>
      <c r="X5">
        <v>1</v>
      </c>
      <c r="Y5" t="s">
        <v>43</v>
      </c>
      <c r="Z5" t="s">
        <v>36</v>
      </c>
      <c r="AA5">
        <v>11</v>
      </c>
      <c r="AB5">
        <v>3</v>
      </c>
      <c r="AC5">
        <v>3</v>
      </c>
      <c r="AD5">
        <v>80</v>
      </c>
      <c r="AE5">
        <v>0</v>
      </c>
      <c r="AF5">
        <v>8</v>
      </c>
      <c r="AG5">
        <v>3</v>
      </c>
      <c r="AH5">
        <v>3</v>
      </c>
      <c r="AI5">
        <v>8</v>
      </c>
      <c r="AJ5">
        <v>7</v>
      </c>
      <c r="AK5">
        <v>3</v>
      </c>
      <c r="AL5" t="str" cm="1">
        <f t="array" ref="AL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">
        <v>0</v>
      </c>
    </row>
    <row r="6" spans="1:39" x14ac:dyDescent="0.25">
      <c r="A6">
        <v>27</v>
      </c>
      <c r="B6" t="s">
        <v>44</v>
      </c>
      <c r="C6" t="s">
        <v>37</v>
      </c>
      <c r="D6">
        <v>591</v>
      </c>
      <c r="E6" t="s">
        <v>46</v>
      </c>
      <c r="G6">
        <v>2</v>
      </c>
      <c r="H6">
        <v>1</v>
      </c>
      <c r="I6" t="s">
        <v>52</v>
      </c>
      <c r="J6" t="str">
        <f>WA_Fn_UseC__HR_Employee_Attrition[[#This Row],[EducationField]]&amp;"-"&amp;WA_Fn_UseC__HR_Employee_Attrition[[#This Row],[Department]]</f>
        <v>Medical-Research &amp; Development</v>
      </c>
      <c r="K6">
        <v>1</v>
      </c>
      <c r="L6">
        <v>7</v>
      </c>
      <c r="M6">
        <v>1</v>
      </c>
      <c r="N6" t="s">
        <v>47</v>
      </c>
      <c r="O6">
        <v>40</v>
      </c>
      <c r="P6">
        <v>3</v>
      </c>
      <c r="Q6">
        <v>1</v>
      </c>
      <c r="R6" t="s">
        <v>51</v>
      </c>
      <c r="S6">
        <v>2</v>
      </c>
      <c r="T6" t="s">
        <v>49</v>
      </c>
      <c r="U6">
        <v>3468</v>
      </c>
      <c r="V6" t="str" cm="1">
        <f t="array" ref="V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">
        <v>16632</v>
      </c>
      <c r="X6">
        <v>9</v>
      </c>
      <c r="Y6" t="s">
        <v>43</v>
      </c>
      <c r="Z6" t="s">
        <v>44</v>
      </c>
      <c r="AA6">
        <v>12</v>
      </c>
      <c r="AB6">
        <v>3</v>
      </c>
      <c r="AC6">
        <v>4</v>
      </c>
      <c r="AD6">
        <v>80</v>
      </c>
      <c r="AE6">
        <v>1</v>
      </c>
      <c r="AF6">
        <v>6</v>
      </c>
      <c r="AG6">
        <v>3</v>
      </c>
      <c r="AH6">
        <v>3</v>
      </c>
      <c r="AI6">
        <v>2</v>
      </c>
      <c r="AJ6">
        <v>2</v>
      </c>
      <c r="AK6">
        <v>2</v>
      </c>
      <c r="AL6" t="str" cm="1">
        <f t="array" ref="AL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">
        <v>2</v>
      </c>
    </row>
    <row r="7" spans="1:39" x14ac:dyDescent="0.25">
      <c r="A7">
        <v>32</v>
      </c>
      <c r="B7" t="s">
        <v>44</v>
      </c>
      <c r="C7" t="s">
        <v>45</v>
      </c>
      <c r="D7">
        <v>1005</v>
      </c>
      <c r="E7" t="s">
        <v>46</v>
      </c>
      <c r="G7">
        <v>2</v>
      </c>
      <c r="H7">
        <v>2</v>
      </c>
      <c r="I7" t="s">
        <v>39</v>
      </c>
      <c r="J7" t="str">
        <f>WA_Fn_UseC__HR_Employee_Attrition[[#This Row],[EducationField]]&amp;"-"&amp;WA_Fn_UseC__HR_Employee_Attrition[[#This Row],[Department]]</f>
        <v>Life Sciences-Research &amp; Development</v>
      </c>
      <c r="K7">
        <v>1</v>
      </c>
      <c r="L7">
        <v>8</v>
      </c>
      <c r="M7">
        <v>4</v>
      </c>
      <c r="N7" t="s">
        <v>47</v>
      </c>
      <c r="O7">
        <v>79</v>
      </c>
      <c r="P7">
        <v>3</v>
      </c>
      <c r="Q7">
        <v>1</v>
      </c>
      <c r="R7" t="s">
        <v>51</v>
      </c>
      <c r="S7">
        <v>4</v>
      </c>
      <c r="T7" t="s">
        <v>42</v>
      </c>
      <c r="U7">
        <v>3068</v>
      </c>
      <c r="V7" t="str" cm="1">
        <f t="array" ref="V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">
        <v>11864</v>
      </c>
      <c r="X7">
        <v>0</v>
      </c>
      <c r="Y7" t="s">
        <v>43</v>
      </c>
      <c r="Z7" t="s">
        <v>44</v>
      </c>
      <c r="AA7">
        <v>13</v>
      </c>
      <c r="AB7">
        <v>3</v>
      </c>
      <c r="AC7">
        <v>3</v>
      </c>
      <c r="AD7">
        <v>80</v>
      </c>
      <c r="AE7">
        <v>0</v>
      </c>
      <c r="AF7">
        <v>8</v>
      </c>
      <c r="AG7">
        <v>2</v>
      </c>
      <c r="AH7">
        <v>2</v>
      </c>
      <c r="AI7">
        <v>7</v>
      </c>
      <c r="AJ7">
        <v>7</v>
      </c>
      <c r="AK7">
        <v>3</v>
      </c>
      <c r="AL7" t="str" cm="1">
        <f t="array" ref="AL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">
        <v>6</v>
      </c>
    </row>
    <row r="8" spans="1:39" x14ac:dyDescent="0.25">
      <c r="A8">
        <v>59</v>
      </c>
      <c r="B8" t="s">
        <v>44</v>
      </c>
      <c r="C8" t="s">
        <v>37</v>
      </c>
      <c r="D8">
        <v>1324</v>
      </c>
      <c r="E8" t="s">
        <v>46</v>
      </c>
      <c r="G8">
        <v>3</v>
      </c>
      <c r="H8">
        <v>3</v>
      </c>
      <c r="I8" t="s">
        <v>52</v>
      </c>
      <c r="J8" t="str">
        <f>WA_Fn_UseC__HR_Employee_Attrition[[#This Row],[EducationField]]&amp;"-"&amp;WA_Fn_UseC__HR_Employee_Attrition[[#This Row],[Department]]</f>
        <v>Medical-Research &amp; Development</v>
      </c>
      <c r="K8">
        <v>1</v>
      </c>
      <c r="L8">
        <v>10</v>
      </c>
      <c r="M8">
        <v>3</v>
      </c>
      <c r="N8" t="s">
        <v>40</v>
      </c>
      <c r="O8">
        <v>81</v>
      </c>
      <c r="P8">
        <v>4</v>
      </c>
      <c r="Q8">
        <v>1</v>
      </c>
      <c r="R8" t="s">
        <v>51</v>
      </c>
      <c r="S8">
        <v>1</v>
      </c>
      <c r="T8" t="s">
        <v>49</v>
      </c>
      <c r="U8">
        <v>2670</v>
      </c>
      <c r="V8" t="str" cm="1">
        <f t="array" ref="V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">
        <v>9964</v>
      </c>
      <c r="X8">
        <v>4</v>
      </c>
      <c r="Y8" t="s">
        <v>43</v>
      </c>
      <c r="Z8" t="s">
        <v>36</v>
      </c>
      <c r="AA8">
        <v>20</v>
      </c>
      <c r="AB8">
        <v>4</v>
      </c>
      <c r="AC8">
        <v>1</v>
      </c>
      <c r="AD8">
        <v>80</v>
      </c>
      <c r="AE8">
        <v>3</v>
      </c>
      <c r="AF8">
        <v>12</v>
      </c>
      <c r="AG8">
        <v>3</v>
      </c>
      <c r="AH8">
        <v>2</v>
      </c>
      <c r="AI8">
        <v>1</v>
      </c>
      <c r="AJ8">
        <v>0</v>
      </c>
      <c r="AK8">
        <v>0</v>
      </c>
      <c r="AL8" t="str" cm="1">
        <f t="array" ref="AL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">
        <v>0</v>
      </c>
    </row>
    <row r="9" spans="1:39" x14ac:dyDescent="0.25">
      <c r="A9">
        <v>30</v>
      </c>
      <c r="B9" t="s">
        <v>44</v>
      </c>
      <c r="C9" t="s">
        <v>37</v>
      </c>
      <c r="D9">
        <v>1358</v>
      </c>
      <c r="E9" t="s">
        <v>46</v>
      </c>
      <c r="G9">
        <v>24</v>
      </c>
      <c r="H9">
        <v>1</v>
      </c>
      <c r="I9" t="s">
        <v>39</v>
      </c>
      <c r="J9" t="str">
        <f>WA_Fn_UseC__HR_Employee_Attrition[[#This Row],[EducationField]]&amp;"-"&amp;WA_Fn_UseC__HR_Employee_Attrition[[#This Row],[Department]]</f>
        <v>Life Sciences-Research &amp; Development</v>
      </c>
      <c r="K9">
        <v>1</v>
      </c>
      <c r="L9">
        <v>11</v>
      </c>
      <c r="M9">
        <v>4</v>
      </c>
      <c r="N9" t="s">
        <v>47</v>
      </c>
      <c r="O9">
        <v>67</v>
      </c>
      <c r="P9">
        <v>3</v>
      </c>
      <c r="Q9">
        <v>1</v>
      </c>
      <c r="R9" t="s">
        <v>51</v>
      </c>
      <c r="S9">
        <v>3</v>
      </c>
      <c r="T9" t="s">
        <v>53</v>
      </c>
      <c r="U9">
        <v>2693</v>
      </c>
      <c r="V9" t="str" cm="1">
        <f t="array" ref="V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">
        <v>13335</v>
      </c>
      <c r="X9">
        <v>1</v>
      </c>
      <c r="Y9" t="s">
        <v>43</v>
      </c>
      <c r="Z9" t="s">
        <v>44</v>
      </c>
      <c r="AA9">
        <v>22</v>
      </c>
      <c r="AB9">
        <v>4</v>
      </c>
      <c r="AC9">
        <v>2</v>
      </c>
      <c r="AD9">
        <v>80</v>
      </c>
      <c r="AE9">
        <v>1</v>
      </c>
      <c r="AF9">
        <v>1</v>
      </c>
      <c r="AG9">
        <v>2</v>
      </c>
      <c r="AH9">
        <v>3</v>
      </c>
      <c r="AI9">
        <v>1</v>
      </c>
      <c r="AJ9">
        <v>0</v>
      </c>
      <c r="AK9">
        <v>0</v>
      </c>
      <c r="AL9" t="str" cm="1">
        <f t="array" ref="AL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">
        <v>0</v>
      </c>
    </row>
    <row r="10" spans="1:39" x14ac:dyDescent="0.25">
      <c r="A10">
        <v>38</v>
      </c>
      <c r="B10" t="s">
        <v>44</v>
      </c>
      <c r="C10" t="s">
        <v>45</v>
      </c>
      <c r="D10">
        <v>216</v>
      </c>
      <c r="E10" t="s">
        <v>46</v>
      </c>
      <c r="G10">
        <v>23</v>
      </c>
      <c r="H10">
        <v>3</v>
      </c>
      <c r="I10" t="s">
        <v>39</v>
      </c>
      <c r="J10" t="str">
        <f>WA_Fn_UseC__HR_Employee_Attrition[[#This Row],[EducationField]]&amp;"-"&amp;WA_Fn_UseC__HR_Employee_Attrition[[#This Row],[Department]]</f>
        <v>Life Sciences-Research &amp; Development</v>
      </c>
      <c r="K10">
        <v>1</v>
      </c>
      <c r="L10">
        <v>12</v>
      </c>
      <c r="M10">
        <v>4</v>
      </c>
      <c r="N10" t="s">
        <v>47</v>
      </c>
      <c r="O10">
        <v>44</v>
      </c>
      <c r="P10">
        <v>2</v>
      </c>
      <c r="Q10">
        <v>3</v>
      </c>
      <c r="R10" t="s">
        <v>54</v>
      </c>
      <c r="S10">
        <v>3</v>
      </c>
      <c r="T10" t="s">
        <v>42</v>
      </c>
      <c r="U10">
        <v>9526</v>
      </c>
      <c r="V10" t="str" cm="1">
        <f t="array" ref="V1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">
        <v>8787</v>
      </c>
      <c r="X10">
        <v>0</v>
      </c>
      <c r="Y10" t="s">
        <v>43</v>
      </c>
      <c r="Z10" t="s">
        <v>44</v>
      </c>
      <c r="AA10">
        <v>21</v>
      </c>
      <c r="AB10">
        <v>4</v>
      </c>
      <c r="AC10">
        <v>2</v>
      </c>
      <c r="AD10">
        <v>80</v>
      </c>
      <c r="AE10">
        <v>0</v>
      </c>
      <c r="AF10">
        <v>10</v>
      </c>
      <c r="AG10">
        <v>2</v>
      </c>
      <c r="AH10">
        <v>3</v>
      </c>
      <c r="AI10">
        <v>9</v>
      </c>
      <c r="AJ10">
        <v>7</v>
      </c>
      <c r="AK10">
        <v>1</v>
      </c>
      <c r="AL10" t="str" cm="1">
        <f t="array" ref="AL1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">
        <v>8</v>
      </c>
    </row>
    <row r="11" spans="1:39" x14ac:dyDescent="0.25">
      <c r="A11">
        <v>36</v>
      </c>
      <c r="B11" t="s">
        <v>44</v>
      </c>
      <c r="C11" t="s">
        <v>37</v>
      </c>
      <c r="D11">
        <v>1299</v>
      </c>
      <c r="E11" t="s">
        <v>46</v>
      </c>
      <c r="G11">
        <v>27</v>
      </c>
      <c r="H11">
        <v>3</v>
      </c>
      <c r="I11" t="s">
        <v>52</v>
      </c>
      <c r="J11" t="str">
        <f>WA_Fn_UseC__HR_Employee_Attrition[[#This Row],[EducationField]]&amp;"-"&amp;WA_Fn_UseC__HR_Employee_Attrition[[#This Row],[Department]]</f>
        <v>Medical-Research &amp; Development</v>
      </c>
      <c r="K11">
        <v>1</v>
      </c>
      <c r="L11">
        <v>13</v>
      </c>
      <c r="M11">
        <v>3</v>
      </c>
      <c r="N11" t="s">
        <v>47</v>
      </c>
      <c r="O11">
        <v>94</v>
      </c>
      <c r="P11">
        <v>3</v>
      </c>
      <c r="Q11">
        <v>2</v>
      </c>
      <c r="R11" t="s">
        <v>55</v>
      </c>
      <c r="S11">
        <v>3</v>
      </c>
      <c r="T11" t="s">
        <v>49</v>
      </c>
      <c r="U11">
        <v>5237</v>
      </c>
      <c r="V11" t="str" cm="1">
        <f t="array" ref="V1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">
        <v>16577</v>
      </c>
      <c r="X11">
        <v>6</v>
      </c>
      <c r="Y11" t="s">
        <v>43</v>
      </c>
      <c r="Z11" t="s">
        <v>44</v>
      </c>
      <c r="AA11">
        <v>13</v>
      </c>
      <c r="AB11">
        <v>3</v>
      </c>
      <c r="AC11">
        <v>2</v>
      </c>
      <c r="AD11">
        <v>80</v>
      </c>
      <c r="AE11">
        <v>2</v>
      </c>
      <c r="AF11">
        <v>17</v>
      </c>
      <c r="AG11">
        <v>3</v>
      </c>
      <c r="AH11">
        <v>2</v>
      </c>
      <c r="AI11">
        <v>7</v>
      </c>
      <c r="AJ11">
        <v>7</v>
      </c>
      <c r="AK11">
        <v>7</v>
      </c>
      <c r="AL11" t="str" cm="1">
        <f t="array" ref="AL1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">
        <v>7</v>
      </c>
    </row>
    <row r="12" spans="1:39" x14ac:dyDescent="0.25">
      <c r="A12">
        <v>35</v>
      </c>
      <c r="B12" t="s">
        <v>44</v>
      </c>
      <c r="C12" t="s">
        <v>37</v>
      </c>
      <c r="D12">
        <v>809</v>
      </c>
      <c r="E12" t="s">
        <v>46</v>
      </c>
      <c r="G12">
        <v>16</v>
      </c>
      <c r="H12">
        <v>3</v>
      </c>
      <c r="I12" t="s">
        <v>52</v>
      </c>
      <c r="J12" t="str">
        <f>WA_Fn_UseC__HR_Employee_Attrition[[#This Row],[EducationField]]&amp;"-"&amp;WA_Fn_UseC__HR_Employee_Attrition[[#This Row],[Department]]</f>
        <v>Medical-Research &amp; Development</v>
      </c>
      <c r="K12">
        <v>1</v>
      </c>
      <c r="L12">
        <v>14</v>
      </c>
      <c r="M12">
        <v>1</v>
      </c>
      <c r="N12" t="s">
        <v>47</v>
      </c>
      <c r="O12">
        <v>84</v>
      </c>
      <c r="P12">
        <v>4</v>
      </c>
      <c r="Q12">
        <v>1</v>
      </c>
      <c r="R12" t="s">
        <v>51</v>
      </c>
      <c r="S12">
        <v>2</v>
      </c>
      <c r="T12" t="s">
        <v>49</v>
      </c>
      <c r="U12">
        <v>2426</v>
      </c>
      <c r="V12" t="str" cm="1">
        <f t="array" ref="V1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">
        <v>16479</v>
      </c>
      <c r="X12">
        <v>0</v>
      </c>
      <c r="Y12" t="s">
        <v>43</v>
      </c>
      <c r="Z12" t="s">
        <v>44</v>
      </c>
      <c r="AA12">
        <v>13</v>
      </c>
      <c r="AB12">
        <v>3</v>
      </c>
      <c r="AC12">
        <v>3</v>
      </c>
      <c r="AD12">
        <v>80</v>
      </c>
      <c r="AE12">
        <v>1</v>
      </c>
      <c r="AF12">
        <v>6</v>
      </c>
      <c r="AG12">
        <v>5</v>
      </c>
      <c r="AH12">
        <v>3</v>
      </c>
      <c r="AI12">
        <v>5</v>
      </c>
      <c r="AJ12">
        <v>4</v>
      </c>
      <c r="AK12">
        <v>0</v>
      </c>
      <c r="AL12" t="str" cm="1">
        <f t="array" ref="AL1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">
        <v>3</v>
      </c>
    </row>
    <row r="13" spans="1:39" x14ac:dyDescent="0.25">
      <c r="A13">
        <v>29</v>
      </c>
      <c r="B13" t="s">
        <v>44</v>
      </c>
      <c r="C13" t="s">
        <v>37</v>
      </c>
      <c r="D13">
        <v>153</v>
      </c>
      <c r="E13" t="s">
        <v>46</v>
      </c>
      <c r="G13">
        <v>15</v>
      </c>
      <c r="H13">
        <v>2</v>
      </c>
      <c r="I13" t="s">
        <v>39</v>
      </c>
      <c r="J13" t="str">
        <f>WA_Fn_UseC__HR_Employee_Attrition[[#This Row],[EducationField]]&amp;"-"&amp;WA_Fn_UseC__HR_Employee_Attrition[[#This Row],[Department]]</f>
        <v>Life Sciences-Research &amp; Development</v>
      </c>
      <c r="K13">
        <v>1</v>
      </c>
      <c r="L13">
        <v>15</v>
      </c>
      <c r="M13">
        <v>4</v>
      </c>
      <c r="N13" t="s">
        <v>40</v>
      </c>
      <c r="O13">
        <v>49</v>
      </c>
      <c r="P13">
        <v>2</v>
      </c>
      <c r="Q13">
        <v>2</v>
      </c>
      <c r="R13" t="s">
        <v>51</v>
      </c>
      <c r="S13">
        <v>3</v>
      </c>
      <c r="T13" t="s">
        <v>42</v>
      </c>
      <c r="U13">
        <v>4193</v>
      </c>
      <c r="V13" t="str" cm="1">
        <f t="array" ref="V1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">
        <v>12682</v>
      </c>
      <c r="X13">
        <v>0</v>
      </c>
      <c r="Y13" t="s">
        <v>43</v>
      </c>
      <c r="Z13" t="s">
        <v>36</v>
      </c>
      <c r="AA13">
        <v>12</v>
      </c>
      <c r="AB13">
        <v>3</v>
      </c>
      <c r="AC13">
        <v>4</v>
      </c>
      <c r="AD13">
        <v>80</v>
      </c>
      <c r="AE13">
        <v>0</v>
      </c>
      <c r="AF13">
        <v>10</v>
      </c>
      <c r="AG13">
        <v>3</v>
      </c>
      <c r="AH13">
        <v>3</v>
      </c>
      <c r="AI13">
        <v>9</v>
      </c>
      <c r="AJ13">
        <v>5</v>
      </c>
      <c r="AK13">
        <v>0</v>
      </c>
      <c r="AL13" t="str" cm="1">
        <f t="array" ref="AL1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">
        <v>8</v>
      </c>
    </row>
    <row r="14" spans="1:39" x14ac:dyDescent="0.25">
      <c r="A14">
        <v>31</v>
      </c>
      <c r="B14" t="s">
        <v>44</v>
      </c>
      <c r="C14" t="s">
        <v>37</v>
      </c>
      <c r="D14">
        <v>670</v>
      </c>
      <c r="E14" t="s">
        <v>46</v>
      </c>
      <c r="G14">
        <v>26</v>
      </c>
      <c r="H14">
        <v>1</v>
      </c>
      <c r="I14" t="s">
        <v>39</v>
      </c>
      <c r="J14" t="str">
        <f>WA_Fn_UseC__HR_Employee_Attrition[[#This Row],[EducationField]]&amp;"-"&amp;WA_Fn_UseC__HR_Employee_Attrition[[#This Row],[Department]]</f>
        <v>Life Sciences-Research &amp; Development</v>
      </c>
      <c r="K14">
        <v>1</v>
      </c>
      <c r="L14">
        <v>16</v>
      </c>
      <c r="M14">
        <v>1</v>
      </c>
      <c r="N14" t="s">
        <v>47</v>
      </c>
      <c r="O14">
        <v>31</v>
      </c>
      <c r="P14">
        <v>3</v>
      </c>
      <c r="Q14">
        <v>1</v>
      </c>
      <c r="R14" t="s">
        <v>48</v>
      </c>
      <c r="S14">
        <v>3</v>
      </c>
      <c r="T14" t="s">
        <v>53</v>
      </c>
      <c r="U14">
        <v>2911</v>
      </c>
      <c r="V14" t="str" cm="1">
        <f t="array" ref="V1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">
        <v>15170</v>
      </c>
      <c r="X14">
        <v>1</v>
      </c>
      <c r="Y14" t="s">
        <v>43</v>
      </c>
      <c r="Z14" t="s">
        <v>44</v>
      </c>
      <c r="AA14">
        <v>17</v>
      </c>
      <c r="AB14">
        <v>3</v>
      </c>
      <c r="AC14">
        <v>4</v>
      </c>
      <c r="AD14">
        <v>80</v>
      </c>
      <c r="AE14">
        <v>1</v>
      </c>
      <c r="AF14">
        <v>5</v>
      </c>
      <c r="AG14">
        <v>1</v>
      </c>
      <c r="AH14">
        <v>2</v>
      </c>
      <c r="AI14">
        <v>5</v>
      </c>
      <c r="AJ14">
        <v>2</v>
      </c>
      <c r="AK14">
        <v>4</v>
      </c>
      <c r="AL14" t="str" cm="1">
        <f t="array" ref="AL1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">
        <v>3</v>
      </c>
    </row>
    <row r="15" spans="1:39" x14ac:dyDescent="0.25">
      <c r="A15">
        <v>34</v>
      </c>
      <c r="B15" t="s">
        <v>44</v>
      </c>
      <c r="C15" t="s">
        <v>37</v>
      </c>
      <c r="D15">
        <v>1346</v>
      </c>
      <c r="E15" t="s">
        <v>46</v>
      </c>
      <c r="G15">
        <v>19</v>
      </c>
      <c r="H15">
        <v>2</v>
      </c>
      <c r="I15" t="s">
        <v>52</v>
      </c>
      <c r="J15" t="str">
        <f>WA_Fn_UseC__HR_Employee_Attrition[[#This Row],[EducationField]]&amp;"-"&amp;WA_Fn_UseC__HR_Employee_Attrition[[#This Row],[Department]]</f>
        <v>Medical-Research &amp; Development</v>
      </c>
      <c r="K15">
        <v>1</v>
      </c>
      <c r="L15">
        <v>18</v>
      </c>
      <c r="M15">
        <v>2</v>
      </c>
      <c r="N15" t="s">
        <v>47</v>
      </c>
      <c r="O15">
        <v>93</v>
      </c>
      <c r="P15">
        <v>3</v>
      </c>
      <c r="Q15">
        <v>1</v>
      </c>
      <c r="R15" t="s">
        <v>51</v>
      </c>
      <c r="S15">
        <v>4</v>
      </c>
      <c r="T15" t="s">
        <v>53</v>
      </c>
      <c r="U15">
        <v>2661</v>
      </c>
      <c r="V15" t="str" cm="1">
        <f t="array" ref="V1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5">
        <v>8758</v>
      </c>
      <c r="X15">
        <v>0</v>
      </c>
      <c r="Y15" t="s">
        <v>43</v>
      </c>
      <c r="Z15" t="s">
        <v>44</v>
      </c>
      <c r="AA15">
        <v>11</v>
      </c>
      <c r="AB15">
        <v>3</v>
      </c>
      <c r="AC15">
        <v>3</v>
      </c>
      <c r="AD15">
        <v>80</v>
      </c>
      <c r="AE15">
        <v>1</v>
      </c>
      <c r="AF15">
        <v>3</v>
      </c>
      <c r="AG15">
        <v>2</v>
      </c>
      <c r="AH15">
        <v>3</v>
      </c>
      <c r="AI15">
        <v>2</v>
      </c>
      <c r="AJ15">
        <v>2</v>
      </c>
      <c r="AK15">
        <v>1</v>
      </c>
      <c r="AL15" t="str" cm="1">
        <f t="array" ref="AL1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5">
        <v>2</v>
      </c>
    </row>
    <row r="16" spans="1:39" x14ac:dyDescent="0.25">
      <c r="A16">
        <v>28</v>
      </c>
      <c r="B16" t="s">
        <v>36</v>
      </c>
      <c r="C16" t="s">
        <v>37</v>
      </c>
      <c r="D16">
        <v>103</v>
      </c>
      <c r="E16" t="s">
        <v>46</v>
      </c>
      <c r="G16">
        <v>24</v>
      </c>
      <c r="H16">
        <v>3</v>
      </c>
      <c r="I16" t="s">
        <v>39</v>
      </c>
      <c r="J16" t="str">
        <f>WA_Fn_UseC__HR_Employee_Attrition[[#This Row],[EducationField]]&amp;"-"&amp;WA_Fn_UseC__HR_Employee_Attrition[[#This Row],[Department]]</f>
        <v>Life Sciences-Research &amp; Development</v>
      </c>
      <c r="K16">
        <v>1</v>
      </c>
      <c r="L16">
        <v>19</v>
      </c>
      <c r="M16">
        <v>3</v>
      </c>
      <c r="N16" t="s">
        <v>47</v>
      </c>
      <c r="O16">
        <v>50</v>
      </c>
      <c r="P16">
        <v>2</v>
      </c>
      <c r="Q16">
        <v>1</v>
      </c>
      <c r="R16" t="s">
        <v>51</v>
      </c>
      <c r="S16">
        <v>3</v>
      </c>
      <c r="T16" t="s">
        <v>42</v>
      </c>
      <c r="U16">
        <v>2028</v>
      </c>
      <c r="V16" t="str" cm="1">
        <f t="array" ref="V1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6">
        <v>12947</v>
      </c>
      <c r="X16">
        <v>5</v>
      </c>
      <c r="Y16" t="s">
        <v>43</v>
      </c>
      <c r="Z16" t="s">
        <v>36</v>
      </c>
      <c r="AA16">
        <v>14</v>
      </c>
      <c r="AB16">
        <v>3</v>
      </c>
      <c r="AC16">
        <v>2</v>
      </c>
      <c r="AD16">
        <v>80</v>
      </c>
      <c r="AE16">
        <v>0</v>
      </c>
      <c r="AF16">
        <v>6</v>
      </c>
      <c r="AG16">
        <v>4</v>
      </c>
      <c r="AH16">
        <v>3</v>
      </c>
      <c r="AI16">
        <v>4</v>
      </c>
      <c r="AJ16">
        <v>2</v>
      </c>
      <c r="AK16">
        <v>0</v>
      </c>
      <c r="AL16" t="str" cm="1">
        <f t="array" ref="AL1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6">
        <v>3</v>
      </c>
    </row>
    <row r="17" spans="1:39" x14ac:dyDescent="0.25">
      <c r="A17">
        <v>29</v>
      </c>
      <c r="B17" t="s">
        <v>44</v>
      </c>
      <c r="C17" t="s">
        <v>37</v>
      </c>
      <c r="D17">
        <v>1389</v>
      </c>
      <c r="E17" t="s">
        <v>46</v>
      </c>
      <c r="G17">
        <v>21</v>
      </c>
      <c r="H17">
        <v>4</v>
      </c>
      <c r="I17" t="s">
        <v>39</v>
      </c>
      <c r="J17" t="str">
        <f>WA_Fn_UseC__HR_Employee_Attrition[[#This Row],[EducationField]]&amp;"-"&amp;WA_Fn_UseC__HR_Employee_Attrition[[#This Row],[Department]]</f>
        <v>Life Sciences-Research &amp; Development</v>
      </c>
      <c r="K17">
        <v>1</v>
      </c>
      <c r="L17">
        <v>20</v>
      </c>
      <c r="M17">
        <v>2</v>
      </c>
      <c r="N17" t="s">
        <v>40</v>
      </c>
      <c r="O17">
        <v>51</v>
      </c>
      <c r="P17">
        <v>4</v>
      </c>
      <c r="Q17">
        <v>3</v>
      </c>
      <c r="R17" t="s">
        <v>54</v>
      </c>
      <c r="S17">
        <v>1</v>
      </c>
      <c r="T17" t="s">
        <v>53</v>
      </c>
      <c r="U17">
        <v>9980</v>
      </c>
      <c r="V17" t="str" cm="1">
        <f t="array" ref="V1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7">
        <v>10195</v>
      </c>
      <c r="X17">
        <v>1</v>
      </c>
      <c r="Y17" t="s">
        <v>43</v>
      </c>
      <c r="Z17" t="s">
        <v>44</v>
      </c>
      <c r="AA17">
        <v>11</v>
      </c>
      <c r="AB17">
        <v>3</v>
      </c>
      <c r="AC17">
        <v>3</v>
      </c>
      <c r="AD17">
        <v>80</v>
      </c>
      <c r="AE17">
        <v>1</v>
      </c>
      <c r="AF17">
        <v>10</v>
      </c>
      <c r="AG17">
        <v>1</v>
      </c>
      <c r="AH17">
        <v>3</v>
      </c>
      <c r="AI17">
        <v>10</v>
      </c>
      <c r="AJ17">
        <v>9</v>
      </c>
      <c r="AK17">
        <v>8</v>
      </c>
      <c r="AL17" t="str" cm="1">
        <f t="array" ref="AL1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7">
        <v>8</v>
      </c>
    </row>
    <row r="18" spans="1:39" x14ac:dyDescent="0.25">
      <c r="A18">
        <v>32</v>
      </c>
      <c r="B18" t="s">
        <v>44</v>
      </c>
      <c r="C18" t="s">
        <v>37</v>
      </c>
      <c r="D18">
        <v>334</v>
      </c>
      <c r="E18" t="s">
        <v>46</v>
      </c>
      <c r="G18">
        <v>5</v>
      </c>
      <c r="H18">
        <v>2</v>
      </c>
      <c r="I18" t="s">
        <v>39</v>
      </c>
      <c r="J18" t="str">
        <f>WA_Fn_UseC__HR_Employee_Attrition[[#This Row],[EducationField]]&amp;"-"&amp;WA_Fn_UseC__HR_Employee_Attrition[[#This Row],[Department]]</f>
        <v>Life Sciences-Research &amp; Development</v>
      </c>
      <c r="K18">
        <v>1</v>
      </c>
      <c r="L18">
        <v>21</v>
      </c>
      <c r="M18">
        <v>1</v>
      </c>
      <c r="N18" t="s">
        <v>47</v>
      </c>
      <c r="O18">
        <v>80</v>
      </c>
      <c r="P18">
        <v>4</v>
      </c>
      <c r="Q18">
        <v>1</v>
      </c>
      <c r="R18" t="s">
        <v>48</v>
      </c>
      <c r="S18">
        <v>2</v>
      </c>
      <c r="T18" t="s">
        <v>53</v>
      </c>
      <c r="U18">
        <v>3298</v>
      </c>
      <c r="V18" t="str" cm="1">
        <f t="array" ref="V1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8">
        <v>15053</v>
      </c>
      <c r="X18">
        <v>0</v>
      </c>
      <c r="Y18" t="s">
        <v>43</v>
      </c>
      <c r="Z18" t="s">
        <v>36</v>
      </c>
      <c r="AA18">
        <v>12</v>
      </c>
      <c r="AB18">
        <v>3</v>
      </c>
      <c r="AC18">
        <v>4</v>
      </c>
      <c r="AD18">
        <v>80</v>
      </c>
      <c r="AE18">
        <v>2</v>
      </c>
      <c r="AF18">
        <v>7</v>
      </c>
      <c r="AG18">
        <v>5</v>
      </c>
      <c r="AH18">
        <v>2</v>
      </c>
      <c r="AI18">
        <v>6</v>
      </c>
      <c r="AJ18">
        <v>2</v>
      </c>
      <c r="AK18">
        <v>0</v>
      </c>
      <c r="AL18" t="str" cm="1">
        <f t="array" ref="AL1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8">
        <v>5</v>
      </c>
    </row>
    <row r="19" spans="1:39" x14ac:dyDescent="0.25">
      <c r="A19">
        <v>22</v>
      </c>
      <c r="B19" t="s">
        <v>44</v>
      </c>
      <c r="C19" t="s">
        <v>56</v>
      </c>
      <c r="D19">
        <v>1123</v>
      </c>
      <c r="E19" t="s">
        <v>46</v>
      </c>
      <c r="G19">
        <v>16</v>
      </c>
      <c r="H19">
        <v>2</v>
      </c>
      <c r="I19" t="s">
        <v>52</v>
      </c>
      <c r="J19" t="str">
        <f>WA_Fn_UseC__HR_Employee_Attrition[[#This Row],[EducationField]]&amp;"-"&amp;WA_Fn_UseC__HR_Employee_Attrition[[#This Row],[Department]]</f>
        <v>Medical-Research &amp; Development</v>
      </c>
      <c r="K19">
        <v>1</v>
      </c>
      <c r="L19">
        <v>22</v>
      </c>
      <c r="M19">
        <v>4</v>
      </c>
      <c r="N19" t="s">
        <v>47</v>
      </c>
      <c r="O19">
        <v>96</v>
      </c>
      <c r="P19">
        <v>4</v>
      </c>
      <c r="Q19">
        <v>1</v>
      </c>
      <c r="R19" t="s">
        <v>51</v>
      </c>
      <c r="S19">
        <v>4</v>
      </c>
      <c r="T19" t="s">
        <v>53</v>
      </c>
      <c r="U19">
        <v>2935</v>
      </c>
      <c r="V19" t="str" cm="1">
        <f t="array" ref="V1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9">
        <v>7324</v>
      </c>
      <c r="X19">
        <v>1</v>
      </c>
      <c r="Y19" t="s">
        <v>43</v>
      </c>
      <c r="Z19" t="s">
        <v>36</v>
      </c>
      <c r="AA19">
        <v>13</v>
      </c>
      <c r="AB19">
        <v>3</v>
      </c>
      <c r="AC19">
        <v>2</v>
      </c>
      <c r="AD19">
        <v>80</v>
      </c>
      <c r="AE19">
        <v>2</v>
      </c>
      <c r="AF19">
        <v>1</v>
      </c>
      <c r="AG19">
        <v>2</v>
      </c>
      <c r="AH19">
        <v>2</v>
      </c>
      <c r="AI19">
        <v>1</v>
      </c>
      <c r="AJ19">
        <v>0</v>
      </c>
      <c r="AK19">
        <v>0</v>
      </c>
      <c r="AL19" t="str" cm="1">
        <f t="array" ref="AL1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9">
        <v>0</v>
      </c>
    </row>
    <row r="20" spans="1:39" x14ac:dyDescent="0.25">
      <c r="A20">
        <v>53</v>
      </c>
      <c r="B20" t="s">
        <v>44</v>
      </c>
      <c r="C20" t="s">
        <v>37</v>
      </c>
      <c r="D20">
        <v>1219</v>
      </c>
      <c r="E20" t="s">
        <v>38</v>
      </c>
      <c r="G20">
        <v>2</v>
      </c>
      <c r="H20">
        <v>4</v>
      </c>
      <c r="I20" t="s">
        <v>39</v>
      </c>
      <c r="J20" t="str">
        <f>WA_Fn_UseC__HR_Employee_Attrition[[#This Row],[EducationField]]&amp;"-"&amp;WA_Fn_UseC__HR_Employee_Attrition[[#This Row],[Department]]</f>
        <v>Life Sciences-Sales</v>
      </c>
      <c r="K20">
        <v>1</v>
      </c>
      <c r="L20">
        <v>23</v>
      </c>
      <c r="M20">
        <v>1</v>
      </c>
      <c r="N20" t="s">
        <v>40</v>
      </c>
      <c r="O20">
        <v>78</v>
      </c>
      <c r="P20">
        <v>2</v>
      </c>
      <c r="Q20">
        <v>4</v>
      </c>
      <c r="R20" t="s">
        <v>57</v>
      </c>
      <c r="S20">
        <v>4</v>
      </c>
      <c r="T20" t="s">
        <v>49</v>
      </c>
      <c r="U20">
        <v>15427</v>
      </c>
      <c r="V20" t="str" cm="1">
        <f t="array" ref="V2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0">
        <v>22021</v>
      </c>
      <c r="X20">
        <v>2</v>
      </c>
      <c r="Y20" t="s">
        <v>43</v>
      </c>
      <c r="Z20" t="s">
        <v>44</v>
      </c>
      <c r="AA20">
        <v>16</v>
      </c>
      <c r="AB20">
        <v>3</v>
      </c>
      <c r="AC20">
        <v>3</v>
      </c>
      <c r="AD20">
        <v>80</v>
      </c>
      <c r="AE20">
        <v>0</v>
      </c>
      <c r="AF20">
        <v>31</v>
      </c>
      <c r="AG20">
        <v>3</v>
      </c>
      <c r="AH20">
        <v>3</v>
      </c>
      <c r="AI20">
        <v>25</v>
      </c>
      <c r="AJ20">
        <v>8</v>
      </c>
      <c r="AK20">
        <v>3</v>
      </c>
      <c r="AL20" t="str" cm="1">
        <f t="array" ref="AL2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0">
        <v>7</v>
      </c>
    </row>
    <row r="21" spans="1:39" x14ac:dyDescent="0.25">
      <c r="A21">
        <v>38</v>
      </c>
      <c r="B21" t="s">
        <v>44</v>
      </c>
      <c r="C21" t="s">
        <v>37</v>
      </c>
      <c r="D21">
        <v>371</v>
      </c>
      <c r="E21" t="s">
        <v>46</v>
      </c>
      <c r="G21">
        <v>2</v>
      </c>
      <c r="H21">
        <v>3</v>
      </c>
      <c r="I21" t="s">
        <v>39</v>
      </c>
      <c r="J21" t="str">
        <f>WA_Fn_UseC__HR_Employee_Attrition[[#This Row],[EducationField]]&amp;"-"&amp;WA_Fn_UseC__HR_Employee_Attrition[[#This Row],[Department]]</f>
        <v>Life Sciences-Research &amp; Development</v>
      </c>
      <c r="K21">
        <v>1</v>
      </c>
      <c r="L21">
        <v>24</v>
      </c>
      <c r="M21">
        <v>4</v>
      </c>
      <c r="N21" t="s">
        <v>47</v>
      </c>
      <c r="O21">
        <v>45</v>
      </c>
      <c r="P21">
        <v>3</v>
      </c>
      <c r="Q21">
        <v>1</v>
      </c>
      <c r="R21" t="s">
        <v>48</v>
      </c>
      <c r="S21">
        <v>4</v>
      </c>
      <c r="T21" t="s">
        <v>42</v>
      </c>
      <c r="U21">
        <v>3944</v>
      </c>
      <c r="V21" t="str" cm="1">
        <f t="array" ref="V2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1">
        <v>4306</v>
      </c>
      <c r="X21">
        <v>5</v>
      </c>
      <c r="Y21" t="s">
        <v>43</v>
      </c>
      <c r="Z21" t="s">
        <v>36</v>
      </c>
      <c r="AA21">
        <v>11</v>
      </c>
      <c r="AB21">
        <v>3</v>
      </c>
      <c r="AC21">
        <v>3</v>
      </c>
      <c r="AD21">
        <v>80</v>
      </c>
      <c r="AE21">
        <v>0</v>
      </c>
      <c r="AF21">
        <v>6</v>
      </c>
      <c r="AG21">
        <v>3</v>
      </c>
      <c r="AH21">
        <v>3</v>
      </c>
      <c r="AI21">
        <v>3</v>
      </c>
      <c r="AJ21">
        <v>2</v>
      </c>
      <c r="AK21">
        <v>1</v>
      </c>
      <c r="AL21" t="str" cm="1">
        <f t="array" ref="AL2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1">
        <v>2</v>
      </c>
    </row>
    <row r="22" spans="1:39" x14ac:dyDescent="0.25">
      <c r="A22">
        <v>24</v>
      </c>
      <c r="B22" t="s">
        <v>44</v>
      </c>
      <c r="C22" t="s">
        <v>56</v>
      </c>
      <c r="D22">
        <v>673</v>
      </c>
      <c r="E22" t="s">
        <v>46</v>
      </c>
      <c r="G22">
        <v>11</v>
      </c>
      <c r="H22">
        <v>2</v>
      </c>
      <c r="I22" t="s">
        <v>50</v>
      </c>
      <c r="J22" t="str">
        <f>WA_Fn_UseC__HR_Employee_Attrition[[#This Row],[EducationField]]&amp;"-"&amp;WA_Fn_UseC__HR_Employee_Attrition[[#This Row],[Department]]</f>
        <v>Other-Research &amp; Development</v>
      </c>
      <c r="K22">
        <v>1</v>
      </c>
      <c r="L22">
        <v>26</v>
      </c>
      <c r="M22">
        <v>1</v>
      </c>
      <c r="N22" t="s">
        <v>40</v>
      </c>
      <c r="O22">
        <v>96</v>
      </c>
      <c r="P22">
        <v>4</v>
      </c>
      <c r="Q22">
        <v>2</v>
      </c>
      <c r="R22" t="s">
        <v>54</v>
      </c>
      <c r="S22">
        <v>3</v>
      </c>
      <c r="T22" t="s">
        <v>53</v>
      </c>
      <c r="U22">
        <v>4011</v>
      </c>
      <c r="V22" t="str" cm="1">
        <f t="array" ref="V2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2">
        <v>8232</v>
      </c>
      <c r="X22">
        <v>0</v>
      </c>
      <c r="Y22" t="s">
        <v>43</v>
      </c>
      <c r="Z22" t="s">
        <v>44</v>
      </c>
      <c r="AA22">
        <v>18</v>
      </c>
      <c r="AB22">
        <v>3</v>
      </c>
      <c r="AC22">
        <v>4</v>
      </c>
      <c r="AD22">
        <v>80</v>
      </c>
      <c r="AE22">
        <v>1</v>
      </c>
      <c r="AF22">
        <v>5</v>
      </c>
      <c r="AG22">
        <v>5</v>
      </c>
      <c r="AH22">
        <v>2</v>
      </c>
      <c r="AI22">
        <v>4</v>
      </c>
      <c r="AJ22">
        <v>2</v>
      </c>
      <c r="AK22">
        <v>1</v>
      </c>
      <c r="AL22" t="str" cm="1">
        <f t="array" ref="AL2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2">
        <v>3</v>
      </c>
    </row>
    <row r="23" spans="1:39" x14ac:dyDescent="0.25">
      <c r="A23">
        <v>36</v>
      </c>
      <c r="B23" t="s">
        <v>36</v>
      </c>
      <c r="C23" t="s">
        <v>37</v>
      </c>
      <c r="D23">
        <v>1218</v>
      </c>
      <c r="E23" t="s">
        <v>38</v>
      </c>
      <c r="G23">
        <v>9</v>
      </c>
      <c r="H23">
        <v>4</v>
      </c>
      <c r="I23" t="s">
        <v>39</v>
      </c>
      <c r="J23" t="str">
        <f>WA_Fn_UseC__HR_Employee_Attrition[[#This Row],[EducationField]]&amp;"-"&amp;WA_Fn_UseC__HR_Employee_Attrition[[#This Row],[Department]]</f>
        <v>Life Sciences-Sales</v>
      </c>
      <c r="K23">
        <v>1</v>
      </c>
      <c r="L23">
        <v>27</v>
      </c>
      <c r="M23">
        <v>3</v>
      </c>
      <c r="N23" t="s">
        <v>47</v>
      </c>
      <c r="O23">
        <v>82</v>
      </c>
      <c r="P23">
        <v>2</v>
      </c>
      <c r="Q23">
        <v>1</v>
      </c>
      <c r="R23" t="s">
        <v>58</v>
      </c>
      <c r="S23">
        <v>1</v>
      </c>
      <c r="T23" t="s">
        <v>42</v>
      </c>
      <c r="U23">
        <v>3407</v>
      </c>
      <c r="V23" t="str" cm="1">
        <f t="array" ref="V2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3">
        <v>6986</v>
      </c>
      <c r="X23">
        <v>7</v>
      </c>
      <c r="Y23" t="s">
        <v>43</v>
      </c>
      <c r="Z23" t="s">
        <v>44</v>
      </c>
      <c r="AA23">
        <v>23</v>
      </c>
      <c r="AB23">
        <v>4</v>
      </c>
      <c r="AC23">
        <v>2</v>
      </c>
      <c r="AD23">
        <v>80</v>
      </c>
      <c r="AE23">
        <v>0</v>
      </c>
      <c r="AF23">
        <v>10</v>
      </c>
      <c r="AG23">
        <v>4</v>
      </c>
      <c r="AH23">
        <v>3</v>
      </c>
      <c r="AI23">
        <v>5</v>
      </c>
      <c r="AJ23">
        <v>3</v>
      </c>
      <c r="AK23">
        <v>0</v>
      </c>
      <c r="AL23" t="str" cm="1">
        <f t="array" ref="AL2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3">
        <v>3</v>
      </c>
    </row>
    <row r="24" spans="1:39" x14ac:dyDescent="0.25">
      <c r="A24">
        <v>34</v>
      </c>
      <c r="B24" t="s">
        <v>44</v>
      </c>
      <c r="C24" t="s">
        <v>37</v>
      </c>
      <c r="D24">
        <v>419</v>
      </c>
      <c r="E24" t="s">
        <v>46</v>
      </c>
      <c r="G24">
        <v>7</v>
      </c>
      <c r="H24">
        <v>4</v>
      </c>
      <c r="I24" t="s">
        <v>39</v>
      </c>
      <c r="J24" t="str">
        <f>WA_Fn_UseC__HR_Employee_Attrition[[#This Row],[EducationField]]&amp;"-"&amp;WA_Fn_UseC__HR_Employee_Attrition[[#This Row],[Department]]</f>
        <v>Life Sciences-Research &amp; Development</v>
      </c>
      <c r="K24">
        <v>1</v>
      </c>
      <c r="L24">
        <v>28</v>
      </c>
      <c r="M24">
        <v>1</v>
      </c>
      <c r="N24" t="s">
        <v>40</v>
      </c>
      <c r="O24">
        <v>53</v>
      </c>
      <c r="P24">
        <v>3</v>
      </c>
      <c r="Q24">
        <v>3</v>
      </c>
      <c r="R24" t="s">
        <v>59</v>
      </c>
      <c r="S24">
        <v>2</v>
      </c>
      <c r="T24" t="s">
        <v>42</v>
      </c>
      <c r="U24">
        <v>11994</v>
      </c>
      <c r="V24" t="str" cm="1">
        <f t="array" ref="V2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4">
        <v>21293</v>
      </c>
      <c r="X24">
        <v>0</v>
      </c>
      <c r="Y24" t="s">
        <v>43</v>
      </c>
      <c r="Z24" t="s">
        <v>44</v>
      </c>
      <c r="AA24">
        <v>11</v>
      </c>
      <c r="AB24">
        <v>3</v>
      </c>
      <c r="AC24">
        <v>3</v>
      </c>
      <c r="AD24">
        <v>80</v>
      </c>
      <c r="AE24">
        <v>0</v>
      </c>
      <c r="AF24">
        <v>13</v>
      </c>
      <c r="AG24">
        <v>4</v>
      </c>
      <c r="AH24">
        <v>3</v>
      </c>
      <c r="AI24">
        <v>12</v>
      </c>
      <c r="AJ24">
        <v>6</v>
      </c>
      <c r="AK24">
        <v>2</v>
      </c>
      <c r="AL24" t="str" cm="1">
        <f t="array" ref="AL2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4">
        <v>11</v>
      </c>
    </row>
    <row r="25" spans="1:39" x14ac:dyDescent="0.25">
      <c r="A25">
        <v>21</v>
      </c>
      <c r="B25" t="s">
        <v>44</v>
      </c>
      <c r="C25" t="s">
        <v>37</v>
      </c>
      <c r="D25">
        <v>391</v>
      </c>
      <c r="E25" t="s">
        <v>46</v>
      </c>
      <c r="G25">
        <v>15</v>
      </c>
      <c r="H25">
        <v>2</v>
      </c>
      <c r="I25" t="s">
        <v>39</v>
      </c>
      <c r="J25" t="str">
        <f>WA_Fn_UseC__HR_Employee_Attrition[[#This Row],[EducationField]]&amp;"-"&amp;WA_Fn_UseC__HR_Employee_Attrition[[#This Row],[Department]]</f>
        <v>Life Sciences-Research &amp; Development</v>
      </c>
      <c r="K25">
        <v>1</v>
      </c>
      <c r="L25">
        <v>30</v>
      </c>
      <c r="M25">
        <v>3</v>
      </c>
      <c r="N25" t="s">
        <v>47</v>
      </c>
      <c r="O25">
        <v>96</v>
      </c>
      <c r="P25">
        <v>3</v>
      </c>
      <c r="Q25">
        <v>1</v>
      </c>
      <c r="R25" t="s">
        <v>48</v>
      </c>
      <c r="S25">
        <v>4</v>
      </c>
      <c r="T25" t="s">
        <v>42</v>
      </c>
      <c r="U25">
        <v>1232</v>
      </c>
      <c r="V25" t="str" cm="1">
        <f t="array" ref="V2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5">
        <v>19281</v>
      </c>
      <c r="X25">
        <v>1</v>
      </c>
      <c r="Y25" t="s">
        <v>43</v>
      </c>
      <c r="Z25" t="s">
        <v>44</v>
      </c>
      <c r="AA25">
        <v>14</v>
      </c>
      <c r="AB25">
        <v>3</v>
      </c>
      <c r="AC25">
        <v>4</v>
      </c>
      <c r="AD25">
        <v>80</v>
      </c>
      <c r="AE25">
        <v>0</v>
      </c>
      <c r="AF25">
        <v>0</v>
      </c>
      <c r="AG25">
        <v>6</v>
      </c>
      <c r="AH25">
        <v>3</v>
      </c>
      <c r="AI25">
        <v>0</v>
      </c>
      <c r="AJ25">
        <v>0</v>
      </c>
      <c r="AK25">
        <v>0</v>
      </c>
      <c r="AL25" t="str" cm="1">
        <f t="array" ref="AL2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5">
        <v>0</v>
      </c>
    </row>
    <row r="26" spans="1:39" x14ac:dyDescent="0.25">
      <c r="A26">
        <v>34</v>
      </c>
      <c r="B26" t="s">
        <v>36</v>
      </c>
      <c r="C26" t="s">
        <v>37</v>
      </c>
      <c r="D26">
        <v>699</v>
      </c>
      <c r="E26" t="s">
        <v>46</v>
      </c>
      <c r="G26">
        <v>6</v>
      </c>
      <c r="H26">
        <v>1</v>
      </c>
      <c r="I26" t="s">
        <v>52</v>
      </c>
      <c r="J26" t="str">
        <f>WA_Fn_UseC__HR_Employee_Attrition[[#This Row],[EducationField]]&amp;"-"&amp;WA_Fn_UseC__HR_Employee_Attrition[[#This Row],[Department]]</f>
        <v>Medical-Research &amp; Development</v>
      </c>
      <c r="K26">
        <v>1</v>
      </c>
      <c r="L26">
        <v>31</v>
      </c>
      <c r="M26">
        <v>2</v>
      </c>
      <c r="N26" t="s">
        <v>47</v>
      </c>
      <c r="O26">
        <v>83</v>
      </c>
      <c r="P26">
        <v>3</v>
      </c>
      <c r="Q26">
        <v>1</v>
      </c>
      <c r="R26" t="s">
        <v>48</v>
      </c>
      <c r="S26">
        <v>1</v>
      </c>
      <c r="T26" t="s">
        <v>42</v>
      </c>
      <c r="U26">
        <v>2960</v>
      </c>
      <c r="V26" t="str" cm="1">
        <f t="array" ref="V2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6">
        <v>17102</v>
      </c>
      <c r="X26">
        <v>2</v>
      </c>
      <c r="Y26" t="s">
        <v>43</v>
      </c>
      <c r="Z26" t="s">
        <v>44</v>
      </c>
      <c r="AA26">
        <v>11</v>
      </c>
      <c r="AB26">
        <v>3</v>
      </c>
      <c r="AC26">
        <v>3</v>
      </c>
      <c r="AD26">
        <v>80</v>
      </c>
      <c r="AE26">
        <v>0</v>
      </c>
      <c r="AF26">
        <v>8</v>
      </c>
      <c r="AG26">
        <v>2</v>
      </c>
      <c r="AH26">
        <v>3</v>
      </c>
      <c r="AI26">
        <v>4</v>
      </c>
      <c r="AJ26">
        <v>2</v>
      </c>
      <c r="AK26">
        <v>1</v>
      </c>
      <c r="AL26" t="str" cm="1">
        <f t="array" ref="AL2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6">
        <v>3</v>
      </c>
    </row>
    <row r="27" spans="1:39" x14ac:dyDescent="0.25">
      <c r="A27">
        <v>53</v>
      </c>
      <c r="B27" t="s">
        <v>44</v>
      </c>
      <c r="C27" t="s">
        <v>37</v>
      </c>
      <c r="D27">
        <v>1282</v>
      </c>
      <c r="E27" t="s">
        <v>46</v>
      </c>
      <c r="G27">
        <v>5</v>
      </c>
      <c r="H27">
        <v>3</v>
      </c>
      <c r="I27" t="s">
        <v>50</v>
      </c>
      <c r="J27" t="str">
        <f>WA_Fn_UseC__HR_Employee_Attrition[[#This Row],[EducationField]]&amp;"-"&amp;WA_Fn_UseC__HR_Employee_Attrition[[#This Row],[Department]]</f>
        <v>Other-Research &amp; Development</v>
      </c>
      <c r="K27">
        <v>1</v>
      </c>
      <c r="L27">
        <v>32</v>
      </c>
      <c r="M27">
        <v>3</v>
      </c>
      <c r="N27" t="s">
        <v>40</v>
      </c>
      <c r="O27">
        <v>58</v>
      </c>
      <c r="P27">
        <v>3</v>
      </c>
      <c r="Q27">
        <v>5</v>
      </c>
      <c r="R27" t="s">
        <v>57</v>
      </c>
      <c r="S27">
        <v>3</v>
      </c>
      <c r="T27" t="s">
        <v>53</v>
      </c>
      <c r="U27">
        <v>19094</v>
      </c>
      <c r="V27" t="str" cm="1">
        <f t="array" ref="V2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7">
        <v>10735</v>
      </c>
      <c r="X27">
        <v>4</v>
      </c>
      <c r="Y27" t="s">
        <v>43</v>
      </c>
      <c r="Z27" t="s">
        <v>44</v>
      </c>
      <c r="AA27">
        <v>11</v>
      </c>
      <c r="AB27">
        <v>3</v>
      </c>
      <c r="AC27">
        <v>4</v>
      </c>
      <c r="AD27">
        <v>80</v>
      </c>
      <c r="AE27">
        <v>1</v>
      </c>
      <c r="AF27">
        <v>26</v>
      </c>
      <c r="AG27">
        <v>3</v>
      </c>
      <c r="AH27">
        <v>2</v>
      </c>
      <c r="AI27">
        <v>14</v>
      </c>
      <c r="AJ27">
        <v>13</v>
      </c>
      <c r="AK27">
        <v>4</v>
      </c>
      <c r="AL27" t="str" cm="1">
        <f t="array" ref="AL2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7">
        <v>8</v>
      </c>
    </row>
    <row r="28" spans="1:39" x14ac:dyDescent="0.25">
      <c r="A28">
        <v>32</v>
      </c>
      <c r="B28" t="s">
        <v>36</v>
      </c>
      <c r="C28" t="s">
        <v>45</v>
      </c>
      <c r="D28">
        <v>1125</v>
      </c>
      <c r="E28" t="s">
        <v>46</v>
      </c>
      <c r="G28">
        <v>16</v>
      </c>
      <c r="H28">
        <v>1</v>
      </c>
      <c r="I28" t="s">
        <v>39</v>
      </c>
      <c r="J28" t="str">
        <f>WA_Fn_UseC__HR_Employee_Attrition[[#This Row],[EducationField]]&amp;"-"&amp;WA_Fn_UseC__HR_Employee_Attrition[[#This Row],[Department]]</f>
        <v>Life Sciences-Research &amp; Development</v>
      </c>
      <c r="K28">
        <v>1</v>
      </c>
      <c r="L28">
        <v>33</v>
      </c>
      <c r="M28">
        <v>2</v>
      </c>
      <c r="N28" t="s">
        <v>40</v>
      </c>
      <c r="O28">
        <v>72</v>
      </c>
      <c r="P28">
        <v>1</v>
      </c>
      <c r="Q28">
        <v>1</v>
      </c>
      <c r="R28" t="s">
        <v>48</v>
      </c>
      <c r="S28">
        <v>1</v>
      </c>
      <c r="T28" t="s">
        <v>42</v>
      </c>
      <c r="U28">
        <v>3919</v>
      </c>
      <c r="V28" t="str" cm="1">
        <f t="array" ref="V2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8">
        <v>4681</v>
      </c>
      <c r="X28">
        <v>1</v>
      </c>
      <c r="Y28" t="s">
        <v>43</v>
      </c>
      <c r="Z28" t="s">
        <v>36</v>
      </c>
      <c r="AA28">
        <v>22</v>
      </c>
      <c r="AB28">
        <v>4</v>
      </c>
      <c r="AC28">
        <v>2</v>
      </c>
      <c r="AD28">
        <v>80</v>
      </c>
      <c r="AE28">
        <v>0</v>
      </c>
      <c r="AF28">
        <v>10</v>
      </c>
      <c r="AG28">
        <v>5</v>
      </c>
      <c r="AH28">
        <v>3</v>
      </c>
      <c r="AI28">
        <v>10</v>
      </c>
      <c r="AJ28">
        <v>2</v>
      </c>
      <c r="AK28">
        <v>6</v>
      </c>
      <c r="AL28" t="str" cm="1">
        <f t="array" ref="AL2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8">
        <v>7</v>
      </c>
    </row>
    <row r="29" spans="1:39" x14ac:dyDescent="0.25">
      <c r="A29">
        <v>42</v>
      </c>
      <c r="B29" t="s">
        <v>44</v>
      </c>
      <c r="C29" t="s">
        <v>37</v>
      </c>
      <c r="D29">
        <v>691</v>
      </c>
      <c r="E29" t="s">
        <v>38</v>
      </c>
      <c r="G29">
        <v>8</v>
      </c>
      <c r="H29">
        <v>4</v>
      </c>
      <c r="I29" t="s">
        <v>60</v>
      </c>
      <c r="J29" t="str">
        <f>WA_Fn_UseC__HR_Employee_Attrition[[#This Row],[EducationField]]&amp;"-"&amp;WA_Fn_UseC__HR_Employee_Attrition[[#This Row],[Department]]</f>
        <v>Marketing-Sales</v>
      </c>
      <c r="K29">
        <v>1</v>
      </c>
      <c r="L29">
        <v>35</v>
      </c>
      <c r="M29">
        <v>3</v>
      </c>
      <c r="N29" t="s">
        <v>47</v>
      </c>
      <c r="O29">
        <v>48</v>
      </c>
      <c r="P29">
        <v>3</v>
      </c>
      <c r="Q29">
        <v>2</v>
      </c>
      <c r="R29" t="s">
        <v>41</v>
      </c>
      <c r="S29">
        <v>2</v>
      </c>
      <c r="T29" t="s">
        <v>49</v>
      </c>
      <c r="U29">
        <v>6825</v>
      </c>
      <c r="V29" t="str" cm="1">
        <f t="array" ref="V2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9">
        <v>21173</v>
      </c>
      <c r="X29">
        <v>0</v>
      </c>
      <c r="Y29" t="s">
        <v>43</v>
      </c>
      <c r="Z29" t="s">
        <v>44</v>
      </c>
      <c r="AA29">
        <v>11</v>
      </c>
      <c r="AB29">
        <v>3</v>
      </c>
      <c r="AC29">
        <v>4</v>
      </c>
      <c r="AD29">
        <v>80</v>
      </c>
      <c r="AE29">
        <v>1</v>
      </c>
      <c r="AF29">
        <v>10</v>
      </c>
      <c r="AG29">
        <v>2</v>
      </c>
      <c r="AH29">
        <v>3</v>
      </c>
      <c r="AI29">
        <v>9</v>
      </c>
      <c r="AJ29">
        <v>7</v>
      </c>
      <c r="AK29">
        <v>4</v>
      </c>
      <c r="AL29" t="str" cm="1">
        <f t="array" ref="AL2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9">
        <v>2</v>
      </c>
    </row>
    <row r="30" spans="1:39" x14ac:dyDescent="0.25">
      <c r="A30">
        <v>44</v>
      </c>
      <c r="B30" t="s">
        <v>44</v>
      </c>
      <c r="C30" t="s">
        <v>37</v>
      </c>
      <c r="D30">
        <v>477</v>
      </c>
      <c r="E30" t="s">
        <v>46</v>
      </c>
      <c r="G30">
        <v>7</v>
      </c>
      <c r="H30">
        <v>4</v>
      </c>
      <c r="I30" t="s">
        <v>52</v>
      </c>
      <c r="J30" t="str">
        <f>WA_Fn_UseC__HR_Employee_Attrition[[#This Row],[EducationField]]&amp;"-"&amp;WA_Fn_UseC__HR_Employee_Attrition[[#This Row],[Department]]</f>
        <v>Medical-Research &amp; Development</v>
      </c>
      <c r="K30">
        <v>1</v>
      </c>
      <c r="L30">
        <v>36</v>
      </c>
      <c r="M30">
        <v>1</v>
      </c>
      <c r="N30" t="s">
        <v>40</v>
      </c>
      <c r="O30">
        <v>42</v>
      </c>
      <c r="P30">
        <v>2</v>
      </c>
      <c r="Q30">
        <v>3</v>
      </c>
      <c r="R30" t="s">
        <v>55</v>
      </c>
      <c r="S30">
        <v>4</v>
      </c>
      <c r="T30" t="s">
        <v>49</v>
      </c>
      <c r="U30">
        <v>10248</v>
      </c>
      <c r="V30" t="str" cm="1">
        <f t="array" ref="V3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0">
        <v>2094</v>
      </c>
      <c r="X30">
        <v>3</v>
      </c>
      <c r="Y30" t="s">
        <v>43</v>
      </c>
      <c r="Z30" t="s">
        <v>44</v>
      </c>
      <c r="AA30">
        <v>14</v>
      </c>
      <c r="AB30">
        <v>3</v>
      </c>
      <c r="AC30">
        <v>4</v>
      </c>
      <c r="AD30">
        <v>80</v>
      </c>
      <c r="AE30">
        <v>1</v>
      </c>
      <c r="AF30">
        <v>24</v>
      </c>
      <c r="AG30">
        <v>4</v>
      </c>
      <c r="AH30">
        <v>3</v>
      </c>
      <c r="AI30">
        <v>22</v>
      </c>
      <c r="AJ30">
        <v>6</v>
      </c>
      <c r="AK30">
        <v>5</v>
      </c>
      <c r="AL30" t="str" cm="1">
        <f t="array" ref="AL3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0">
        <v>17</v>
      </c>
    </row>
    <row r="31" spans="1:39" x14ac:dyDescent="0.25">
      <c r="A31">
        <v>46</v>
      </c>
      <c r="B31" t="s">
        <v>44</v>
      </c>
      <c r="C31" t="s">
        <v>37</v>
      </c>
      <c r="D31">
        <v>705</v>
      </c>
      <c r="E31" t="s">
        <v>38</v>
      </c>
      <c r="G31">
        <v>2</v>
      </c>
      <c r="H31">
        <v>4</v>
      </c>
      <c r="I31" t="s">
        <v>60</v>
      </c>
      <c r="J31" t="str">
        <f>WA_Fn_UseC__HR_Employee_Attrition[[#This Row],[EducationField]]&amp;"-"&amp;WA_Fn_UseC__HR_Employee_Attrition[[#This Row],[Department]]</f>
        <v>Marketing-Sales</v>
      </c>
      <c r="K31">
        <v>1</v>
      </c>
      <c r="L31">
        <v>38</v>
      </c>
      <c r="M31">
        <v>2</v>
      </c>
      <c r="N31" t="s">
        <v>40</v>
      </c>
      <c r="O31">
        <v>83</v>
      </c>
      <c r="P31">
        <v>3</v>
      </c>
      <c r="Q31">
        <v>5</v>
      </c>
      <c r="R31" t="s">
        <v>57</v>
      </c>
      <c r="S31">
        <v>1</v>
      </c>
      <c r="T31" t="s">
        <v>42</v>
      </c>
      <c r="U31">
        <v>18947</v>
      </c>
      <c r="V31" t="str" cm="1">
        <f t="array" ref="V3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1">
        <v>22822</v>
      </c>
      <c r="X31">
        <v>3</v>
      </c>
      <c r="Y31" t="s">
        <v>43</v>
      </c>
      <c r="Z31" t="s">
        <v>44</v>
      </c>
      <c r="AA31">
        <v>12</v>
      </c>
      <c r="AB31">
        <v>3</v>
      </c>
      <c r="AC31">
        <v>4</v>
      </c>
      <c r="AD31">
        <v>80</v>
      </c>
      <c r="AE31">
        <v>0</v>
      </c>
      <c r="AF31">
        <v>22</v>
      </c>
      <c r="AG31">
        <v>2</v>
      </c>
      <c r="AH31">
        <v>2</v>
      </c>
      <c r="AI31">
        <v>2</v>
      </c>
      <c r="AJ31">
        <v>2</v>
      </c>
      <c r="AK31">
        <v>2</v>
      </c>
      <c r="AL31" t="str" cm="1">
        <f t="array" ref="AL3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1">
        <v>1</v>
      </c>
    </row>
    <row r="32" spans="1:39" x14ac:dyDescent="0.25">
      <c r="A32">
        <v>33</v>
      </c>
      <c r="B32" t="s">
        <v>44</v>
      </c>
      <c r="C32" t="s">
        <v>37</v>
      </c>
      <c r="D32">
        <v>924</v>
      </c>
      <c r="E32" t="s">
        <v>46</v>
      </c>
      <c r="G32">
        <v>2</v>
      </c>
      <c r="H32">
        <v>3</v>
      </c>
      <c r="I32" t="s">
        <v>52</v>
      </c>
      <c r="J32" t="str">
        <f>WA_Fn_UseC__HR_Employee_Attrition[[#This Row],[EducationField]]&amp;"-"&amp;WA_Fn_UseC__HR_Employee_Attrition[[#This Row],[Department]]</f>
        <v>Medical-Research &amp; Development</v>
      </c>
      <c r="K32">
        <v>1</v>
      </c>
      <c r="L32">
        <v>39</v>
      </c>
      <c r="M32">
        <v>3</v>
      </c>
      <c r="N32" t="s">
        <v>47</v>
      </c>
      <c r="O32">
        <v>78</v>
      </c>
      <c r="P32">
        <v>3</v>
      </c>
      <c r="Q32">
        <v>1</v>
      </c>
      <c r="R32" t="s">
        <v>51</v>
      </c>
      <c r="S32">
        <v>4</v>
      </c>
      <c r="T32" t="s">
        <v>42</v>
      </c>
      <c r="U32">
        <v>2496</v>
      </c>
      <c r="V32" t="str" cm="1">
        <f t="array" ref="V3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2">
        <v>6670</v>
      </c>
      <c r="X32">
        <v>4</v>
      </c>
      <c r="Y32" t="s">
        <v>43</v>
      </c>
      <c r="Z32" t="s">
        <v>44</v>
      </c>
      <c r="AA32">
        <v>11</v>
      </c>
      <c r="AB32">
        <v>3</v>
      </c>
      <c r="AC32">
        <v>4</v>
      </c>
      <c r="AD32">
        <v>80</v>
      </c>
      <c r="AE32">
        <v>0</v>
      </c>
      <c r="AF32">
        <v>7</v>
      </c>
      <c r="AG32">
        <v>3</v>
      </c>
      <c r="AH32">
        <v>3</v>
      </c>
      <c r="AI32">
        <v>1</v>
      </c>
      <c r="AJ32">
        <v>1</v>
      </c>
      <c r="AK32">
        <v>0</v>
      </c>
      <c r="AL32" t="str" cm="1">
        <f t="array" ref="AL3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2">
        <v>0</v>
      </c>
    </row>
    <row r="33" spans="1:39" x14ac:dyDescent="0.25">
      <c r="A33">
        <v>44</v>
      </c>
      <c r="B33" t="s">
        <v>44</v>
      </c>
      <c r="C33" t="s">
        <v>37</v>
      </c>
      <c r="D33">
        <v>1459</v>
      </c>
      <c r="E33" t="s">
        <v>46</v>
      </c>
      <c r="G33">
        <v>10</v>
      </c>
      <c r="H33">
        <v>4</v>
      </c>
      <c r="I33" t="s">
        <v>50</v>
      </c>
      <c r="J33" t="str">
        <f>WA_Fn_UseC__HR_Employee_Attrition[[#This Row],[EducationField]]&amp;"-"&amp;WA_Fn_UseC__HR_Employee_Attrition[[#This Row],[Department]]</f>
        <v>Other-Research &amp; Development</v>
      </c>
      <c r="K33">
        <v>1</v>
      </c>
      <c r="L33">
        <v>40</v>
      </c>
      <c r="M33">
        <v>4</v>
      </c>
      <c r="N33" t="s">
        <v>47</v>
      </c>
      <c r="O33">
        <v>41</v>
      </c>
      <c r="P33">
        <v>3</v>
      </c>
      <c r="Q33">
        <v>2</v>
      </c>
      <c r="R33" t="s">
        <v>55</v>
      </c>
      <c r="S33">
        <v>4</v>
      </c>
      <c r="T33" t="s">
        <v>49</v>
      </c>
      <c r="U33">
        <v>6465</v>
      </c>
      <c r="V33" t="str" cm="1">
        <f t="array" ref="V3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3">
        <v>19121</v>
      </c>
      <c r="X33">
        <v>2</v>
      </c>
      <c r="Y33" t="s">
        <v>43</v>
      </c>
      <c r="Z33" t="s">
        <v>36</v>
      </c>
      <c r="AA33">
        <v>13</v>
      </c>
      <c r="AB33">
        <v>3</v>
      </c>
      <c r="AC33">
        <v>4</v>
      </c>
      <c r="AD33">
        <v>80</v>
      </c>
      <c r="AE33">
        <v>0</v>
      </c>
      <c r="AF33">
        <v>9</v>
      </c>
      <c r="AG33">
        <v>5</v>
      </c>
      <c r="AH33">
        <v>4</v>
      </c>
      <c r="AI33">
        <v>4</v>
      </c>
      <c r="AJ33">
        <v>2</v>
      </c>
      <c r="AK33">
        <v>1</v>
      </c>
      <c r="AL33" t="str" cm="1">
        <f t="array" ref="AL3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3">
        <v>3</v>
      </c>
    </row>
    <row r="34" spans="1:39" x14ac:dyDescent="0.25">
      <c r="A34">
        <v>30</v>
      </c>
      <c r="B34" t="s">
        <v>44</v>
      </c>
      <c r="C34" t="s">
        <v>37</v>
      </c>
      <c r="D34">
        <v>125</v>
      </c>
      <c r="E34" t="s">
        <v>46</v>
      </c>
      <c r="G34">
        <v>9</v>
      </c>
      <c r="H34">
        <v>2</v>
      </c>
      <c r="I34" t="s">
        <v>52</v>
      </c>
      <c r="J34" t="str">
        <f>WA_Fn_UseC__HR_Employee_Attrition[[#This Row],[EducationField]]&amp;"-"&amp;WA_Fn_UseC__HR_Employee_Attrition[[#This Row],[Department]]</f>
        <v>Medical-Research &amp; Development</v>
      </c>
      <c r="K34">
        <v>1</v>
      </c>
      <c r="L34">
        <v>41</v>
      </c>
      <c r="M34">
        <v>4</v>
      </c>
      <c r="N34" t="s">
        <v>47</v>
      </c>
      <c r="O34">
        <v>83</v>
      </c>
      <c r="P34">
        <v>2</v>
      </c>
      <c r="Q34">
        <v>1</v>
      </c>
      <c r="R34" t="s">
        <v>51</v>
      </c>
      <c r="S34">
        <v>3</v>
      </c>
      <c r="T34" t="s">
        <v>42</v>
      </c>
      <c r="U34">
        <v>2206</v>
      </c>
      <c r="V34" t="str" cm="1">
        <f t="array" ref="V3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4">
        <v>16117</v>
      </c>
      <c r="X34">
        <v>1</v>
      </c>
      <c r="Y34" t="s">
        <v>43</v>
      </c>
      <c r="Z34" t="s">
        <v>44</v>
      </c>
      <c r="AA34">
        <v>13</v>
      </c>
      <c r="AB34">
        <v>3</v>
      </c>
      <c r="AC34">
        <v>1</v>
      </c>
      <c r="AD34">
        <v>80</v>
      </c>
      <c r="AE34">
        <v>0</v>
      </c>
      <c r="AF34">
        <v>10</v>
      </c>
      <c r="AG34">
        <v>5</v>
      </c>
      <c r="AH34">
        <v>3</v>
      </c>
      <c r="AI34">
        <v>10</v>
      </c>
      <c r="AJ34">
        <v>0</v>
      </c>
      <c r="AK34">
        <v>1</v>
      </c>
      <c r="AL34" t="str" cm="1">
        <f t="array" ref="AL3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4">
        <v>8</v>
      </c>
    </row>
    <row r="35" spans="1:39" x14ac:dyDescent="0.25">
      <c r="A35">
        <v>39</v>
      </c>
      <c r="B35" t="s">
        <v>36</v>
      </c>
      <c r="C35" t="s">
        <v>37</v>
      </c>
      <c r="D35">
        <v>895</v>
      </c>
      <c r="E35" t="s">
        <v>38</v>
      </c>
      <c r="G35">
        <v>5</v>
      </c>
      <c r="H35">
        <v>3</v>
      </c>
      <c r="I35" t="s">
        <v>61</v>
      </c>
      <c r="J35" t="str">
        <f>WA_Fn_UseC__HR_Employee_Attrition[[#This Row],[EducationField]]&amp;"-"&amp;WA_Fn_UseC__HR_Employee_Attrition[[#This Row],[Department]]</f>
        <v>Technical Degree-Sales</v>
      </c>
      <c r="K35">
        <v>1</v>
      </c>
      <c r="L35">
        <v>42</v>
      </c>
      <c r="M35">
        <v>4</v>
      </c>
      <c r="N35" t="s">
        <v>47</v>
      </c>
      <c r="O35">
        <v>56</v>
      </c>
      <c r="P35">
        <v>3</v>
      </c>
      <c r="Q35">
        <v>2</v>
      </c>
      <c r="R35" t="s">
        <v>58</v>
      </c>
      <c r="S35">
        <v>4</v>
      </c>
      <c r="T35" t="s">
        <v>49</v>
      </c>
      <c r="U35">
        <v>2086</v>
      </c>
      <c r="V35" t="str" cm="1">
        <f t="array" ref="V3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5">
        <v>3335</v>
      </c>
      <c r="X35">
        <v>3</v>
      </c>
      <c r="Y35" t="s">
        <v>43</v>
      </c>
      <c r="Z35" t="s">
        <v>44</v>
      </c>
      <c r="AA35">
        <v>14</v>
      </c>
      <c r="AB35">
        <v>3</v>
      </c>
      <c r="AC35">
        <v>3</v>
      </c>
      <c r="AD35">
        <v>80</v>
      </c>
      <c r="AE35">
        <v>1</v>
      </c>
      <c r="AF35">
        <v>19</v>
      </c>
      <c r="AG35">
        <v>6</v>
      </c>
      <c r="AH35">
        <v>4</v>
      </c>
      <c r="AI35">
        <v>1</v>
      </c>
      <c r="AJ35">
        <v>0</v>
      </c>
      <c r="AK35">
        <v>0</v>
      </c>
      <c r="AL35" t="str" cm="1">
        <f t="array" ref="AL3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5">
        <v>0</v>
      </c>
    </row>
    <row r="36" spans="1:39" x14ac:dyDescent="0.25">
      <c r="A36">
        <v>24</v>
      </c>
      <c r="B36" t="s">
        <v>36</v>
      </c>
      <c r="C36" t="s">
        <v>37</v>
      </c>
      <c r="D36">
        <v>813</v>
      </c>
      <c r="E36" t="s">
        <v>46</v>
      </c>
      <c r="G36">
        <v>1</v>
      </c>
      <c r="H36">
        <v>3</v>
      </c>
      <c r="I36" t="s">
        <v>52</v>
      </c>
      <c r="J36" t="str">
        <f>WA_Fn_UseC__HR_Employee_Attrition[[#This Row],[EducationField]]&amp;"-"&amp;WA_Fn_UseC__HR_Employee_Attrition[[#This Row],[Department]]</f>
        <v>Medical-Research &amp; Development</v>
      </c>
      <c r="K36">
        <v>1</v>
      </c>
      <c r="L36">
        <v>45</v>
      </c>
      <c r="M36">
        <v>2</v>
      </c>
      <c r="N36" t="s">
        <v>47</v>
      </c>
      <c r="O36">
        <v>61</v>
      </c>
      <c r="P36">
        <v>3</v>
      </c>
      <c r="Q36">
        <v>1</v>
      </c>
      <c r="R36" t="s">
        <v>48</v>
      </c>
      <c r="S36">
        <v>4</v>
      </c>
      <c r="T36" t="s">
        <v>49</v>
      </c>
      <c r="U36">
        <v>2293</v>
      </c>
      <c r="V36" t="str" cm="1">
        <f t="array" ref="V3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6">
        <v>3020</v>
      </c>
      <c r="X36">
        <v>2</v>
      </c>
      <c r="Y36" t="s">
        <v>43</v>
      </c>
      <c r="Z36" t="s">
        <v>36</v>
      </c>
      <c r="AA36">
        <v>16</v>
      </c>
      <c r="AB36">
        <v>3</v>
      </c>
      <c r="AC36">
        <v>1</v>
      </c>
      <c r="AD36">
        <v>80</v>
      </c>
      <c r="AE36">
        <v>1</v>
      </c>
      <c r="AF36">
        <v>6</v>
      </c>
      <c r="AG36">
        <v>2</v>
      </c>
      <c r="AH36">
        <v>2</v>
      </c>
      <c r="AI36">
        <v>2</v>
      </c>
      <c r="AJ36">
        <v>0</v>
      </c>
      <c r="AK36">
        <v>2</v>
      </c>
      <c r="AL36" t="str" cm="1">
        <f t="array" ref="AL3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6">
        <v>0</v>
      </c>
    </row>
    <row r="37" spans="1:39" x14ac:dyDescent="0.25">
      <c r="A37">
        <v>43</v>
      </c>
      <c r="B37" t="s">
        <v>44</v>
      </c>
      <c r="C37" t="s">
        <v>37</v>
      </c>
      <c r="D37">
        <v>1273</v>
      </c>
      <c r="E37" t="s">
        <v>46</v>
      </c>
      <c r="G37">
        <v>2</v>
      </c>
      <c r="H37">
        <v>2</v>
      </c>
      <c r="I37" t="s">
        <v>52</v>
      </c>
      <c r="J37" t="str">
        <f>WA_Fn_UseC__HR_Employee_Attrition[[#This Row],[EducationField]]&amp;"-"&amp;WA_Fn_UseC__HR_Employee_Attrition[[#This Row],[Department]]</f>
        <v>Medical-Research &amp; Development</v>
      </c>
      <c r="K37">
        <v>1</v>
      </c>
      <c r="L37">
        <v>46</v>
      </c>
      <c r="M37">
        <v>4</v>
      </c>
      <c r="N37" t="s">
        <v>40</v>
      </c>
      <c r="O37">
        <v>72</v>
      </c>
      <c r="P37">
        <v>4</v>
      </c>
      <c r="Q37">
        <v>1</v>
      </c>
      <c r="R37" t="s">
        <v>48</v>
      </c>
      <c r="S37">
        <v>3</v>
      </c>
      <c r="T37" t="s">
        <v>53</v>
      </c>
      <c r="U37">
        <v>2645</v>
      </c>
      <c r="V37" t="str" cm="1">
        <f t="array" ref="V3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7">
        <v>21923</v>
      </c>
      <c r="X37">
        <v>1</v>
      </c>
      <c r="Y37" t="s">
        <v>43</v>
      </c>
      <c r="Z37" t="s">
        <v>44</v>
      </c>
      <c r="AA37">
        <v>12</v>
      </c>
      <c r="AB37">
        <v>3</v>
      </c>
      <c r="AC37">
        <v>4</v>
      </c>
      <c r="AD37">
        <v>80</v>
      </c>
      <c r="AE37">
        <v>2</v>
      </c>
      <c r="AF37">
        <v>6</v>
      </c>
      <c r="AG37">
        <v>3</v>
      </c>
      <c r="AH37">
        <v>2</v>
      </c>
      <c r="AI37">
        <v>5</v>
      </c>
      <c r="AJ37">
        <v>3</v>
      </c>
      <c r="AK37">
        <v>1</v>
      </c>
      <c r="AL37" t="str" cm="1">
        <f t="array" ref="AL3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7">
        <v>4</v>
      </c>
    </row>
    <row r="38" spans="1:39" x14ac:dyDescent="0.25">
      <c r="A38">
        <v>50</v>
      </c>
      <c r="B38" t="s">
        <v>36</v>
      </c>
      <c r="C38" t="s">
        <v>37</v>
      </c>
      <c r="D38">
        <v>869</v>
      </c>
      <c r="E38" t="s">
        <v>38</v>
      </c>
      <c r="G38">
        <v>3</v>
      </c>
      <c r="H38">
        <v>2</v>
      </c>
      <c r="I38" t="s">
        <v>60</v>
      </c>
      <c r="J38" t="str">
        <f>WA_Fn_UseC__HR_Employee_Attrition[[#This Row],[EducationField]]&amp;"-"&amp;WA_Fn_UseC__HR_Employee_Attrition[[#This Row],[Department]]</f>
        <v>Marketing-Sales</v>
      </c>
      <c r="K38">
        <v>1</v>
      </c>
      <c r="L38">
        <v>47</v>
      </c>
      <c r="M38">
        <v>1</v>
      </c>
      <c r="N38" t="s">
        <v>47</v>
      </c>
      <c r="O38">
        <v>86</v>
      </c>
      <c r="P38">
        <v>2</v>
      </c>
      <c r="Q38">
        <v>1</v>
      </c>
      <c r="R38" t="s">
        <v>58</v>
      </c>
      <c r="S38">
        <v>3</v>
      </c>
      <c r="T38" t="s">
        <v>49</v>
      </c>
      <c r="U38">
        <v>2683</v>
      </c>
      <c r="V38" t="str" cm="1">
        <f t="array" ref="V3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8">
        <v>3810</v>
      </c>
      <c r="X38">
        <v>1</v>
      </c>
      <c r="Y38" t="s">
        <v>43</v>
      </c>
      <c r="Z38" t="s">
        <v>36</v>
      </c>
      <c r="AA38">
        <v>14</v>
      </c>
      <c r="AB38">
        <v>3</v>
      </c>
      <c r="AC38">
        <v>3</v>
      </c>
      <c r="AD38">
        <v>80</v>
      </c>
      <c r="AE38">
        <v>0</v>
      </c>
      <c r="AF38">
        <v>3</v>
      </c>
      <c r="AG38">
        <v>2</v>
      </c>
      <c r="AH38">
        <v>3</v>
      </c>
      <c r="AI38">
        <v>3</v>
      </c>
      <c r="AJ38">
        <v>2</v>
      </c>
      <c r="AK38">
        <v>0</v>
      </c>
      <c r="AL38" t="str" cm="1">
        <f t="array" ref="AL3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8">
        <v>2</v>
      </c>
    </row>
    <row r="39" spans="1:39" x14ac:dyDescent="0.25">
      <c r="A39">
        <v>35</v>
      </c>
      <c r="B39" t="s">
        <v>44</v>
      </c>
      <c r="C39" t="s">
        <v>37</v>
      </c>
      <c r="D39">
        <v>890</v>
      </c>
      <c r="E39" t="s">
        <v>38</v>
      </c>
      <c r="G39">
        <v>2</v>
      </c>
      <c r="H39">
        <v>3</v>
      </c>
      <c r="I39" t="s">
        <v>60</v>
      </c>
      <c r="J39" t="str">
        <f>WA_Fn_UseC__HR_Employee_Attrition[[#This Row],[EducationField]]&amp;"-"&amp;WA_Fn_UseC__HR_Employee_Attrition[[#This Row],[Department]]</f>
        <v>Marketing-Sales</v>
      </c>
      <c r="K39">
        <v>1</v>
      </c>
      <c r="L39">
        <v>49</v>
      </c>
      <c r="M39">
        <v>4</v>
      </c>
      <c r="N39" t="s">
        <v>40</v>
      </c>
      <c r="O39">
        <v>97</v>
      </c>
      <c r="P39">
        <v>3</v>
      </c>
      <c r="Q39">
        <v>1</v>
      </c>
      <c r="R39" t="s">
        <v>58</v>
      </c>
      <c r="S39">
        <v>4</v>
      </c>
      <c r="T39" t="s">
        <v>49</v>
      </c>
      <c r="U39">
        <v>2014</v>
      </c>
      <c r="V39" t="str" cm="1">
        <f t="array" ref="V3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9">
        <v>9687</v>
      </c>
      <c r="X39">
        <v>1</v>
      </c>
      <c r="Y39" t="s">
        <v>43</v>
      </c>
      <c r="Z39" t="s">
        <v>44</v>
      </c>
      <c r="AA39">
        <v>13</v>
      </c>
      <c r="AB39">
        <v>3</v>
      </c>
      <c r="AC39">
        <v>1</v>
      </c>
      <c r="AD39">
        <v>80</v>
      </c>
      <c r="AE39">
        <v>0</v>
      </c>
      <c r="AF39">
        <v>2</v>
      </c>
      <c r="AG39">
        <v>3</v>
      </c>
      <c r="AH39">
        <v>3</v>
      </c>
      <c r="AI39">
        <v>2</v>
      </c>
      <c r="AJ39">
        <v>2</v>
      </c>
      <c r="AK39">
        <v>2</v>
      </c>
      <c r="AL39" t="str" cm="1">
        <f t="array" ref="AL3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9">
        <v>2</v>
      </c>
    </row>
    <row r="40" spans="1:39" x14ac:dyDescent="0.25">
      <c r="A40">
        <v>36</v>
      </c>
      <c r="B40" t="s">
        <v>44</v>
      </c>
      <c r="C40" t="s">
        <v>37</v>
      </c>
      <c r="D40">
        <v>852</v>
      </c>
      <c r="E40" t="s">
        <v>46</v>
      </c>
      <c r="G40">
        <v>5</v>
      </c>
      <c r="H40">
        <v>4</v>
      </c>
      <c r="I40" t="s">
        <v>39</v>
      </c>
      <c r="J40" t="str">
        <f>WA_Fn_UseC__HR_Employee_Attrition[[#This Row],[EducationField]]&amp;"-"&amp;WA_Fn_UseC__HR_Employee_Attrition[[#This Row],[Department]]</f>
        <v>Life Sciences-Research &amp; Development</v>
      </c>
      <c r="K40">
        <v>1</v>
      </c>
      <c r="L40">
        <v>51</v>
      </c>
      <c r="M40">
        <v>2</v>
      </c>
      <c r="N40" t="s">
        <v>40</v>
      </c>
      <c r="O40">
        <v>82</v>
      </c>
      <c r="P40">
        <v>2</v>
      </c>
      <c r="Q40">
        <v>1</v>
      </c>
      <c r="R40" t="s">
        <v>48</v>
      </c>
      <c r="S40">
        <v>1</v>
      </c>
      <c r="T40" t="s">
        <v>49</v>
      </c>
      <c r="U40">
        <v>3419</v>
      </c>
      <c r="V40" t="str" cm="1">
        <f t="array" ref="V4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0">
        <v>13072</v>
      </c>
      <c r="X40">
        <v>9</v>
      </c>
      <c r="Y40" t="s">
        <v>43</v>
      </c>
      <c r="Z40" t="s">
        <v>36</v>
      </c>
      <c r="AA40">
        <v>14</v>
      </c>
      <c r="AB40">
        <v>3</v>
      </c>
      <c r="AC40">
        <v>4</v>
      </c>
      <c r="AD40">
        <v>80</v>
      </c>
      <c r="AE40">
        <v>1</v>
      </c>
      <c r="AF40">
        <v>6</v>
      </c>
      <c r="AG40">
        <v>3</v>
      </c>
      <c r="AH40">
        <v>4</v>
      </c>
      <c r="AI40">
        <v>1</v>
      </c>
      <c r="AJ40">
        <v>1</v>
      </c>
      <c r="AK40">
        <v>0</v>
      </c>
      <c r="AL40" t="str" cm="1">
        <f t="array" ref="AL4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0">
        <v>0</v>
      </c>
    </row>
    <row r="41" spans="1:39" x14ac:dyDescent="0.25">
      <c r="A41">
        <v>33</v>
      </c>
      <c r="B41" t="s">
        <v>44</v>
      </c>
      <c r="C41" t="s">
        <v>45</v>
      </c>
      <c r="D41">
        <v>1141</v>
      </c>
      <c r="E41" t="s">
        <v>38</v>
      </c>
      <c r="G41">
        <v>1</v>
      </c>
      <c r="H41">
        <v>3</v>
      </c>
      <c r="I41" t="s">
        <v>39</v>
      </c>
      <c r="J41" t="str">
        <f>WA_Fn_UseC__HR_Employee_Attrition[[#This Row],[EducationField]]&amp;"-"&amp;WA_Fn_UseC__HR_Employee_Attrition[[#This Row],[Department]]</f>
        <v>Life Sciences-Sales</v>
      </c>
      <c r="K41">
        <v>1</v>
      </c>
      <c r="L41">
        <v>52</v>
      </c>
      <c r="M41">
        <v>3</v>
      </c>
      <c r="N41" t="s">
        <v>40</v>
      </c>
      <c r="O41">
        <v>42</v>
      </c>
      <c r="P41">
        <v>4</v>
      </c>
      <c r="Q41">
        <v>2</v>
      </c>
      <c r="R41" t="s">
        <v>41</v>
      </c>
      <c r="S41">
        <v>1</v>
      </c>
      <c r="T41" t="s">
        <v>49</v>
      </c>
      <c r="U41">
        <v>5376</v>
      </c>
      <c r="V41" t="str" cm="1">
        <f t="array" ref="V4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1">
        <v>3193</v>
      </c>
      <c r="X41">
        <v>2</v>
      </c>
      <c r="Y41" t="s">
        <v>43</v>
      </c>
      <c r="Z41" t="s">
        <v>44</v>
      </c>
      <c r="AA41">
        <v>19</v>
      </c>
      <c r="AB41">
        <v>3</v>
      </c>
      <c r="AC41">
        <v>1</v>
      </c>
      <c r="AD41">
        <v>80</v>
      </c>
      <c r="AE41">
        <v>2</v>
      </c>
      <c r="AF41">
        <v>10</v>
      </c>
      <c r="AG41">
        <v>3</v>
      </c>
      <c r="AH41">
        <v>3</v>
      </c>
      <c r="AI41">
        <v>5</v>
      </c>
      <c r="AJ41">
        <v>3</v>
      </c>
      <c r="AK41">
        <v>1</v>
      </c>
      <c r="AL41" t="str" cm="1">
        <f t="array" ref="AL4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1">
        <v>3</v>
      </c>
    </row>
    <row r="42" spans="1:39" x14ac:dyDescent="0.25">
      <c r="A42">
        <v>35</v>
      </c>
      <c r="B42" t="s">
        <v>44</v>
      </c>
      <c r="C42" t="s">
        <v>37</v>
      </c>
      <c r="D42">
        <v>464</v>
      </c>
      <c r="E42" t="s">
        <v>46</v>
      </c>
      <c r="G42">
        <v>4</v>
      </c>
      <c r="H42">
        <v>2</v>
      </c>
      <c r="I42" t="s">
        <v>50</v>
      </c>
      <c r="J42" t="str">
        <f>WA_Fn_UseC__HR_Employee_Attrition[[#This Row],[EducationField]]&amp;"-"&amp;WA_Fn_UseC__HR_Employee_Attrition[[#This Row],[Department]]</f>
        <v>Other-Research &amp; Development</v>
      </c>
      <c r="K42">
        <v>1</v>
      </c>
      <c r="L42">
        <v>53</v>
      </c>
      <c r="M42">
        <v>3</v>
      </c>
      <c r="N42" t="s">
        <v>47</v>
      </c>
      <c r="O42">
        <v>75</v>
      </c>
      <c r="P42">
        <v>3</v>
      </c>
      <c r="Q42">
        <v>1</v>
      </c>
      <c r="R42" t="s">
        <v>51</v>
      </c>
      <c r="S42">
        <v>4</v>
      </c>
      <c r="T42" t="s">
        <v>53</v>
      </c>
      <c r="U42">
        <v>1951</v>
      </c>
      <c r="V42" t="str" cm="1">
        <f t="array" ref="V4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2">
        <v>10910</v>
      </c>
      <c r="X42">
        <v>1</v>
      </c>
      <c r="Y42" t="s">
        <v>43</v>
      </c>
      <c r="Z42" t="s">
        <v>44</v>
      </c>
      <c r="AA42">
        <v>12</v>
      </c>
      <c r="AB42">
        <v>3</v>
      </c>
      <c r="AC42">
        <v>3</v>
      </c>
      <c r="AD42">
        <v>80</v>
      </c>
      <c r="AE42">
        <v>1</v>
      </c>
      <c r="AF42">
        <v>1</v>
      </c>
      <c r="AG42">
        <v>3</v>
      </c>
      <c r="AH42">
        <v>3</v>
      </c>
      <c r="AI42">
        <v>1</v>
      </c>
      <c r="AJ42">
        <v>0</v>
      </c>
      <c r="AK42">
        <v>0</v>
      </c>
      <c r="AL42" t="str" cm="1">
        <f t="array" ref="AL4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2">
        <v>0</v>
      </c>
    </row>
    <row r="43" spans="1:39" x14ac:dyDescent="0.25">
      <c r="A43">
        <v>27</v>
      </c>
      <c r="B43" t="s">
        <v>44</v>
      </c>
      <c r="C43" t="s">
        <v>37</v>
      </c>
      <c r="D43">
        <v>1240</v>
      </c>
      <c r="E43" t="s">
        <v>46</v>
      </c>
      <c r="G43">
        <v>2</v>
      </c>
      <c r="H43">
        <v>4</v>
      </c>
      <c r="I43" t="s">
        <v>39</v>
      </c>
      <c r="J43" t="str">
        <f>WA_Fn_UseC__HR_Employee_Attrition[[#This Row],[EducationField]]&amp;"-"&amp;WA_Fn_UseC__HR_Employee_Attrition[[#This Row],[Department]]</f>
        <v>Life Sciences-Research &amp; Development</v>
      </c>
      <c r="K43">
        <v>1</v>
      </c>
      <c r="L43">
        <v>54</v>
      </c>
      <c r="M43">
        <v>4</v>
      </c>
      <c r="N43" t="s">
        <v>40</v>
      </c>
      <c r="O43">
        <v>33</v>
      </c>
      <c r="P43">
        <v>3</v>
      </c>
      <c r="Q43">
        <v>1</v>
      </c>
      <c r="R43" t="s">
        <v>51</v>
      </c>
      <c r="S43">
        <v>1</v>
      </c>
      <c r="T43" t="s">
        <v>53</v>
      </c>
      <c r="U43">
        <v>2341</v>
      </c>
      <c r="V43" t="str" cm="1">
        <f t="array" ref="V4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3">
        <v>19715</v>
      </c>
      <c r="X43">
        <v>1</v>
      </c>
      <c r="Y43" t="s">
        <v>43</v>
      </c>
      <c r="Z43" t="s">
        <v>44</v>
      </c>
      <c r="AA43">
        <v>13</v>
      </c>
      <c r="AB43">
        <v>3</v>
      </c>
      <c r="AC43">
        <v>4</v>
      </c>
      <c r="AD43">
        <v>80</v>
      </c>
      <c r="AE43">
        <v>1</v>
      </c>
      <c r="AF43">
        <v>1</v>
      </c>
      <c r="AG43">
        <v>6</v>
      </c>
      <c r="AH43">
        <v>3</v>
      </c>
      <c r="AI43">
        <v>1</v>
      </c>
      <c r="AJ43">
        <v>0</v>
      </c>
      <c r="AK43">
        <v>0</v>
      </c>
      <c r="AL43" t="str" cm="1">
        <f t="array" ref="AL4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3">
        <v>0</v>
      </c>
    </row>
    <row r="44" spans="1:39" x14ac:dyDescent="0.25">
      <c r="A44">
        <v>26</v>
      </c>
      <c r="B44" t="s">
        <v>36</v>
      </c>
      <c r="C44" t="s">
        <v>37</v>
      </c>
      <c r="D44">
        <v>1357</v>
      </c>
      <c r="E44" t="s">
        <v>46</v>
      </c>
      <c r="G44">
        <v>25</v>
      </c>
      <c r="H44">
        <v>3</v>
      </c>
      <c r="I44" t="s">
        <v>39</v>
      </c>
      <c r="J44" t="str">
        <f>WA_Fn_UseC__HR_Employee_Attrition[[#This Row],[EducationField]]&amp;"-"&amp;WA_Fn_UseC__HR_Employee_Attrition[[#This Row],[Department]]</f>
        <v>Life Sciences-Research &amp; Development</v>
      </c>
      <c r="K44">
        <v>1</v>
      </c>
      <c r="L44">
        <v>55</v>
      </c>
      <c r="M44">
        <v>1</v>
      </c>
      <c r="N44" t="s">
        <v>47</v>
      </c>
      <c r="O44">
        <v>48</v>
      </c>
      <c r="P44">
        <v>1</v>
      </c>
      <c r="Q44">
        <v>1</v>
      </c>
      <c r="R44" t="s">
        <v>51</v>
      </c>
      <c r="S44">
        <v>3</v>
      </c>
      <c r="T44" t="s">
        <v>42</v>
      </c>
      <c r="U44">
        <v>2293</v>
      </c>
      <c r="V44" t="str" cm="1">
        <f t="array" ref="V4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4">
        <v>10558</v>
      </c>
      <c r="X44">
        <v>1</v>
      </c>
      <c r="Y44" t="s">
        <v>43</v>
      </c>
      <c r="Z44" t="s">
        <v>44</v>
      </c>
      <c r="AA44">
        <v>12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2</v>
      </c>
      <c r="AH44">
        <v>2</v>
      </c>
      <c r="AI44">
        <v>1</v>
      </c>
      <c r="AJ44">
        <v>0</v>
      </c>
      <c r="AK44">
        <v>0</v>
      </c>
      <c r="AL44" t="str" cm="1">
        <f t="array" ref="AL4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4">
        <v>1</v>
      </c>
    </row>
    <row r="45" spans="1:39" x14ac:dyDescent="0.25">
      <c r="A45">
        <v>27</v>
      </c>
      <c r="B45" t="s">
        <v>44</v>
      </c>
      <c r="C45" t="s">
        <v>45</v>
      </c>
      <c r="D45">
        <v>994</v>
      </c>
      <c r="E45" t="s">
        <v>38</v>
      </c>
      <c r="G45">
        <v>8</v>
      </c>
      <c r="H45">
        <v>3</v>
      </c>
      <c r="I45" t="s">
        <v>39</v>
      </c>
      <c r="J45" t="str">
        <f>WA_Fn_UseC__HR_Employee_Attrition[[#This Row],[EducationField]]&amp;"-"&amp;WA_Fn_UseC__HR_Employee_Attrition[[#This Row],[Department]]</f>
        <v>Life Sciences-Sales</v>
      </c>
      <c r="K45">
        <v>1</v>
      </c>
      <c r="L45">
        <v>56</v>
      </c>
      <c r="M45">
        <v>4</v>
      </c>
      <c r="N45" t="s">
        <v>47</v>
      </c>
      <c r="O45">
        <v>37</v>
      </c>
      <c r="P45">
        <v>3</v>
      </c>
      <c r="Q45">
        <v>3</v>
      </c>
      <c r="R45" t="s">
        <v>41</v>
      </c>
      <c r="S45">
        <v>3</v>
      </c>
      <c r="T45" t="s">
        <v>42</v>
      </c>
      <c r="U45">
        <v>8726</v>
      </c>
      <c r="V45" t="str" cm="1">
        <f t="array" ref="V4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5">
        <v>2975</v>
      </c>
      <c r="X45">
        <v>1</v>
      </c>
      <c r="Y45" t="s">
        <v>43</v>
      </c>
      <c r="Z45" t="s">
        <v>44</v>
      </c>
      <c r="AA45">
        <v>15</v>
      </c>
      <c r="AB45">
        <v>3</v>
      </c>
      <c r="AC45">
        <v>4</v>
      </c>
      <c r="AD45">
        <v>80</v>
      </c>
      <c r="AE45">
        <v>0</v>
      </c>
      <c r="AF45">
        <v>9</v>
      </c>
      <c r="AG45">
        <v>0</v>
      </c>
      <c r="AH45">
        <v>3</v>
      </c>
      <c r="AI45">
        <v>9</v>
      </c>
      <c r="AJ45">
        <v>8</v>
      </c>
      <c r="AK45">
        <v>1</v>
      </c>
      <c r="AL45" t="str" cm="1">
        <f t="array" ref="AL4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5">
        <v>7</v>
      </c>
    </row>
    <row r="46" spans="1:39" x14ac:dyDescent="0.25">
      <c r="A46">
        <v>30</v>
      </c>
      <c r="B46" t="s">
        <v>44</v>
      </c>
      <c r="C46" t="s">
        <v>45</v>
      </c>
      <c r="D46">
        <v>721</v>
      </c>
      <c r="E46" t="s">
        <v>46</v>
      </c>
      <c r="G46">
        <v>1</v>
      </c>
      <c r="H46">
        <v>2</v>
      </c>
      <c r="I46" t="s">
        <v>52</v>
      </c>
      <c r="J46" t="str">
        <f>WA_Fn_UseC__HR_Employee_Attrition[[#This Row],[EducationField]]&amp;"-"&amp;WA_Fn_UseC__HR_Employee_Attrition[[#This Row],[Department]]</f>
        <v>Medical-Research &amp; Development</v>
      </c>
      <c r="K46">
        <v>1</v>
      </c>
      <c r="L46">
        <v>57</v>
      </c>
      <c r="M46">
        <v>3</v>
      </c>
      <c r="N46" t="s">
        <v>40</v>
      </c>
      <c r="O46">
        <v>58</v>
      </c>
      <c r="P46">
        <v>3</v>
      </c>
      <c r="Q46">
        <v>2</v>
      </c>
      <c r="R46" t="s">
        <v>51</v>
      </c>
      <c r="S46">
        <v>4</v>
      </c>
      <c r="T46" t="s">
        <v>42</v>
      </c>
      <c r="U46">
        <v>4011</v>
      </c>
      <c r="V46" t="str" cm="1">
        <f t="array" ref="V4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6">
        <v>10781</v>
      </c>
      <c r="X46">
        <v>1</v>
      </c>
      <c r="Y46" t="s">
        <v>43</v>
      </c>
      <c r="Z46" t="s">
        <v>44</v>
      </c>
      <c r="AA46">
        <v>23</v>
      </c>
      <c r="AB46">
        <v>4</v>
      </c>
      <c r="AC46">
        <v>4</v>
      </c>
      <c r="AD46">
        <v>80</v>
      </c>
      <c r="AE46">
        <v>0</v>
      </c>
      <c r="AF46">
        <v>12</v>
      </c>
      <c r="AG46">
        <v>2</v>
      </c>
      <c r="AH46">
        <v>3</v>
      </c>
      <c r="AI46">
        <v>12</v>
      </c>
      <c r="AJ46">
        <v>8</v>
      </c>
      <c r="AK46">
        <v>3</v>
      </c>
      <c r="AL46" t="str" cm="1">
        <f t="array" ref="AL4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6">
        <v>7</v>
      </c>
    </row>
    <row r="47" spans="1:39" x14ac:dyDescent="0.25">
      <c r="A47">
        <v>41</v>
      </c>
      <c r="B47" t="s">
        <v>36</v>
      </c>
      <c r="C47" t="s">
        <v>37</v>
      </c>
      <c r="D47">
        <v>1360</v>
      </c>
      <c r="E47" t="s">
        <v>46</v>
      </c>
      <c r="G47">
        <v>12</v>
      </c>
      <c r="H47">
        <v>3</v>
      </c>
      <c r="I47" t="s">
        <v>61</v>
      </c>
      <c r="J47" t="str">
        <f>WA_Fn_UseC__HR_Employee_Attrition[[#This Row],[EducationField]]&amp;"-"&amp;WA_Fn_UseC__HR_Employee_Attrition[[#This Row],[Department]]</f>
        <v>Technical Degree-Research &amp; Development</v>
      </c>
      <c r="K47">
        <v>1</v>
      </c>
      <c r="L47">
        <v>58</v>
      </c>
      <c r="M47">
        <v>2</v>
      </c>
      <c r="N47" t="s">
        <v>40</v>
      </c>
      <c r="O47">
        <v>49</v>
      </c>
      <c r="P47">
        <v>3</v>
      </c>
      <c r="Q47">
        <v>5</v>
      </c>
      <c r="R47" t="s">
        <v>59</v>
      </c>
      <c r="S47">
        <v>3</v>
      </c>
      <c r="T47" t="s">
        <v>49</v>
      </c>
      <c r="U47">
        <v>19545</v>
      </c>
      <c r="V47" t="str" cm="1">
        <f t="array" ref="V4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7">
        <v>16280</v>
      </c>
      <c r="X47">
        <v>1</v>
      </c>
      <c r="Y47" t="s">
        <v>43</v>
      </c>
      <c r="Z47" t="s">
        <v>44</v>
      </c>
      <c r="AA47">
        <v>12</v>
      </c>
      <c r="AB47">
        <v>3</v>
      </c>
      <c r="AC47">
        <v>4</v>
      </c>
      <c r="AD47">
        <v>80</v>
      </c>
      <c r="AE47">
        <v>0</v>
      </c>
      <c r="AF47">
        <v>23</v>
      </c>
      <c r="AG47">
        <v>0</v>
      </c>
      <c r="AH47">
        <v>3</v>
      </c>
      <c r="AI47">
        <v>22</v>
      </c>
      <c r="AJ47">
        <v>15</v>
      </c>
      <c r="AK47">
        <v>15</v>
      </c>
      <c r="AL47" t="str" cm="1">
        <f t="array" ref="AL4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7">
        <v>8</v>
      </c>
    </row>
    <row r="48" spans="1:39" x14ac:dyDescent="0.25">
      <c r="A48">
        <v>34</v>
      </c>
      <c r="B48" t="s">
        <v>44</v>
      </c>
      <c r="C48" t="s">
        <v>56</v>
      </c>
      <c r="D48">
        <v>1065</v>
      </c>
      <c r="E48" t="s">
        <v>38</v>
      </c>
      <c r="G48">
        <v>23</v>
      </c>
      <c r="H48">
        <v>4</v>
      </c>
      <c r="I48" t="s">
        <v>60</v>
      </c>
      <c r="J48" t="str">
        <f>WA_Fn_UseC__HR_Employee_Attrition[[#This Row],[EducationField]]&amp;"-"&amp;WA_Fn_UseC__HR_Employee_Attrition[[#This Row],[Department]]</f>
        <v>Marketing-Sales</v>
      </c>
      <c r="K48">
        <v>1</v>
      </c>
      <c r="L48">
        <v>60</v>
      </c>
      <c r="M48">
        <v>2</v>
      </c>
      <c r="N48" t="s">
        <v>47</v>
      </c>
      <c r="O48">
        <v>72</v>
      </c>
      <c r="P48">
        <v>3</v>
      </c>
      <c r="Q48">
        <v>2</v>
      </c>
      <c r="R48" t="s">
        <v>41</v>
      </c>
      <c r="S48">
        <v>3</v>
      </c>
      <c r="T48" t="s">
        <v>42</v>
      </c>
      <c r="U48">
        <v>4568</v>
      </c>
      <c r="V48" t="str" cm="1">
        <f t="array" ref="V4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8">
        <v>10034</v>
      </c>
      <c r="X48">
        <v>0</v>
      </c>
      <c r="Y48" t="s">
        <v>43</v>
      </c>
      <c r="Z48" t="s">
        <v>44</v>
      </c>
      <c r="AA48">
        <v>20</v>
      </c>
      <c r="AB48">
        <v>4</v>
      </c>
      <c r="AC48">
        <v>3</v>
      </c>
      <c r="AD48">
        <v>80</v>
      </c>
      <c r="AE48">
        <v>0</v>
      </c>
      <c r="AF48">
        <v>10</v>
      </c>
      <c r="AG48">
        <v>2</v>
      </c>
      <c r="AH48">
        <v>3</v>
      </c>
      <c r="AI48">
        <v>9</v>
      </c>
      <c r="AJ48">
        <v>5</v>
      </c>
      <c r="AK48">
        <v>8</v>
      </c>
      <c r="AL48" t="str" cm="1">
        <f t="array" ref="AL4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8">
        <v>7</v>
      </c>
    </row>
    <row r="49" spans="1:39" x14ac:dyDescent="0.25">
      <c r="A49">
        <v>37</v>
      </c>
      <c r="B49" t="s">
        <v>44</v>
      </c>
      <c r="C49" t="s">
        <v>37</v>
      </c>
      <c r="D49">
        <v>408</v>
      </c>
      <c r="E49" t="s">
        <v>46</v>
      </c>
      <c r="G49">
        <v>19</v>
      </c>
      <c r="H49">
        <v>2</v>
      </c>
      <c r="I49" t="s">
        <v>39</v>
      </c>
      <c r="J49" t="str">
        <f>WA_Fn_UseC__HR_Employee_Attrition[[#This Row],[EducationField]]&amp;"-"&amp;WA_Fn_UseC__HR_Employee_Attrition[[#This Row],[Department]]</f>
        <v>Life Sciences-Research &amp; Development</v>
      </c>
      <c r="K49">
        <v>1</v>
      </c>
      <c r="L49">
        <v>61</v>
      </c>
      <c r="M49">
        <v>2</v>
      </c>
      <c r="N49" t="s">
        <v>47</v>
      </c>
      <c r="O49">
        <v>73</v>
      </c>
      <c r="P49">
        <v>3</v>
      </c>
      <c r="Q49">
        <v>1</v>
      </c>
      <c r="R49" t="s">
        <v>48</v>
      </c>
      <c r="S49">
        <v>2</v>
      </c>
      <c r="T49" t="s">
        <v>49</v>
      </c>
      <c r="U49">
        <v>3022</v>
      </c>
      <c r="V49" t="str" cm="1">
        <f t="array" ref="V4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9">
        <v>10227</v>
      </c>
      <c r="X49">
        <v>4</v>
      </c>
      <c r="Y49" t="s">
        <v>43</v>
      </c>
      <c r="Z49" t="s">
        <v>44</v>
      </c>
      <c r="AA49">
        <v>21</v>
      </c>
      <c r="AB49">
        <v>4</v>
      </c>
      <c r="AC49">
        <v>1</v>
      </c>
      <c r="AD49">
        <v>80</v>
      </c>
      <c r="AE49">
        <v>0</v>
      </c>
      <c r="AF49">
        <v>8</v>
      </c>
      <c r="AG49">
        <v>1</v>
      </c>
      <c r="AH49">
        <v>3</v>
      </c>
      <c r="AI49">
        <v>1</v>
      </c>
      <c r="AJ49">
        <v>0</v>
      </c>
      <c r="AK49">
        <v>0</v>
      </c>
      <c r="AL49" t="str" cm="1">
        <f t="array" ref="AL4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9">
        <v>0</v>
      </c>
    </row>
    <row r="50" spans="1:39" x14ac:dyDescent="0.25">
      <c r="A50">
        <v>46</v>
      </c>
      <c r="B50" t="s">
        <v>44</v>
      </c>
      <c r="C50" t="s">
        <v>45</v>
      </c>
      <c r="D50">
        <v>1211</v>
      </c>
      <c r="E50" t="s">
        <v>38</v>
      </c>
      <c r="G50">
        <v>5</v>
      </c>
      <c r="H50">
        <v>4</v>
      </c>
      <c r="I50" t="s">
        <v>60</v>
      </c>
      <c r="J50" t="str">
        <f>WA_Fn_UseC__HR_Employee_Attrition[[#This Row],[EducationField]]&amp;"-"&amp;WA_Fn_UseC__HR_Employee_Attrition[[#This Row],[Department]]</f>
        <v>Marketing-Sales</v>
      </c>
      <c r="K50">
        <v>1</v>
      </c>
      <c r="L50">
        <v>62</v>
      </c>
      <c r="M50">
        <v>1</v>
      </c>
      <c r="N50" t="s">
        <v>47</v>
      </c>
      <c r="O50">
        <v>98</v>
      </c>
      <c r="P50">
        <v>3</v>
      </c>
      <c r="Q50">
        <v>2</v>
      </c>
      <c r="R50" t="s">
        <v>41</v>
      </c>
      <c r="S50">
        <v>4</v>
      </c>
      <c r="T50" t="s">
        <v>42</v>
      </c>
      <c r="U50">
        <v>5772</v>
      </c>
      <c r="V50" t="str" cm="1">
        <f t="array" ref="V5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0">
        <v>20445</v>
      </c>
      <c r="X50">
        <v>4</v>
      </c>
      <c r="Y50" t="s">
        <v>43</v>
      </c>
      <c r="Z50" t="s">
        <v>36</v>
      </c>
      <c r="AA50">
        <v>21</v>
      </c>
      <c r="AB50">
        <v>4</v>
      </c>
      <c r="AC50">
        <v>3</v>
      </c>
      <c r="AD50">
        <v>80</v>
      </c>
      <c r="AE50">
        <v>0</v>
      </c>
      <c r="AF50">
        <v>14</v>
      </c>
      <c r="AG50">
        <v>4</v>
      </c>
      <c r="AH50">
        <v>3</v>
      </c>
      <c r="AI50">
        <v>9</v>
      </c>
      <c r="AJ50">
        <v>6</v>
      </c>
      <c r="AK50">
        <v>0</v>
      </c>
      <c r="AL50" t="str" cm="1">
        <f t="array" ref="AL5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0">
        <v>8</v>
      </c>
    </row>
    <row r="51" spans="1:39" x14ac:dyDescent="0.25">
      <c r="A51">
        <v>35</v>
      </c>
      <c r="B51" t="s">
        <v>44</v>
      </c>
      <c r="C51" t="s">
        <v>37</v>
      </c>
      <c r="D51">
        <v>1229</v>
      </c>
      <c r="E51" t="s">
        <v>46</v>
      </c>
      <c r="G51">
        <v>8</v>
      </c>
      <c r="H51">
        <v>1</v>
      </c>
      <c r="I51" t="s">
        <v>39</v>
      </c>
      <c r="J51" t="str">
        <f>WA_Fn_UseC__HR_Employee_Attrition[[#This Row],[EducationField]]&amp;"-"&amp;WA_Fn_UseC__HR_Employee_Attrition[[#This Row],[Department]]</f>
        <v>Life Sciences-Research &amp; Development</v>
      </c>
      <c r="K51">
        <v>1</v>
      </c>
      <c r="L51">
        <v>63</v>
      </c>
      <c r="M51">
        <v>4</v>
      </c>
      <c r="N51" t="s">
        <v>47</v>
      </c>
      <c r="O51">
        <v>36</v>
      </c>
      <c r="P51">
        <v>4</v>
      </c>
      <c r="Q51">
        <v>1</v>
      </c>
      <c r="R51" t="s">
        <v>51</v>
      </c>
      <c r="S51">
        <v>4</v>
      </c>
      <c r="T51" t="s">
        <v>49</v>
      </c>
      <c r="U51">
        <v>2269</v>
      </c>
      <c r="V51" t="str" cm="1">
        <f t="array" ref="V5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1">
        <v>4892</v>
      </c>
      <c r="X51">
        <v>1</v>
      </c>
      <c r="Y51" t="s">
        <v>43</v>
      </c>
      <c r="Z51" t="s">
        <v>44</v>
      </c>
      <c r="AA51">
        <v>19</v>
      </c>
      <c r="AB51">
        <v>3</v>
      </c>
      <c r="AC51">
        <v>4</v>
      </c>
      <c r="AD51">
        <v>80</v>
      </c>
      <c r="AE51">
        <v>0</v>
      </c>
      <c r="AF51">
        <v>1</v>
      </c>
      <c r="AG51">
        <v>2</v>
      </c>
      <c r="AH51">
        <v>3</v>
      </c>
      <c r="AI51">
        <v>1</v>
      </c>
      <c r="AJ51">
        <v>0</v>
      </c>
      <c r="AK51">
        <v>0</v>
      </c>
      <c r="AL51" t="str" cm="1">
        <f t="array" ref="AL5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1">
        <v>1</v>
      </c>
    </row>
    <row r="52" spans="1:39" x14ac:dyDescent="0.25">
      <c r="A52">
        <v>48</v>
      </c>
      <c r="B52" t="s">
        <v>36</v>
      </c>
      <c r="C52" t="s">
        <v>37</v>
      </c>
      <c r="D52">
        <v>626</v>
      </c>
      <c r="E52" t="s">
        <v>46</v>
      </c>
      <c r="G52">
        <v>1</v>
      </c>
      <c r="H52">
        <v>2</v>
      </c>
      <c r="I52" t="s">
        <v>39</v>
      </c>
      <c r="J52" t="str">
        <f>WA_Fn_UseC__HR_Employee_Attrition[[#This Row],[EducationField]]&amp;"-"&amp;WA_Fn_UseC__HR_Employee_Attrition[[#This Row],[Department]]</f>
        <v>Life Sciences-Research &amp; Development</v>
      </c>
      <c r="K52">
        <v>1</v>
      </c>
      <c r="L52">
        <v>64</v>
      </c>
      <c r="M52">
        <v>1</v>
      </c>
      <c r="N52" t="s">
        <v>47</v>
      </c>
      <c r="O52">
        <v>98</v>
      </c>
      <c r="P52">
        <v>2</v>
      </c>
      <c r="Q52">
        <v>3</v>
      </c>
      <c r="R52" t="s">
        <v>51</v>
      </c>
      <c r="S52">
        <v>3</v>
      </c>
      <c r="T52" t="s">
        <v>42</v>
      </c>
      <c r="U52">
        <v>5381</v>
      </c>
      <c r="V52" t="str" cm="1">
        <f t="array" ref="V5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2">
        <v>19294</v>
      </c>
      <c r="X52">
        <v>9</v>
      </c>
      <c r="Y52" t="s">
        <v>43</v>
      </c>
      <c r="Z52" t="s">
        <v>36</v>
      </c>
      <c r="AA52">
        <v>13</v>
      </c>
      <c r="AB52">
        <v>3</v>
      </c>
      <c r="AC52">
        <v>4</v>
      </c>
      <c r="AD52">
        <v>80</v>
      </c>
      <c r="AE52">
        <v>0</v>
      </c>
      <c r="AF52">
        <v>23</v>
      </c>
      <c r="AG52">
        <v>2</v>
      </c>
      <c r="AH52">
        <v>3</v>
      </c>
      <c r="AI52">
        <v>1</v>
      </c>
      <c r="AJ52">
        <v>0</v>
      </c>
      <c r="AK52">
        <v>0</v>
      </c>
      <c r="AL52" t="str" cm="1">
        <f t="array" ref="AL5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2">
        <v>0</v>
      </c>
    </row>
    <row r="53" spans="1:39" x14ac:dyDescent="0.25">
      <c r="A53">
        <v>28</v>
      </c>
      <c r="B53" t="s">
        <v>36</v>
      </c>
      <c r="C53" t="s">
        <v>37</v>
      </c>
      <c r="D53">
        <v>1434</v>
      </c>
      <c r="E53" t="s">
        <v>46</v>
      </c>
      <c r="G53">
        <v>5</v>
      </c>
      <c r="H53">
        <v>4</v>
      </c>
      <c r="I53" t="s">
        <v>61</v>
      </c>
      <c r="J53" t="str">
        <f>WA_Fn_UseC__HR_Employee_Attrition[[#This Row],[EducationField]]&amp;"-"&amp;WA_Fn_UseC__HR_Employee_Attrition[[#This Row],[Department]]</f>
        <v>Technical Degree-Research &amp; Development</v>
      </c>
      <c r="K53">
        <v>1</v>
      </c>
      <c r="L53">
        <v>65</v>
      </c>
      <c r="M53">
        <v>3</v>
      </c>
      <c r="N53" t="s">
        <v>47</v>
      </c>
      <c r="O53">
        <v>50</v>
      </c>
      <c r="P53">
        <v>3</v>
      </c>
      <c r="Q53">
        <v>1</v>
      </c>
      <c r="R53" t="s">
        <v>51</v>
      </c>
      <c r="S53">
        <v>3</v>
      </c>
      <c r="T53" t="s">
        <v>42</v>
      </c>
      <c r="U53">
        <v>3441</v>
      </c>
      <c r="V53" t="str" cm="1">
        <f t="array" ref="V5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3">
        <v>11179</v>
      </c>
      <c r="X53">
        <v>1</v>
      </c>
      <c r="Y53" t="s">
        <v>43</v>
      </c>
      <c r="Z53" t="s">
        <v>36</v>
      </c>
      <c r="AA53">
        <v>13</v>
      </c>
      <c r="AB53">
        <v>3</v>
      </c>
      <c r="AC53">
        <v>3</v>
      </c>
      <c r="AD53">
        <v>80</v>
      </c>
      <c r="AE53">
        <v>0</v>
      </c>
      <c r="AF53">
        <v>2</v>
      </c>
      <c r="AG53">
        <v>3</v>
      </c>
      <c r="AH53">
        <v>2</v>
      </c>
      <c r="AI53">
        <v>2</v>
      </c>
      <c r="AJ53">
        <v>2</v>
      </c>
      <c r="AK53">
        <v>2</v>
      </c>
      <c r="AL53" t="str" cm="1">
        <f t="array" ref="AL5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3">
        <v>2</v>
      </c>
    </row>
    <row r="54" spans="1:39" x14ac:dyDescent="0.25">
      <c r="A54">
        <v>44</v>
      </c>
      <c r="B54" t="s">
        <v>44</v>
      </c>
      <c r="C54" t="s">
        <v>37</v>
      </c>
      <c r="D54">
        <v>1488</v>
      </c>
      <c r="E54" t="s">
        <v>38</v>
      </c>
      <c r="G54">
        <v>1</v>
      </c>
      <c r="H54">
        <v>5</v>
      </c>
      <c r="I54" t="s">
        <v>60</v>
      </c>
      <c r="J54" t="str">
        <f>WA_Fn_UseC__HR_Employee_Attrition[[#This Row],[EducationField]]&amp;"-"&amp;WA_Fn_UseC__HR_Employee_Attrition[[#This Row],[Department]]</f>
        <v>Marketing-Sales</v>
      </c>
      <c r="K54">
        <v>1</v>
      </c>
      <c r="L54">
        <v>68</v>
      </c>
      <c r="M54">
        <v>2</v>
      </c>
      <c r="N54" t="s">
        <v>40</v>
      </c>
      <c r="O54">
        <v>75</v>
      </c>
      <c r="P54">
        <v>3</v>
      </c>
      <c r="Q54">
        <v>2</v>
      </c>
      <c r="R54" t="s">
        <v>41</v>
      </c>
      <c r="S54">
        <v>1</v>
      </c>
      <c r="T54" t="s">
        <v>53</v>
      </c>
      <c r="U54">
        <v>5454</v>
      </c>
      <c r="V54" t="str" cm="1">
        <f t="array" ref="V5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4">
        <v>4009</v>
      </c>
      <c r="X54">
        <v>5</v>
      </c>
      <c r="Y54" t="s">
        <v>43</v>
      </c>
      <c r="Z54" t="s">
        <v>36</v>
      </c>
      <c r="AA54">
        <v>21</v>
      </c>
      <c r="AB54">
        <v>4</v>
      </c>
      <c r="AC54">
        <v>3</v>
      </c>
      <c r="AD54">
        <v>80</v>
      </c>
      <c r="AE54">
        <v>1</v>
      </c>
      <c r="AF54">
        <v>9</v>
      </c>
      <c r="AG54">
        <v>2</v>
      </c>
      <c r="AH54">
        <v>2</v>
      </c>
      <c r="AI54">
        <v>4</v>
      </c>
      <c r="AJ54">
        <v>3</v>
      </c>
      <c r="AK54">
        <v>1</v>
      </c>
      <c r="AL54" t="str" cm="1">
        <f t="array" ref="AL5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4">
        <v>3</v>
      </c>
    </row>
    <row r="55" spans="1:39" x14ac:dyDescent="0.25">
      <c r="A55">
        <v>35</v>
      </c>
      <c r="B55" t="s">
        <v>44</v>
      </c>
      <c r="C55" t="s">
        <v>56</v>
      </c>
      <c r="D55">
        <v>1097</v>
      </c>
      <c r="E55" t="s">
        <v>46</v>
      </c>
      <c r="G55">
        <v>11</v>
      </c>
      <c r="H55">
        <v>2</v>
      </c>
      <c r="I55" t="s">
        <v>52</v>
      </c>
      <c r="J55" t="str">
        <f>WA_Fn_UseC__HR_Employee_Attrition[[#This Row],[EducationField]]&amp;"-"&amp;WA_Fn_UseC__HR_Employee_Attrition[[#This Row],[Department]]</f>
        <v>Medical-Research &amp; Development</v>
      </c>
      <c r="K55">
        <v>1</v>
      </c>
      <c r="L55">
        <v>70</v>
      </c>
      <c r="M55">
        <v>3</v>
      </c>
      <c r="N55" t="s">
        <v>47</v>
      </c>
      <c r="O55">
        <v>79</v>
      </c>
      <c r="P55">
        <v>2</v>
      </c>
      <c r="Q55">
        <v>3</v>
      </c>
      <c r="R55" t="s">
        <v>55</v>
      </c>
      <c r="S55">
        <v>1</v>
      </c>
      <c r="T55" t="s">
        <v>49</v>
      </c>
      <c r="U55">
        <v>9884</v>
      </c>
      <c r="V55" t="str" cm="1">
        <f t="array" ref="V5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5">
        <v>8302</v>
      </c>
      <c r="X55">
        <v>2</v>
      </c>
      <c r="Y55" t="s">
        <v>43</v>
      </c>
      <c r="Z55" t="s">
        <v>36</v>
      </c>
      <c r="AA55">
        <v>13</v>
      </c>
      <c r="AB55">
        <v>3</v>
      </c>
      <c r="AC55">
        <v>3</v>
      </c>
      <c r="AD55">
        <v>80</v>
      </c>
      <c r="AE55">
        <v>1</v>
      </c>
      <c r="AF55">
        <v>10</v>
      </c>
      <c r="AG55">
        <v>3</v>
      </c>
      <c r="AH55">
        <v>3</v>
      </c>
      <c r="AI55">
        <v>4</v>
      </c>
      <c r="AJ55">
        <v>0</v>
      </c>
      <c r="AK55">
        <v>2</v>
      </c>
      <c r="AL55" t="str" cm="1">
        <f t="array" ref="AL5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5">
        <v>3</v>
      </c>
    </row>
    <row r="56" spans="1:39" x14ac:dyDescent="0.25">
      <c r="A56">
        <v>26</v>
      </c>
      <c r="B56" t="s">
        <v>44</v>
      </c>
      <c r="C56" t="s">
        <v>37</v>
      </c>
      <c r="D56">
        <v>1443</v>
      </c>
      <c r="E56" t="s">
        <v>38</v>
      </c>
      <c r="G56">
        <v>23</v>
      </c>
      <c r="H56">
        <v>3</v>
      </c>
      <c r="I56" t="s">
        <v>60</v>
      </c>
      <c r="J56" t="str">
        <f>WA_Fn_UseC__HR_Employee_Attrition[[#This Row],[EducationField]]&amp;"-"&amp;WA_Fn_UseC__HR_Employee_Attrition[[#This Row],[Department]]</f>
        <v>Marketing-Sales</v>
      </c>
      <c r="K56">
        <v>1</v>
      </c>
      <c r="L56">
        <v>72</v>
      </c>
      <c r="M56">
        <v>3</v>
      </c>
      <c r="N56" t="s">
        <v>40</v>
      </c>
      <c r="O56">
        <v>47</v>
      </c>
      <c r="P56">
        <v>2</v>
      </c>
      <c r="Q56">
        <v>2</v>
      </c>
      <c r="R56" t="s">
        <v>41</v>
      </c>
      <c r="S56">
        <v>4</v>
      </c>
      <c r="T56" t="s">
        <v>49</v>
      </c>
      <c r="U56">
        <v>4157</v>
      </c>
      <c r="V56" t="str" cm="1">
        <f t="array" ref="V5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6">
        <v>21436</v>
      </c>
      <c r="X56">
        <v>7</v>
      </c>
      <c r="Y56" t="s">
        <v>43</v>
      </c>
      <c r="Z56" t="s">
        <v>36</v>
      </c>
      <c r="AA56">
        <v>19</v>
      </c>
      <c r="AB56">
        <v>3</v>
      </c>
      <c r="AC56">
        <v>3</v>
      </c>
      <c r="AD56">
        <v>80</v>
      </c>
      <c r="AE56">
        <v>1</v>
      </c>
      <c r="AF56">
        <v>5</v>
      </c>
      <c r="AG56">
        <v>2</v>
      </c>
      <c r="AH56">
        <v>2</v>
      </c>
      <c r="AI56">
        <v>2</v>
      </c>
      <c r="AJ56">
        <v>2</v>
      </c>
      <c r="AK56">
        <v>0</v>
      </c>
      <c r="AL56" t="str" cm="1">
        <f t="array" ref="AL5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6">
        <v>0</v>
      </c>
    </row>
    <row r="57" spans="1:39" x14ac:dyDescent="0.25">
      <c r="A57">
        <v>33</v>
      </c>
      <c r="B57" t="s">
        <v>44</v>
      </c>
      <c r="C57" t="s">
        <v>45</v>
      </c>
      <c r="D57">
        <v>515</v>
      </c>
      <c r="E57" t="s">
        <v>46</v>
      </c>
      <c r="G57">
        <v>1</v>
      </c>
      <c r="H57">
        <v>2</v>
      </c>
      <c r="I57" t="s">
        <v>39</v>
      </c>
      <c r="J57" t="str">
        <f>WA_Fn_UseC__HR_Employee_Attrition[[#This Row],[EducationField]]&amp;"-"&amp;WA_Fn_UseC__HR_Employee_Attrition[[#This Row],[Department]]</f>
        <v>Life Sciences-Research &amp; Development</v>
      </c>
      <c r="K57">
        <v>1</v>
      </c>
      <c r="L57">
        <v>73</v>
      </c>
      <c r="M57">
        <v>1</v>
      </c>
      <c r="N57" t="s">
        <v>40</v>
      </c>
      <c r="O57">
        <v>98</v>
      </c>
      <c r="P57">
        <v>3</v>
      </c>
      <c r="Q57">
        <v>3</v>
      </c>
      <c r="R57" t="s">
        <v>59</v>
      </c>
      <c r="S57">
        <v>4</v>
      </c>
      <c r="T57" t="s">
        <v>42</v>
      </c>
      <c r="U57">
        <v>13458</v>
      </c>
      <c r="V57" t="str" cm="1">
        <f t="array" ref="V5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7">
        <v>15146</v>
      </c>
      <c r="X57">
        <v>1</v>
      </c>
      <c r="Y57" t="s">
        <v>43</v>
      </c>
      <c r="Z57" t="s">
        <v>36</v>
      </c>
      <c r="AA57">
        <v>12</v>
      </c>
      <c r="AB57">
        <v>3</v>
      </c>
      <c r="AC57">
        <v>3</v>
      </c>
      <c r="AD57">
        <v>80</v>
      </c>
      <c r="AE57">
        <v>0</v>
      </c>
      <c r="AF57">
        <v>15</v>
      </c>
      <c r="AG57">
        <v>1</v>
      </c>
      <c r="AH57">
        <v>3</v>
      </c>
      <c r="AI57">
        <v>15</v>
      </c>
      <c r="AJ57">
        <v>14</v>
      </c>
      <c r="AK57">
        <v>8</v>
      </c>
      <c r="AL57" t="str" cm="1">
        <f t="array" ref="AL5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7">
        <v>12</v>
      </c>
    </row>
    <row r="58" spans="1:39" x14ac:dyDescent="0.25">
      <c r="A58">
        <v>35</v>
      </c>
      <c r="B58" t="s">
        <v>44</v>
      </c>
      <c r="C58" t="s">
        <v>45</v>
      </c>
      <c r="D58">
        <v>853</v>
      </c>
      <c r="E58" t="s">
        <v>38</v>
      </c>
      <c r="G58">
        <v>18</v>
      </c>
      <c r="H58">
        <v>5</v>
      </c>
      <c r="I58" t="s">
        <v>39</v>
      </c>
      <c r="J58" t="str">
        <f>WA_Fn_UseC__HR_Employee_Attrition[[#This Row],[EducationField]]&amp;"-"&amp;WA_Fn_UseC__HR_Employee_Attrition[[#This Row],[Department]]</f>
        <v>Life Sciences-Sales</v>
      </c>
      <c r="K58">
        <v>1</v>
      </c>
      <c r="L58">
        <v>74</v>
      </c>
      <c r="M58">
        <v>2</v>
      </c>
      <c r="N58" t="s">
        <v>47</v>
      </c>
      <c r="O58">
        <v>71</v>
      </c>
      <c r="P58">
        <v>3</v>
      </c>
      <c r="Q58">
        <v>3</v>
      </c>
      <c r="R58" t="s">
        <v>41</v>
      </c>
      <c r="S58">
        <v>1</v>
      </c>
      <c r="T58" t="s">
        <v>49</v>
      </c>
      <c r="U58">
        <v>9069</v>
      </c>
      <c r="V58" t="str" cm="1">
        <f t="array" ref="V5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8">
        <v>11031</v>
      </c>
      <c r="X58">
        <v>1</v>
      </c>
      <c r="Y58" t="s">
        <v>43</v>
      </c>
      <c r="Z58" t="s">
        <v>44</v>
      </c>
      <c r="AA58">
        <v>22</v>
      </c>
      <c r="AB58">
        <v>4</v>
      </c>
      <c r="AC58">
        <v>4</v>
      </c>
      <c r="AD58">
        <v>80</v>
      </c>
      <c r="AE58">
        <v>1</v>
      </c>
      <c r="AF58">
        <v>9</v>
      </c>
      <c r="AG58">
        <v>3</v>
      </c>
      <c r="AH58">
        <v>2</v>
      </c>
      <c r="AI58">
        <v>9</v>
      </c>
      <c r="AJ58">
        <v>8</v>
      </c>
      <c r="AK58">
        <v>1</v>
      </c>
      <c r="AL58" t="str" cm="1">
        <f t="array" ref="AL5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8">
        <v>8</v>
      </c>
    </row>
    <row r="59" spans="1:39" x14ac:dyDescent="0.25">
      <c r="A59">
        <v>35</v>
      </c>
      <c r="B59" t="s">
        <v>44</v>
      </c>
      <c r="C59" t="s">
        <v>37</v>
      </c>
      <c r="D59">
        <v>1142</v>
      </c>
      <c r="E59" t="s">
        <v>46</v>
      </c>
      <c r="G59">
        <v>23</v>
      </c>
      <c r="H59">
        <v>4</v>
      </c>
      <c r="I59" t="s">
        <v>52</v>
      </c>
      <c r="J59" t="str">
        <f>WA_Fn_UseC__HR_Employee_Attrition[[#This Row],[EducationField]]&amp;"-"&amp;WA_Fn_UseC__HR_Employee_Attrition[[#This Row],[Department]]</f>
        <v>Medical-Research &amp; Development</v>
      </c>
      <c r="K59">
        <v>1</v>
      </c>
      <c r="L59">
        <v>75</v>
      </c>
      <c r="M59">
        <v>3</v>
      </c>
      <c r="N59" t="s">
        <v>40</v>
      </c>
      <c r="O59">
        <v>30</v>
      </c>
      <c r="P59">
        <v>3</v>
      </c>
      <c r="Q59">
        <v>1</v>
      </c>
      <c r="R59" t="s">
        <v>51</v>
      </c>
      <c r="S59">
        <v>1</v>
      </c>
      <c r="T59" t="s">
        <v>49</v>
      </c>
      <c r="U59">
        <v>4014</v>
      </c>
      <c r="V59" t="str" cm="1">
        <f t="array" ref="V5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9">
        <v>16002</v>
      </c>
      <c r="X59">
        <v>3</v>
      </c>
      <c r="Y59" t="s">
        <v>43</v>
      </c>
      <c r="Z59" t="s">
        <v>36</v>
      </c>
      <c r="AA59">
        <v>15</v>
      </c>
      <c r="AB59">
        <v>3</v>
      </c>
      <c r="AC59">
        <v>3</v>
      </c>
      <c r="AD59">
        <v>80</v>
      </c>
      <c r="AE59">
        <v>1</v>
      </c>
      <c r="AF59">
        <v>4</v>
      </c>
      <c r="AG59">
        <v>3</v>
      </c>
      <c r="AH59">
        <v>3</v>
      </c>
      <c r="AI59">
        <v>2</v>
      </c>
      <c r="AJ59">
        <v>2</v>
      </c>
      <c r="AK59">
        <v>2</v>
      </c>
      <c r="AL59" t="str" cm="1">
        <f t="array" ref="AL5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9">
        <v>2</v>
      </c>
    </row>
    <row r="60" spans="1:39" x14ac:dyDescent="0.25">
      <c r="A60">
        <v>31</v>
      </c>
      <c r="B60" t="s">
        <v>44</v>
      </c>
      <c r="C60" t="s">
        <v>37</v>
      </c>
      <c r="D60">
        <v>655</v>
      </c>
      <c r="E60" t="s">
        <v>46</v>
      </c>
      <c r="G60">
        <v>7</v>
      </c>
      <c r="H60">
        <v>4</v>
      </c>
      <c r="I60" t="s">
        <v>39</v>
      </c>
      <c r="J60" t="str">
        <f>WA_Fn_UseC__HR_Employee_Attrition[[#This Row],[EducationField]]&amp;"-"&amp;WA_Fn_UseC__HR_Employee_Attrition[[#This Row],[Department]]</f>
        <v>Life Sciences-Research &amp; Development</v>
      </c>
      <c r="K60">
        <v>1</v>
      </c>
      <c r="L60">
        <v>76</v>
      </c>
      <c r="M60">
        <v>4</v>
      </c>
      <c r="N60" t="s">
        <v>47</v>
      </c>
      <c r="O60">
        <v>48</v>
      </c>
      <c r="P60">
        <v>3</v>
      </c>
      <c r="Q60">
        <v>2</v>
      </c>
      <c r="R60" t="s">
        <v>51</v>
      </c>
      <c r="S60">
        <v>4</v>
      </c>
      <c r="T60" t="s">
        <v>53</v>
      </c>
      <c r="U60">
        <v>5915</v>
      </c>
      <c r="V60" t="str" cm="1">
        <f t="array" ref="V6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0">
        <v>9528</v>
      </c>
      <c r="X60">
        <v>3</v>
      </c>
      <c r="Y60" t="s">
        <v>43</v>
      </c>
      <c r="Z60" t="s">
        <v>44</v>
      </c>
      <c r="AA60">
        <v>22</v>
      </c>
      <c r="AB60">
        <v>4</v>
      </c>
      <c r="AC60">
        <v>4</v>
      </c>
      <c r="AD60">
        <v>80</v>
      </c>
      <c r="AE60">
        <v>1</v>
      </c>
      <c r="AF60">
        <v>10</v>
      </c>
      <c r="AG60">
        <v>3</v>
      </c>
      <c r="AH60">
        <v>2</v>
      </c>
      <c r="AI60">
        <v>7</v>
      </c>
      <c r="AJ60">
        <v>7</v>
      </c>
      <c r="AK60">
        <v>1</v>
      </c>
      <c r="AL60" t="str" cm="1">
        <f t="array" ref="AL6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0">
        <v>7</v>
      </c>
    </row>
    <row r="61" spans="1:39" x14ac:dyDescent="0.25">
      <c r="A61">
        <v>37</v>
      </c>
      <c r="B61" t="s">
        <v>44</v>
      </c>
      <c r="C61" t="s">
        <v>37</v>
      </c>
      <c r="D61">
        <v>1115</v>
      </c>
      <c r="E61" t="s">
        <v>46</v>
      </c>
      <c r="G61">
        <v>1</v>
      </c>
      <c r="H61">
        <v>4</v>
      </c>
      <c r="I61" t="s">
        <v>39</v>
      </c>
      <c r="J61" t="str">
        <f>WA_Fn_UseC__HR_Employee_Attrition[[#This Row],[EducationField]]&amp;"-"&amp;WA_Fn_UseC__HR_Employee_Attrition[[#This Row],[Department]]</f>
        <v>Life Sciences-Research &amp; Development</v>
      </c>
      <c r="K61">
        <v>1</v>
      </c>
      <c r="L61">
        <v>77</v>
      </c>
      <c r="M61">
        <v>1</v>
      </c>
      <c r="N61" t="s">
        <v>47</v>
      </c>
      <c r="O61">
        <v>51</v>
      </c>
      <c r="P61">
        <v>2</v>
      </c>
      <c r="Q61">
        <v>2</v>
      </c>
      <c r="R61" t="s">
        <v>54</v>
      </c>
      <c r="S61">
        <v>3</v>
      </c>
      <c r="T61" t="s">
        <v>53</v>
      </c>
      <c r="U61">
        <v>5993</v>
      </c>
      <c r="V61" t="str" cm="1">
        <f t="array" ref="V6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1">
        <v>2689</v>
      </c>
      <c r="X61">
        <v>1</v>
      </c>
      <c r="Y61" t="s">
        <v>43</v>
      </c>
      <c r="Z61" t="s">
        <v>44</v>
      </c>
      <c r="AA61">
        <v>18</v>
      </c>
      <c r="AB61">
        <v>3</v>
      </c>
      <c r="AC61">
        <v>3</v>
      </c>
      <c r="AD61">
        <v>80</v>
      </c>
      <c r="AE61">
        <v>1</v>
      </c>
      <c r="AF61">
        <v>7</v>
      </c>
      <c r="AG61">
        <v>2</v>
      </c>
      <c r="AH61">
        <v>4</v>
      </c>
      <c r="AI61">
        <v>7</v>
      </c>
      <c r="AJ61">
        <v>5</v>
      </c>
      <c r="AK61">
        <v>0</v>
      </c>
      <c r="AL61" t="str" cm="1">
        <f t="array" ref="AL6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1">
        <v>7</v>
      </c>
    </row>
    <row r="62" spans="1:39" x14ac:dyDescent="0.25">
      <c r="A62">
        <v>32</v>
      </c>
      <c r="B62" t="s">
        <v>44</v>
      </c>
      <c r="C62" t="s">
        <v>37</v>
      </c>
      <c r="D62">
        <v>427</v>
      </c>
      <c r="E62" t="s">
        <v>46</v>
      </c>
      <c r="G62">
        <v>1</v>
      </c>
      <c r="H62">
        <v>3</v>
      </c>
      <c r="I62" t="s">
        <v>52</v>
      </c>
      <c r="J62" t="str">
        <f>WA_Fn_UseC__HR_Employee_Attrition[[#This Row],[EducationField]]&amp;"-"&amp;WA_Fn_UseC__HR_Employee_Attrition[[#This Row],[Department]]</f>
        <v>Medical-Research &amp; Development</v>
      </c>
      <c r="K62">
        <v>1</v>
      </c>
      <c r="L62">
        <v>78</v>
      </c>
      <c r="M62">
        <v>1</v>
      </c>
      <c r="N62" t="s">
        <v>47</v>
      </c>
      <c r="O62">
        <v>33</v>
      </c>
      <c r="P62">
        <v>3</v>
      </c>
      <c r="Q62">
        <v>2</v>
      </c>
      <c r="R62" t="s">
        <v>54</v>
      </c>
      <c r="S62">
        <v>4</v>
      </c>
      <c r="T62" t="s">
        <v>49</v>
      </c>
      <c r="U62">
        <v>6162</v>
      </c>
      <c r="V62" t="str" cm="1">
        <f t="array" ref="V6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2">
        <v>10877</v>
      </c>
      <c r="X62">
        <v>1</v>
      </c>
      <c r="Y62" t="s">
        <v>43</v>
      </c>
      <c r="Z62" t="s">
        <v>36</v>
      </c>
      <c r="AA62">
        <v>22</v>
      </c>
      <c r="AB62">
        <v>4</v>
      </c>
      <c r="AC62">
        <v>2</v>
      </c>
      <c r="AD62">
        <v>80</v>
      </c>
      <c r="AE62">
        <v>1</v>
      </c>
      <c r="AF62">
        <v>9</v>
      </c>
      <c r="AG62">
        <v>3</v>
      </c>
      <c r="AH62">
        <v>3</v>
      </c>
      <c r="AI62">
        <v>9</v>
      </c>
      <c r="AJ62">
        <v>8</v>
      </c>
      <c r="AK62">
        <v>7</v>
      </c>
      <c r="AL62" t="str" cm="1">
        <f t="array" ref="AL6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2">
        <v>8</v>
      </c>
    </row>
    <row r="63" spans="1:39" x14ac:dyDescent="0.25">
      <c r="A63">
        <v>38</v>
      </c>
      <c r="B63" t="s">
        <v>44</v>
      </c>
      <c r="C63" t="s">
        <v>45</v>
      </c>
      <c r="D63">
        <v>653</v>
      </c>
      <c r="E63" t="s">
        <v>46</v>
      </c>
      <c r="G63">
        <v>29</v>
      </c>
      <c r="H63">
        <v>5</v>
      </c>
      <c r="I63" t="s">
        <v>39</v>
      </c>
      <c r="J63" t="str">
        <f>WA_Fn_UseC__HR_Employee_Attrition[[#This Row],[EducationField]]&amp;"-"&amp;WA_Fn_UseC__HR_Employee_Attrition[[#This Row],[Department]]</f>
        <v>Life Sciences-Research &amp; Development</v>
      </c>
      <c r="K63">
        <v>1</v>
      </c>
      <c r="L63">
        <v>79</v>
      </c>
      <c r="M63">
        <v>4</v>
      </c>
      <c r="N63" t="s">
        <v>40</v>
      </c>
      <c r="O63">
        <v>50</v>
      </c>
      <c r="P63">
        <v>3</v>
      </c>
      <c r="Q63">
        <v>2</v>
      </c>
      <c r="R63" t="s">
        <v>51</v>
      </c>
      <c r="S63">
        <v>4</v>
      </c>
      <c r="T63" t="s">
        <v>42</v>
      </c>
      <c r="U63">
        <v>2406</v>
      </c>
      <c r="V63" t="str" cm="1">
        <f t="array" ref="V6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3">
        <v>5456</v>
      </c>
      <c r="X63">
        <v>1</v>
      </c>
      <c r="Y63" t="s">
        <v>43</v>
      </c>
      <c r="Z63" t="s">
        <v>44</v>
      </c>
      <c r="AA63">
        <v>11</v>
      </c>
      <c r="AB63">
        <v>3</v>
      </c>
      <c r="AC63">
        <v>4</v>
      </c>
      <c r="AD63">
        <v>80</v>
      </c>
      <c r="AE63">
        <v>0</v>
      </c>
      <c r="AF63">
        <v>10</v>
      </c>
      <c r="AG63">
        <v>2</v>
      </c>
      <c r="AH63">
        <v>3</v>
      </c>
      <c r="AI63">
        <v>10</v>
      </c>
      <c r="AJ63">
        <v>3</v>
      </c>
      <c r="AK63">
        <v>9</v>
      </c>
      <c r="AL63" t="str" cm="1">
        <f t="array" ref="AL6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3">
        <v>9</v>
      </c>
    </row>
    <row r="64" spans="1:39" x14ac:dyDescent="0.25">
      <c r="A64">
        <v>50</v>
      </c>
      <c r="B64" t="s">
        <v>44</v>
      </c>
      <c r="C64" t="s">
        <v>37</v>
      </c>
      <c r="D64">
        <v>989</v>
      </c>
      <c r="E64" t="s">
        <v>46</v>
      </c>
      <c r="G64">
        <v>7</v>
      </c>
      <c r="H64">
        <v>2</v>
      </c>
      <c r="I64" t="s">
        <v>52</v>
      </c>
      <c r="J64" t="str">
        <f>WA_Fn_UseC__HR_Employee_Attrition[[#This Row],[EducationField]]&amp;"-"&amp;WA_Fn_UseC__HR_Employee_Attrition[[#This Row],[Department]]</f>
        <v>Medical-Research &amp; Development</v>
      </c>
      <c r="K64">
        <v>1</v>
      </c>
      <c r="L64">
        <v>80</v>
      </c>
      <c r="M64">
        <v>2</v>
      </c>
      <c r="N64" t="s">
        <v>40</v>
      </c>
      <c r="O64">
        <v>43</v>
      </c>
      <c r="P64">
        <v>2</v>
      </c>
      <c r="Q64">
        <v>5</v>
      </c>
      <c r="R64" t="s">
        <v>59</v>
      </c>
      <c r="S64">
        <v>3</v>
      </c>
      <c r="T64" t="s">
        <v>53</v>
      </c>
      <c r="U64">
        <v>18740</v>
      </c>
      <c r="V64" t="str" cm="1">
        <f t="array" ref="V6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4">
        <v>16701</v>
      </c>
      <c r="X64">
        <v>5</v>
      </c>
      <c r="Y64" t="s">
        <v>43</v>
      </c>
      <c r="Z64" t="s">
        <v>36</v>
      </c>
      <c r="AA64">
        <v>12</v>
      </c>
      <c r="AB64">
        <v>3</v>
      </c>
      <c r="AC64">
        <v>4</v>
      </c>
      <c r="AD64">
        <v>80</v>
      </c>
      <c r="AE64">
        <v>1</v>
      </c>
      <c r="AF64">
        <v>29</v>
      </c>
      <c r="AG64">
        <v>2</v>
      </c>
      <c r="AH64">
        <v>2</v>
      </c>
      <c r="AI64">
        <v>27</v>
      </c>
      <c r="AJ64">
        <v>3</v>
      </c>
      <c r="AK64">
        <v>13</v>
      </c>
      <c r="AL64" t="str" cm="1">
        <f t="array" ref="AL6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4">
        <v>8</v>
      </c>
    </row>
    <row r="65" spans="1:39" x14ac:dyDescent="0.25">
      <c r="A65">
        <v>59</v>
      </c>
      <c r="B65" t="s">
        <v>44</v>
      </c>
      <c r="C65" t="s">
        <v>37</v>
      </c>
      <c r="D65">
        <v>1435</v>
      </c>
      <c r="E65" t="s">
        <v>38</v>
      </c>
      <c r="G65">
        <v>25</v>
      </c>
      <c r="H65">
        <v>3</v>
      </c>
      <c r="I65" t="s">
        <v>39</v>
      </c>
      <c r="J65" t="str">
        <f>WA_Fn_UseC__HR_Employee_Attrition[[#This Row],[EducationField]]&amp;"-"&amp;WA_Fn_UseC__HR_Employee_Attrition[[#This Row],[Department]]</f>
        <v>Life Sciences-Sales</v>
      </c>
      <c r="K65">
        <v>1</v>
      </c>
      <c r="L65">
        <v>81</v>
      </c>
      <c r="M65">
        <v>1</v>
      </c>
      <c r="N65" t="s">
        <v>40</v>
      </c>
      <c r="O65">
        <v>99</v>
      </c>
      <c r="P65">
        <v>3</v>
      </c>
      <c r="Q65">
        <v>3</v>
      </c>
      <c r="R65" t="s">
        <v>41</v>
      </c>
      <c r="S65">
        <v>1</v>
      </c>
      <c r="T65" t="s">
        <v>42</v>
      </c>
      <c r="U65">
        <v>7637</v>
      </c>
      <c r="V65" t="str" cm="1">
        <f t="array" ref="V6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5">
        <v>2354</v>
      </c>
      <c r="X65">
        <v>7</v>
      </c>
      <c r="Y65" t="s">
        <v>43</v>
      </c>
      <c r="Z65" t="s">
        <v>44</v>
      </c>
      <c r="AA65">
        <v>11</v>
      </c>
      <c r="AB65">
        <v>3</v>
      </c>
      <c r="AC65">
        <v>4</v>
      </c>
      <c r="AD65">
        <v>80</v>
      </c>
      <c r="AE65">
        <v>0</v>
      </c>
      <c r="AF65">
        <v>28</v>
      </c>
      <c r="AG65">
        <v>3</v>
      </c>
      <c r="AH65">
        <v>2</v>
      </c>
      <c r="AI65">
        <v>21</v>
      </c>
      <c r="AJ65">
        <v>16</v>
      </c>
      <c r="AK65">
        <v>7</v>
      </c>
      <c r="AL65" t="str" cm="1">
        <f t="array" ref="AL6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5">
        <v>9</v>
      </c>
    </row>
    <row r="66" spans="1:39" x14ac:dyDescent="0.25">
      <c r="A66">
        <v>36</v>
      </c>
      <c r="B66" t="s">
        <v>44</v>
      </c>
      <c r="C66" t="s">
        <v>37</v>
      </c>
      <c r="D66">
        <v>1223</v>
      </c>
      <c r="E66" t="s">
        <v>46</v>
      </c>
      <c r="G66">
        <v>8</v>
      </c>
      <c r="H66">
        <v>3</v>
      </c>
      <c r="I66" t="s">
        <v>61</v>
      </c>
      <c r="J66" t="str">
        <f>WA_Fn_UseC__HR_Employee_Attrition[[#This Row],[EducationField]]&amp;"-"&amp;WA_Fn_UseC__HR_Employee_Attrition[[#This Row],[Department]]</f>
        <v>Technical Degree-Research &amp; Development</v>
      </c>
      <c r="K66">
        <v>1</v>
      </c>
      <c r="L66">
        <v>83</v>
      </c>
      <c r="M66">
        <v>3</v>
      </c>
      <c r="N66" t="s">
        <v>40</v>
      </c>
      <c r="O66">
        <v>59</v>
      </c>
      <c r="P66">
        <v>3</v>
      </c>
      <c r="Q66">
        <v>3</v>
      </c>
      <c r="R66" t="s">
        <v>55</v>
      </c>
      <c r="S66">
        <v>3</v>
      </c>
      <c r="T66" t="s">
        <v>53</v>
      </c>
      <c r="U66">
        <v>10096</v>
      </c>
      <c r="V66" t="str" cm="1">
        <f t="array" ref="V6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6">
        <v>8202</v>
      </c>
      <c r="X66">
        <v>1</v>
      </c>
      <c r="Y66" t="s">
        <v>43</v>
      </c>
      <c r="Z66" t="s">
        <v>44</v>
      </c>
      <c r="AA66">
        <v>13</v>
      </c>
      <c r="AB66">
        <v>3</v>
      </c>
      <c r="AC66">
        <v>2</v>
      </c>
      <c r="AD66">
        <v>80</v>
      </c>
      <c r="AE66">
        <v>3</v>
      </c>
      <c r="AF66">
        <v>17</v>
      </c>
      <c r="AG66">
        <v>2</v>
      </c>
      <c r="AH66">
        <v>3</v>
      </c>
      <c r="AI66">
        <v>17</v>
      </c>
      <c r="AJ66">
        <v>14</v>
      </c>
      <c r="AK66">
        <v>12</v>
      </c>
      <c r="AL66" t="str" cm="1">
        <f t="array" ref="AL6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6">
        <v>8</v>
      </c>
    </row>
    <row r="67" spans="1:39" x14ac:dyDescent="0.25">
      <c r="A67">
        <v>55</v>
      </c>
      <c r="B67" t="s">
        <v>44</v>
      </c>
      <c r="C67" t="s">
        <v>37</v>
      </c>
      <c r="D67">
        <v>836</v>
      </c>
      <c r="E67" t="s">
        <v>46</v>
      </c>
      <c r="G67">
        <v>8</v>
      </c>
      <c r="H67">
        <v>3</v>
      </c>
      <c r="I67" t="s">
        <v>52</v>
      </c>
      <c r="J67" t="str">
        <f>WA_Fn_UseC__HR_Employee_Attrition[[#This Row],[EducationField]]&amp;"-"&amp;WA_Fn_UseC__HR_Employee_Attrition[[#This Row],[Department]]</f>
        <v>Medical-Research &amp; Development</v>
      </c>
      <c r="K67">
        <v>1</v>
      </c>
      <c r="L67">
        <v>84</v>
      </c>
      <c r="M67">
        <v>4</v>
      </c>
      <c r="N67" t="s">
        <v>40</v>
      </c>
      <c r="O67">
        <v>33</v>
      </c>
      <c r="P67">
        <v>3</v>
      </c>
      <c r="Q67">
        <v>4</v>
      </c>
      <c r="R67" t="s">
        <v>57</v>
      </c>
      <c r="S67">
        <v>3</v>
      </c>
      <c r="T67" t="s">
        <v>53</v>
      </c>
      <c r="U67">
        <v>14756</v>
      </c>
      <c r="V67" t="str" cm="1">
        <f t="array" ref="V6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7">
        <v>19730</v>
      </c>
      <c r="X67">
        <v>2</v>
      </c>
      <c r="Y67" t="s">
        <v>43</v>
      </c>
      <c r="Z67" t="s">
        <v>36</v>
      </c>
      <c r="AA67">
        <v>14</v>
      </c>
      <c r="AB67">
        <v>3</v>
      </c>
      <c r="AC67">
        <v>3</v>
      </c>
      <c r="AD67">
        <v>80</v>
      </c>
      <c r="AE67">
        <v>3</v>
      </c>
      <c r="AF67">
        <v>21</v>
      </c>
      <c r="AG67">
        <v>2</v>
      </c>
      <c r="AH67">
        <v>3</v>
      </c>
      <c r="AI67">
        <v>5</v>
      </c>
      <c r="AJ67">
        <v>0</v>
      </c>
      <c r="AK67">
        <v>0</v>
      </c>
      <c r="AL67" t="str" cm="1">
        <f t="array" ref="AL6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7">
        <v>2</v>
      </c>
    </row>
    <row r="68" spans="1:39" x14ac:dyDescent="0.25">
      <c r="A68">
        <v>36</v>
      </c>
      <c r="B68" t="s">
        <v>44</v>
      </c>
      <c r="C68" t="s">
        <v>45</v>
      </c>
      <c r="D68">
        <v>1195</v>
      </c>
      <c r="E68" t="s">
        <v>46</v>
      </c>
      <c r="G68">
        <v>11</v>
      </c>
      <c r="H68">
        <v>3</v>
      </c>
      <c r="I68" t="s">
        <v>39</v>
      </c>
      <c r="J68" t="str">
        <f>WA_Fn_UseC__HR_Employee_Attrition[[#This Row],[EducationField]]&amp;"-"&amp;WA_Fn_UseC__HR_Employee_Attrition[[#This Row],[Department]]</f>
        <v>Life Sciences-Research &amp; Development</v>
      </c>
      <c r="K68">
        <v>1</v>
      </c>
      <c r="L68">
        <v>85</v>
      </c>
      <c r="M68">
        <v>2</v>
      </c>
      <c r="N68" t="s">
        <v>47</v>
      </c>
      <c r="O68">
        <v>95</v>
      </c>
      <c r="P68">
        <v>2</v>
      </c>
      <c r="Q68">
        <v>2</v>
      </c>
      <c r="R68" t="s">
        <v>54</v>
      </c>
      <c r="S68">
        <v>2</v>
      </c>
      <c r="T68" t="s">
        <v>42</v>
      </c>
      <c r="U68">
        <v>6499</v>
      </c>
      <c r="V68" t="str" cm="1">
        <f t="array" ref="V6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8">
        <v>22656</v>
      </c>
      <c r="X68">
        <v>1</v>
      </c>
      <c r="Y68" t="s">
        <v>43</v>
      </c>
      <c r="Z68" t="s">
        <v>44</v>
      </c>
      <c r="AA68">
        <v>13</v>
      </c>
      <c r="AB68">
        <v>3</v>
      </c>
      <c r="AC68">
        <v>3</v>
      </c>
      <c r="AD68">
        <v>80</v>
      </c>
      <c r="AE68">
        <v>0</v>
      </c>
      <c r="AF68">
        <v>6</v>
      </c>
      <c r="AG68">
        <v>3</v>
      </c>
      <c r="AH68">
        <v>3</v>
      </c>
      <c r="AI68">
        <v>6</v>
      </c>
      <c r="AJ68">
        <v>5</v>
      </c>
      <c r="AK68">
        <v>0</v>
      </c>
      <c r="AL68" t="str" cm="1">
        <f t="array" ref="AL6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8">
        <v>3</v>
      </c>
    </row>
    <row r="69" spans="1:39" x14ac:dyDescent="0.25">
      <c r="A69">
        <v>45</v>
      </c>
      <c r="B69" t="s">
        <v>44</v>
      </c>
      <c r="C69" t="s">
        <v>37</v>
      </c>
      <c r="D69">
        <v>1339</v>
      </c>
      <c r="E69" t="s">
        <v>46</v>
      </c>
      <c r="G69">
        <v>7</v>
      </c>
      <c r="H69">
        <v>3</v>
      </c>
      <c r="I69" t="s">
        <v>39</v>
      </c>
      <c r="J69" t="str">
        <f>WA_Fn_UseC__HR_Employee_Attrition[[#This Row],[EducationField]]&amp;"-"&amp;WA_Fn_UseC__HR_Employee_Attrition[[#This Row],[Department]]</f>
        <v>Life Sciences-Research &amp; Development</v>
      </c>
      <c r="K69">
        <v>1</v>
      </c>
      <c r="L69">
        <v>86</v>
      </c>
      <c r="M69">
        <v>2</v>
      </c>
      <c r="N69" t="s">
        <v>47</v>
      </c>
      <c r="O69">
        <v>59</v>
      </c>
      <c r="P69">
        <v>3</v>
      </c>
      <c r="Q69">
        <v>3</v>
      </c>
      <c r="R69" t="s">
        <v>48</v>
      </c>
      <c r="S69">
        <v>1</v>
      </c>
      <c r="T69" t="s">
        <v>53</v>
      </c>
      <c r="U69">
        <v>9724</v>
      </c>
      <c r="V69" t="str" cm="1">
        <f t="array" ref="V6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9">
        <v>18787</v>
      </c>
      <c r="X69">
        <v>2</v>
      </c>
      <c r="Y69" t="s">
        <v>43</v>
      </c>
      <c r="Z69" t="s">
        <v>44</v>
      </c>
      <c r="AA69">
        <v>17</v>
      </c>
      <c r="AB69">
        <v>3</v>
      </c>
      <c r="AC69">
        <v>3</v>
      </c>
      <c r="AD69">
        <v>80</v>
      </c>
      <c r="AE69">
        <v>1</v>
      </c>
      <c r="AF69">
        <v>25</v>
      </c>
      <c r="AG69">
        <v>2</v>
      </c>
      <c r="AH69">
        <v>3</v>
      </c>
      <c r="AI69">
        <v>1</v>
      </c>
      <c r="AJ69">
        <v>0</v>
      </c>
      <c r="AK69">
        <v>0</v>
      </c>
      <c r="AL69" t="str" cm="1">
        <f t="array" ref="AL6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9">
        <v>0</v>
      </c>
    </row>
    <row r="70" spans="1:39" x14ac:dyDescent="0.25">
      <c r="A70">
        <v>35</v>
      </c>
      <c r="B70" t="s">
        <v>44</v>
      </c>
      <c r="C70" t="s">
        <v>45</v>
      </c>
      <c r="D70">
        <v>664</v>
      </c>
      <c r="E70" t="s">
        <v>46</v>
      </c>
      <c r="G70">
        <v>1</v>
      </c>
      <c r="H70">
        <v>3</v>
      </c>
      <c r="I70" t="s">
        <v>52</v>
      </c>
      <c r="J70" t="str">
        <f>WA_Fn_UseC__HR_Employee_Attrition[[#This Row],[EducationField]]&amp;"-"&amp;WA_Fn_UseC__HR_Employee_Attrition[[#This Row],[Department]]</f>
        <v>Medical-Research &amp; Development</v>
      </c>
      <c r="K70">
        <v>1</v>
      </c>
      <c r="L70">
        <v>88</v>
      </c>
      <c r="M70">
        <v>2</v>
      </c>
      <c r="N70" t="s">
        <v>47</v>
      </c>
      <c r="O70">
        <v>79</v>
      </c>
      <c r="P70">
        <v>3</v>
      </c>
      <c r="Q70">
        <v>1</v>
      </c>
      <c r="R70" t="s">
        <v>48</v>
      </c>
      <c r="S70">
        <v>1</v>
      </c>
      <c r="T70" t="s">
        <v>49</v>
      </c>
      <c r="U70">
        <v>2194</v>
      </c>
      <c r="V70" t="str" cm="1">
        <f t="array" ref="V7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0">
        <v>5868</v>
      </c>
      <c r="X70">
        <v>4</v>
      </c>
      <c r="Y70" t="s">
        <v>43</v>
      </c>
      <c r="Z70" t="s">
        <v>44</v>
      </c>
      <c r="AA70">
        <v>13</v>
      </c>
      <c r="AB70">
        <v>3</v>
      </c>
      <c r="AC70">
        <v>4</v>
      </c>
      <c r="AD70">
        <v>80</v>
      </c>
      <c r="AE70">
        <v>1</v>
      </c>
      <c r="AF70">
        <v>5</v>
      </c>
      <c r="AG70">
        <v>2</v>
      </c>
      <c r="AH70">
        <v>2</v>
      </c>
      <c r="AI70">
        <v>3</v>
      </c>
      <c r="AJ70">
        <v>2</v>
      </c>
      <c r="AK70">
        <v>1</v>
      </c>
      <c r="AL70" t="str" cm="1">
        <f t="array" ref="AL7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0">
        <v>2</v>
      </c>
    </row>
    <row r="71" spans="1:39" x14ac:dyDescent="0.25">
      <c r="A71">
        <v>36</v>
      </c>
      <c r="B71" t="s">
        <v>36</v>
      </c>
      <c r="C71" t="s">
        <v>37</v>
      </c>
      <c r="D71">
        <v>318</v>
      </c>
      <c r="E71" t="s">
        <v>46</v>
      </c>
      <c r="G71">
        <v>9</v>
      </c>
      <c r="H71">
        <v>3</v>
      </c>
      <c r="I71" t="s">
        <v>52</v>
      </c>
      <c r="J71" t="str">
        <f>WA_Fn_UseC__HR_Employee_Attrition[[#This Row],[EducationField]]&amp;"-"&amp;WA_Fn_UseC__HR_Employee_Attrition[[#This Row],[Department]]</f>
        <v>Medical-Research &amp; Development</v>
      </c>
      <c r="K71">
        <v>1</v>
      </c>
      <c r="L71">
        <v>90</v>
      </c>
      <c r="M71">
        <v>4</v>
      </c>
      <c r="N71" t="s">
        <v>47</v>
      </c>
      <c r="O71">
        <v>79</v>
      </c>
      <c r="P71">
        <v>2</v>
      </c>
      <c r="Q71">
        <v>1</v>
      </c>
      <c r="R71" t="s">
        <v>48</v>
      </c>
      <c r="S71">
        <v>3</v>
      </c>
      <c r="T71" t="s">
        <v>49</v>
      </c>
      <c r="U71">
        <v>3388</v>
      </c>
      <c r="V71" t="str" cm="1">
        <f t="array" ref="V7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1">
        <v>21777</v>
      </c>
      <c r="X71">
        <v>0</v>
      </c>
      <c r="Y71" t="s">
        <v>43</v>
      </c>
      <c r="Z71" t="s">
        <v>36</v>
      </c>
      <c r="AA71">
        <v>17</v>
      </c>
      <c r="AB71">
        <v>3</v>
      </c>
      <c r="AC71">
        <v>1</v>
      </c>
      <c r="AD71">
        <v>80</v>
      </c>
      <c r="AE71">
        <v>1</v>
      </c>
      <c r="AF71">
        <v>2</v>
      </c>
      <c r="AG71">
        <v>0</v>
      </c>
      <c r="AH71">
        <v>2</v>
      </c>
      <c r="AI71">
        <v>1</v>
      </c>
      <c r="AJ71">
        <v>0</v>
      </c>
      <c r="AK71">
        <v>0</v>
      </c>
      <c r="AL71" t="str" cm="1">
        <f t="array" ref="AL7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1">
        <v>0</v>
      </c>
    </row>
    <row r="72" spans="1:39" x14ac:dyDescent="0.25">
      <c r="A72">
        <v>59</v>
      </c>
      <c r="B72" t="s">
        <v>44</v>
      </c>
      <c r="C72" t="s">
        <v>45</v>
      </c>
      <c r="D72">
        <v>1225</v>
      </c>
      <c r="E72" t="s">
        <v>38</v>
      </c>
      <c r="G72">
        <v>1</v>
      </c>
      <c r="H72">
        <v>1</v>
      </c>
      <c r="I72" t="s">
        <v>39</v>
      </c>
      <c r="J72" t="str">
        <f>WA_Fn_UseC__HR_Employee_Attrition[[#This Row],[EducationField]]&amp;"-"&amp;WA_Fn_UseC__HR_Employee_Attrition[[#This Row],[Department]]</f>
        <v>Life Sciences-Sales</v>
      </c>
      <c r="K72">
        <v>1</v>
      </c>
      <c r="L72">
        <v>91</v>
      </c>
      <c r="M72">
        <v>1</v>
      </c>
      <c r="N72" t="s">
        <v>40</v>
      </c>
      <c r="O72">
        <v>57</v>
      </c>
      <c r="P72">
        <v>2</v>
      </c>
      <c r="Q72">
        <v>2</v>
      </c>
      <c r="R72" t="s">
        <v>41</v>
      </c>
      <c r="S72">
        <v>3</v>
      </c>
      <c r="T72" t="s">
        <v>42</v>
      </c>
      <c r="U72">
        <v>5473</v>
      </c>
      <c r="V72" t="str" cm="1">
        <f t="array" ref="V7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2">
        <v>24668</v>
      </c>
      <c r="X72">
        <v>7</v>
      </c>
      <c r="Y72" t="s">
        <v>43</v>
      </c>
      <c r="Z72" t="s">
        <v>44</v>
      </c>
      <c r="AA72">
        <v>11</v>
      </c>
      <c r="AB72">
        <v>3</v>
      </c>
      <c r="AC72">
        <v>4</v>
      </c>
      <c r="AD72">
        <v>80</v>
      </c>
      <c r="AE72">
        <v>0</v>
      </c>
      <c r="AF72">
        <v>20</v>
      </c>
      <c r="AG72">
        <v>2</v>
      </c>
      <c r="AH72">
        <v>2</v>
      </c>
      <c r="AI72">
        <v>4</v>
      </c>
      <c r="AJ72">
        <v>3</v>
      </c>
      <c r="AK72">
        <v>1</v>
      </c>
      <c r="AL72" t="str" cm="1">
        <f t="array" ref="AL7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2">
        <v>3</v>
      </c>
    </row>
    <row r="73" spans="1:39" x14ac:dyDescent="0.25">
      <c r="A73">
        <v>29</v>
      </c>
      <c r="B73" t="s">
        <v>44</v>
      </c>
      <c r="C73" t="s">
        <v>37</v>
      </c>
      <c r="D73">
        <v>1328</v>
      </c>
      <c r="E73" t="s">
        <v>46</v>
      </c>
      <c r="G73">
        <v>2</v>
      </c>
      <c r="H73">
        <v>3</v>
      </c>
      <c r="I73" t="s">
        <v>39</v>
      </c>
      <c r="J73" t="str">
        <f>WA_Fn_UseC__HR_Employee_Attrition[[#This Row],[EducationField]]&amp;"-"&amp;WA_Fn_UseC__HR_Employee_Attrition[[#This Row],[Department]]</f>
        <v>Life Sciences-Research &amp; Development</v>
      </c>
      <c r="K73">
        <v>1</v>
      </c>
      <c r="L73">
        <v>94</v>
      </c>
      <c r="M73">
        <v>3</v>
      </c>
      <c r="N73" t="s">
        <v>47</v>
      </c>
      <c r="O73">
        <v>76</v>
      </c>
      <c r="P73">
        <v>3</v>
      </c>
      <c r="Q73">
        <v>1</v>
      </c>
      <c r="R73" t="s">
        <v>48</v>
      </c>
      <c r="S73">
        <v>2</v>
      </c>
      <c r="T73" t="s">
        <v>49</v>
      </c>
      <c r="U73">
        <v>2703</v>
      </c>
      <c r="V73" t="str" cm="1">
        <f t="array" ref="V7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3">
        <v>4956</v>
      </c>
      <c r="X73">
        <v>0</v>
      </c>
      <c r="Y73" t="s">
        <v>43</v>
      </c>
      <c r="Z73" t="s">
        <v>44</v>
      </c>
      <c r="AA73">
        <v>23</v>
      </c>
      <c r="AB73">
        <v>4</v>
      </c>
      <c r="AC73">
        <v>4</v>
      </c>
      <c r="AD73">
        <v>80</v>
      </c>
      <c r="AE73">
        <v>1</v>
      </c>
      <c r="AF73">
        <v>6</v>
      </c>
      <c r="AG73">
        <v>3</v>
      </c>
      <c r="AH73">
        <v>3</v>
      </c>
      <c r="AI73">
        <v>5</v>
      </c>
      <c r="AJ73">
        <v>4</v>
      </c>
      <c r="AK73">
        <v>0</v>
      </c>
      <c r="AL73" t="str" cm="1">
        <f t="array" ref="AL7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3">
        <v>4</v>
      </c>
    </row>
    <row r="74" spans="1:39" x14ac:dyDescent="0.25">
      <c r="A74">
        <v>31</v>
      </c>
      <c r="B74" t="s">
        <v>44</v>
      </c>
      <c r="C74" t="s">
        <v>37</v>
      </c>
      <c r="D74">
        <v>1082</v>
      </c>
      <c r="E74" t="s">
        <v>46</v>
      </c>
      <c r="G74">
        <v>1</v>
      </c>
      <c r="H74">
        <v>4</v>
      </c>
      <c r="I74" t="s">
        <v>52</v>
      </c>
      <c r="J74" t="str">
        <f>WA_Fn_UseC__HR_Employee_Attrition[[#This Row],[EducationField]]&amp;"-"&amp;WA_Fn_UseC__HR_Employee_Attrition[[#This Row],[Department]]</f>
        <v>Medical-Research &amp; Development</v>
      </c>
      <c r="K74">
        <v>1</v>
      </c>
      <c r="L74">
        <v>95</v>
      </c>
      <c r="M74">
        <v>3</v>
      </c>
      <c r="N74" t="s">
        <v>47</v>
      </c>
      <c r="O74">
        <v>87</v>
      </c>
      <c r="P74">
        <v>3</v>
      </c>
      <c r="Q74">
        <v>1</v>
      </c>
      <c r="R74" t="s">
        <v>48</v>
      </c>
      <c r="S74">
        <v>2</v>
      </c>
      <c r="T74" t="s">
        <v>42</v>
      </c>
      <c r="U74">
        <v>2501</v>
      </c>
      <c r="V74" t="str" cm="1">
        <f t="array" ref="V7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4">
        <v>18775</v>
      </c>
      <c r="X74">
        <v>1</v>
      </c>
      <c r="Y74" t="s">
        <v>43</v>
      </c>
      <c r="Z74" t="s">
        <v>44</v>
      </c>
      <c r="AA74">
        <v>17</v>
      </c>
      <c r="AB74">
        <v>3</v>
      </c>
      <c r="AC74">
        <v>2</v>
      </c>
      <c r="AD74">
        <v>80</v>
      </c>
      <c r="AE74">
        <v>0</v>
      </c>
      <c r="AF74">
        <v>1</v>
      </c>
      <c r="AG74">
        <v>4</v>
      </c>
      <c r="AH74">
        <v>3</v>
      </c>
      <c r="AI74">
        <v>1</v>
      </c>
      <c r="AJ74">
        <v>1</v>
      </c>
      <c r="AK74">
        <v>1</v>
      </c>
      <c r="AL74" t="str" cm="1">
        <f t="array" ref="AL7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4">
        <v>0</v>
      </c>
    </row>
    <row r="75" spans="1:39" x14ac:dyDescent="0.25">
      <c r="A75">
        <v>32</v>
      </c>
      <c r="B75" t="s">
        <v>44</v>
      </c>
      <c r="C75" t="s">
        <v>37</v>
      </c>
      <c r="D75">
        <v>548</v>
      </c>
      <c r="E75" t="s">
        <v>46</v>
      </c>
      <c r="G75">
        <v>1</v>
      </c>
      <c r="H75">
        <v>3</v>
      </c>
      <c r="I75" t="s">
        <v>39</v>
      </c>
      <c r="J75" t="str">
        <f>WA_Fn_UseC__HR_Employee_Attrition[[#This Row],[EducationField]]&amp;"-"&amp;WA_Fn_UseC__HR_Employee_Attrition[[#This Row],[Department]]</f>
        <v>Life Sciences-Research &amp; Development</v>
      </c>
      <c r="K75">
        <v>1</v>
      </c>
      <c r="L75">
        <v>96</v>
      </c>
      <c r="M75">
        <v>2</v>
      </c>
      <c r="N75" t="s">
        <v>47</v>
      </c>
      <c r="O75">
        <v>66</v>
      </c>
      <c r="P75">
        <v>3</v>
      </c>
      <c r="Q75">
        <v>2</v>
      </c>
      <c r="R75" t="s">
        <v>48</v>
      </c>
      <c r="S75">
        <v>2</v>
      </c>
      <c r="T75" t="s">
        <v>49</v>
      </c>
      <c r="U75">
        <v>6220</v>
      </c>
      <c r="V75" t="str" cm="1">
        <f t="array" ref="V7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5">
        <v>7346</v>
      </c>
      <c r="X75">
        <v>1</v>
      </c>
      <c r="Y75" t="s">
        <v>43</v>
      </c>
      <c r="Z75" t="s">
        <v>44</v>
      </c>
      <c r="AA75">
        <v>17</v>
      </c>
      <c r="AB75">
        <v>3</v>
      </c>
      <c r="AC75">
        <v>2</v>
      </c>
      <c r="AD75">
        <v>80</v>
      </c>
      <c r="AE75">
        <v>2</v>
      </c>
      <c r="AF75">
        <v>10</v>
      </c>
      <c r="AG75">
        <v>3</v>
      </c>
      <c r="AH75">
        <v>3</v>
      </c>
      <c r="AI75">
        <v>10</v>
      </c>
      <c r="AJ75">
        <v>4</v>
      </c>
      <c r="AK75">
        <v>0</v>
      </c>
      <c r="AL75" t="str" cm="1">
        <f t="array" ref="AL7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5">
        <v>9</v>
      </c>
    </row>
    <row r="76" spans="1:39" x14ac:dyDescent="0.25">
      <c r="A76">
        <v>36</v>
      </c>
      <c r="B76" t="s">
        <v>44</v>
      </c>
      <c r="C76" t="s">
        <v>37</v>
      </c>
      <c r="D76">
        <v>132</v>
      </c>
      <c r="E76" t="s">
        <v>46</v>
      </c>
      <c r="G76">
        <v>6</v>
      </c>
      <c r="H76">
        <v>3</v>
      </c>
      <c r="I76" t="s">
        <v>39</v>
      </c>
      <c r="J76" t="str">
        <f>WA_Fn_UseC__HR_Employee_Attrition[[#This Row],[EducationField]]&amp;"-"&amp;WA_Fn_UseC__HR_Employee_Attrition[[#This Row],[Department]]</f>
        <v>Life Sciences-Research &amp; Development</v>
      </c>
      <c r="K76">
        <v>1</v>
      </c>
      <c r="L76">
        <v>97</v>
      </c>
      <c r="M76">
        <v>2</v>
      </c>
      <c r="N76" t="s">
        <v>40</v>
      </c>
      <c r="O76">
        <v>55</v>
      </c>
      <c r="P76">
        <v>4</v>
      </c>
      <c r="Q76">
        <v>1</v>
      </c>
      <c r="R76" t="s">
        <v>51</v>
      </c>
      <c r="S76">
        <v>4</v>
      </c>
      <c r="T76" t="s">
        <v>49</v>
      </c>
      <c r="U76">
        <v>3038</v>
      </c>
      <c r="V76" t="str" cm="1">
        <f t="array" ref="V7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6">
        <v>22002</v>
      </c>
      <c r="X76">
        <v>3</v>
      </c>
      <c r="Y76" t="s">
        <v>43</v>
      </c>
      <c r="Z76" t="s">
        <v>44</v>
      </c>
      <c r="AA76">
        <v>12</v>
      </c>
      <c r="AB76">
        <v>3</v>
      </c>
      <c r="AC76">
        <v>2</v>
      </c>
      <c r="AD76">
        <v>80</v>
      </c>
      <c r="AE76">
        <v>0</v>
      </c>
      <c r="AF76">
        <v>5</v>
      </c>
      <c r="AG76">
        <v>3</v>
      </c>
      <c r="AH76">
        <v>3</v>
      </c>
      <c r="AI76">
        <v>1</v>
      </c>
      <c r="AJ76">
        <v>0</v>
      </c>
      <c r="AK76">
        <v>0</v>
      </c>
      <c r="AL76" t="str" cm="1">
        <f t="array" ref="AL7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6">
        <v>0</v>
      </c>
    </row>
    <row r="77" spans="1:39" x14ac:dyDescent="0.25">
      <c r="A77">
        <v>31</v>
      </c>
      <c r="B77" t="s">
        <v>44</v>
      </c>
      <c r="C77" t="s">
        <v>37</v>
      </c>
      <c r="D77">
        <v>746</v>
      </c>
      <c r="E77" t="s">
        <v>46</v>
      </c>
      <c r="G77">
        <v>8</v>
      </c>
      <c r="H77">
        <v>4</v>
      </c>
      <c r="I77" t="s">
        <v>39</v>
      </c>
      <c r="J77" t="str">
        <f>WA_Fn_UseC__HR_Employee_Attrition[[#This Row],[EducationField]]&amp;"-"&amp;WA_Fn_UseC__HR_Employee_Attrition[[#This Row],[Department]]</f>
        <v>Life Sciences-Research &amp; Development</v>
      </c>
      <c r="K77">
        <v>1</v>
      </c>
      <c r="L77">
        <v>98</v>
      </c>
      <c r="M77">
        <v>3</v>
      </c>
      <c r="N77" t="s">
        <v>40</v>
      </c>
      <c r="O77">
        <v>61</v>
      </c>
      <c r="P77">
        <v>3</v>
      </c>
      <c r="Q77">
        <v>2</v>
      </c>
      <c r="R77" t="s">
        <v>54</v>
      </c>
      <c r="S77">
        <v>4</v>
      </c>
      <c r="T77" t="s">
        <v>42</v>
      </c>
      <c r="U77">
        <v>4424</v>
      </c>
      <c r="V77" t="str" cm="1">
        <f t="array" ref="V7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7">
        <v>20682</v>
      </c>
      <c r="X77">
        <v>1</v>
      </c>
      <c r="Y77" t="s">
        <v>43</v>
      </c>
      <c r="Z77" t="s">
        <v>44</v>
      </c>
      <c r="AA77">
        <v>23</v>
      </c>
      <c r="AB77">
        <v>4</v>
      </c>
      <c r="AC77">
        <v>4</v>
      </c>
      <c r="AD77">
        <v>80</v>
      </c>
      <c r="AE77">
        <v>0</v>
      </c>
      <c r="AF77">
        <v>11</v>
      </c>
      <c r="AG77">
        <v>2</v>
      </c>
      <c r="AH77">
        <v>3</v>
      </c>
      <c r="AI77">
        <v>11</v>
      </c>
      <c r="AJ77">
        <v>7</v>
      </c>
      <c r="AK77">
        <v>1</v>
      </c>
      <c r="AL77" t="str" cm="1">
        <f t="array" ref="AL7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7">
        <v>8</v>
      </c>
    </row>
    <row r="78" spans="1:39" x14ac:dyDescent="0.25">
      <c r="A78">
        <v>35</v>
      </c>
      <c r="B78" t="s">
        <v>44</v>
      </c>
      <c r="C78" t="s">
        <v>37</v>
      </c>
      <c r="D78">
        <v>776</v>
      </c>
      <c r="E78" t="s">
        <v>38</v>
      </c>
      <c r="G78">
        <v>1</v>
      </c>
      <c r="H78">
        <v>4</v>
      </c>
      <c r="I78" t="s">
        <v>60</v>
      </c>
      <c r="J78" t="str">
        <f>WA_Fn_UseC__HR_Employee_Attrition[[#This Row],[EducationField]]&amp;"-"&amp;WA_Fn_UseC__HR_Employee_Attrition[[#This Row],[Department]]</f>
        <v>Marketing-Sales</v>
      </c>
      <c r="K78">
        <v>1</v>
      </c>
      <c r="L78">
        <v>100</v>
      </c>
      <c r="M78">
        <v>3</v>
      </c>
      <c r="N78" t="s">
        <v>47</v>
      </c>
      <c r="O78">
        <v>32</v>
      </c>
      <c r="P78">
        <v>2</v>
      </c>
      <c r="Q78">
        <v>2</v>
      </c>
      <c r="R78" t="s">
        <v>41</v>
      </c>
      <c r="S78">
        <v>1</v>
      </c>
      <c r="T78" t="s">
        <v>42</v>
      </c>
      <c r="U78">
        <v>4312</v>
      </c>
      <c r="V78" t="str" cm="1">
        <f t="array" ref="V7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8">
        <v>23016</v>
      </c>
      <c r="X78">
        <v>0</v>
      </c>
      <c r="Y78" t="s">
        <v>43</v>
      </c>
      <c r="Z78" t="s">
        <v>44</v>
      </c>
      <c r="AA78">
        <v>14</v>
      </c>
      <c r="AB78">
        <v>3</v>
      </c>
      <c r="AC78">
        <v>2</v>
      </c>
      <c r="AD78">
        <v>80</v>
      </c>
      <c r="AE78">
        <v>0</v>
      </c>
      <c r="AF78">
        <v>16</v>
      </c>
      <c r="AG78">
        <v>2</v>
      </c>
      <c r="AH78">
        <v>3</v>
      </c>
      <c r="AI78">
        <v>15</v>
      </c>
      <c r="AJ78">
        <v>13</v>
      </c>
      <c r="AK78">
        <v>2</v>
      </c>
      <c r="AL78" t="str" cm="1">
        <f t="array" ref="AL7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8">
        <v>8</v>
      </c>
    </row>
    <row r="79" spans="1:39" x14ac:dyDescent="0.25">
      <c r="A79">
        <v>45</v>
      </c>
      <c r="B79" t="s">
        <v>44</v>
      </c>
      <c r="C79" t="s">
        <v>37</v>
      </c>
      <c r="D79">
        <v>193</v>
      </c>
      <c r="E79" t="s">
        <v>46</v>
      </c>
      <c r="G79">
        <v>6</v>
      </c>
      <c r="H79">
        <v>4</v>
      </c>
      <c r="I79" t="s">
        <v>50</v>
      </c>
      <c r="J79" t="str">
        <f>WA_Fn_UseC__HR_Employee_Attrition[[#This Row],[EducationField]]&amp;"-"&amp;WA_Fn_UseC__HR_Employee_Attrition[[#This Row],[Department]]</f>
        <v>Other-Research &amp; Development</v>
      </c>
      <c r="K79">
        <v>1</v>
      </c>
      <c r="L79">
        <v>101</v>
      </c>
      <c r="M79">
        <v>4</v>
      </c>
      <c r="N79" t="s">
        <v>47</v>
      </c>
      <c r="O79">
        <v>52</v>
      </c>
      <c r="P79">
        <v>3</v>
      </c>
      <c r="Q79">
        <v>3</v>
      </c>
      <c r="R79" t="s">
        <v>59</v>
      </c>
      <c r="S79">
        <v>1</v>
      </c>
      <c r="T79" t="s">
        <v>49</v>
      </c>
      <c r="U79">
        <v>13245</v>
      </c>
      <c r="V79" t="str" cm="1">
        <f t="array" ref="V7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9">
        <v>15067</v>
      </c>
      <c r="X79">
        <v>4</v>
      </c>
      <c r="Y79" t="s">
        <v>43</v>
      </c>
      <c r="Z79" t="s">
        <v>36</v>
      </c>
      <c r="AA79">
        <v>14</v>
      </c>
      <c r="AB79">
        <v>3</v>
      </c>
      <c r="AC79">
        <v>2</v>
      </c>
      <c r="AD79">
        <v>80</v>
      </c>
      <c r="AE79">
        <v>0</v>
      </c>
      <c r="AF79">
        <v>17</v>
      </c>
      <c r="AG79">
        <v>3</v>
      </c>
      <c r="AH79">
        <v>4</v>
      </c>
      <c r="AI79">
        <v>0</v>
      </c>
      <c r="AJ79">
        <v>0</v>
      </c>
      <c r="AK79">
        <v>0</v>
      </c>
      <c r="AL79" t="str" cm="1">
        <f t="array" ref="AL7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9">
        <v>0</v>
      </c>
    </row>
    <row r="80" spans="1:39" x14ac:dyDescent="0.25">
      <c r="A80">
        <v>37</v>
      </c>
      <c r="B80" t="s">
        <v>44</v>
      </c>
      <c r="C80" t="s">
        <v>37</v>
      </c>
      <c r="D80">
        <v>397</v>
      </c>
      <c r="E80" t="s">
        <v>46</v>
      </c>
      <c r="G80">
        <v>7</v>
      </c>
      <c r="H80">
        <v>4</v>
      </c>
      <c r="I80" t="s">
        <v>52</v>
      </c>
      <c r="J80" t="str">
        <f>WA_Fn_UseC__HR_Employee_Attrition[[#This Row],[EducationField]]&amp;"-"&amp;WA_Fn_UseC__HR_Employee_Attrition[[#This Row],[Department]]</f>
        <v>Medical-Research &amp; Development</v>
      </c>
      <c r="K80">
        <v>1</v>
      </c>
      <c r="L80">
        <v>102</v>
      </c>
      <c r="M80">
        <v>1</v>
      </c>
      <c r="N80" t="s">
        <v>47</v>
      </c>
      <c r="O80">
        <v>30</v>
      </c>
      <c r="P80">
        <v>3</v>
      </c>
      <c r="Q80">
        <v>3</v>
      </c>
      <c r="R80" t="s">
        <v>59</v>
      </c>
      <c r="S80">
        <v>3</v>
      </c>
      <c r="T80" t="s">
        <v>42</v>
      </c>
      <c r="U80">
        <v>13664</v>
      </c>
      <c r="V80" t="str" cm="1">
        <f t="array" ref="V8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0">
        <v>25258</v>
      </c>
      <c r="X80">
        <v>4</v>
      </c>
      <c r="Y80" t="s">
        <v>43</v>
      </c>
      <c r="Z80" t="s">
        <v>44</v>
      </c>
      <c r="AA80">
        <v>13</v>
      </c>
      <c r="AB80">
        <v>3</v>
      </c>
      <c r="AC80">
        <v>1</v>
      </c>
      <c r="AD80">
        <v>80</v>
      </c>
      <c r="AE80">
        <v>0</v>
      </c>
      <c r="AF80">
        <v>16</v>
      </c>
      <c r="AG80">
        <v>3</v>
      </c>
      <c r="AH80">
        <v>4</v>
      </c>
      <c r="AI80">
        <v>5</v>
      </c>
      <c r="AJ80">
        <v>2</v>
      </c>
      <c r="AK80">
        <v>0</v>
      </c>
      <c r="AL80" t="str" cm="1">
        <f t="array" ref="AL8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0">
        <v>2</v>
      </c>
    </row>
    <row r="81" spans="1:39" x14ac:dyDescent="0.25">
      <c r="A81">
        <v>46</v>
      </c>
      <c r="B81" t="s">
        <v>44</v>
      </c>
      <c r="C81" t="s">
        <v>37</v>
      </c>
      <c r="D81">
        <v>945</v>
      </c>
      <c r="E81" t="s">
        <v>62</v>
      </c>
      <c r="G81">
        <v>5</v>
      </c>
      <c r="H81">
        <v>2</v>
      </c>
      <c r="I81" t="s">
        <v>52</v>
      </c>
      <c r="J81" t="str">
        <f>WA_Fn_UseC__HR_Employee_Attrition[[#This Row],[EducationField]]&amp;"-"&amp;WA_Fn_UseC__HR_Employee_Attrition[[#This Row],[Department]]</f>
        <v>Medical-Human Resources</v>
      </c>
      <c r="K81">
        <v>1</v>
      </c>
      <c r="L81">
        <v>103</v>
      </c>
      <c r="M81">
        <v>2</v>
      </c>
      <c r="N81" t="s">
        <v>47</v>
      </c>
      <c r="O81">
        <v>80</v>
      </c>
      <c r="P81">
        <v>3</v>
      </c>
      <c r="Q81">
        <v>2</v>
      </c>
      <c r="R81" t="s">
        <v>62</v>
      </c>
      <c r="S81">
        <v>2</v>
      </c>
      <c r="T81" t="s">
        <v>53</v>
      </c>
      <c r="U81">
        <v>5021</v>
      </c>
      <c r="V81" t="str" cm="1">
        <f t="array" ref="V8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1">
        <v>10425</v>
      </c>
      <c r="X81">
        <v>8</v>
      </c>
      <c r="Y81" t="s">
        <v>43</v>
      </c>
      <c r="Z81" t="s">
        <v>36</v>
      </c>
      <c r="AA81">
        <v>22</v>
      </c>
      <c r="AB81">
        <v>4</v>
      </c>
      <c r="AC81">
        <v>4</v>
      </c>
      <c r="AD81">
        <v>80</v>
      </c>
      <c r="AE81">
        <v>1</v>
      </c>
      <c r="AF81">
        <v>16</v>
      </c>
      <c r="AG81">
        <v>2</v>
      </c>
      <c r="AH81">
        <v>3</v>
      </c>
      <c r="AI81">
        <v>4</v>
      </c>
      <c r="AJ81">
        <v>2</v>
      </c>
      <c r="AK81">
        <v>0</v>
      </c>
      <c r="AL81" t="str" cm="1">
        <f t="array" ref="AL8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1">
        <v>2</v>
      </c>
    </row>
    <row r="82" spans="1:39" x14ac:dyDescent="0.25">
      <c r="A82">
        <v>30</v>
      </c>
      <c r="B82" t="s">
        <v>44</v>
      </c>
      <c r="C82" t="s">
        <v>37</v>
      </c>
      <c r="D82">
        <v>852</v>
      </c>
      <c r="E82" t="s">
        <v>46</v>
      </c>
      <c r="G82">
        <v>1</v>
      </c>
      <c r="H82">
        <v>1</v>
      </c>
      <c r="I82" t="s">
        <v>39</v>
      </c>
      <c r="J82" t="str">
        <f>WA_Fn_UseC__HR_Employee_Attrition[[#This Row],[EducationField]]&amp;"-"&amp;WA_Fn_UseC__HR_Employee_Attrition[[#This Row],[Department]]</f>
        <v>Life Sciences-Research &amp; Development</v>
      </c>
      <c r="K82">
        <v>1</v>
      </c>
      <c r="L82">
        <v>104</v>
      </c>
      <c r="M82">
        <v>4</v>
      </c>
      <c r="N82" t="s">
        <v>47</v>
      </c>
      <c r="O82">
        <v>55</v>
      </c>
      <c r="P82">
        <v>2</v>
      </c>
      <c r="Q82">
        <v>2</v>
      </c>
      <c r="R82" t="s">
        <v>51</v>
      </c>
      <c r="S82">
        <v>4</v>
      </c>
      <c r="T82" t="s">
        <v>49</v>
      </c>
      <c r="U82">
        <v>5126</v>
      </c>
      <c r="V82" t="str" cm="1">
        <f t="array" ref="V8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2">
        <v>15998</v>
      </c>
      <c r="X82">
        <v>1</v>
      </c>
      <c r="Y82" t="s">
        <v>43</v>
      </c>
      <c r="Z82" t="s">
        <v>36</v>
      </c>
      <c r="AA82">
        <v>12</v>
      </c>
      <c r="AB82">
        <v>3</v>
      </c>
      <c r="AC82">
        <v>3</v>
      </c>
      <c r="AD82">
        <v>80</v>
      </c>
      <c r="AE82">
        <v>2</v>
      </c>
      <c r="AF82">
        <v>10</v>
      </c>
      <c r="AG82">
        <v>1</v>
      </c>
      <c r="AH82">
        <v>2</v>
      </c>
      <c r="AI82">
        <v>10</v>
      </c>
      <c r="AJ82">
        <v>8</v>
      </c>
      <c r="AK82">
        <v>3</v>
      </c>
      <c r="AL82" t="str" cm="1">
        <f t="array" ref="AL8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2">
        <v>0</v>
      </c>
    </row>
    <row r="83" spans="1:39" x14ac:dyDescent="0.25">
      <c r="A83">
        <v>35</v>
      </c>
      <c r="B83" t="s">
        <v>44</v>
      </c>
      <c r="C83" t="s">
        <v>37</v>
      </c>
      <c r="D83">
        <v>1214</v>
      </c>
      <c r="E83" t="s">
        <v>46</v>
      </c>
      <c r="G83">
        <v>1</v>
      </c>
      <c r="H83">
        <v>3</v>
      </c>
      <c r="I83" t="s">
        <v>52</v>
      </c>
      <c r="J83" t="str">
        <f>WA_Fn_UseC__HR_Employee_Attrition[[#This Row],[EducationField]]&amp;"-"&amp;WA_Fn_UseC__HR_Employee_Attrition[[#This Row],[Department]]</f>
        <v>Medical-Research &amp; Development</v>
      </c>
      <c r="K83">
        <v>1</v>
      </c>
      <c r="L83">
        <v>105</v>
      </c>
      <c r="M83">
        <v>2</v>
      </c>
      <c r="N83" t="s">
        <v>47</v>
      </c>
      <c r="O83">
        <v>30</v>
      </c>
      <c r="P83">
        <v>2</v>
      </c>
      <c r="Q83">
        <v>1</v>
      </c>
      <c r="R83" t="s">
        <v>48</v>
      </c>
      <c r="S83">
        <v>3</v>
      </c>
      <c r="T83" t="s">
        <v>42</v>
      </c>
      <c r="U83">
        <v>2859</v>
      </c>
      <c r="V83" t="str" cm="1">
        <f t="array" ref="V8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3">
        <v>26278</v>
      </c>
      <c r="X83">
        <v>1</v>
      </c>
      <c r="Y83" t="s">
        <v>43</v>
      </c>
      <c r="Z83" t="s">
        <v>44</v>
      </c>
      <c r="AA83">
        <v>18</v>
      </c>
      <c r="AB83">
        <v>3</v>
      </c>
      <c r="AC83">
        <v>1</v>
      </c>
      <c r="AD83">
        <v>80</v>
      </c>
      <c r="AE83">
        <v>0</v>
      </c>
      <c r="AF83">
        <v>6</v>
      </c>
      <c r="AG83">
        <v>3</v>
      </c>
      <c r="AH83">
        <v>3</v>
      </c>
      <c r="AI83">
        <v>6</v>
      </c>
      <c r="AJ83">
        <v>4</v>
      </c>
      <c r="AK83">
        <v>0</v>
      </c>
      <c r="AL83" t="str" cm="1">
        <f t="array" ref="AL8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3">
        <v>4</v>
      </c>
    </row>
    <row r="84" spans="1:39" x14ac:dyDescent="0.25">
      <c r="A84">
        <v>55</v>
      </c>
      <c r="B84" t="s">
        <v>44</v>
      </c>
      <c r="C84" t="s">
        <v>37</v>
      </c>
      <c r="D84">
        <v>111</v>
      </c>
      <c r="E84" t="s">
        <v>38</v>
      </c>
      <c r="G84">
        <v>1</v>
      </c>
      <c r="H84">
        <v>2</v>
      </c>
      <c r="I84" t="s">
        <v>39</v>
      </c>
      <c r="J84" t="str">
        <f>WA_Fn_UseC__HR_Employee_Attrition[[#This Row],[EducationField]]&amp;"-"&amp;WA_Fn_UseC__HR_Employee_Attrition[[#This Row],[Department]]</f>
        <v>Life Sciences-Sales</v>
      </c>
      <c r="K84">
        <v>1</v>
      </c>
      <c r="L84">
        <v>106</v>
      </c>
      <c r="M84">
        <v>1</v>
      </c>
      <c r="N84" t="s">
        <v>47</v>
      </c>
      <c r="O84">
        <v>70</v>
      </c>
      <c r="P84">
        <v>3</v>
      </c>
      <c r="Q84">
        <v>3</v>
      </c>
      <c r="R84" t="s">
        <v>41</v>
      </c>
      <c r="S84">
        <v>4</v>
      </c>
      <c r="T84" t="s">
        <v>49</v>
      </c>
      <c r="U84">
        <v>10239</v>
      </c>
      <c r="V84" t="str" cm="1">
        <f t="array" ref="V8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4">
        <v>18092</v>
      </c>
      <c r="X84">
        <v>3</v>
      </c>
      <c r="Y84" t="s">
        <v>43</v>
      </c>
      <c r="Z84" t="s">
        <v>44</v>
      </c>
      <c r="AA84">
        <v>14</v>
      </c>
      <c r="AB84">
        <v>3</v>
      </c>
      <c r="AC84">
        <v>4</v>
      </c>
      <c r="AD84">
        <v>80</v>
      </c>
      <c r="AE84">
        <v>1</v>
      </c>
      <c r="AF84">
        <v>24</v>
      </c>
      <c r="AG84">
        <v>4</v>
      </c>
      <c r="AH84">
        <v>3</v>
      </c>
      <c r="AI84">
        <v>1</v>
      </c>
      <c r="AJ84">
        <v>0</v>
      </c>
      <c r="AK84">
        <v>1</v>
      </c>
      <c r="AL84" t="str" cm="1">
        <f t="array" ref="AL8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4">
        <v>0</v>
      </c>
    </row>
    <row r="85" spans="1:39" x14ac:dyDescent="0.25">
      <c r="A85">
        <v>38</v>
      </c>
      <c r="B85" t="s">
        <v>44</v>
      </c>
      <c r="C85" t="s">
        <v>56</v>
      </c>
      <c r="D85">
        <v>573</v>
      </c>
      <c r="E85" t="s">
        <v>46</v>
      </c>
      <c r="G85">
        <v>6</v>
      </c>
      <c r="H85">
        <v>3</v>
      </c>
      <c r="I85" t="s">
        <v>52</v>
      </c>
      <c r="J85" t="str">
        <f>WA_Fn_UseC__HR_Employee_Attrition[[#This Row],[EducationField]]&amp;"-"&amp;WA_Fn_UseC__HR_Employee_Attrition[[#This Row],[Department]]</f>
        <v>Medical-Research &amp; Development</v>
      </c>
      <c r="K85">
        <v>1</v>
      </c>
      <c r="L85">
        <v>107</v>
      </c>
      <c r="M85">
        <v>2</v>
      </c>
      <c r="N85" t="s">
        <v>40</v>
      </c>
      <c r="O85">
        <v>79</v>
      </c>
      <c r="P85">
        <v>1</v>
      </c>
      <c r="Q85">
        <v>2</v>
      </c>
      <c r="R85" t="s">
        <v>48</v>
      </c>
      <c r="S85">
        <v>4</v>
      </c>
      <c r="T85" t="s">
        <v>53</v>
      </c>
      <c r="U85">
        <v>5329</v>
      </c>
      <c r="V85" t="str" cm="1">
        <f t="array" ref="V8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5">
        <v>15717</v>
      </c>
      <c r="X85">
        <v>7</v>
      </c>
      <c r="Y85" t="s">
        <v>43</v>
      </c>
      <c r="Z85" t="s">
        <v>36</v>
      </c>
      <c r="AA85">
        <v>12</v>
      </c>
      <c r="AB85">
        <v>3</v>
      </c>
      <c r="AC85">
        <v>4</v>
      </c>
      <c r="AD85">
        <v>80</v>
      </c>
      <c r="AE85">
        <v>3</v>
      </c>
      <c r="AF85">
        <v>17</v>
      </c>
      <c r="AG85">
        <v>3</v>
      </c>
      <c r="AH85">
        <v>3</v>
      </c>
      <c r="AI85">
        <v>13</v>
      </c>
      <c r="AJ85">
        <v>11</v>
      </c>
      <c r="AK85">
        <v>1</v>
      </c>
      <c r="AL85" t="str" cm="1">
        <f t="array" ref="AL8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5">
        <v>9</v>
      </c>
    </row>
    <row r="86" spans="1:39" x14ac:dyDescent="0.25">
      <c r="A86">
        <v>34</v>
      </c>
      <c r="B86" t="s">
        <v>44</v>
      </c>
      <c r="C86" t="s">
        <v>37</v>
      </c>
      <c r="D86">
        <v>1153</v>
      </c>
      <c r="E86" t="s">
        <v>46</v>
      </c>
      <c r="G86">
        <v>1</v>
      </c>
      <c r="H86">
        <v>2</v>
      </c>
      <c r="I86" t="s">
        <v>52</v>
      </c>
      <c r="J86" t="str">
        <f>WA_Fn_UseC__HR_Employee_Attrition[[#This Row],[EducationField]]&amp;"-"&amp;WA_Fn_UseC__HR_Employee_Attrition[[#This Row],[Department]]</f>
        <v>Medical-Research &amp; Development</v>
      </c>
      <c r="K86">
        <v>1</v>
      </c>
      <c r="L86">
        <v>110</v>
      </c>
      <c r="M86">
        <v>1</v>
      </c>
      <c r="N86" t="s">
        <v>47</v>
      </c>
      <c r="O86">
        <v>94</v>
      </c>
      <c r="P86">
        <v>3</v>
      </c>
      <c r="Q86">
        <v>2</v>
      </c>
      <c r="R86" t="s">
        <v>54</v>
      </c>
      <c r="S86">
        <v>2</v>
      </c>
      <c r="T86" t="s">
        <v>49</v>
      </c>
      <c r="U86">
        <v>4325</v>
      </c>
      <c r="V86" t="str" cm="1">
        <f t="array" ref="V8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6">
        <v>17736</v>
      </c>
      <c r="X86">
        <v>1</v>
      </c>
      <c r="Y86" t="s">
        <v>43</v>
      </c>
      <c r="Z86" t="s">
        <v>44</v>
      </c>
      <c r="AA86">
        <v>15</v>
      </c>
      <c r="AB86">
        <v>3</v>
      </c>
      <c r="AC86">
        <v>3</v>
      </c>
      <c r="AD86">
        <v>80</v>
      </c>
      <c r="AE86">
        <v>0</v>
      </c>
      <c r="AF86">
        <v>5</v>
      </c>
      <c r="AG86">
        <v>2</v>
      </c>
      <c r="AH86">
        <v>3</v>
      </c>
      <c r="AI86">
        <v>5</v>
      </c>
      <c r="AJ86">
        <v>2</v>
      </c>
      <c r="AK86">
        <v>1</v>
      </c>
      <c r="AL86" t="str" cm="1">
        <f t="array" ref="AL8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6">
        <v>3</v>
      </c>
    </row>
    <row r="87" spans="1:39" x14ac:dyDescent="0.25">
      <c r="A87">
        <v>56</v>
      </c>
      <c r="B87" t="s">
        <v>44</v>
      </c>
      <c r="C87" t="s">
        <v>37</v>
      </c>
      <c r="D87">
        <v>1400</v>
      </c>
      <c r="E87" t="s">
        <v>46</v>
      </c>
      <c r="G87">
        <v>7</v>
      </c>
      <c r="H87">
        <v>3</v>
      </c>
      <c r="I87" t="s">
        <v>39</v>
      </c>
      <c r="J87" t="str">
        <f>WA_Fn_UseC__HR_Employee_Attrition[[#This Row],[EducationField]]&amp;"-"&amp;WA_Fn_UseC__HR_Employee_Attrition[[#This Row],[Department]]</f>
        <v>Life Sciences-Research &amp; Development</v>
      </c>
      <c r="K87">
        <v>1</v>
      </c>
      <c r="L87">
        <v>112</v>
      </c>
      <c r="M87">
        <v>4</v>
      </c>
      <c r="N87" t="s">
        <v>47</v>
      </c>
      <c r="O87">
        <v>49</v>
      </c>
      <c r="P87">
        <v>1</v>
      </c>
      <c r="Q87">
        <v>3</v>
      </c>
      <c r="R87" t="s">
        <v>54</v>
      </c>
      <c r="S87">
        <v>4</v>
      </c>
      <c r="T87" t="s">
        <v>42</v>
      </c>
      <c r="U87">
        <v>7260</v>
      </c>
      <c r="V87" t="str" cm="1">
        <f t="array" ref="V8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7">
        <v>21698</v>
      </c>
      <c r="X87">
        <v>4</v>
      </c>
      <c r="Y87" t="s">
        <v>43</v>
      </c>
      <c r="Z87" t="s">
        <v>44</v>
      </c>
      <c r="AA87">
        <v>11</v>
      </c>
      <c r="AB87">
        <v>3</v>
      </c>
      <c r="AC87">
        <v>1</v>
      </c>
      <c r="AD87">
        <v>80</v>
      </c>
      <c r="AE87">
        <v>0</v>
      </c>
      <c r="AF87">
        <v>37</v>
      </c>
      <c r="AG87">
        <v>3</v>
      </c>
      <c r="AH87">
        <v>2</v>
      </c>
      <c r="AI87">
        <v>6</v>
      </c>
      <c r="AJ87">
        <v>4</v>
      </c>
      <c r="AK87">
        <v>0</v>
      </c>
      <c r="AL87" t="str" cm="1">
        <f t="array" ref="AL8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7">
        <v>2</v>
      </c>
    </row>
    <row r="88" spans="1:39" x14ac:dyDescent="0.25">
      <c r="A88">
        <v>23</v>
      </c>
      <c r="B88" t="s">
        <v>44</v>
      </c>
      <c r="C88" t="s">
        <v>37</v>
      </c>
      <c r="D88">
        <v>541</v>
      </c>
      <c r="E88" t="s">
        <v>38</v>
      </c>
      <c r="G88">
        <v>2</v>
      </c>
      <c r="H88">
        <v>1</v>
      </c>
      <c r="I88" t="s">
        <v>61</v>
      </c>
      <c r="J88" t="str">
        <f>WA_Fn_UseC__HR_Employee_Attrition[[#This Row],[EducationField]]&amp;"-"&amp;WA_Fn_UseC__HR_Employee_Attrition[[#This Row],[Department]]</f>
        <v>Technical Degree-Sales</v>
      </c>
      <c r="K88">
        <v>1</v>
      </c>
      <c r="L88">
        <v>113</v>
      </c>
      <c r="M88">
        <v>3</v>
      </c>
      <c r="N88" t="s">
        <v>47</v>
      </c>
      <c r="O88">
        <v>62</v>
      </c>
      <c r="P88">
        <v>3</v>
      </c>
      <c r="Q88">
        <v>1</v>
      </c>
      <c r="R88" t="s">
        <v>58</v>
      </c>
      <c r="S88">
        <v>1</v>
      </c>
      <c r="T88" t="s">
        <v>53</v>
      </c>
      <c r="U88">
        <v>2322</v>
      </c>
      <c r="V88" t="str" cm="1">
        <f t="array" ref="V8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8">
        <v>9518</v>
      </c>
      <c r="X88">
        <v>3</v>
      </c>
      <c r="Y88" t="s">
        <v>43</v>
      </c>
      <c r="Z88" t="s">
        <v>44</v>
      </c>
      <c r="AA88">
        <v>13</v>
      </c>
      <c r="AB88">
        <v>3</v>
      </c>
      <c r="AC88">
        <v>3</v>
      </c>
      <c r="AD88">
        <v>80</v>
      </c>
      <c r="AE88">
        <v>1</v>
      </c>
      <c r="AF88">
        <v>3</v>
      </c>
      <c r="AG88">
        <v>3</v>
      </c>
      <c r="AH88">
        <v>3</v>
      </c>
      <c r="AI88">
        <v>0</v>
      </c>
      <c r="AJ88">
        <v>0</v>
      </c>
      <c r="AK88">
        <v>0</v>
      </c>
      <c r="AL88" t="str" cm="1">
        <f t="array" ref="AL8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8">
        <v>0</v>
      </c>
    </row>
    <row r="89" spans="1:39" x14ac:dyDescent="0.25">
      <c r="A89">
        <v>51</v>
      </c>
      <c r="B89" t="s">
        <v>44</v>
      </c>
      <c r="C89" t="s">
        <v>37</v>
      </c>
      <c r="D89">
        <v>432</v>
      </c>
      <c r="E89" t="s">
        <v>46</v>
      </c>
      <c r="G89">
        <v>9</v>
      </c>
      <c r="H89">
        <v>4</v>
      </c>
      <c r="I89" t="s">
        <v>39</v>
      </c>
      <c r="J89" t="str">
        <f>WA_Fn_UseC__HR_Employee_Attrition[[#This Row],[EducationField]]&amp;"-"&amp;WA_Fn_UseC__HR_Employee_Attrition[[#This Row],[Department]]</f>
        <v>Life Sciences-Research &amp; Development</v>
      </c>
      <c r="K89">
        <v>1</v>
      </c>
      <c r="L89">
        <v>116</v>
      </c>
      <c r="M89">
        <v>4</v>
      </c>
      <c r="N89" t="s">
        <v>47</v>
      </c>
      <c r="O89">
        <v>96</v>
      </c>
      <c r="P89">
        <v>3</v>
      </c>
      <c r="Q89">
        <v>1</v>
      </c>
      <c r="R89" t="s">
        <v>51</v>
      </c>
      <c r="S89">
        <v>4</v>
      </c>
      <c r="T89" t="s">
        <v>49</v>
      </c>
      <c r="U89">
        <v>2075</v>
      </c>
      <c r="V89" t="str" cm="1">
        <f t="array" ref="V8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9">
        <v>18725</v>
      </c>
      <c r="X89">
        <v>3</v>
      </c>
      <c r="Y89" t="s">
        <v>43</v>
      </c>
      <c r="Z89" t="s">
        <v>44</v>
      </c>
      <c r="AA89">
        <v>23</v>
      </c>
      <c r="AB89">
        <v>4</v>
      </c>
      <c r="AC89">
        <v>2</v>
      </c>
      <c r="AD89">
        <v>80</v>
      </c>
      <c r="AE89">
        <v>2</v>
      </c>
      <c r="AF89">
        <v>10</v>
      </c>
      <c r="AG89">
        <v>4</v>
      </c>
      <c r="AH89">
        <v>3</v>
      </c>
      <c r="AI89">
        <v>4</v>
      </c>
      <c r="AJ89">
        <v>2</v>
      </c>
      <c r="AK89">
        <v>0</v>
      </c>
      <c r="AL89" t="str" cm="1">
        <f t="array" ref="AL8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9">
        <v>3</v>
      </c>
    </row>
    <row r="90" spans="1:39" x14ac:dyDescent="0.25">
      <c r="A90">
        <v>30</v>
      </c>
      <c r="B90" t="s">
        <v>44</v>
      </c>
      <c r="C90" t="s">
        <v>37</v>
      </c>
      <c r="D90">
        <v>288</v>
      </c>
      <c r="E90" t="s">
        <v>46</v>
      </c>
      <c r="G90">
        <v>2</v>
      </c>
      <c r="H90">
        <v>3</v>
      </c>
      <c r="I90" t="s">
        <v>39</v>
      </c>
      <c r="J90" t="str">
        <f>WA_Fn_UseC__HR_Employee_Attrition[[#This Row],[EducationField]]&amp;"-"&amp;WA_Fn_UseC__HR_Employee_Attrition[[#This Row],[Department]]</f>
        <v>Life Sciences-Research &amp; Development</v>
      </c>
      <c r="K90">
        <v>1</v>
      </c>
      <c r="L90">
        <v>117</v>
      </c>
      <c r="M90">
        <v>3</v>
      </c>
      <c r="N90" t="s">
        <v>47</v>
      </c>
      <c r="O90">
        <v>99</v>
      </c>
      <c r="P90">
        <v>2</v>
      </c>
      <c r="Q90">
        <v>2</v>
      </c>
      <c r="R90" t="s">
        <v>55</v>
      </c>
      <c r="S90">
        <v>4</v>
      </c>
      <c r="T90" t="s">
        <v>49</v>
      </c>
      <c r="U90">
        <v>4152</v>
      </c>
      <c r="V90" t="str" cm="1">
        <f t="array" ref="V9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0">
        <v>15830</v>
      </c>
      <c r="X90">
        <v>1</v>
      </c>
      <c r="Y90" t="s">
        <v>43</v>
      </c>
      <c r="Z90" t="s">
        <v>44</v>
      </c>
      <c r="AA90">
        <v>19</v>
      </c>
      <c r="AB90">
        <v>3</v>
      </c>
      <c r="AC90">
        <v>1</v>
      </c>
      <c r="AD90">
        <v>80</v>
      </c>
      <c r="AE90">
        <v>3</v>
      </c>
      <c r="AF90">
        <v>11</v>
      </c>
      <c r="AG90">
        <v>3</v>
      </c>
      <c r="AH90">
        <v>3</v>
      </c>
      <c r="AI90">
        <v>11</v>
      </c>
      <c r="AJ90">
        <v>10</v>
      </c>
      <c r="AK90">
        <v>10</v>
      </c>
      <c r="AL90" t="str" cm="1">
        <f t="array" ref="AL9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0">
        <v>8</v>
      </c>
    </row>
    <row r="91" spans="1:39" x14ac:dyDescent="0.25">
      <c r="A91">
        <v>46</v>
      </c>
      <c r="B91" t="s">
        <v>36</v>
      </c>
      <c r="C91" t="s">
        <v>37</v>
      </c>
      <c r="D91">
        <v>669</v>
      </c>
      <c r="E91" t="s">
        <v>38</v>
      </c>
      <c r="G91">
        <v>9</v>
      </c>
      <c r="H91">
        <v>2</v>
      </c>
      <c r="I91" t="s">
        <v>52</v>
      </c>
      <c r="J91" t="str">
        <f>WA_Fn_UseC__HR_Employee_Attrition[[#This Row],[EducationField]]&amp;"-"&amp;WA_Fn_UseC__HR_Employee_Attrition[[#This Row],[Department]]</f>
        <v>Medical-Sales</v>
      </c>
      <c r="K91">
        <v>1</v>
      </c>
      <c r="L91">
        <v>118</v>
      </c>
      <c r="M91">
        <v>3</v>
      </c>
      <c r="N91" t="s">
        <v>47</v>
      </c>
      <c r="O91">
        <v>64</v>
      </c>
      <c r="P91">
        <v>2</v>
      </c>
      <c r="Q91">
        <v>3</v>
      </c>
      <c r="R91" t="s">
        <v>41</v>
      </c>
      <c r="S91">
        <v>4</v>
      </c>
      <c r="T91" t="s">
        <v>42</v>
      </c>
      <c r="U91">
        <v>9619</v>
      </c>
      <c r="V91" t="str" cm="1">
        <f t="array" ref="V9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1">
        <v>13596</v>
      </c>
      <c r="X91">
        <v>1</v>
      </c>
      <c r="Y91" t="s">
        <v>43</v>
      </c>
      <c r="Z91" t="s">
        <v>44</v>
      </c>
      <c r="AA91">
        <v>16</v>
      </c>
      <c r="AB91">
        <v>3</v>
      </c>
      <c r="AC91">
        <v>4</v>
      </c>
      <c r="AD91">
        <v>80</v>
      </c>
      <c r="AE91">
        <v>0</v>
      </c>
      <c r="AF91">
        <v>9</v>
      </c>
      <c r="AG91">
        <v>3</v>
      </c>
      <c r="AH91">
        <v>3</v>
      </c>
      <c r="AI91">
        <v>9</v>
      </c>
      <c r="AJ91">
        <v>8</v>
      </c>
      <c r="AK91">
        <v>4</v>
      </c>
      <c r="AL91" t="str" cm="1">
        <f t="array" ref="AL9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1">
        <v>7</v>
      </c>
    </row>
    <row r="92" spans="1:39" x14ac:dyDescent="0.25">
      <c r="A92">
        <v>40</v>
      </c>
      <c r="B92" t="s">
        <v>44</v>
      </c>
      <c r="C92" t="s">
        <v>45</v>
      </c>
      <c r="D92">
        <v>530</v>
      </c>
      <c r="E92" t="s">
        <v>46</v>
      </c>
      <c r="G92">
        <v>1</v>
      </c>
      <c r="H92">
        <v>4</v>
      </c>
      <c r="I92" t="s">
        <v>39</v>
      </c>
      <c r="J92" t="str">
        <f>WA_Fn_UseC__HR_Employee_Attrition[[#This Row],[EducationField]]&amp;"-"&amp;WA_Fn_UseC__HR_Employee_Attrition[[#This Row],[Department]]</f>
        <v>Life Sciences-Research &amp; Development</v>
      </c>
      <c r="K92">
        <v>1</v>
      </c>
      <c r="L92">
        <v>119</v>
      </c>
      <c r="M92">
        <v>3</v>
      </c>
      <c r="N92" t="s">
        <v>47</v>
      </c>
      <c r="O92">
        <v>78</v>
      </c>
      <c r="P92">
        <v>2</v>
      </c>
      <c r="Q92">
        <v>4</v>
      </c>
      <c r="R92" t="s">
        <v>55</v>
      </c>
      <c r="S92">
        <v>2</v>
      </c>
      <c r="T92" t="s">
        <v>49</v>
      </c>
      <c r="U92">
        <v>13503</v>
      </c>
      <c r="V92" t="str" cm="1">
        <f t="array" ref="V9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2">
        <v>14115</v>
      </c>
      <c r="X92">
        <v>1</v>
      </c>
      <c r="Y92" t="s">
        <v>43</v>
      </c>
      <c r="Z92" t="s">
        <v>44</v>
      </c>
      <c r="AA92">
        <v>22</v>
      </c>
      <c r="AB92">
        <v>4</v>
      </c>
      <c r="AC92">
        <v>4</v>
      </c>
      <c r="AD92">
        <v>80</v>
      </c>
      <c r="AE92">
        <v>1</v>
      </c>
      <c r="AF92">
        <v>22</v>
      </c>
      <c r="AG92">
        <v>3</v>
      </c>
      <c r="AH92">
        <v>2</v>
      </c>
      <c r="AI92">
        <v>22</v>
      </c>
      <c r="AJ92">
        <v>3</v>
      </c>
      <c r="AK92">
        <v>11</v>
      </c>
      <c r="AL92" t="str" cm="1">
        <f t="array" ref="AL9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2">
        <v>11</v>
      </c>
    </row>
    <row r="93" spans="1:39" x14ac:dyDescent="0.25">
      <c r="A93">
        <v>51</v>
      </c>
      <c r="B93" t="s">
        <v>44</v>
      </c>
      <c r="C93" t="s">
        <v>37</v>
      </c>
      <c r="D93">
        <v>632</v>
      </c>
      <c r="E93" t="s">
        <v>38</v>
      </c>
      <c r="G93">
        <v>21</v>
      </c>
      <c r="H93">
        <v>4</v>
      </c>
      <c r="I93" t="s">
        <v>60</v>
      </c>
      <c r="J93" t="str">
        <f>WA_Fn_UseC__HR_Employee_Attrition[[#This Row],[EducationField]]&amp;"-"&amp;WA_Fn_UseC__HR_Employee_Attrition[[#This Row],[Department]]</f>
        <v>Marketing-Sales</v>
      </c>
      <c r="K93">
        <v>1</v>
      </c>
      <c r="L93">
        <v>120</v>
      </c>
      <c r="M93">
        <v>3</v>
      </c>
      <c r="N93" t="s">
        <v>47</v>
      </c>
      <c r="O93">
        <v>71</v>
      </c>
      <c r="P93">
        <v>3</v>
      </c>
      <c r="Q93">
        <v>2</v>
      </c>
      <c r="R93" t="s">
        <v>41</v>
      </c>
      <c r="S93">
        <v>4</v>
      </c>
      <c r="T93" t="s">
        <v>42</v>
      </c>
      <c r="U93">
        <v>5441</v>
      </c>
      <c r="V93" t="str" cm="1">
        <f t="array" ref="V9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3">
        <v>8423</v>
      </c>
      <c r="X93">
        <v>0</v>
      </c>
      <c r="Y93" t="s">
        <v>43</v>
      </c>
      <c r="Z93" t="s">
        <v>36</v>
      </c>
      <c r="AA93">
        <v>22</v>
      </c>
      <c r="AB93">
        <v>4</v>
      </c>
      <c r="AC93">
        <v>4</v>
      </c>
      <c r="AD93">
        <v>80</v>
      </c>
      <c r="AE93">
        <v>0</v>
      </c>
      <c r="AF93">
        <v>11</v>
      </c>
      <c r="AG93">
        <v>2</v>
      </c>
      <c r="AH93">
        <v>1</v>
      </c>
      <c r="AI93">
        <v>10</v>
      </c>
      <c r="AJ93">
        <v>7</v>
      </c>
      <c r="AK93">
        <v>1</v>
      </c>
      <c r="AL93" t="str" cm="1">
        <f t="array" ref="AL9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3">
        <v>0</v>
      </c>
    </row>
    <row r="94" spans="1:39" x14ac:dyDescent="0.25">
      <c r="A94">
        <v>30</v>
      </c>
      <c r="B94" t="s">
        <v>44</v>
      </c>
      <c r="C94" t="s">
        <v>37</v>
      </c>
      <c r="D94">
        <v>1334</v>
      </c>
      <c r="E94" t="s">
        <v>38</v>
      </c>
      <c r="G94">
        <v>4</v>
      </c>
      <c r="H94">
        <v>2</v>
      </c>
      <c r="I94" t="s">
        <v>52</v>
      </c>
      <c r="J94" t="str">
        <f>WA_Fn_UseC__HR_Employee_Attrition[[#This Row],[EducationField]]&amp;"-"&amp;WA_Fn_UseC__HR_Employee_Attrition[[#This Row],[Department]]</f>
        <v>Medical-Sales</v>
      </c>
      <c r="K94">
        <v>1</v>
      </c>
      <c r="L94">
        <v>121</v>
      </c>
      <c r="M94">
        <v>3</v>
      </c>
      <c r="N94" t="s">
        <v>40</v>
      </c>
      <c r="O94">
        <v>63</v>
      </c>
      <c r="P94">
        <v>2</v>
      </c>
      <c r="Q94">
        <v>2</v>
      </c>
      <c r="R94" t="s">
        <v>41</v>
      </c>
      <c r="S94">
        <v>2</v>
      </c>
      <c r="T94" t="s">
        <v>53</v>
      </c>
      <c r="U94">
        <v>5209</v>
      </c>
      <c r="V94" t="str" cm="1">
        <f t="array" ref="V9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4">
        <v>19760</v>
      </c>
      <c r="X94">
        <v>1</v>
      </c>
      <c r="Y94" t="s">
        <v>43</v>
      </c>
      <c r="Z94" t="s">
        <v>36</v>
      </c>
      <c r="AA94">
        <v>12</v>
      </c>
      <c r="AB94">
        <v>3</v>
      </c>
      <c r="AC94">
        <v>2</v>
      </c>
      <c r="AD94">
        <v>80</v>
      </c>
      <c r="AE94">
        <v>3</v>
      </c>
      <c r="AF94">
        <v>11</v>
      </c>
      <c r="AG94">
        <v>4</v>
      </c>
      <c r="AH94">
        <v>2</v>
      </c>
      <c r="AI94">
        <v>11</v>
      </c>
      <c r="AJ94">
        <v>8</v>
      </c>
      <c r="AK94">
        <v>2</v>
      </c>
      <c r="AL94" t="str" cm="1">
        <f t="array" ref="AL9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4">
        <v>7</v>
      </c>
    </row>
    <row r="95" spans="1:39" x14ac:dyDescent="0.25">
      <c r="A95">
        <v>46</v>
      </c>
      <c r="B95" t="s">
        <v>44</v>
      </c>
      <c r="C95" t="s">
        <v>45</v>
      </c>
      <c r="D95">
        <v>638</v>
      </c>
      <c r="E95" t="s">
        <v>46</v>
      </c>
      <c r="G95">
        <v>1</v>
      </c>
      <c r="H95">
        <v>3</v>
      </c>
      <c r="I95" t="s">
        <v>52</v>
      </c>
      <c r="J95" t="str">
        <f>WA_Fn_UseC__HR_Employee_Attrition[[#This Row],[EducationField]]&amp;"-"&amp;WA_Fn_UseC__HR_Employee_Attrition[[#This Row],[Department]]</f>
        <v>Medical-Research &amp; Development</v>
      </c>
      <c r="K95">
        <v>1</v>
      </c>
      <c r="L95">
        <v>124</v>
      </c>
      <c r="M95">
        <v>3</v>
      </c>
      <c r="N95" t="s">
        <v>47</v>
      </c>
      <c r="O95">
        <v>40</v>
      </c>
      <c r="P95">
        <v>2</v>
      </c>
      <c r="Q95">
        <v>3</v>
      </c>
      <c r="R95" t="s">
        <v>55</v>
      </c>
      <c r="S95">
        <v>1</v>
      </c>
      <c r="T95" t="s">
        <v>49</v>
      </c>
      <c r="U95">
        <v>10673</v>
      </c>
      <c r="V95" t="str" cm="1">
        <f t="array" ref="V9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5">
        <v>3142</v>
      </c>
      <c r="X95">
        <v>2</v>
      </c>
      <c r="Y95" t="s">
        <v>43</v>
      </c>
      <c r="Z95" t="s">
        <v>36</v>
      </c>
      <c r="AA95">
        <v>13</v>
      </c>
      <c r="AB95">
        <v>3</v>
      </c>
      <c r="AC95">
        <v>3</v>
      </c>
      <c r="AD95">
        <v>80</v>
      </c>
      <c r="AE95">
        <v>1</v>
      </c>
      <c r="AF95">
        <v>21</v>
      </c>
      <c r="AG95">
        <v>5</v>
      </c>
      <c r="AH95">
        <v>2</v>
      </c>
      <c r="AI95">
        <v>10</v>
      </c>
      <c r="AJ95">
        <v>9</v>
      </c>
      <c r="AK95">
        <v>9</v>
      </c>
      <c r="AL95" t="str" cm="1">
        <f t="array" ref="AL9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5">
        <v>5</v>
      </c>
    </row>
    <row r="96" spans="1:39" x14ac:dyDescent="0.25">
      <c r="A96">
        <v>32</v>
      </c>
      <c r="B96" t="s">
        <v>44</v>
      </c>
      <c r="C96" t="s">
        <v>37</v>
      </c>
      <c r="D96">
        <v>1093</v>
      </c>
      <c r="E96" t="s">
        <v>38</v>
      </c>
      <c r="G96">
        <v>6</v>
      </c>
      <c r="H96">
        <v>4</v>
      </c>
      <c r="I96" t="s">
        <v>52</v>
      </c>
      <c r="J96" t="str">
        <f>WA_Fn_UseC__HR_Employee_Attrition[[#This Row],[EducationField]]&amp;"-"&amp;WA_Fn_UseC__HR_Employee_Attrition[[#This Row],[Department]]</f>
        <v>Medical-Sales</v>
      </c>
      <c r="K96">
        <v>1</v>
      </c>
      <c r="L96">
        <v>125</v>
      </c>
      <c r="M96">
        <v>2</v>
      </c>
      <c r="N96" t="s">
        <v>47</v>
      </c>
      <c r="O96">
        <v>87</v>
      </c>
      <c r="P96">
        <v>3</v>
      </c>
      <c r="Q96">
        <v>2</v>
      </c>
      <c r="R96" t="s">
        <v>41</v>
      </c>
      <c r="S96">
        <v>3</v>
      </c>
      <c r="T96" t="s">
        <v>42</v>
      </c>
      <c r="U96">
        <v>5010</v>
      </c>
      <c r="V96" t="str" cm="1">
        <f t="array" ref="V9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6">
        <v>24301</v>
      </c>
      <c r="X96">
        <v>1</v>
      </c>
      <c r="Y96" t="s">
        <v>43</v>
      </c>
      <c r="Z96" t="s">
        <v>44</v>
      </c>
      <c r="AA96">
        <v>16</v>
      </c>
      <c r="AB96">
        <v>3</v>
      </c>
      <c r="AC96">
        <v>1</v>
      </c>
      <c r="AD96">
        <v>80</v>
      </c>
      <c r="AE96">
        <v>0</v>
      </c>
      <c r="AF96">
        <v>12</v>
      </c>
      <c r="AG96">
        <v>0</v>
      </c>
      <c r="AH96">
        <v>3</v>
      </c>
      <c r="AI96">
        <v>11</v>
      </c>
      <c r="AJ96">
        <v>8</v>
      </c>
      <c r="AK96">
        <v>5</v>
      </c>
      <c r="AL96" t="str" cm="1">
        <f t="array" ref="AL9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6">
        <v>7</v>
      </c>
    </row>
    <row r="97" spans="1:39" x14ac:dyDescent="0.25">
      <c r="A97">
        <v>54</v>
      </c>
      <c r="B97" t="s">
        <v>44</v>
      </c>
      <c r="C97" t="s">
        <v>37</v>
      </c>
      <c r="D97">
        <v>1217</v>
      </c>
      <c r="E97" t="s">
        <v>46</v>
      </c>
      <c r="G97">
        <v>2</v>
      </c>
      <c r="H97">
        <v>4</v>
      </c>
      <c r="I97" t="s">
        <v>61</v>
      </c>
      <c r="J97" t="str">
        <f>WA_Fn_UseC__HR_Employee_Attrition[[#This Row],[EducationField]]&amp;"-"&amp;WA_Fn_UseC__HR_Employee_Attrition[[#This Row],[Department]]</f>
        <v>Technical Degree-Research &amp; Development</v>
      </c>
      <c r="K97">
        <v>1</v>
      </c>
      <c r="L97">
        <v>126</v>
      </c>
      <c r="M97">
        <v>1</v>
      </c>
      <c r="N97" t="s">
        <v>40</v>
      </c>
      <c r="O97">
        <v>60</v>
      </c>
      <c r="P97">
        <v>3</v>
      </c>
      <c r="Q97">
        <v>3</v>
      </c>
      <c r="R97" t="s">
        <v>59</v>
      </c>
      <c r="S97">
        <v>3</v>
      </c>
      <c r="T97" t="s">
        <v>49</v>
      </c>
      <c r="U97">
        <v>13549</v>
      </c>
      <c r="V97" t="str" cm="1">
        <f t="array" ref="V9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7">
        <v>24001</v>
      </c>
      <c r="X97">
        <v>9</v>
      </c>
      <c r="Y97" t="s">
        <v>43</v>
      </c>
      <c r="Z97" t="s">
        <v>44</v>
      </c>
      <c r="AA97">
        <v>12</v>
      </c>
      <c r="AB97">
        <v>3</v>
      </c>
      <c r="AC97">
        <v>1</v>
      </c>
      <c r="AD97">
        <v>80</v>
      </c>
      <c r="AE97">
        <v>1</v>
      </c>
      <c r="AF97">
        <v>16</v>
      </c>
      <c r="AG97">
        <v>5</v>
      </c>
      <c r="AH97">
        <v>1</v>
      </c>
      <c r="AI97">
        <v>4</v>
      </c>
      <c r="AJ97">
        <v>3</v>
      </c>
      <c r="AK97">
        <v>0</v>
      </c>
      <c r="AL97" t="str" cm="1">
        <f t="array" ref="AL9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7">
        <v>3</v>
      </c>
    </row>
    <row r="98" spans="1:39" x14ac:dyDescent="0.25">
      <c r="A98">
        <v>24</v>
      </c>
      <c r="B98" t="s">
        <v>44</v>
      </c>
      <c r="C98" t="s">
        <v>37</v>
      </c>
      <c r="D98">
        <v>1353</v>
      </c>
      <c r="E98" t="s">
        <v>38</v>
      </c>
      <c r="G98">
        <v>3</v>
      </c>
      <c r="H98">
        <v>2</v>
      </c>
      <c r="I98" t="s">
        <v>50</v>
      </c>
      <c r="J98" t="str">
        <f>WA_Fn_UseC__HR_Employee_Attrition[[#This Row],[EducationField]]&amp;"-"&amp;WA_Fn_UseC__HR_Employee_Attrition[[#This Row],[Department]]</f>
        <v>Other-Sales</v>
      </c>
      <c r="K98">
        <v>1</v>
      </c>
      <c r="L98">
        <v>128</v>
      </c>
      <c r="M98">
        <v>1</v>
      </c>
      <c r="N98" t="s">
        <v>40</v>
      </c>
      <c r="O98">
        <v>33</v>
      </c>
      <c r="P98">
        <v>3</v>
      </c>
      <c r="Q98">
        <v>2</v>
      </c>
      <c r="R98" t="s">
        <v>41</v>
      </c>
      <c r="S98">
        <v>3</v>
      </c>
      <c r="T98" t="s">
        <v>49</v>
      </c>
      <c r="U98">
        <v>4999</v>
      </c>
      <c r="V98" t="str" cm="1">
        <f t="array" ref="V9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8">
        <v>17519</v>
      </c>
      <c r="X98">
        <v>0</v>
      </c>
      <c r="Y98" t="s">
        <v>43</v>
      </c>
      <c r="Z98" t="s">
        <v>44</v>
      </c>
      <c r="AA98">
        <v>21</v>
      </c>
      <c r="AB98">
        <v>4</v>
      </c>
      <c r="AC98">
        <v>1</v>
      </c>
      <c r="AD98">
        <v>80</v>
      </c>
      <c r="AE98">
        <v>1</v>
      </c>
      <c r="AF98">
        <v>4</v>
      </c>
      <c r="AG98">
        <v>2</v>
      </c>
      <c r="AH98">
        <v>2</v>
      </c>
      <c r="AI98">
        <v>3</v>
      </c>
      <c r="AJ98">
        <v>2</v>
      </c>
      <c r="AK98">
        <v>0</v>
      </c>
      <c r="AL98" t="str" cm="1">
        <f t="array" ref="AL9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8">
        <v>2</v>
      </c>
    </row>
    <row r="99" spans="1:39" x14ac:dyDescent="0.25">
      <c r="A99">
        <v>28</v>
      </c>
      <c r="B99" t="s">
        <v>44</v>
      </c>
      <c r="C99" t="s">
        <v>56</v>
      </c>
      <c r="D99">
        <v>120</v>
      </c>
      <c r="E99" t="s">
        <v>38</v>
      </c>
      <c r="G99">
        <v>4</v>
      </c>
      <c r="H99">
        <v>3</v>
      </c>
      <c r="I99" t="s">
        <v>52</v>
      </c>
      <c r="J99" t="str">
        <f>WA_Fn_UseC__HR_Employee_Attrition[[#This Row],[EducationField]]&amp;"-"&amp;WA_Fn_UseC__HR_Employee_Attrition[[#This Row],[Department]]</f>
        <v>Medical-Sales</v>
      </c>
      <c r="K99">
        <v>1</v>
      </c>
      <c r="L99">
        <v>129</v>
      </c>
      <c r="M99">
        <v>2</v>
      </c>
      <c r="N99" t="s">
        <v>47</v>
      </c>
      <c r="O99">
        <v>43</v>
      </c>
      <c r="P99">
        <v>3</v>
      </c>
      <c r="Q99">
        <v>2</v>
      </c>
      <c r="R99" t="s">
        <v>41</v>
      </c>
      <c r="S99">
        <v>3</v>
      </c>
      <c r="T99" t="s">
        <v>49</v>
      </c>
      <c r="U99">
        <v>4221</v>
      </c>
      <c r="V99" t="str" cm="1">
        <f t="array" ref="V9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9">
        <v>8863</v>
      </c>
      <c r="X99">
        <v>1</v>
      </c>
      <c r="Y99" t="s">
        <v>43</v>
      </c>
      <c r="Z99" t="s">
        <v>44</v>
      </c>
      <c r="AA99">
        <v>15</v>
      </c>
      <c r="AB99">
        <v>3</v>
      </c>
      <c r="AC99">
        <v>2</v>
      </c>
      <c r="AD99">
        <v>80</v>
      </c>
      <c r="AE99">
        <v>0</v>
      </c>
      <c r="AF99">
        <v>5</v>
      </c>
      <c r="AG99">
        <v>3</v>
      </c>
      <c r="AH99">
        <v>4</v>
      </c>
      <c r="AI99">
        <v>5</v>
      </c>
      <c r="AJ99">
        <v>4</v>
      </c>
      <c r="AK99">
        <v>0</v>
      </c>
      <c r="AL99" t="str" cm="1">
        <f t="array" ref="AL9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9">
        <v>4</v>
      </c>
    </row>
    <row r="100" spans="1:39" x14ac:dyDescent="0.25">
      <c r="A100">
        <v>58</v>
      </c>
      <c r="B100" t="s">
        <v>44</v>
      </c>
      <c r="C100" t="s">
        <v>37</v>
      </c>
      <c r="D100">
        <v>682</v>
      </c>
      <c r="E100" t="s">
        <v>38</v>
      </c>
      <c r="G100">
        <v>10</v>
      </c>
      <c r="H100">
        <v>4</v>
      </c>
      <c r="I100" t="s">
        <v>52</v>
      </c>
      <c r="J100" t="str">
        <f>WA_Fn_UseC__HR_Employee_Attrition[[#This Row],[EducationField]]&amp;"-"&amp;WA_Fn_UseC__HR_Employee_Attrition[[#This Row],[Department]]</f>
        <v>Medical-Sales</v>
      </c>
      <c r="K100">
        <v>1</v>
      </c>
      <c r="L100">
        <v>131</v>
      </c>
      <c r="M100">
        <v>4</v>
      </c>
      <c r="N100" t="s">
        <v>47</v>
      </c>
      <c r="O100">
        <v>37</v>
      </c>
      <c r="P100">
        <v>3</v>
      </c>
      <c r="Q100">
        <v>4</v>
      </c>
      <c r="R100" t="s">
        <v>41</v>
      </c>
      <c r="S100">
        <v>3</v>
      </c>
      <c r="T100" t="s">
        <v>42</v>
      </c>
      <c r="U100">
        <v>13872</v>
      </c>
      <c r="V100" t="str" cm="1">
        <f t="array" ref="V10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0">
        <v>24409</v>
      </c>
      <c r="X100">
        <v>0</v>
      </c>
      <c r="Y100" t="s">
        <v>43</v>
      </c>
      <c r="Z100" t="s">
        <v>44</v>
      </c>
      <c r="AA100">
        <v>13</v>
      </c>
      <c r="AB100">
        <v>3</v>
      </c>
      <c r="AC100">
        <v>3</v>
      </c>
      <c r="AD100">
        <v>80</v>
      </c>
      <c r="AE100">
        <v>0</v>
      </c>
      <c r="AF100">
        <v>38</v>
      </c>
      <c r="AG100">
        <v>1</v>
      </c>
      <c r="AH100">
        <v>2</v>
      </c>
      <c r="AI100">
        <v>37</v>
      </c>
      <c r="AJ100">
        <v>10</v>
      </c>
      <c r="AK100">
        <v>1</v>
      </c>
      <c r="AL100" t="str" cm="1">
        <f t="array" ref="AL10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0">
        <v>8</v>
      </c>
    </row>
    <row r="101" spans="1:39" x14ac:dyDescent="0.25">
      <c r="A101">
        <v>44</v>
      </c>
      <c r="B101" t="s">
        <v>44</v>
      </c>
      <c r="C101" t="s">
        <v>56</v>
      </c>
      <c r="D101">
        <v>489</v>
      </c>
      <c r="E101" t="s">
        <v>46</v>
      </c>
      <c r="G101">
        <v>23</v>
      </c>
      <c r="H101">
        <v>3</v>
      </c>
      <c r="I101" t="s">
        <v>52</v>
      </c>
      <c r="J101" t="str">
        <f>WA_Fn_UseC__HR_Employee_Attrition[[#This Row],[EducationField]]&amp;"-"&amp;WA_Fn_UseC__HR_Employee_Attrition[[#This Row],[Department]]</f>
        <v>Medical-Research &amp; Development</v>
      </c>
      <c r="K101">
        <v>1</v>
      </c>
      <c r="L101">
        <v>132</v>
      </c>
      <c r="M101">
        <v>2</v>
      </c>
      <c r="N101" t="s">
        <v>47</v>
      </c>
      <c r="O101">
        <v>67</v>
      </c>
      <c r="P101">
        <v>3</v>
      </c>
      <c r="Q101">
        <v>2</v>
      </c>
      <c r="R101" t="s">
        <v>51</v>
      </c>
      <c r="S101">
        <v>2</v>
      </c>
      <c r="T101" t="s">
        <v>49</v>
      </c>
      <c r="U101">
        <v>2042</v>
      </c>
      <c r="V101" t="str" cm="1">
        <f t="array" ref="V10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1">
        <v>25043</v>
      </c>
      <c r="X101">
        <v>4</v>
      </c>
      <c r="Y101" t="s">
        <v>43</v>
      </c>
      <c r="Z101" t="s">
        <v>44</v>
      </c>
      <c r="AA101">
        <v>12</v>
      </c>
      <c r="AB101">
        <v>3</v>
      </c>
      <c r="AC101">
        <v>3</v>
      </c>
      <c r="AD101">
        <v>80</v>
      </c>
      <c r="AE101">
        <v>1</v>
      </c>
      <c r="AF101">
        <v>17</v>
      </c>
      <c r="AG101">
        <v>3</v>
      </c>
      <c r="AH101">
        <v>4</v>
      </c>
      <c r="AI101">
        <v>3</v>
      </c>
      <c r="AJ101">
        <v>2</v>
      </c>
      <c r="AK101">
        <v>1</v>
      </c>
      <c r="AL101" t="str" cm="1">
        <f t="array" ref="AL10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1">
        <v>2</v>
      </c>
    </row>
    <row r="102" spans="1:39" x14ac:dyDescent="0.25">
      <c r="A102">
        <v>37</v>
      </c>
      <c r="B102" t="s">
        <v>36</v>
      </c>
      <c r="C102" t="s">
        <v>37</v>
      </c>
      <c r="D102">
        <v>807</v>
      </c>
      <c r="E102" t="s">
        <v>62</v>
      </c>
      <c r="G102">
        <v>6</v>
      </c>
      <c r="H102">
        <v>4</v>
      </c>
      <c r="I102" t="s">
        <v>62</v>
      </c>
      <c r="J102" t="str">
        <f>WA_Fn_UseC__HR_Employee_Attrition[[#This Row],[EducationField]]&amp;"-"&amp;WA_Fn_UseC__HR_Employee_Attrition[[#This Row],[Department]]</f>
        <v>Human Resources-Human Resources</v>
      </c>
      <c r="K102">
        <v>1</v>
      </c>
      <c r="L102">
        <v>133</v>
      </c>
      <c r="M102">
        <v>3</v>
      </c>
      <c r="N102" t="s">
        <v>47</v>
      </c>
      <c r="O102">
        <v>63</v>
      </c>
      <c r="P102">
        <v>3</v>
      </c>
      <c r="Q102">
        <v>1</v>
      </c>
      <c r="R102" t="s">
        <v>62</v>
      </c>
      <c r="S102">
        <v>1</v>
      </c>
      <c r="T102" t="s">
        <v>53</v>
      </c>
      <c r="U102">
        <v>2073</v>
      </c>
      <c r="V102" t="str" cm="1">
        <f t="array" ref="V10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2">
        <v>23648</v>
      </c>
      <c r="X102">
        <v>4</v>
      </c>
      <c r="Y102" t="s">
        <v>43</v>
      </c>
      <c r="Z102" t="s">
        <v>36</v>
      </c>
      <c r="AA102">
        <v>22</v>
      </c>
      <c r="AB102">
        <v>4</v>
      </c>
      <c r="AC102">
        <v>4</v>
      </c>
      <c r="AD102">
        <v>80</v>
      </c>
      <c r="AE102">
        <v>0</v>
      </c>
      <c r="AF102">
        <v>7</v>
      </c>
      <c r="AG102">
        <v>3</v>
      </c>
      <c r="AH102">
        <v>3</v>
      </c>
      <c r="AI102">
        <v>3</v>
      </c>
      <c r="AJ102">
        <v>2</v>
      </c>
      <c r="AK102">
        <v>0</v>
      </c>
      <c r="AL102" t="str" cm="1">
        <f t="array" ref="AL10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2">
        <v>2</v>
      </c>
    </row>
    <row r="103" spans="1:39" x14ac:dyDescent="0.25">
      <c r="A103">
        <v>32</v>
      </c>
      <c r="B103" t="s">
        <v>44</v>
      </c>
      <c r="C103" t="s">
        <v>37</v>
      </c>
      <c r="D103">
        <v>827</v>
      </c>
      <c r="E103" t="s">
        <v>46</v>
      </c>
      <c r="G103">
        <v>1</v>
      </c>
      <c r="H103">
        <v>1</v>
      </c>
      <c r="I103" t="s">
        <v>39</v>
      </c>
      <c r="J103" t="str">
        <f>WA_Fn_UseC__HR_Employee_Attrition[[#This Row],[EducationField]]&amp;"-"&amp;WA_Fn_UseC__HR_Employee_Attrition[[#This Row],[Department]]</f>
        <v>Life Sciences-Research &amp; Development</v>
      </c>
      <c r="K103">
        <v>1</v>
      </c>
      <c r="L103">
        <v>134</v>
      </c>
      <c r="M103">
        <v>4</v>
      </c>
      <c r="N103" t="s">
        <v>47</v>
      </c>
      <c r="O103">
        <v>71</v>
      </c>
      <c r="P103">
        <v>3</v>
      </c>
      <c r="Q103">
        <v>1</v>
      </c>
      <c r="R103" t="s">
        <v>48</v>
      </c>
      <c r="S103">
        <v>1</v>
      </c>
      <c r="T103" t="s">
        <v>42</v>
      </c>
      <c r="U103">
        <v>2956</v>
      </c>
      <c r="V103" t="str" cm="1">
        <f t="array" ref="V10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3">
        <v>15178</v>
      </c>
      <c r="X103">
        <v>1</v>
      </c>
      <c r="Y103" t="s">
        <v>43</v>
      </c>
      <c r="Z103" t="s">
        <v>44</v>
      </c>
      <c r="AA103">
        <v>13</v>
      </c>
      <c r="AB103">
        <v>3</v>
      </c>
      <c r="AC103">
        <v>4</v>
      </c>
      <c r="AD103">
        <v>80</v>
      </c>
      <c r="AE103">
        <v>0</v>
      </c>
      <c r="AF103">
        <v>1</v>
      </c>
      <c r="AG103">
        <v>2</v>
      </c>
      <c r="AH103">
        <v>3</v>
      </c>
      <c r="AI103">
        <v>1</v>
      </c>
      <c r="AJ103">
        <v>0</v>
      </c>
      <c r="AK103">
        <v>0</v>
      </c>
      <c r="AL103" t="str" cm="1">
        <f t="array" ref="AL10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3">
        <v>0</v>
      </c>
    </row>
    <row r="104" spans="1:39" x14ac:dyDescent="0.25">
      <c r="A104">
        <v>20</v>
      </c>
      <c r="B104" t="s">
        <v>36</v>
      </c>
      <c r="C104" t="s">
        <v>45</v>
      </c>
      <c r="D104">
        <v>871</v>
      </c>
      <c r="E104" t="s">
        <v>46</v>
      </c>
      <c r="G104">
        <v>6</v>
      </c>
      <c r="H104">
        <v>3</v>
      </c>
      <c r="I104" t="s">
        <v>39</v>
      </c>
      <c r="J104" t="str">
        <f>WA_Fn_UseC__HR_Employee_Attrition[[#This Row],[EducationField]]&amp;"-"&amp;WA_Fn_UseC__HR_Employee_Attrition[[#This Row],[Department]]</f>
        <v>Life Sciences-Research &amp; Development</v>
      </c>
      <c r="K104">
        <v>1</v>
      </c>
      <c r="L104">
        <v>137</v>
      </c>
      <c r="M104">
        <v>4</v>
      </c>
      <c r="N104" t="s">
        <v>40</v>
      </c>
      <c r="O104">
        <v>66</v>
      </c>
      <c r="P104">
        <v>2</v>
      </c>
      <c r="Q104">
        <v>1</v>
      </c>
      <c r="R104" t="s">
        <v>51</v>
      </c>
      <c r="S104">
        <v>4</v>
      </c>
      <c r="T104" t="s">
        <v>42</v>
      </c>
      <c r="U104">
        <v>2926</v>
      </c>
      <c r="V104" t="str" cm="1">
        <f t="array" ref="V10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4">
        <v>19783</v>
      </c>
      <c r="X104">
        <v>1</v>
      </c>
      <c r="Y104" t="s">
        <v>43</v>
      </c>
      <c r="Z104" t="s">
        <v>36</v>
      </c>
      <c r="AA104">
        <v>18</v>
      </c>
      <c r="AB104">
        <v>3</v>
      </c>
      <c r="AC104">
        <v>2</v>
      </c>
      <c r="AD104">
        <v>80</v>
      </c>
      <c r="AE104">
        <v>0</v>
      </c>
      <c r="AF104">
        <v>1</v>
      </c>
      <c r="AG104">
        <v>5</v>
      </c>
      <c r="AH104">
        <v>3</v>
      </c>
      <c r="AI104">
        <v>1</v>
      </c>
      <c r="AJ104">
        <v>0</v>
      </c>
      <c r="AK104">
        <v>1</v>
      </c>
      <c r="AL104" t="str" cm="1">
        <f t="array" ref="AL10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4">
        <v>0</v>
      </c>
    </row>
    <row r="105" spans="1:39" x14ac:dyDescent="0.25">
      <c r="A105">
        <v>34</v>
      </c>
      <c r="B105" t="s">
        <v>44</v>
      </c>
      <c r="C105" t="s">
        <v>37</v>
      </c>
      <c r="D105">
        <v>665</v>
      </c>
      <c r="E105" t="s">
        <v>46</v>
      </c>
      <c r="G105">
        <v>6</v>
      </c>
      <c r="H105">
        <v>4</v>
      </c>
      <c r="I105" t="s">
        <v>50</v>
      </c>
      <c r="J105" t="str">
        <f>WA_Fn_UseC__HR_Employee_Attrition[[#This Row],[EducationField]]&amp;"-"&amp;WA_Fn_UseC__HR_Employee_Attrition[[#This Row],[Department]]</f>
        <v>Other-Research &amp; Development</v>
      </c>
      <c r="K105">
        <v>1</v>
      </c>
      <c r="L105">
        <v>138</v>
      </c>
      <c r="M105">
        <v>1</v>
      </c>
      <c r="N105" t="s">
        <v>40</v>
      </c>
      <c r="O105">
        <v>41</v>
      </c>
      <c r="P105">
        <v>3</v>
      </c>
      <c r="Q105">
        <v>2</v>
      </c>
      <c r="R105" t="s">
        <v>48</v>
      </c>
      <c r="S105">
        <v>3</v>
      </c>
      <c r="T105" t="s">
        <v>42</v>
      </c>
      <c r="U105">
        <v>4809</v>
      </c>
      <c r="V105" t="str" cm="1">
        <f t="array" ref="V10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5">
        <v>12482</v>
      </c>
      <c r="X105">
        <v>1</v>
      </c>
      <c r="Y105" t="s">
        <v>43</v>
      </c>
      <c r="Z105" t="s">
        <v>44</v>
      </c>
      <c r="AA105">
        <v>14</v>
      </c>
      <c r="AB105">
        <v>3</v>
      </c>
      <c r="AC105">
        <v>3</v>
      </c>
      <c r="AD105">
        <v>80</v>
      </c>
      <c r="AE105">
        <v>0</v>
      </c>
      <c r="AF105">
        <v>16</v>
      </c>
      <c r="AG105">
        <v>3</v>
      </c>
      <c r="AH105">
        <v>3</v>
      </c>
      <c r="AI105">
        <v>16</v>
      </c>
      <c r="AJ105">
        <v>13</v>
      </c>
      <c r="AK105">
        <v>2</v>
      </c>
      <c r="AL105" t="str" cm="1">
        <f t="array" ref="AL10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5">
        <v>10</v>
      </c>
    </row>
    <row r="106" spans="1:39" x14ac:dyDescent="0.25">
      <c r="A106">
        <v>37</v>
      </c>
      <c r="B106" t="s">
        <v>44</v>
      </c>
      <c r="C106" t="s">
        <v>56</v>
      </c>
      <c r="D106">
        <v>1040</v>
      </c>
      <c r="E106" t="s">
        <v>46</v>
      </c>
      <c r="G106">
        <v>2</v>
      </c>
      <c r="H106">
        <v>2</v>
      </c>
      <c r="I106" t="s">
        <v>39</v>
      </c>
      <c r="J106" t="str">
        <f>WA_Fn_UseC__HR_Employee_Attrition[[#This Row],[EducationField]]&amp;"-"&amp;WA_Fn_UseC__HR_Employee_Attrition[[#This Row],[Department]]</f>
        <v>Life Sciences-Research &amp; Development</v>
      </c>
      <c r="K106">
        <v>1</v>
      </c>
      <c r="L106">
        <v>139</v>
      </c>
      <c r="M106">
        <v>3</v>
      </c>
      <c r="N106" t="s">
        <v>47</v>
      </c>
      <c r="O106">
        <v>100</v>
      </c>
      <c r="P106">
        <v>2</v>
      </c>
      <c r="Q106">
        <v>2</v>
      </c>
      <c r="R106" t="s">
        <v>55</v>
      </c>
      <c r="S106">
        <v>4</v>
      </c>
      <c r="T106" t="s">
        <v>53</v>
      </c>
      <c r="U106">
        <v>5163</v>
      </c>
      <c r="V106" t="str" cm="1">
        <f t="array" ref="V10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6">
        <v>15850</v>
      </c>
      <c r="X106">
        <v>5</v>
      </c>
      <c r="Y106" t="s">
        <v>43</v>
      </c>
      <c r="Z106" t="s">
        <v>44</v>
      </c>
      <c r="AA106">
        <v>14</v>
      </c>
      <c r="AB106">
        <v>3</v>
      </c>
      <c r="AC106">
        <v>4</v>
      </c>
      <c r="AD106">
        <v>80</v>
      </c>
      <c r="AE106">
        <v>1</v>
      </c>
      <c r="AF106">
        <v>17</v>
      </c>
      <c r="AG106">
        <v>2</v>
      </c>
      <c r="AH106">
        <v>4</v>
      </c>
      <c r="AI106">
        <v>1</v>
      </c>
      <c r="AJ106">
        <v>0</v>
      </c>
      <c r="AK106">
        <v>0</v>
      </c>
      <c r="AL106" t="str" cm="1">
        <f t="array" ref="AL10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6">
        <v>0</v>
      </c>
    </row>
    <row r="107" spans="1:39" x14ac:dyDescent="0.25">
      <c r="A107">
        <v>59</v>
      </c>
      <c r="B107" t="s">
        <v>44</v>
      </c>
      <c r="C107" t="s">
        <v>56</v>
      </c>
      <c r="D107">
        <v>1420</v>
      </c>
      <c r="E107" t="s">
        <v>62</v>
      </c>
      <c r="G107">
        <v>2</v>
      </c>
      <c r="H107">
        <v>4</v>
      </c>
      <c r="I107" t="s">
        <v>62</v>
      </c>
      <c r="J107" t="str">
        <f>WA_Fn_UseC__HR_Employee_Attrition[[#This Row],[EducationField]]&amp;"-"&amp;WA_Fn_UseC__HR_Employee_Attrition[[#This Row],[Department]]</f>
        <v>Human Resources-Human Resources</v>
      </c>
      <c r="K107">
        <v>1</v>
      </c>
      <c r="L107">
        <v>140</v>
      </c>
      <c r="M107">
        <v>3</v>
      </c>
      <c r="N107" t="s">
        <v>40</v>
      </c>
      <c r="O107">
        <v>32</v>
      </c>
      <c r="P107">
        <v>2</v>
      </c>
      <c r="Q107">
        <v>5</v>
      </c>
      <c r="R107" t="s">
        <v>57</v>
      </c>
      <c r="S107">
        <v>4</v>
      </c>
      <c r="T107" t="s">
        <v>49</v>
      </c>
      <c r="U107">
        <v>18844</v>
      </c>
      <c r="V107" t="str" cm="1">
        <f t="array" ref="V10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7">
        <v>21922</v>
      </c>
      <c r="X107">
        <v>9</v>
      </c>
      <c r="Y107" t="s">
        <v>43</v>
      </c>
      <c r="Z107" t="s">
        <v>44</v>
      </c>
      <c r="AA107">
        <v>21</v>
      </c>
      <c r="AB107">
        <v>4</v>
      </c>
      <c r="AC107">
        <v>4</v>
      </c>
      <c r="AD107">
        <v>80</v>
      </c>
      <c r="AE107">
        <v>1</v>
      </c>
      <c r="AF107">
        <v>30</v>
      </c>
      <c r="AG107">
        <v>3</v>
      </c>
      <c r="AH107">
        <v>3</v>
      </c>
      <c r="AI107">
        <v>3</v>
      </c>
      <c r="AJ107">
        <v>2</v>
      </c>
      <c r="AK107">
        <v>2</v>
      </c>
      <c r="AL107" t="str" cm="1">
        <f t="array" ref="AL10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7">
        <v>2</v>
      </c>
    </row>
    <row r="108" spans="1:39" x14ac:dyDescent="0.25">
      <c r="A108">
        <v>50</v>
      </c>
      <c r="B108" t="s">
        <v>44</v>
      </c>
      <c r="C108" t="s">
        <v>45</v>
      </c>
      <c r="D108">
        <v>1115</v>
      </c>
      <c r="E108" t="s">
        <v>46</v>
      </c>
      <c r="G108">
        <v>1</v>
      </c>
      <c r="H108">
        <v>3</v>
      </c>
      <c r="I108" t="s">
        <v>39</v>
      </c>
      <c r="J108" t="str">
        <f>WA_Fn_UseC__HR_Employee_Attrition[[#This Row],[EducationField]]&amp;"-"&amp;WA_Fn_UseC__HR_Employee_Attrition[[#This Row],[Department]]</f>
        <v>Life Sciences-Research &amp; Development</v>
      </c>
      <c r="K108">
        <v>1</v>
      </c>
      <c r="L108">
        <v>141</v>
      </c>
      <c r="M108">
        <v>1</v>
      </c>
      <c r="N108" t="s">
        <v>40</v>
      </c>
      <c r="O108">
        <v>73</v>
      </c>
      <c r="P108">
        <v>3</v>
      </c>
      <c r="Q108">
        <v>5</v>
      </c>
      <c r="R108" t="s">
        <v>59</v>
      </c>
      <c r="S108">
        <v>2</v>
      </c>
      <c r="T108" t="s">
        <v>49</v>
      </c>
      <c r="U108">
        <v>18172</v>
      </c>
      <c r="V108" t="str" cm="1">
        <f t="array" ref="V10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8">
        <v>9755</v>
      </c>
      <c r="X108">
        <v>3</v>
      </c>
      <c r="Y108" t="s">
        <v>43</v>
      </c>
      <c r="Z108" t="s">
        <v>36</v>
      </c>
      <c r="AA108">
        <v>19</v>
      </c>
      <c r="AB108">
        <v>3</v>
      </c>
      <c r="AC108">
        <v>1</v>
      </c>
      <c r="AD108">
        <v>80</v>
      </c>
      <c r="AE108">
        <v>0</v>
      </c>
      <c r="AF108">
        <v>28</v>
      </c>
      <c r="AG108">
        <v>1</v>
      </c>
      <c r="AH108">
        <v>2</v>
      </c>
      <c r="AI108">
        <v>8</v>
      </c>
      <c r="AJ108">
        <v>3</v>
      </c>
      <c r="AK108">
        <v>0</v>
      </c>
      <c r="AL108" t="str" cm="1">
        <f t="array" ref="AL10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8">
        <v>7</v>
      </c>
    </row>
    <row r="109" spans="1:39" x14ac:dyDescent="0.25">
      <c r="A109">
        <v>25</v>
      </c>
      <c r="B109" t="s">
        <v>36</v>
      </c>
      <c r="C109" t="s">
        <v>37</v>
      </c>
      <c r="D109">
        <v>240</v>
      </c>
      <c r="E109" t="s">
        <v>38</v>
      </c>
      <c r="G109">
        <v>5</v>
      </c>
      <c r="H109">
        <v>3</v>
      </c>
      <c r="I109" t="s">
        <v>60</v>
      </c>
      <c r="J109" t="str">
        <f>WA_Fn_UseC__HR_Employee_Attrition[[#This Row],[EducationField]]&amp;"-"&amp;WA_Fn_UseC__HR_Employee_Attrition[[#This Row],[Department]]</f>
        <v>Marketing-Sales</v>
      </c>
      <c r="K109">
        <v>1</v>
      </c>
      <c r="L109">
        <v>142</v>
      </c>
      <c r="M109">
        <v>3</v>
      </c>
      <c r="N109" t="s">
        <v>47</v>
      </c>
      <c r="O109">
        <v>46</v>
      </c>
      <c r="P109">
        <v>2</v>
      </c>
      <c r="Q109">
        <v>2</v>
      </c>
      <c r="R109" t="s">
        <v>41</v>
      </c>
      <c r="S109">
        <v>3</v>
      </c>
      <c r="T109" t="s">
        <v>42</v>
      </c>
      <c r="U109">
        <v>5744</v>
      </c>
      <c r="V109" t="str" cm="1">
        <f t="array" ref="V10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9">
        <v>26959</v>
      </c>
      <c r="X109">
        <v>1</v>
      </c>
      <c r="Y109" t="s">
        <v>43</v>
      </c>
      <c r="Z109" t="s">
        <v>36</v>
      </c>
      <c r="AA109">
        <v>11</v>
      </c>
      <c r="AB109">
        <v>3</v>
      </c>
      <c r="AC109">
        <v>4</v>
      </c>
      <c r="AD109">
        <v>80</v>
      </c>
      <c r="AE109">
        <v>0</v>
      </c>
      <c r="AF109">
        <v>6</v>
      </c>
      <c r="AG109">
        <v>1</v>
      </c>
      <c r="AH109">
        <v>3</v>
      </c>
      <c r="AI109">
        <v>6</v>
      </c>
      <c r="AJ109">
        <v>4</v>
      </c>
      <c r="AK109">
        <v>0</v>
      </c>
      <c r="AL109" t="str" cm="1">
        <f t="array" ref="AL10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9">
        <v>3</v>
      </c>
    </row>
    <row r="110" spans="1:39" x14ac:dyDescent="0.25">
      <c r="A110">
        <v>25</v>
      </c>
      <c r="B110" t="s">
        <v>44</v>
      </c>
      <c r="C110" t="s">
        <v>37</v>
      </c>
      <c r="D110">
        <v>1280</v>
      </c>
      <c r="E110" t="s">
        <v>46</v>
      </c>
      <c r="G110">
        <v>7</v>
      </c>
      <c r="H110">
        <v>1</v>
      </c>
      <c r="I110" t="s">
        <v>52</v>
      </c>
      <c r="J110" t="str">
        <f>WA_Fn_UseC__HR_Employee_Attrition[[#This Row],[EducationField]]&amp;"-"&amp;WA_Fn_UseC__HR_Employee_Attrition[[#This Row],[Department]]</f>
        <v>Medical-Research &amp; Development</v>
      </c>
      <c r="K110">
        <v>1</v>
      </c>
      <c r="L110">
        <v>143</v>
      </c>
      <c r="M110">
        <v>4</v>
      </c>
      <c r="N110" t="s">
        <v>47</v>
      </c>
      <c r="O110">
        <v>64</v>
      </c>
      <c r="P110">
        <v>2</v>
      </c>
      <c r="Q110">
        <v>1</v>
      </c>
      <c r="R110" t="s">
        <v>48</v>
      </c>
      <c r="S110">
        <v>4</v>
      </c>
      <c r="T110" t="s">
        <v>49</v>
      </c>
      <c r="U110">
        <v>2889</v>
      </c>
      <c r="V110" t="str" cm="1">
        <f t="array" ref="V11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0">
        <v>26897</v>
      </c>
      <c r="X110">
        <v>1</v>
      </c>
      <c r="Y110" t="s">
        <v>43</v>
      </c>
      <c r="Z110" t="s">
        <v>44</v>
      </c>
      <c r="AA110">
        <v>11</v>
      </c>
      <c r="AB110">
        <v>3</v>
      </c>
      <c r="AC110">
        <v>3</v>
      </c>
      <c r="AD110">
        <v>80</v>
      </c>
      <c r="AE110">
        <v>2</v>
      </c>
      <c r="AF110">
        <v>2</v>
      </c>
      <c r="AG110">
        <v>2</v>
      </c>
      <c r="AH110">
        <v>3</v>
      </c>
      <c r="AI110">
        <v>2</v>
      </c>
      <c r="AJ110">
        <v>2</v>
      </c>
      <c r="AK110">
        <v>2</v>
      </c>
      <c r="AL110" t="str" cm="1">
        <f t="array" ref="AL11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0">
        <v>1</v>
      </c>
    </row>
    <row r="111" spans="1:39" x14ac:dyDescent="0.25">
      <c r="A111">
        <v>22</v>
      </c>
      <c r="B111" t="s">
        <v>44</v>
      </c>
      <c r="C111" t="s">
        <v>37</v>
      </c>
      <c r="D111">
        <v>534</v>
      </c>
      <c r="E111" t="s">
        <v>46</v>
      </c>
      <c r="G111">
        <v>15</v>
      </c>
      <c r="H111">
        <v>3</v>
      </c>
      <c r="I111" t="s">
        <v>52</v>
      </c>
      <c r="J111" t="str">
        <f>WA_Fn_UseC__HR_Employee_Attrition[[#This Row],[EducationField]]&amp;"-"&amp;WA_Fn_UseC__HR_Employee_Attrition[[#This Row],[Department]]</f>
        <v>Medical-Research &amp; Development</v>
      </c>
      <c r="K111">
        <v>1</v>
      </c>
      <c r="L111">
        <v>144</v>
      </c>
      <c r="M111">
        <v>2</v>
      </c>
      <c r="N111" t="s">
        <v>40</v>
      </c>
      <c r="O111">
        <v>59</v>
      </c>
      <c r="P111">
        <v>3</v>
      </c>
      <c r="Q111">
        <v>1</v>
      </c>
      <c r="R111" t="s">
        <v>51</v>
      </c>
      <c r="S111">
        <v>4</v>
      </c>
      <c r="T111" t="s">
        <v>42</v>
      </c>
      <c r="U111">
        <v>2871</v>
      </c>
      <c r="V111" t="str" cm="1">
        <f t="array" ref="V11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1">
        <v>23785</v>
      </c>
      <c r="X111">
        <v>1</v>
      </c>
      <c r="Y111" t="s">
        <v>43</v>
      </c>
      <c r="Z111" t="s">
        <v>44</v>
      </c>
      <c r="AA111">
        <v>15</v>
      </c>
      <c r="AB111">
        <v>3</v>
      </c>
      <c r="AC111">
        <v>3</v>
      </c>
      <c r="AD111">
        <v>80</v>
      </c>
      <c r="AE111">
        <v>0</v>
      </c>
      <c r="AF111">
        <v>1</v>
      </c>
      <c r="AG111">
        <v>5</v>
      </c>
      <c r="AH111">
        <v>3</v>
      </c>
      <c r="AI111">
        <v>0</v>
      </c>
      <c r="AJ111">
        <v>0</v>
      </c>
      <c r="AK111">
        <v>0</v>
      </c>
      <c r="AL111" t="str" cm="1">
        <f t="array" ref="AL11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1">
        <v>0</v>
      </c>
    </row>
    <row r="112" spans="1:39" x14ac:dyDescent="0.25">
      <c r="A112">
        <v>51</v>
      </c>
      <c r="B112" t="s">
        <v>44</v>
      </c>
      <c r="C112" t="s">
        <v>45</v>
      </c>
      <c r="D112">
        <v>1456</v>
      </c>
      <c r="E112" t="s">
        <v>46</v>
      </c>
      <c r="G112">
        <v>1</v>
      </c>
      <c r="H112">
        <v>4</v>
      </c>
      <c r="I112" t="s">
        <v>52</v>
      </c>
      <c r="J112" t="str">
        <f>WA_Fn_UseC__HR_Employee_Attrition[[#This Row],[EducationField]]&amp;"-"&amp;WA_Fn_UseC__HR_Employee_Attrition[[#This Row],[Department]]</f>
        <v>Medical-Research &amp; Development</v>
      </c>
      <c r="K112">
        <v>1</v>
      </c>
      <c r="L112">
        <v>145</v>
      </c>
      <c r="M112">
        <v>1</v>
      </c>
      <c r="N112" t="s">
        <v>40</v>
      </c>
      <c r="O112">
        <v>30</v>
      </c>
      <c r="P112">
        <v>2</v>
      </c>
      <c r="Q112">
        <v>3</v>
      </c>
      <c r="R112" t="s">
        <v>55</v>
      </c>
      <c r="S112">
        <v>1</v>
      </c>
      <c r="T112" t="s">
        <v>42</v>
      </c>
      <c r="U112">
        <v>7484</v>
      </c>
      <c r="V112" t="str" cm="1">
        <f t="array" ref="V11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2">
        <v>25796</v>
      </c>
      <c r="X112">
        <v>3</v>
      </c>
      <c r="Y112" t="s">
        <v>43</v>
      </c>
      <c r="Z112" t="s">
        <v>44</v>
      </c>
      <c r="AA112">
        <v>20</v>
      </c>
      <c r="AB112">
        <v>4</v>
      </c>
      <c r="AC112">
        <v>3</v>
      </c>
      <c r="AD112">
        <v>80</v>
      </c>
      <c r="AE112">
        <v>0</v>
      </c>
      <c r="AF112">
        <v>23</v>
      </c>
      <c r="AG112">
        <v>1</v>
      </c>
      <c r="AH112">
        <v>2</v>
      </c>
      <c r="AI112">
        <v>13</v>
      </c>
      <c r="AJ112">
        <v>12</v>
      </c>
      <c r="AK112">
        <v>12</v>
      </c>
      <c r="AL112" t="str" cm="1">
        <f t="array" ref="AL11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2">
        <v>8</v>
      </c>
    </row>
    <row r="113" spans="1:39" x14ac:dyDescent="0.25">
      <c r="A113">
        <v>34</v>
      </c>
      <c r="B113" t="s">
        <v>36</v>
      </c>
      <c r="C113" t="s">
        <v>45</v>
      </c>
      <c r="D113">
        <v>658</v>
      </c>
      <c r="E113" t="s">
        <v>46</v>
      </c>
      <c r="G113">
        <v>7</v>
      </c>
      <c r="H113">
        <v>3</v>
      </c>
      <c r="I113" t="s">
        <v>39</v>
      </c>
      <c r="J113" t="str">
        <f>WA_Fn_UseC__HR_Employee_Attrition[[#This Row],[EducationField]]&amp;"-"&amp;WA_Fn_UseC__HR_Employee_Attrition[[#This Row],[Department]]</f>
        <v>Life Sciences-Research &amp; Development</v>
      </c>
      <c r="K113">
        <v>1</v>
      </c>
      <c r="L113">
        <v>147</v>
      </c>
      <c r="M113">
        <v>1</v>
      </c>
      <c r="N113" t="s">
        <v>47</v>
      </c>
      <c r="O113">
        <v>66</v>
      </c>
      <c r="P113">
        <v>1</v>
      </c>
      <c r="Q113">
        <v>2</v>
      </c>
      <c r="R113" t="s">
        <v>51</v>
      </c>
      <c r="S113">
        <v>3</v>
      </c>
      <c r="T113" t="s">
        <v>42</v>
      </c>
      <c r="U113">
        <v>6074</v>
      </c>
      <c r="V113" t="str" cm="1">
        <f t="array" ref="V11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3">
        <v>22887</v>
      </c>
      <c r="X113">
        <v>1</v>
      </c>
      <c r="Y113" t="s">
        <v>43</v>
      </c>
      <c r="Z113" t="s">
        <v>36</v>
      </c>
      <c r="AA113">
        <v>24</v>
      </c>
      <c r="AB113">
        <v>4</v>
      </c>
      <c r="AC113">
        <v>4</v>
      </c>
      <c r="AD113">
        <v>80</v>
      </c>
      <c r="AE113">
        <v>0</v>
      </c>
      <c r="AF113">
        <v>9</v>
      </c>
      <c r="AG113">
        <v>3</v>
      </c>
      <c r="AH113">
        <v>3</v>
      </c>
      <c r="AI113">
        <v>9</v>
      </c>
      <c r="AJ113">
        <v>7</v>
      </c>
      <c r="AK113">
        <v>0</v>
      </c>
      <c r="AL113" t="str" cm="1">
        <f t="array" ref="AL11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3">
        <v>6</v>
      </c>
    </row>
    <row r="114" spans="1:39" x14ac:dyDescent="0.25">
      <c r="A114">
        <v>54</v>
      </c>
      <c r="B114" t="s">
        <v>44</v>
      </c>
      <c r="C114" t="s">
        <v>56</v>
      </c>
      <c r="D114">
        <v>142</v>
      </c>
      <c r="E114" t="s">
        <v>62</v>
      </c>
      <c r="G114">
        <v>26</v>
      </c>
      <c r="H114">
        <v>3</v>
      </c>
      <c r="I114" t="s">
        <v>62</v>
      </c>
      <c r="J114" t="str">
        <f>WA_Fn_UseC__HR_Employee_Attrition[[#This Row],[EducationField]]&amp;"-"&amp;WA_Fn_UseC__HR_Employee_Attrition[[#This Row],[Department]]</f>
        <v>Human Resources-Human Resources</v>
      </c>
      <c r="K114">
        <v>1</v>
      </c>
      <c r="L114">
        <v>148</v>
      </c>
      <c r="M114">
        <v>4</v>
      </c>
      <c r="N114" t="s">
        <v>40</v>
      </c>
      <c r="O114">
        <v>30</v>
      </c>
      <c r="P114">
        <v>4</v>
      </c>
      <c r="Q114">
        <v>4</v>
      </c>
      <c r="R114" t="s">
        <v>57</v>
      </c>
      <c r="S114">
        <v>4</v>
      </c>
      <c r="T114" t="s">
        <v>42</v>
      </c>
      <c r="U114">
        <v>17328</v>
      </c>
      <c r="V114" t="str" cm="1">
        <f t="array" ref="V11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4">
        <v>13871</v>
      </c>
      <c r="X114">
        <v>2</v>
      </c>
      <c r="Y114" t="s">
        <v>43</v>
      </c>
      <c r="Z114" t="s">
        <v>36</v>
      </c>
      <c r="AA114">
        <v>12</v>
      </c>
      <c r="AB114">
        <v>3</v>
      </c>
      <c r="AC114">
        <v>3</v>
      </c>
      <c r="AD114">
        <v>80</v>
      </c>
      <c r="AE114">
        <v>0</v>
      </c>
      <c r="AF114">
        <v>23</v>
      </c>
      <c r="AG114">
        <v>3</v>
      </c>
      <c r="AH114">
        <v>3</v>
      </c>
      <c r="AI114">
        <v>5</v>
      </c>
      <c r="AJ114">
        <v>3</v>
      </c>
      <c r="AK114">
        <v>4</v>
      </c>
      <c r="AL114" t="str" cm="1">
        <f t="array" ref="AL11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4">
        <v>4</v>
      </c>
    </row>
    <row r="115" spans="1:39" x14ac:dyDescent="0.25">
      <c r="A115">
        <v>24</v>
      </c>
      <c r="B115" t="s">
        <v>44</v>
      </c>
      <c r="C115" t="s">
        <v>37</v>
      </c>
      <c r="D115">
        <v>1127</v>
      </c>
      <c r="E115" t="s">
        <v>46</v>
      </c>
      <c r="G115">
        <v>18</v>
      </c>
      <c r="H115">
        <v>1</v>
      </c>
      <c r="I115" t="s">
        <v>39</v>
      </c>
      <c r="J115" t="str">
        <f>WA_Fn_UseC__HR_Employee_Attrition[[#This Row],[EducationField]]&amp;"-"&amp;WA_Fn_UseC__HR_Employee_Attrition[[#This Row],[Department]]</f>
        <v>Life Sciences-Research &amp; Development</v>
      </c>
      <c r="K115">
        <v>1</v>
      </c>
      <c r="L115">
        <v>150</v>
      </c>
      <c r="M115">
        <v>2</v>
      </c>
      <c r="N115" t="s">
        <v>47</v>
      </c>
      <c r="O115">
        <v>52</v>
      </c>
      <c r="P115">
        <v>3</v>
      </c>
      <c r="Q115">
        <v>1</v>
      </c>
      <c r="R115" t="s">
        <v>51</v>
      </c>
      <c r="S115">
        <v>3</v>
      </c>
      <c r="T115" t="s">
        <v>49</v>
      </c>
      <c r="U115">
        <v>2774</v>
      </c>
      <c r="V115" t="str" cm="1">
        <f t="array" ref="V11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5">
        <v>13257</v>
      </c>
      <c r="X115">
        <v>0</v>
      </c>
      <c r="Y115" t="s">
        <v>43</v>
      </c>
      <c r="Z115" t="s">
        <v>44</v>
      </c>
      <c r="AA115">
        <v>12</v>
      </c>
      <c r="AB115">
        <v>3</v>
      </c>
      <c r="AC115">
        <v>3</v>
      </c>
      <c r="AD115">
        <v>80</v>
      </c>
      <c r="AE115">
        <v>1</v>
      </c>
      <c r="AF115">
        <v>6</v>
      </c>
      <c r="AG115">
        <v>2</v>
      </c>
      <c r="AH115">
        <v>3</v>
      </c>
      <c r="AI115">
        <v>5</v>
      </c>
      <c r="AJ115">
        <v>3</v>
      </c>
      <c r="AK115">
        <v>1</v>
      </c>
      <c r="AL115" t="str" cm="1">
        <f t="array" ref="AL11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5">
        <v>2</v>
      </c>
    </row>
    <row r="116" spans="1:39" x14ac:dyDescent="0.25">
      <c r="A116">
        <v>34</v>
      </c>
      <c r="B116" t="s">
        <v>44</v>
      </c>
      <c r="C116" t="s">
        <v>37</v>
      </c>
      <c r="D116">
        <v>1031</v>
      </c>
      <c r="E116" t="s">
        <v>46</v>
      </c>
      <c r="G116">
        <v>6</v>
      </c>
      <c r="H116">
        <v>4</v>
      </c>
      <c r="I116" t="s">
        <v>39</v>
      </c>
      <c r="J116" t="str">
        <f>WA_Fn_UseC__HR_Employee_Attrition[[#This Row],[EducationField]]&amp;"-"&amp;WA_Fn_UseC__HR_Employee_Attrition[[#This Row],[Department]]</f>
        <v>Life Sciences-Research &amp; Development</v>
      </c>
      <c r="K116">
        <v>1</v>
      </c>
      <c r="L116">
        <v>151</v>
      </c>
      <c r="M116">
        <v>3</v>
      </c>
      <c r="N116" t="s">
        <v>40</v>
      </c>
      <c r="O116">
        <v>45</v>
      </c>
      <c r="P116">
        <v>2</v>
      </c>
      <c r="Q116">
        <v>2</v>
      </c>
      <c r="R116" t="s">
        <v>48</v>
      </c>
      <c r="S116">
        <v>2</v>
      </c>
      <c r="T116" t="s">
        <v>53</v>
      </c>
      <c r="U116">
        <v>4505</v>
      </c>
      <c r="V116" t="str" cm="1">
        <f t="array" ref="V11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6">
        <v>15000</v>
      </c>
      <c r="X116">
        <v>6</v>
      </c>
      <c r="Y116" t="s">
        <v>43</v>
      </c>
      <c r="Z116" t="s">
        <v>44</v>
      </c>
      <c r="AA116">
        <v>15</v>
      </c>
      <c r="AB116">
        <v>3</v>
      </c>
      <c r="AC116">
        <v>3</v>
      </c>
      <c r="AD116">
        <v>80</v>
      </c>
      <c r="AE116">
        <v>1</v>
      </c>
      <c r="AF116">
        <v>12</v>
      </c>
      <c r="AG116">
        <v>3</v>
      </c>
      <c r="AH116">
        <v>3</v>
      </c>
      <c r="AI116">
        <v>1</v>
      </c>
      <c r="AJ116">
        <v>0</v>
      </c>
      <c r="AK116">
        <v>0</v>
      </c>
      <c r="AL116" t="str" cm="1">
        <f t="array" ref="AL11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6">
        <v>0</v>
      </c>
    </row>
    <row r="117" spans="1:39" x14ac:dyDescent="0.25">
      <c r="A117">
        <v>37</v>
      </c>
      <c r="B117" t="s">
        <v>44</v>
      </c>
      <c r="C117" t="s">
        <v>37</v>
      </c>
      <c r="D117">
        <v>1189</v>
      </c>
      <c r="E117" t="s">
        <v>38</v>
      </c>
      <c r="G117">
        <v>3</v>
      </c>
      <c r="H117">
        <v>3</v>
      </c>
      <c r="I117" t="s">
        <v>39</v>
      </c>
      <c r="J117" t="str">
        <f>WA_Fn_UseC__HR_Employee_Attrition[[#This Row],[EducationField]]&amp;"-"&amp;WA_Fn_UseC__HR_Employee_Attrition[[#This Row],[Department]]</f>
        <v>Life Sciences-Sales</v>
      </c>
      <c r="K117">
        <v>1</v>
      </c>
      <c r="L117">
        <v>152</v>
      </c>
      <c r="M117">
        <v>3</v>
      </c>
      <c r="N117" t="s">
        <v>47</v>
      </c>
      <c r="O117">
        <v>87</v>
      </c>
      <c r="P117">
        <v>3</v>
      </c>
      <c r="Q117">
        <v>3</v>
      </c>
      <c r="R117" t="s">
        <v>41</v>
      </c>
      <c r="S117">
        <v>4</v>
      </c>
      <c r="T117" t="s">
        <v>42</v>
      </c>
      <c r="U117">
        <v>7428</v>
      </c>
      <c r="V117" t="str" cm="1">
        <f t="array" ref="V11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7">
        <v>14506</v>
      </c>
      <c r="X117">
        <v>2</v>
      </c>
      <c r="Y117" t="s">
        <v>43</v>
      </c>
      <c r="Z117" t="s">
        <v>44</v>
      </c>
      <c r="AA117">
        <v>12</v>
      </c>
      <c r="AB117">
        <v>3</v>
      </c>
      <c r="AC117">
        <v>1</v>
      </c>
      <c r="AD117">
        <v>80</v>
      </c>
      <c r="AE117">
        <v>0</v>
      </c>
      <c r="AF117">
        <v>12</v>
      </c>
      <c r="AG117">
        <v>3</v>
      </c>
      <c r="AH117">
        <v>3</v>
      </c>
      <c r="AI117">
        <v>5</v>
      </c>
      <c r="AJ117">
        <v>3</v>
      </c>
      <c r="AK117">
        <v>1</v>
      </c>
      <c r="AL117" t="str" cm="1">
        <f t="array" ref="AL11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7">
        <v>3</v>
      </c>
    </row>
    <row r="118" spans="1:39" x14ac:dyDescent="0.25">
      <c r="A118">
        <v>34</v>
      </c>
      <c r="B118" t="s">
        <v>44</v>
      </c>
      <c r="C118" t="s">
        <v>37</v>
      </c>
      <c r="D118">
        <v>1354</v>
      </c>
      <c r="E118" t="s">
        <v>46</v>
      </c>
      <c r="G118">
        <v>5</v>
      </c>
      <c r="H118">
        <v>3</v>
      </c>
      <c r="I118" t="s">
        <v>52</v>
      </c>
      <c r="J118" t="str">
        <f>WA_Fn_UseC__HR_Employee_Attrition[[#This Row],[EducationField]]&amp;"-"&amp;WA_Fn_UseC__HR_Employee_Attrition[[#This Row],[Department]]</f>
        <v>Medical-Research &amp; Development</v>
      </c>
      <c r="K118">
        <v>1</v>
      </c>
      <c r="L118">
        <v>153</v>
      </c>
      <c r="M118">
        <v>3</v>
      </c>
      <c r="N118" t="s">
        <v>40</v>
      </c>
      <c r="O118">
        <v>45</v>
      </c>
      <c r="P118">
        <v>2</v>
      </c>
      <c r="Q118">
        <v>3</v>
      </c>
      <c r="R118" t="s">
        <v>57</v>
      </c>
      <c r="S118">
        <v>1</v>
      </c>
      <c r="T118" t="s">
        <v>42</v>
      </c>
      <c r="U118">
        <v>11631</v>
      </c>
      <c r="V118" t="str" cm="1">
        <f t="array" ref="V11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8">
        <v>5615</v>
      </c>
      <c r="X118">
        <v>2</v>
      </c>
      <c r="Y118" t="s">
        <v>43</v>
      </c>
      <c r="Z118" t="s">
        <v>44</v>
      </c>
      <c r="AA118">
        <v>12</v>
      </c>
      <c r="AB118">
        <v>3</v>
      </c>
      <c r="AC118">
        <v>4</v>
      </c>
      <c r="AD118">
        <v>80</v>
      </c>
      <c r="AE118">
        <v>0</v>
      </c>
      <c r="AF118">
        <v>14</v>
      </c>
      <c r="AG118">
        <v>6</v>
      </c>
      <c r="AH118">
        <v>3</v>
      </c>
      <c r="AI118">
        <v>11</v>
      </c>
      <c r="AJ118">
        <v>10</v>
      </c>
      <c r="AK118">
        <v>5</v>
      </c>
      <c r="AL118" t="str" cm="1">
        <f t="array" ref="AL11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8">
        <v>8</v>
      </c>
    </row>
    <row r="119" spans="1:39" x14ac:dyDescent="0.25">
      <c r="A119">
        <v>36</v>
      </c>
      <c r="B119" t="s">
        <v>44</v>
      </c>
      <c r="C119" t="s">
        <v>45</v>
      </c>
      <c r="D119">
        <v>1467</v>
      </c>
      <c r="E119" t="s">
        <v>38</v>
      </c>
      <c r="G119">
        <v>11</v>
      </c>
      <c r="H119">
        <v>2</v>
      </c>
      <c r="I119" t="s">
        <v>61</v>
      </c>
      <c r="J119" t="str">
        <f>WA_Fn_UseC__HR_Employee_Attrition[[#This Row],[EducationField]]&amp;"-"&amp;WA_Fn_UseC__HR_Employee_Attrition[[#This Row],[Department]]</f>
        <v>Technical Degree-Sales</v>
      </c>
      <c r="K119">
        <v>1</v>
      </c>
      <c r="L119">
        <v>154</v>
      </c>
      <c r="M119">
        <v>2</v>
      </c>
      <c r="N119" t="s">
        <v>40</v>
      </c>
      <c r="O119">
        <v>92</v>
      </c>
      <c r="P119">
        <v>3</v>
      </c>
      <c r="Q119">
        <v>3</v>
      </c>
      <c r="R119" t="s">
        <v>41</v>
      </c>
      <c r="S119">
        <v>4</v>
      </c>
      <c r="T119" t="s">
        <v>49</v>
      </c>
      <c r="U119">
        <v>9738</v>
      </c>
      <c r="V119" t="str" cm="1">
        <f t="array" ref="V11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9">
        <v>22952</v>
      </c>
      <c r="X119">
        <v>0</v>
      </c>
      <c r="Y119" t="s">
        <v>43</v>
      </c>
      <c r="Z119" t="s">
        <v>44</v>
      </c>
      <c r="AA119">
        <v>14</v>
      </c>
      <c r="AB119">
        <v>3</v>
      </c>
      <c r="AC119">
        <v>3</v>
      </c>
      <c r="AD119">
        <v>80</v>
      </c>
      <c r="AE119">
        <v>1</v>
      </c>
      <c r="AF119">
        <v>10</v>
      </c>
      <c r="AG119">
        <v>6</v>
      </c>
      <c r="AH119">
        <v>3</v>
      </c>
      <c r="AI119">
        <v>9</v>
      </c>
      <c r="AJ119">
        <v>7</v>
      </c>
      <c r="AK119">
        <v>2</v>
      </c>
      <c r="AL119" t="str" cm="1">
        <f t="array" ref="AL11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9">
        <v>8</v>
      </c>
    </row>
    <row r="120" spans="1:39" x14ac:dyDescent="0.25">
      <c r="A120">
        <v>36</v>
      </c>
      <c r="B120" t="s">
        <v>44</v>
      </c>
      <c r="C120" t="s">
        <v>37</v>
      </c>
      <c r="D120">
        <v>922</v>
      </c>
      <c r="E120" t="s">
        <v>46</v>
      </c>
      <c r="G120">
        <v>3</v>
      </c>
      <c r="H120">
        <v>2</v>
      </c>
      <c r="I120" t="s">
        <v>39</v>
      </c>
      <c r="J120" t="str">
        <f>WA_Fn_UseC__HR_Employee_Attrition[[#This Row],[EducationField]]&amp;"-"&amp;WA_Fn_UseC__HR_Employee_Attrition[[#This Row],[Department]]</f>
        <v>Life Sciences-Research &amp; Development</v>
      </c>
      <c r="K120">
        <v>1</v>
      </c>
      <c r="L120">
        <v>155</v>
      </c>
      <c r="M120">
        <v>1</v>
      </c>
      <c r="N120" t="s">
        <v>40</v>
      </c>
      <c r="O120">
        <v>39</v>
      </c>
      <c r="P120">
        <v>3</v>
      </c>
      <c r="Q120">
        <v>1</v>
      </c>
      <c r="R120" t="s">
        <v>51</v>
      </c>
      <c r="S120">
        <v>4</v>
      </c>
      <c r="T120" t="s">
        <v>53</v>
      </c>
      <c r="U120">
        <v>2835</v>
      </c>
      <c r="V120" t="str" cm="1">
        <f t="array" ref="V12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0">
        <v>2561</v>
      </c>
      <c r="X120">
        <v>5</v>
      </c>
      <c r="Y120" t="s">
        <v>43</v>
      </c>
      <c r="Z120" t="s">
        <v>44</v>
      </c>
      <c r="AA120">
        <v>22</v>
      </c>
      <c r="AB120">
        <v>4</v>
      </c>
      <c r="AC120">
        <v>1</v>
      </c>
      <c r="AD120">
        <v>80</v>
      </c>
      <c r="AE120">
        <v>1</v>
      </c>
      <c r="AF120">
        <v>7</v>
      </c>
      <c r="AG120">
        <v>2</v>
      </c>
      <c r="AH120">
        <v>3</v>
      </c>
      <c r="AI120">
        <v>1</v>
      </c>
      <c r="AJ120">
        <v>0</v>
      </c>
      <c r="AK120">
        <v>0</v>
      </c>
      <c r="AL120" t="str" cm="1">
        <f t="array" ref="AL12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0">
        <v>0</v>
      </c>
    </row>
    <row r="121" spans="1:39" x14ac:dyDescent="0.25">
      <c r="A121">
        <v>43</v>
      </c>
      <c r="B121" t="s">
        <v>44</v>
      </c>
      <c r="C121" t="s">
        <v>45</v>
      </c>
      <c r="D121">
        <v>394</v>
      </c>
      <c r="E121" t="s">
        <v>38</v>
      </c>
      <c r="G121">
        <v>26</v>
      </c>
      <c r="H121">
        <v>2</v>
      </c>
      <c r="I121" t="s">
        <v>39</v>
      </c>
      <c r="J121" t="str">
        <f>WA_Fn_UseC__HR_Employee_Attrition[[#This Row],[EducationField]]&amp;"-"&amp;WA_Fn_UseC__HR_Employee_Attrition[[#This Row],[Department]]</f>
        <v>Life Sciences-Sales</v>
      </c>
      <c r="K121">
        <v>1</v>
      </c>
      <c r="L121">
        <v>158</v>
      </c>
      <c r="M121">
        <v>3</v>
      </c>
      <c r="N121" t="s">
        <v>47</v>
      </c>
      <c r="O121">
        <v>92</v>
      </c>
      <c r="P121">
        <v>3</v>
      </c>
      <c r="Q121">
        <v>4</v>
      </c>
      <c r="R121" t="s">
        <v>57</v>
      </c>
      <c r="S121">
        <v>4</v>
      </c>
      <c r="T121" t="s">
        <v>49</v>
      </c>
      <c r="U121">
        <v>16959</v>
      </c>
      <c r="V121" t="str" cm="1">
        <f t="array" ref="V12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1">
        <v>19494</v>
      </c>
      <c r="X121">
        <v>1</v>
      </c>
      <c r="Y121" t="s">
        <v>43</v>
      </c>
      <c r="Z121" t="s">
        <v>36</v>
      </c>
      <c r="AA121">
        <v>12</v>
      </c>
      <c r="AB121">
        <v>3</v>
      </c>
      <c r="AC121">
        <v>4</v>
      </c>
      <c r="AD121">
        <v>80</v>
      </c>
      <c r="AE121">
        <v>2</v>
      </c>
      <c r="AF121">
        <v>25</v>
      </c>
      <c r="AG121">
        <v>3</v>
      </c>
      <c r="AH121">
        <v>4</v>
      </c>
      <c r="AI121">
        <v>25</v>
      </c>
      <c r="AJ121">
        <v>12</v>
      </c>
      <c r="AK121">
        <v>4</v>
      </c>
      <c r="AL121" t="str" cm="1">
        <f t="array" ref="AL12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1">
        <v>12</v>
      </c>
    </row>
    <row r="122" spans="1:39" x14ac:dyDescent="0.25">
      <c r="A122">
        <v>30</v>
      </c>
      <c r="B122" t="s">
        <v>44</v>
      </c>
      <c r="C122" t="s">
        <v>45</v>
      </c>
      <c r="D122">
        <v>1312</v>
      </c>
      <c r="E122" t="s">
        <v>46</v>
      </c>
      <c r="G122">
        <v>23</v>
      </c>
      <c r="H122">
        <v>3</v>
      </c>
      <c r="I122" t="s">
        <v>39</v>
      </c>
      <c r="J122" t="str">
        <f>WA_Fn_UseC__HR_Employee_Attrition[[#This Row],[EducationField]]&amp;"-"&amp;WA_Fn_UseC__HR_Employee_Attrition[[#This Row],[Department]]</f>
        <v>Life Sciences-Research &amp; Development</v>
      </c>
      <c r="K122">
        <v>1</v>
      </c>
      <c r="L122">
        <v>159</v>
      </c>
      <c r="M122">
        <v>1</v>
      </c>
      <c r="N122" t="s">
        <v>47</v>
      </c>
      <c r="O122">
        <v>96</v>
      </c>
      <c r="P122">
        <v>1</v>
      </c>
      <c r="Q122">
        <v>1</v>
      </c>
      <c r="R122" t="s">
        <v>48</v>
      </c>
      <c r="S122">
        <v>3</v>
      </c>
      <c r="T122" t="s">
        <v>53</v>
      </c>
      <c r="U122">
        <v>2613</v>
      </c>
      <c r="V122" t="str" cm="1">
        <f t="array" ref="V12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2">
        <v>22310</v>
      </c>
      <c r="X122">
        <v>1</v>
      </c>
      <c r="Y122" t="s">
        <v>43</v>
      </c>
      <c r="Z122" t="s">
        <v>44</v>
      </c>
      <c r="AA122">
        <v>25</v>
      </c>
      <c r="AB122">
        <v>4</v>
      </c>
      <c r="AC122">
        <v>3</v>
      </c>
      <c r="AD122">
        <v>80</v>
      </c>
      <c r="AE122">
        <v>3</v>
      </c>
      <c r="AF122">
        <v>10</v>
      </c>
      <c r="AG122">
        <v>2</v>
      </c>
      <c r="AH122">
        <v>2</v>
      </c>
      <c r="AI122">
        <v>10</v>
      </c>
      <c r="AJ122">
        <v>7</v>
      </c>
      <c r="AK122">
        <v>0</v>
      </c>
      <c r="AL122" t="str" cm="1">
        <f t="array" ref="AL12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2">
        <v>9</v>
      </c>
    </row>
    <row r="123" spans="1:39" x14ac:dyDescent="0.25">
      <c r="A123">
        <v>33</v>
      </c>
      <c r="B123" t="s">
        <v>44</v>
      </c>
      <c r="C123" t="s">
        <v>56</v>
      </c>
      <c r="D123">
        <v>750</v>
      </c>
      <c r="E123" t="s">
        <v>38</v>
      </c>
      <c r="G123">
        <v>22</v>
      </c>
      <c r="H123">
        <v>2</v>
      </c>
      <c r="I123" t="s">
        <v>60</v>
      </c>
      <c r="J123" t="str">
        <f>WA_Fn_UseC__HR_Employee_Attrition[[#This Row],[EducationField]]&amp;"-"&amp;WA_Fn_UseC__HR_Employee_Attrition[[#This Row],[Department]]</f>
        <v>Marketing-Sales</v>
      </c>
      <c r="K123">
        <v>1</v>
      </c>
      <c r="L123">
        <v>160</v>
      </c>
      <c r="M123">
        <v>3</v>
      </c>
      <c r="N123" t="s">
        <v>47</v>
      </c>
      <c r="O123">
        <v>95</v>
      </c>
      <c r="P123">
        <v>3</v>
      </c>
      <c r="Q123">
        <v>2</v>
      </c>
      <c r="R123" t="s">
        <v>41</v>
      </c>
      <c r="S123">
        <v>2</v>
      </c>
      <c r="T123" t="s">
        <v>49</v>
      </c>
      <c r="U123">
        <v>6146</v>
      </c>
      <c r="V123" t="str" cm="1">
        <f t="array" ref="V12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3">
        <v>15480</v>
      </c>
      <c r="X123">
        <v>0</v>
      </c>
      <c r="Y123" t="s">
        <v>43</v>
      </c>
      <c r="Z123" t="s">
        <v>44</v>
      </c>
      <c r="AA123">
        <v>13</v>
      </c>
      <c r="AB123">
        <v>3</v>
      </c>
      <c r="AC123">
        <v>1</v>
      </c>
      <c r="AD123">
        <v>80</v>
      </c>
      <c r="AE123">
        <v>1</v>
      </c>
      <c r="AF123">
        <v>8</v>
      </c>
      <c r="AG123">
        <v>2</v>
      </c>
      <c r="AH123">
        <v>4</v>
      </c>
      <c r="AI123">
        <v>7</v>
      </c>
      <c r="AJ123">
        <v>7</v>
      </c>
      <c r="AK123">
        <v>0</v>
      </c>
      <c r="AL123" t="str" cm="1">
        <f t="array" ref="AL12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3">
        <v>7</v>
      </c>
    </row>
    <row r="124" spans="1:39" x14ac:dyDescent="0.25">
      <c r="A124">
        <v>56</v>
      </c>
      <c r="B124" t="s">
        <v>36</v>
      </c>
      <c r="C124" t="s">
        <v>37</v>
      </c>
      <c r="D124">
        <v>441</v>
      </c>
      <c r="E124" t="s">
        <v>46</v>
      </c>
      <c r="G124">
        <v>14</v>
      </c>
      <c r="H124">
        <v>4</v>
      </c>
      <c r="I124" t="s">
        <v>39</v>
      </c>
      <c r="J124" t="str">
        <f>WA_Fn_UseC__HR_Employee_Attrition[[#This Row],[EducationField]]&amp;"-"&amp;WA_Fn_UseC__HR_Employee_Attrition[[#This Row],[Department]]</f>
        <v>Life Sciences-Research &amp; Development</v>
      </c>
      <c r="K124">
        <v>1</v>
      </c>
      <c r="L124">
        <v>161</v>
      </c>
      <c r="M124">
        <v>2</v>
      </c>
      <c r="N124" t="s">
        <v>40</v>
      </c>
      <c r="O124">
        <v>72</v>
      </c>
      <c r="P124">
        <v>3</v>
      </c>
      <c r="Q124">
        <v>1</v>
      </c>
      <c r="R124" t="s">
        <v>48</v>
      </c>
      <c r="S124">
        <v>2</v>
      </c>
      <c r="T124" t="s">
        <v>49</v>
      </c>
      <c r="U124">
        <v>4963</v>
      </c>
      <c r="V124" t="str" cm="1">
        <f t="array" ref="V12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4">
        <v>4510</v>
      </c>
      <c r="X124">
        <v>9</v>
      </c>
      <c r="Y124" t="s">
        <v>43</v>
      </c>
      <c r="Z124" t="s">
        <v>36</v>
      </c>
      <c r="AA124">
        <v>18</v>
      </c>
      <c r="AB124">
        <v>3</v>
      </c>
      <c r="AC124">
        <v>1</v>
      </c>
      <c r="AD124">
        <v>80</v>
      </c>
      <c r="AE124">
        <v>3</v>
      </c>
      <c r="AF124">
        <v>7</v>
      </c>
      <c r="AG124">
        <v>2</v>
      </c>
      <c r="AH124">
        <v>3</v>
      </c>
      <c r="AI124">
        <v>5</v>
      </c>
      <c r="AJ124">
        <v>4</v>
      </c>
      <c r="AK124">
        <v>4</v>
      </c>
      <c r="AL124" t="str" cm="1">
        <f t="array" ref="AL12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4">
        <v>3</v>
      </c>
    </row>
    <row r="125" spans="1:39" x14ac:dyDescent="0.25">
      <c r="A125">
        <v>51</v>
      </c>
      <c r="B125" t="s">
        <v>44</v>
      </c>
      <c r="C125" t="s">
        <v>37</v>
      </c>
      <c r="D125">
        <v>684</v>
      </c>
      <c r="E125" t="s">
        <v>46</v>
      </c>
      <c r="G125">
        <v>6</v>
      </c>
      <c r="H125">
        <v>3</v>
      </c>
      <c r="I125" t="s">
        <v>39</v>
      </c>
      <c r="J125" t="str">
        <f>WA_Fn_UseC__HR_Employee_Attrition[[#This Row],[EducationField]]&amp;"-"&amp;WA_Fn_UseC__HR_Employee_Attrition[[#This Row],[Department]]</f>
        <v>Life Sciences-Research &amp; Development</v>
      </c>
      <c r="K125">
        <v>1</v>
      </c>
      <c r="L125">
        <v>162</v>
      </c>
      <c r="M125">
        <v>1</v>
      </c>
      <c r="N125" t="s">
        <v>47</v>
      </c>
      <c r="O125">
        <v>51</v>
      </c>
      <c r="P125">
        <v>3</v>
      </c>
      <c r="Q125">
        <v>5</v>
      </c>
      <c r="R125" t="s">
        <v>59</v>
      </c>
      <c r="S125">
        <v>3</v>
      </c>
      <c r="T125" t="s">
        <v>42</v>
      </c>
      <c r="U125">
        <v>19537</v>
      </c>
      <c r="V125" t="str" cm="1">
        <f t="array" ref="V12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5">
        <v>6462</v>
      </c>
      <c r="X125">
        <v>7</v>
      </c>
      <c r="Y125" t="s">
        <v>43</v>
      </c>
      <c r="Z125" t="s">
        <v>44</v>
      </c>
      <c r="AA125">
        <v>13</v>
      </c>
      <c r="AB125">
        <v>3</v>
      </c>
      <c r="AC125">
        <v>3</v>
      </c>
      <c r="AD125">
        <v>80</v>
      </c>
      <c r="AE125">
        <v>0</v>
      </c>
      <c r="AF125">
        <v>23</v>
      </c>
      <c r="AG125">
        <v>5</v>
      </c>
      <c r="AH125">
        <v>3</v>
      </c>
      <c r="AI125">
        <v>20</v>
      </c>
      <c r="AJ125">
        <v>18</v>
      </c>
      <c r="AK125">
        <v>15</v>
      </c>
      <c r="AL125" t="str" cm="1">
        <f t="array" ref="AL12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5">
        <v>15</v>
      </c>
    </row>
    <row r="126" spans="1:39" x14ac:dyDescent="0.25">
      <c r="A126">
        <v>31</v>
      </c>
      <c r="B126" t="s">
        <v>36</v>
      </c>
      <c r="C126" t="s">
        <v>37</v>
      </c>
      <c r="D126">
        <v>249</v>
      </c>
      <c r="E126" t="s">
        <v>38</v>
      </c>
      <c r="G126">
        <v>6</v>
      </c>
      <c r="H126">
        <v>4</v>
      </c>
      <c r="I126" t="s">
        <v>39</v>
      </c>
      <c r="J126" t="str">
        <f>WA_Fn_UseC__HR_Employee_Attrition[[#This Row],[EducationField]]&amp;"-"&amp;WA_Fn_UseC__HR_Employee_Attrition[[#This Row],[Department]]</f>
        <v>Life Sciences-Sales</v>
      </c>
      <c r="K126">
        <v>1</v>
      </c>
      <c r="L126">
        <v>163</v>
      </c>
      <c r="M126">
        <v>2</v>
      </c>
      <c r="N126" t="s">
        <v>47</v>
      </c>
      <c r="O126">
        <v>76</v>
      </c>
      <c r="P126">
        <v>1</v>
      </c>
      <c r="Q126">
        <v>2</v>
      </c>
      <c r="R126" t="s">
        <v>41</v>
      </c>
      <c r="S126">
        <v>3</v>
      </c>
      <c r="T126" t="s">
        <v>49</v>
      </c>
      <c r="U126">
        <v>6172</v>
      </c>
      <c r="V126" t="str" cm="1">
        <f t="array" ref="V12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6">
        <v>20739</v>
      </c>
      <c r="X126">
        <v>4</v>
      </c>
      <c r="Y126" t="s">
        <v>43</v>
      </c>
      <c r="Z126" t="s">
        <v>36</v>
      </c>
      <c r="AA126">
        <v>18</v>
      </c>
      <c r="AB126">
        <v>3</v>
      </c>
      <c r="AC126">
        <v>2</v>
      </c>
      <c r="AD126">
        <v>80</v>
      </c>
      <c r="AE126">
        <v>0</v>
      </c>
      <c r="AF126">
        <v>12</v>
      </c>
      <c r="AG126">
        <v>3</v>
      </c>
      <c r="AH126">
        <v>2</v>
      </c>
      <c r="AI126">
        <v>7</v>
      </c>
      <c r="AJ126">
        <v>7</v>
      </c>
      <c r="AK126">
        <v>7</v>
      </c>
      <c r="AL126" t="str" cm="1">
        <f t="array" ref="AL12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6">
        <v>7</v>
      </c>
    </row>
    <row r="127" spans="1:39" x14ac:dyDescent="0.25">
      <c r="A127">
        <v>26</v>
      </c>
      <c r="B127" t="s">
        <v>44</v>
      </c>
      <c r="C127" t="s">
        <v>37</v>
      </c>
      <c r="D127">
        <v>841</v>
      </c>
      <c r="E127" t="s">
        <v>46</v>
      </c>
      <c r="G127">
        <v>6</v>
      </c>
      <c r="H127">
        <v>3</v>
      </c>
      <c r="I127" t="s">
        <v>50</v>
      </c>
      <c r="J127" t="str">
        <f>WA_Fn_UseC__HR_Employee_Attrition[[#This Row],[EducationField]]&amp;"-"&amp;WA_Fn_UseC__HR_Employee_Attrition[[#This Row],[Department]]</f>
        <v>Other-Research &amp; Development</v>
      </c>
      <c r="K127">
        <v>1</v>
      </c>
      <c r="L127">
        <v>164</v>
      </c>
      <c r="M127">
        <v>3</v>
      </c>
      <c r="N127" t="s">
        <v>40</v>
      </c>
      <c r="O127">
        <v>46</v>
      </c>
      <c r="P127">
        <v>2</v>
      </c>
      <c r="Q127">
        <v>1</v>
      </c>
      <c r="R127" t="s">
        <v>48</v>
      </c>
      <c r="S127">
        <v>2</v>
      </c>
      <c r="T127" t="s">
        <v>49</v>
      </c>
      <c r="U127">
        <v>2368</v>
      </c>
      <c r="V127" t="str" cm="1">
        <f t="array" ref="V12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7">
        <v>23300</v>
      </c>
      <c r="X127">
        <v>1</v>
      </c>
      <c r="Y127" t="s">
        <v>43</v>
      </c>
      <c r="Z127" t="s">
        <v>44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 t="str" cm="1">
        <f t="array" ref="AL12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7">
        <v>3</v>
      </c>
    </row>
    <row r="128" spans="1:39" x14ac:dyDescent="0.25">
      <c r="A128">
        <v>58</v>
      </c>
      <c r="B128" t="s">
        <v>36</v>
      </c>
      <c r="C128" t="s">
        <v>37</v>
      </c>
      <c r="D128">
        <v>147</v>
      </c>
      <c r="E128" t="s">
        <v>46</v>
      </c>
      <c r="G128">
        <v>23</v>
      </c>
      <c r="H128">
        <v>4</v>
      </c>
      <c r="I128" t="s">
        <v>52</v>
      </c>
      <c r="J128" t="str">
        <f>WA_Fn_UseC__HR_Employee_Attrition[[#This Row],[EducationField]]&amp;"-"&amp;WA_Fn_UseC__HR_Employee_Attrition[[#This Row],[Department]]</f>
        <v>Medical-Research &amp; Development</v>
      </c>
      <c r="K128">
        <v>1</v>
      </c>
      <c r="L128">
        <v>165</v>
      </c>
      <c r="M128">
        <v>4</v>
      </c>
      <c r="N128" t="s">
        <v>40</v>
      </c>
      <c r="O128">
        <v>94</v>
      </c>
      <c r="P128">
        <v>3</v>
      </c>
      <c r="Q128">
        <v>3</v>
      </c>
      <c r="R128" t="s">
        <v>55</v>
      </c>
      <c r="S128">
        <v>4</v>
      </c>
      <c r="T128" t="s">
        <v>49</v>
      </c>
      <c r="U128">
        <v>10312</v>
      </c>
      <c r="V128" t="str" cm="1">
        <f t="array" ref="V12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8">
        <v>3465</v>
      </c>
      <c r="X128">
        <v>1</v>
      </c>
      <c r="Y128" t="s">
        <v>43</v>
      </c>
      <c r="Z128" t="s">
        <v>44</v>
      </c>
      <c r="AA128">
        <v>12</v>
      </c>
      <c r="AB128">
        <v>3</v>
      </c>
      <c r="AC128">
        <v>4</v>
      </c>
      <c r="AD128">
        <v>80</v>
      </c>
      <c r="AE128">
        <v>1</v>
      </c>
      <c r="AF128">
        <v>40</v>
      </c>
      <c r="AG128">
        <v>3</v>
      </c>
      <c r="AH128">
        <v>2</v>
      </c>
      <c r="AI128">
        <v>40</v>
      </c>
      <c r="AJ128">
        <v>10</v>
      </c>
      <c r="AK128">
        <v>15</v>
      </c>
      <c r="AL128" t="str" cm="1">
        <f t="array" ref="AL12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8">
        <v>6</v>
      </c>
    </row>
    <row r="129" spans="1:39" x14ac:dyDescent="0.25">
      <c r="A129">
        <v>19</v>
      </c>
      <c r="B129" t="s">
        <v>36</v>
      </c>
      <c r="C129" t="s">
        <v>37</v>
      </c>
      <c r="D129">
        <v>528</v>
      </c>
      <c r="E129" t="s">
        <v>38</v>
      </c>
      <c r="G129">
        <v>22</v>
      </c>
      <c r="H129">
        <v>1</v>
      </c>
      <c r="I129" t="s">
        <v>60</v>
      </c>
      <c r="J129" t="str">
        <f>WA_Fn_UseC__HR_Employee_Attrition[[#This Row],[EducationField]]&amp;"-"&amp;WA_Fn_UseC__HR_Employee_Attrition[[#This Row],[Department]]</f>
        <v>Marketing-Sales</v>
      </c>
      <c r="K129">
        <v>1</v>
      </c>
      <c r="L129">
        <v>167</v>
      </c>
      <c r="M129">
        <v>4</v>
      </c>
      <c r="N129" t="s">
        <v>47</v>
      </c>
      <c r="O129">
        <v>50</v>
      </c>
      <c r="P129">
        <v>3</v>
      </c>
      <c r="Q129">
        <v>1</v>
      </c>
      <c r="R129" t="s">
        <v>58</v>
      </c>
      <c r="S129">
        <v>3</v>
      </c>
      <c r="T129" t="s">
        <v>42</v>
      </c>
      <c r="U129">
        <v>1675</v>
      </c>
      <c r="V129" t="str" cm="1">
        <f t="array" ref="V12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9">
        <v>26820</v>
      </c>
      <c r="X129">
        <v>1</v>
      </c>
      <c r="Y129" t="s">
        <v>43</v>
      </c>
      <c r="Z129" t="s">
        <v>36</v>
      </c>
      <c r="AA129">
        <v>19</v>
      </c>
      <c r="AB129">
        <v>3</v>
      </c>
      <c r="AC129">
        <v>4</v>
      </c>
      <c r="AD129">
        <v>80</v>
      </c>
      <c r="AE129">
        <v>0</v>
      </c>
      <c r="AF129">
        <v>0</v>
      </c>
      <c r="AG129">
        <v>2</v>
      </c>
      <c r="AH129">
        <v>2</v>
      </c>
      <c r="AI129">
        <v>0</v>
      </c>
      <c r="AJ129">
        <v>0</v>
      </c>
      <c r="AK129">
        <v>0</v>
      </c>
      <c r="AL129" t="str" cm="1">
        <f t="array" ref="AL12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9">
        <v>0</v>
      </c>
    </row>
    <row r="130" spans="1:39" x14ac:dyDescent="0.25">
      <c r="A130">
        <v>22</v>
      </c>
      <c r="B130" t="s">
        <v>44</v>
      </c>
      <c r="C130" t="s">
        <v>37</v>
      </c>
      <c r="D130">
        <v>594</v>
      </c>
      <c r="E130" t="s">
        <v>46</v>
      </c>
      <c r="G130">
        <v>2</v>
      </c>
      <c r="H130">
        <v>1</v>
      </c>
      <c r="I130" t="s">
        <v>61</v>
      </c>
      <c r="J130" t="str">
        <f>WA_Fn_UseC__HR_Employee_Attrition[[#This Row],[EducationField]]&amp;"-"&amp;WA_Fn_UseC__HR_Employee_Attrition[[#This Row],[Department]]</f>
        <v>Technical Degree-Research &amp; Development</v>
      </c>
      <c r="K130">
        <v>1</v>
      </c>
      <c r="L130">
        <v>169</v>
      </c>
      <c r="M130">
        <v>3</v>
      </c>
      <c r="N130" t="s">
        <v>47</v>
      </c>
      <c r="O130">
        <v>100</v>
      </c>
      <c r="P130">
        <v>3</v>
      </c>
      <c r="Q130">
        <v>1</v>
      </c>
      <c r="R130" t="s">
        <v>51</v>
      </c>
      <c r="S130">
        <v>4</v>
      </c>
      <c r="T130" t="s">
        <v>49</v>
      </c>
      <c r="U130">
        <v>2523</v>
      </c>
      <c r="V130" t="str" cm="1">
        <f t="array" ref="V13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0">
        <v>19299</v>
      </c>
      <c r="X130">
        <v>0</v>
      </c>
      <c r="Y130" t="s">
        <v>43</v>
      </c>
      <c r="Z130" t="s">
        <v>44</v>
      </c>
      <c r="AA130">
        <v>14</v>
      </c>
      <c r="AB130">
        <v>3</v>
      </c>
      <c r="AC130">
        <v>3</v>
      </c>
      <c r="AD130">
        <v>80</v>
      </c>
      <c r="AE130">
        <v>1</v>
      </c>
      <c r="AF130">
        <v>3</v>
      </c>
      <c r="AG130">
        <v>2</v>
      </c>
      <c r="AH130">
        <v>3</v>
      </c>
      <c r="AI130">
        <v>2</v>
      </c>
      <c r="AJ130">
        <v>1</v>
      </c>
      <c r="AK130">
        <v>2</v>
      </c>
      <c r="AL130" t="str" cm="1">
        <f t="array" ref="AL13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0">
        <v>1</v>
      </c>
    </row>
    <row r="131" spans="1:39" x14ac:dyDescent="0.25">
      <c r="A131">
        <v>49</v>
      </c>
      <c r="B131" t="s">
        <v>44</v>
      </c>
      <c r="C131" t="s">
        <v>37</v>
      </c>
      <c r="D131">
        <v>470</v>
      </c>
      <c r="E131" t="s">
        <v>46</v>
      </c>
      <c r="G131">
        <v>20</v>
      </c>
      <c r="H131">
        <v>4</v>
      </c>
      <c r="I131" t="s">
        <v>52</v>
      </c>
      <c r="J131" t="str">
        <f>WA_Fn_UseC__HR_Employee_Attrition[[#This Row],[EducationField]]&amp;"-"&amp;WA_Fn_UseC__HR_Employee_Attrition[[#This Row],[Department]]</f>
        <v>Medical-Research &amp; Development</v>
      </c>
      <c r="K131">
        <v>1</v>
      </c>
      <c r="L131">
        <v>170</v>
      </c>
      <c r="M131">
        <v>3</v>
      </c>
      <c r="N131" t="s">
        <v>40</v>
      </c>
      <c r="O131">
        <v>96</v>
      </c>
      <c r="P131">
        <v>3</v>
      </c>
      <c r="Q131">
        <v>2</v>
      </c>
      <c r="R131" t="s">
        <v>54</v>
      </c>
      <c r="S131">
        <v>1</v>
      </c>
      <c r="T131" t="s">
        <v>49</v>
      </c>
      <c r="U131">
        <v>6567</v>
      </c>
      <c r="V131" t="str" cm="1">
        <f t="array" ref="V13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1">
        <v>5549</v>
      </c>
      <c r="X131">
        <v>1</v>
      </c>
      <c r="Y131" t="s">
        <v>43</v>
      </c>
      <c r="Z131" t="s">
        <v>44</v>
      </c>
      <c r="AA131">
        <v>14</v>
      </c>
      <c r="AB131">
        <v>3</v>
      </c>
      <c r="AC131">
        <v>3</v>
      </c>
      <c r="AD131">
        <v>80</v>
      </c>
      <c r="AE131">
        <v>0</v>
      </c>
      <c r="AF131">
        <v>16</v>
      </c>
      <c r="AG131">
        <v>2</v>
      </c>
      <c r="AH131">
        <v>2</v>
      </c>
      <c r="AI131">
        <v>15</v>
      </c>
      <c r="AJ131">
        <v>11</v>
      </c>
      <c r="AK131">
        <v>5</v>
      </c>
      <c r="AL131" t="str" cm="1">
        <f t="array" ref="AL13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1">
        <v>11</v>
      </c>
    </row>
    <row r="132" spans="1:39" x14ac:dyDescent="0.25">
      <c r="A132">
        <v>43</v>
      </c>
      <c r="B132" t="s">
        <v>44</v>
      </c>
      <c r="C132" t="s">
        <v>45</v>
      </c>
      <c r="D132">
        <v>957</v>
      </c>
      <c r="E132" t="s">
        <v>46</v>
      </c>
      <c r="G132">
        <v>28</v>
      </c>
      <c r="H132">
        <v>3</v>
      </c>
      <c r="I132" t="s">
        <v>52</v>
      </c>
      <c r="J132" t="str">
        <f>WA_Fn_UseC__HR_Employee_Attrition[[#This Row],[EducationField]]&amp;"-"&amp;WA_Fn_UseC__HR_Employee_Attrition[[#This Row],[Department]]</f>
        <v>Medical-Research &amp; Development</v>
      </c>
      <c r="K132">
        <v>1</v>
      </c>
      <c r="L132">
        <v>171</v>
      </c>
      <c r="M132">
        <v>2</v>
      </c>
      <c r="N132" t="s">
        <v>40</v>
      </c>
      <c r="O132">
        <v>72</v>
      </c>
      <c r="P132">
        <v>4</v>
      </c>
      <c r="Q132">
        <v>1</v>
      </c>
      <c r="R132" t="s">
        <v>48</v>
      </c>
      <c r="S132">
        <v>3</v>
      </c>
      <c r="T132" t="s">
        <v>42</v>
      </c>
      <c r="U132">
        <v>4739</v>
      </c>
      <c r="V132" t="str" cm="1">
        <f t="array" ref="V13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2">
        <v>16090</v>
      </c>
      <c r="X132">
        <v>4</v>
      </c>
      <c r="Y132" t="s">
        <v>43</v>
      </c>
      <c r="Z132" t="s">
        <v>44</v>
      </c>
      <c r="AA132">
        <v>12</v>
      </c>
      <c r="AB132">
        <v>3</v>
      </c>
      <c r="AC132">
        <v>4</v>
      </c>
      <c r="AD132">
        <v>80</v>
      </c>
      <c r="AE132">
        <v>0</v>
      </c>
      <c r="AF132">
        <v>18</v>
      </c>
      <c r="AG132">
        <v>2</v>
      </c>
      <c r="AH132">
        <v>3</v>
      </c>
      <c r="AI132">
        <v>3</v>
      </c>
      <c r="AJ132">
        <v>2</v>
      </c>
      <c r="AK132">
        <v>1</v>
      </c>
      <c r="AL132" t="str" cm="1">
        <f t="array" ref="AL13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2">
        <v>2</v>
      </c>
    </row>
    <row r="133" spans="1:39" x14ac:dyDescent="0.25">
      <c r="A133">
        <v>50</v>
      </c>
      <c r="B133" t="s">
        <v>44</v>
      </c>
      <c r="C133" t="s">
        <v>45</v>
      </c>
      <c r="D133">
        <v>809</v>
      </c>
      <c r="E133" t="s">
        <v>38</v>
      </c>
      <c r="G133">
        <v>12</v>
      </c>
      <c r="H133">
        <v>3</v>
      </c>
      <c r="I133" t="s">
        <v>60</v>
      </c>
      <c r="J133" t="str">
        <f>WA_Fn_UseC__HR_Employee_Attrition[[#This Row],[EducationField]]&amp;"-"&amp;WA_Fn_UseC__HR_Employee_Attrition[[#This Row],[Department]]</f>
        <v>Marketing-Sales</v>
      </c>
      <c r="K133">
        <v>1</v>
      </c>
      <c r="L133">
        <v>174</v>
      </c>
      <c r="M133">
        <v>3</v>
      </c>
      <c r="N133" t="s">
        <v>40</v>
      </c>
      <c r="O133">
        <v>77</v>
      </c>
      <c r="P133">
        <v>3</v>
      </c>
      <c r="Q133">
        <v>3</v>
      </c>
      <c r="R133" t="s">
        <v>41</v>
      </c>
      <c r="S133">
        <v>4</v>
      </c>
      <c r="T133" t="s">
        <v>42</v>
      </c>
      <c r="U133">
        <v>9208</v>
      </c>
      <c r="V133" t="str" cm="1">
        <f t="array" ref="V13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3">
        <v>6645</v>
      </c>
      <c r="X133">
        <v>4</v>
      </c>
      <c r="Y133" t="s">
        <v>43</v>
      </c>
      <c r="Z133" t="s">
        <v>44</v>
      </c>
      <c r="AA133">
        <v>11</v>
      </c>
      <c r="AB133">
        <v>3</v>
      </c>
      <c r="AC133">
        <v>4</v>
      </c>
      <c r="AD133">
        <v>80</v>
      </c>
      <c r="AE133">
        <v>0</v>
      </c>
      <c r="AF133">
        <v>16</v>
      </c>
      <c r="AG133">
        <v>3</v>
      </c>
      <c r="AH133">
        <v>3</v>
      </c>
      <c r="AI133">
        <v>2</v>
      </c>
      <c r="AJ133">
        <v>2</v>
      </c>
      <c r="AK133">
        <v>2</v>
      </c>
      <c r="AL133" t="str" cm="1">
        <f t="array" ref="AL13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3">
        <v>1</v>
      </c>
    </row>
    <row r="134" spans="1:39" x14ac:dyDescent="0.25">
      <c r="A134">
        <v>31</v>
      </c>
      <c r="B134" t="s">
        <v>36</v>
      </c>
      <c r="C134" t="s">
        <v>37</v>
      </c>
      <c r="D134">
        <v>542</v>
      </c>
      <c r="E134" t="s">
        <v>38</v>
      </c>
      <c r="G134">
        <v>20</v>
      </c>
      <c r="H134">
        <v>3</v>
      </c>
      <c r="I134" t="s">
        <v>39</v>
      </c>
      <c r="J134" t="str">
        <f>WA_Fn_UseC__HR_Employee_Attrition[[#This Row],[EducationField]]&amp;"-"&amp;WA_Fn_UseC__HR_Employee_Attrition[[#This Row],[Department]]</f>
        <v>Life Sciences-Sales</v>
      </c>
      <c r="K134">
        <v>1</v>
      </c>
      <c r="L134">
        <v>175</v>
      </c>
      <c r="M134">
        <v>2</v>
      </c>
      <c r="N134" t="s">
        <v>40</v>
      </c>
      <c r="O134">
        <v>71</v>
      </c>
      <c r="P134">
        <v>1</v>
      </c>
      <c r="Q134">
        <v>2</v>
      </c>
      <c r="R134" t="s">
        <v>41</v>
      </c>
      <c r="S134">
        <v>3</v>
      </c>
      <c r="T134" t="s">
        <v>49</v>
      </c>
      <c r="U134">
        <v>4559</v>
      </c>
      <c r="V134" t="str" cm="1">
        <f t="array" ref="V13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4">
        <v>24788</v>
      </c>
      <c r="X134">
        <v>3</v>
      </c>
      <c r="Y134" t="s">
        <v>43</v>
      </c>
      <c r="Z134" t="s">
        <v>36</v>
      </c>
      <c r="AA134">
        <v>11</v>
      </c>
      <c r="AB134">
        <v>3</v>
      </c>
      <c r="AC134">
        <v>3</v>
      </c>
      <c r="AD134">
        <v>80</v>
      </c>
      <c r="AE134">
        <v>1</v>
      </c>
      <c r="AF134">
        <v>4</v>
      </c>
      <c r="AG134">
        <v>2</v>
      </c>
      <c r="AH134">
        <v>3</v>
      </c>
      <c r="AI134">
        <v>2</v>
      </c>
      <c r="AJ134">
        <v>2</v>
      </c>
      <c r="AK134">
        <v>2</v>
      </c>
      <c r="AL134" t="str" cm="1">
        <f t="array" ref="AL13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4">
        <v>2</v>
      </c>
    </row>
    <row r="135" spans="1:39" x14ac:dyDescent="0.25">
      <c r="A135">
        <v>41</v>
      </c>
      <c r="B135" t="s">
        <v>44</v>
      </c>
      <c r="C135" t="s">
        <v>37</v>
      </c>
      <c r="D135">
        <v>802</v>
      </c>
      <c r="E135" t="s">
        <v>38</v>
      </c>
      <c r="G135">
        <v>9</v>
      </c>
      <c r="H135">
        <v>1</v>
      </c>
      <c r="I135" t="s">
        <v>39</v>
      </c>
      <c r="J135" t="str">
        <f>WA_Fn_UseC__HR_Employee_Attrition[[#This Row],[EducationField]]&amp;"-"&amp;WA_Fn_UseC__HR_Employee_Attrition[[#This Row],[Department]]</f>
        <v>Life Sciences-Sales</v>
      </c>
      <c r="K135">
        <v>1</v>
      </c>
      <c r="L135">
        <v>176</v>
      </c>
      <c r="M135">
        <v>3</v>
      </c>
      <c r="N135" t="s">
        <v>47</v>
      </c>
      <c r="O135">
        <v>96</v>
      </c>
      <c r="P135">
        <v>3</v>
      </c>
      <c r="Q135">
        <v>3</v>
      </c>
      <c r="R135" t="s">
        <v>41</v>
      </c>
      <c r="S135">
        <v>3</v>
      </c>
      <c r="T135" t="s">
        <v>53</v>
      </c>
      <c r="U135">
        <v>8189</v>
      </c>
      <c r="V135" t="str" cm="1">
        <f t="array" ref="V13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5">
        <v>21196</v>
      </c>
      <c r="X135">
        <v>3</v>
      </c>
      <c r="Y135" t="s">
        <v>43</v>
      </c>
      <c r="Z135" t="s">
        <v>36</v>
      </c>
      <c r="AA135">
        <v>13</v>
      </c>
      <c r="AB135">
        <v>3</v>
      </c>
      <c r="AC135">
        <v>3</v>
      </c>
      <c r="AD135">
        <v>80</v>
      </c>
      <c r="AE135">
        <v>1</v>
      </c>
      <c r="AF135">
        <v>12</v>
      </c>
      <c r="AG135">
        <v>2</v>
      </c>
      <c r="AH135">
        <v>3</v>
      </c>
      <c r="AI135">
        <v>9</v>
      </c>
      <c r="AJ135">
        <v>7</v>
      </c>
      <c r="AK135">
        <v>0</v>
      </c>
      <c r="AL135" t="str" cm="1">
        <f t="array" ref="AL13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5">
        <v>7</v>
      </c>
    </row>
    <row r="136" spans="1:39" x14ac:dyDescent="0.25">
      <c r="A136">
        <v>26</v>
      </c>
      <c r="B136" t="s">
        <v>44</v>
      </c>
      <c r="C136" t="s">
        <v>37</v>
      </c>
      <c r="D136">
        <v>1355</v>
      </c>
      <c r="E136" t="s">
        <v>62</v>
      </c>
      <c r="G136">
        <v>25</v>
      </c>
      <c r="H136">
        <v>1</v>
      </c>
      <c r="I136" t="s">
        <v>39</v>
      </c>
      <c r="J136" t="str">
        <f>WA_Fn_UseC__HR_Employee_Attrition[[#This Row],[EducationField]]&amp;"-"&amp;WA_Fn_UseC__HR_Employee_Attrition[[#This Row],[Department]]</f>
        <v>Life Sciences-Human Resources</v>
      </c>
      <c r="K136">
        <v>1</v>
      </c>
      <c r="L136">
        <v>177</v>
      </c>
      <c r="M136">
        <v>3</v>
      </c>
      <c r="N136" t="s">
        <v>40</v>
      </c>
      <c r="O136">
        <v>61</v>
      </c>
      <c r="P136">
        <v>3</v>
      </c>
      <c r="Q136">
        <v>1</v>
      </c>
      <c r="R136" t="s">
        <v>62</v>
      </c>
      <c r="S136">
        <v>3</v>
      </c>
      <c r="T136" t="s">
        <v>49</v>
      </c>
      <c r="U136">
        <v>2942</v>
      </c>
      <c r="V136" t="str" cm="1">
        <f t="array" ref="V13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6">
        <v>8916</v>
      </c>
      <c r="X136">
        <v>1</v>
      </c>
      <c r="Y136" t="s">
        <v>43</v>
      </c>
      <c r="Z136" t="s">
        <v>44</v>
      </c>
      <c r="AA136">
        <v>23</v>
      </c>
      <c r="AB136">
        <v>4</v>
      </c>
      <c r="AC136">
        <v>4</v>
      </c>
      <c r="AD136">
        <v>80</v>
      </c>
      <c r="AE136">
        <v>1</v>
      </c>
      <c r="AF136">
        <v>8</v>
      </c>
      <c r="AG136">
        <v>3</v>
      </c>
      <c r="AH136">
        <v>3</v>
      </c>
      <c r="AI136">
        <v>8</v>
      </c>
      <c r="AJ136">
        <v>7</v>
      </c>
      <c r="AK136">
        <v>5</v>
      </c>
      <c r="AL136" t="str" cm="1">
        <f t="array" ref="AL13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6">
        <v>7</v>
      </c>
    </row>
    <row r="137" spans="1:39" x14ac:dyDescent="0.25">
      <c r="A137">
        <v>36</v>
      </c>
      <c r="B137" t="s">
        <v>44</v>
      </c>
      <c r="C137" t="s">
        <v>37</v>
      </c>
      <c r="D137">
        <v>216</v>
      </c>
      <c r="E137" t="s">
        <v>46</v>
      </c>
      <c r="G137">
        <v>6</v>
      </c>
      <c r="H137">
        <v>2</v>
      </c>
      <c r="I137" t="s">
        <v>52</v>
      </c>
      <c r="J137" t="str">
        <f>WA_Fn_UseC__HR_Employee_Attrition[[#This Row],[EducationField]]&amp;"-"&amp;WA_Fn_UseC__HR_Employee_Attrition[[#This Row],[Department]]</f>
        <v>Medical-Research &amp; Development</v>
      </c>
      <c r="K137">
        <v>1</v>
      </c>
      <c r="L137">
        <v>178</v>
      </c>
      <c r="M137">
        <v>2</v>
      </c>
      <c r="N137" t="s">
        <v>47</v>
      </c>
      <c r="O137">
        <v>84</v>
      </c>
      <c r="P137">
        <v>3</v>
      </c>
      <c r="Q137">
        <v>2</v>
      </c>
      <c r="R137" t="s">
        <v>54</v>
      </c>
      <c r="S137">
        <v>2</v>
      </c>
      <c r="T137" t="s">
        <v>53</v>
      </c>
      <c r="U137">
        <v>4941</v>
      </c>
      <c r="V137" t="str" cm="1">
        <f t="array" ref="V13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7">
        <v>2819</v>
      </c>
      <c r="X137">
        <v>6</v>
      </c>
      <c r="Y137" t="s">
        <v>43</v>
      </c>
      <c r="Z137" t="s">
        <v>44</v>
      </c>
      <c r="AA137">
        <v>20</v>
      </c>
      <c r="AB137">
        <v>4</v>
      </c>
      <c r="AC137">
        <v>4</v>
      </c>
      <c r="AD137">
        <v>80</v>
      </c>
      <c r="AE137">
        <v>2</v>
      </c>
      <c r="AF137">
        <v>7</v>
      </c>
      <c r="AG137">
        <v>0</v>
      </c>
      <c r="AH137">
        <v>3</v>
      </c>
      <c r="AI137">
        <v>3</v>
      </c>
      <c r="AJ137">
        <v>2</v>
      </c>
      <c r="AK137">
        <v>0</v>
      </c>
      <c r="AL137" t="str" cm="1">
        <f t="array" ref="AL13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7">
        <v>1</v>
      </c>
    </row>
    <row r="138" spans="1:39" x14ac:dyDescent="0.25">
      <c r="A138">
        <v>51</v>
      </c>
      <c r="B138" t="s">
        <v>36</v>
      </c>
      <c r="C138" t="s">
        <v>45</v>
      </c>
      <c r="D138">
        <v>1150</v>
      </c>
      <c r="E138" t="s">
        <v>46</v>
      </c>
      <c r="G138">
        <v>8</v>
      </c>
      <c r="H138">
        <v>4</v>
      </c>
      <c r="I138" t="s">
        <v>39</v>
      </c>
      <c r="J138" t="str">
        <f>WA_Fn_UseC__HR_Employee_Attrition[[#This Row],[EducationField]]&amp;"-"&amp;WA_Fn_UseC__HR_Employee_Attrition[[#This Row],[Department]]</f>
        <v>Life Sciences-Research &amp; Development</v>
      </c>
      <c r="K138">
        <v>1</v>
      </c>
      <c r="L138">
        <v>179</v>
      </c>
      <c r="M138">
        <v>1</v>
      </c>
      <c r="N138" t="s">
        <v>47</v>
      </c>
      <c r="O138">
        <v>53</v>
      </c>
      <c r="P138">
        <v>1</v>
      </c>
      <c r="Q138">
        <v>3</v>
      </c>
      <c r="R138" t="s">
        <v>54</v>
      </c>
      <c r="S138">
        <v>4</v>
      </c>
      <c r="T138" t="s">
        <v>42</v>
      </c>
      <c r="U138">
        <v>10650</v>
      </c>
      <c r="V138" t="str" cm="1">
        <f t="array" ref="V13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8">
        <v>25150</v>
      </c>
      <c r="X138">
        <v>2</v>
      </c>
      <c r="Y138" t="s">
        <v>43</v>
      </c>
      <c r="Z138" t="s">
        <v>44</v>
      </c>
      <c r="AA138">
        <v>15</v>
      </c>
      <c r="AB138">
        <v>3</v>
      </c>
      <c r="AC138">
        <v>4</v>
      </c>
      <c r="AD138">
        <v>80</v>
      </c>
      <c r="AE138">
        <v>0</v>
      </c>
      <c r="AF138">
        <v>18</v>
      </c>
      <c r="AG138">
        <v>2</v>
      </c>
      <c r="AH138">
        <v>3</v>
      </c>
      <c r="AI138">
        <v>4</v>
      </c>
      <c r="AJ138">
        <v>2</v>
      </c>
      <c r="AK138">
        <v>0</v>
      </c>
      <c r="AL138" t="str" cm="1">
        <f t="array" ref="AL13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8">
        <v>3</v>
      </c>
    </row>
    <row r="139" spans="1:39" x14ac:dyDescent="0.25">
      <c r="A139">
        <v>39</v>
      </c>
      <c r="B139" t="s">
        <v>44</v>
      </c>
      <c r="C139" t="s">
        <v>37</v>
      </c>
      <c r="D139">
        <v>1329</v>
      </c>
      <c r="E139" t="s">
        <v>38</v>
      </c>
      <c r="G139">
        <v>4</v>
      </c>
      <c r="H139">
        <v>4</v>
      </c>
      <c r="I139" t="s">
        <v>39</v>
      </c>
      <c r="J139" t="str">
        <f>WA_Fn_UseC__HR_Employee_Attrition[[#This Row],[EducationField]]&amp;"-"&amp;WA_Fn_UseC__HR_Employee_Attrition[[#This Row],[Department]]</f>
        <v>Life Sciences-Sales</v>
      </c>
      <c r="K139">
        <v>1</v>
      </c>
      <c r="L139">
        <v>182</v>
      </c>
      <c r="M139">
        <v>4</v>
      </c>
      <c r="N139" t="s">
        <v>40</v>
      </c>
      <c r="O139">
        <v>47</v>
      </c>
      <c r="P139">
        <v>2</v>
      </c>
      <c r="Q139">
        <v>2</v>
      </c>
      <c r="R139" t="s">
        <v>41</v>
      </c>
      <c r="S139">
        <v>3</v>
      </c>
      <c r="T139" t="s">
        <v>49</v>
      </c>
      <c r="U139">
        <v>5902</v>
      </c>
      <c r="V139" t="str" cm="1">
        <f t="array" ref="V13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9">
        <v>14590</v>
      </c>
      <c r="X139">
        <v>4</v>
      </c>
      <c r="Y139" t="s">
        <v>43</v>
      </c>
      <c r="Z139" t="s">
        <v>44</v>
      </c>
      <c r="AA139">
        <v>14</v>
      </c>
      <c r="AB139">
        <v>3</v>
      </c>
      <c r="AC139">
        <v>3</v>
      </c>
      <c r="AD139">
        <v>80</v>
      </c>
      <c r="AE139">
        <v>1</v>
      </c>
      <c r="AF139">
        <v>17</v>
      </c>
      <c r="AG139">
        <v>1</v>
      </c>
      <c r="AH139">
        <v>4</v>
      </c>
      <c r="AI139">
        <v>15</v>
      </c>
      <c r="AJ139">
        <v>11</v>
      </c>
      <c r="AK139">
        <v>5</v>
      </c>
      <c r="AL139" t="str" cm="1">
        <f t="array" ref="AL13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9">
        <v>9</v>
      </c>
    </row>
    <row r="140" spans="1:39" x14ac:dyDescent="0.25">
      <c r="A140">
        <v>25</v>
      </c>
      <c r="B140" t="s">
        <v>44</v>
      </c>
      <c r="C140" t="s">
        <v>37</v>
      </c>
      <c r="D140">
        <v>959</v>
      </c>
      <c r="E140" t="s">
        <v>38</v>
      </c>
      <c r="G140">
        <v>28</v>
      </c>
      <c r="H140">
        <v>3</v>
      </c>
      <c r="I140" t="s">
        <v>39</v>
      </c>
      <c r="J140" t="str">
        <f>WA_Fn_UseC__HR_Employee_Attrition[[#This Row],[EducationField]]&amp;"-"&amp;WA_Fn_UseC__HR_Employee_Attrition[[#This Row],[Department]]</f>
        <v>Life Sciences-Sales</v>
      </c>
      <c r="K140">
        <v>1</v>
      </c>
      <c r="L140">
        <v>183</v>
      </c>
      <c r="M140">
        <v>1</v>
      </c>
      <c r="N140" t="s">
        <v>47</v>
      </c>
      <c r="O140">
        <v>41</v>
      </c>
      <c r="P140">
        <v>2</v>
      </c>
      <c r="Q140">
        <v>2</v>
      </c>
      <c r="R140" t="s">
        <v>41</v>
      </c>
      <c r="S140">
        <v>3</v>
      </c>
      <c r="T140" t="s">
        <v>49</v>
      </c>
      <c r="U140">
        <v>8639</v>
      </c>
      <c r="V140" t="str" cm="1">
        <f t="array" ref="V14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0">
        <v>24835</v>
      </c>
      <c r="X140">
        <v>2</v>
      </c>
      <c r="Y140" t="s">
        <v>43</v>
      </c>
      <c r="Z140" t="s">
        <v>44</v>
      </c>
      <c r="AA140">
        <v>18</v>
      </c>
      <c r="AB140">
        <v>3</v>
      </c>
      <c r="AC140">
        <v>4</v>
      </c>
      <c r="AD140">
        <v>80</v>
      </c>
      <c r="AE140">
        <v>0</v>
      </c>
      <c r="AF140">
        <v>6</v>
      </c>
      <c r="AG140">
        <v>3</v>
      </c>
      <c r="AH140">
        <v>3</v>
      </c>
      <c r="AI140">
        <v>2</v>
      </c>
      <c r="AJ140">
        <v>2</v>
      </c>
      <c r="AK140">
        <v>2</v>
      </c>
      <c r="AL140" t="str" cm="1">
        <f t="array" ref="AL14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0">
        <v>2</v>
      </c>
    </row>
    <row r="141" spans="1:39" x14ac:dyDescent="0.25">
      <c r="A141">
        <v>30</v>
      </c>
      <c r="B141" t="s">
        <v>44</v>
      </c>
      <c r="C141" t="s">
        <v>37</v>
      </c>
      <c r="D141">
        <v>1240</v>
      </c>
      <c r="E141" t="s">
        <v>62</v>
      </c>
      <c r="G141">
        <v>9</v>
      </c>
      <c r="H141">
        <v>3</v>
      </c>
      <c r="I141" t="s">
        <v>62</v>
      </c>
      <c r="J141" t="str">
        <f>WA_Fn_UseC__HR_Employee_Attrition[[#This Row],[EducationField]]&amp;"-"&amp;WA_Fn_UseC__HR_Employee_Attrition[[#This Row],[Department]]</f>
        <v>Human Resources-Human Resources</v>
      </c>
      <c r="K141">
        <v>1</v>
      </c>
      <c r="L141">
        <v>184</v>
      </c>
      <c r="M141">
        <v>3</v>
      </c>
      <c r="N141" t="s">
        <v>47</v>
      </c>
      <c r="O141">
        <v>48</v>
      </c>
      <c r="P141">
        <v>3</v>
      </c>
      <c r="Q141">
        <v>2</v>
      </c>
      <c r="R141" t="s">
        <v>62</v>
      </c>
      <c r="S141">
        <v>4</v>
      </c>
      <c r="T141" t="s">
        <v>49</v>
      </c>
      <c r="U141">
        <v>6347</v>
      </c>
      <c r="V141" t="str" cm="1">
        <f t="array" ref="V14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1">
        <v>13982</v>
      </c>
      <c r="X141">
        <v>0</v>
      </c>
      <c r="Y141" t="s">
        <v>43</v>
      </c>
      <c r="Z141" t="s">
        <v>36</v>
      </c>
      <c r="AA141">
        <v>19</v>
      </c>
      <c r="AB141">
        <v>3</v>
      </c>
      <c r="AC141">
        <v>4</v>
      </c>
      <c r="AD141">
        <v>80</v>
      </c>
      <c r="AE141">
        <v>0</v>
      </c>
      <c r="AF141">
        <v>12</v>
      </c>
      <c r="AG141">
        <v>2</v>
      </c>
      <c r="AH141">
        <v>1</v>
      </c>
      <c r="AI141">
        <v>11</v>
      </c>
      <c r="AJ141">
        <v>9</v>
      </c>
      <c r="AK141">
        <v>4</v>
      </c>
      <c r="AL141" t="str" cm="1">
        <f t="array" ref="AL14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1">
        <v>7</v>
      </c>
    </row>
    <row r="142" spans="1:39" x14ac:dyDescent="0.25">
      <c r="A142">
        <v>32</v>
      </c>
      <c r="B142" t="s">
        <v>36</v>
      </c>
      <c r="C142" t="s">
        <v>37</v>
      </c>
      <c r="D142">
        <v>1033</v>
      </c>
      <c r="E142" t="s">
        <v>46</v>
      </c>
      <c r="G142">
        <v>9</v>
      </c>
      <c r="H142">
        <v>3</v>
      </c>
      <c r="I142" t="s">
        <v>52</v>
      </c>
      <c r="J142" t="str">
        <f>WA_Fn_UseC__HR_Employee_Attrition[[#This Row],[EducationField]]&amp;"-"&amp;WA_Fn_UseC__HR_Employee_Attrition[[#This Row],[Department]]</f>
        <v>Medical-Research &amp; Development</v>
      </c>
      <c r="K142">
        <v>1</v>
      </c>
      <c r="L142">
        <v>190</v>
      </c>
      <c r="M142">
        <v>1</v>
      </c>
      <c r="N142" t="s">
        <v>40</v>
      </c>
      <c r="O142">
        <v>41</v>
      </c>
      <c r="P142">
        <v>3</v>
      </c>
      <c r="Q142">
        <v>1</v>
      </c>
      <c r="R142" t="s">
        <v>51</v>
      </c>
      <c r="S142">
        <v>1</v>
      </c>
      <c r="T142" t="s">
        <v>42</v>
      </c>
      <c r="U142">
        <v>4200</v>
      </c>
      <c r="V142" t="str" cm="1">
        <f t="array" ref="V14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2">
        <v>10224</v>
      </c>
      <c r="X142">
        <v>7</v>
      </c>
      <c r="Y142" t="s">
        <v>43</v>
      </c>
      <c r="Z142" t="s">
        <v>44</v>
      </c>
      <c r="AA142">
        <v>22</v>
      </c>
      <c r="AB142">
        <v>4</v>
      </c>
      <c r="AC142">
        <v>1</v>
      </c>
      <c r="AD142">
        <v>80</v>
      </c>
      <c r="AE142">
        <v>0</v>
      </c>
      <c r="AF142">
        <v>10</v>
      </c>
      <c r="AG142">
        <v>2</v>
      </c>
      <c r="AH142">
        <v>4</v>
      </c>
      <c r="AI142">
        <v>5</v>
      </c>
      <c r="AJ142">
        <v>4</v>
      </c>
      <c r="AK142">
        <v>0</v>
      </c>
      <c r="AL142" t="str" cm="1">
        <f t="array" ref="AL14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2">
        <v>4</v>
      </c>
    </row>
    <row r="143" spans="1:39" x14ac:dyDescent="0.25">
      <c r="A143">
        <v>45</v>
      </c>
      <c r="B143" t="s">
        <v>44</v>
      </c>
      <c r="C143" t="s">
        <v>37</v>
      </c>
      <c r="D143">
        <v>1316</v>
      </c>
      <c r="E143" t="s">
        <v>46</v>
      </c>
      <c r="G143">
        <v>29</v>
      </c>
      <c r="H143">
        <v>3</v>
      </c>
      <c r="I143" t="s">
        <v>52</v>
      </c>
      <c r="J143" t="str">
        <f>WA_Fn_UseC__HR_Employee_Attrition[[#This Row],[EducationField]]&amp;"-"&amp;WA_Fn_UseC__HR_Employee_Attrition[[#This Row],[Department]]</f>
        <v>Medical-Research &amp; Development</v>
      </c>
      <c r="K143">
        <v>1</v>
      </c>
      <c r="L143">
        <v>192</v>
      </c>
      <c r="M143">
        <v>3</v>
      </c>
      <c r="N143" t="s">
        <v>47</v>
      </c>
      <c r="O143">
        <v>83</v>
      </c>
      <c r="P143">
        <v>3</v>
      </c>
      <c r="Q143">
        <v>1</v>
      </c>
      <c r="R143" t="s">
        <v>48</v>
      </c>
      <c r="S143">
        <v>4</v>
      </c>
      <c r="T143" t="s">
        <v>42</v>
      </c>
      <c r="U143">
        <v>3452</v>
      </c>
      <c r="V143" t="str" cm="1">
        <f t="array" ref="V14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3">
        <v>9752</v>
      </c>
      <c r="X143">
        <v>5</v>
      </c>
      <c r="Y143" t="s">
        <v>43</v>
      </c>
      <c r="Z143" t="s">
        <v>44</v>
      </c>
      <c r="AA143">
        <v>13</v>
      </c>
      <c r="AB143">
        <v>3</v>
      </c>
      <c r="AC143">
        <v>2</v>
      </c>
      <c r="AD143">
        <v>80</v>
      </c>
      <c r="AE143">
        <v>0</v>
      </c>
      <c r="AF143">
        <v>9</v>
      </c>
      <c r="AG143">
        <v>2</v>
      </c>
      <c r="AH143">
        <v>2</v>
      </c>
      <c r="AI143">
        <v>6</v>
      </c>
      <c r="AJ143">
        <v>5</v>
      </c>
      <c r="AK143">
        <v>0</v>
      </c>
      <c r="AL143" t="str" cm="1">
        <f t="array" ref="AL14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3">
        <v>3</v>
      </c>
    </row>
    <row r="144" spans="1:39" x14ac:dyDescent="0.25">
      <c r="A144">
        <v>38</v>
      </c>
      <c r="B144" t="s">
        <v>44</v>
      </c>
      <c r="C144" t="s">
        <v>37</v>
      </c>
      <c r="D144">
        <v>364</v>
      </c>
      <c r="E144" t="s">
        <v>46</v>
      </c>
      <c r="G144">
        <v>3</v>
      </c>
      <c r="H144">
        <v>5</v>
      </c>
      <c r="I144" t="s">
        <v>61</v>
      </c>
      <c r="J144" t="str">
        <f>WA_Fn_UseC__HR_Employee_Attrition[[#This Row],[EducationField]]&amp;"-"&amp;WA_Fn_UseC__HR_Employee_Attrition[[#This Row],[Department]]</f>
        <v>Technical Degree-Research &amp; Development</v>
      </c>
      <c r="K144">
        <v>1</v>
      </c>
      <c r="L144">
        <v>193</v>
      </c>
      <c r="M144">
        <v>4</v>
      </c>
      <c r="N144" t="s">
        <v>40</v>
      </c>
      <c r="O144">
        <v>32</v>
      </c>
      <c r="P144">
        <v>3</v>
      </c>
      <c r="Q144">
        <v>2</v>
      </c>
      <c r="R144" t="s">
        <v>48</v>
      </c>
      <c r="S144">
        <v>3</v>
      </c>
      <c r="T144" t="s">
        <v>42</v>
      </c>
      <c r="U144">
        <v>4317</v>
      </c>
      <c r="V144" t="str" cm="1">
        <f t="array" ref="V14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4">
        <v>2302</v>
      </c>
      <c r="X144">
        <v>3</v>
      </c>
      <c r="Y144" t="s">
        <v>43</v>
      </c>
      <c r="Z144" t="s">
        <v>36</v>
      </c>
      <c r="AA144">
        <v>20</v>
      </c>
      <c r="AB144">
        <v>4</v>
      </c>
      <c r="AC144">
        <v>2</v>
      </c>
      <c r="AD144">
        <v>80</v>
      </c>
      <c r="AE144">
        <v>0</v>
      </c>
      <c r="AF144">
        <v>19</v>
      </c>
      <c r="AG144">
        <v>2</v>
      </c>
      <c r="AH144">
        <v>3</v>
      </c>
      <c r="AI144">
        <v>3</v>
      </c>
      <c r="AJ144">
        <v>2</v>
      </c>
      <c r="AK144">
        <v>2</v>
      </c>
      <c r="AL144" t="str" cm="1">
        <f t="array" ref="AL14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4">
        <v>2</v>
      </c>
    </row>
    <row r="145" spans="1:39" x14ac:dyDescent="0.25">
      <c r="A145">
        <v>30</v>
      </c>
      <c r="B145" t="s">
        <v>44</v>
      </c>
      <c r="C145" t="s">
        <v>37</v>
      </c>
      <c r="D145">
        <v>438</v>
      </c>
      <c r="E145" t="s">
        <v>46</v>
      </c>
      <c r="G145">
        <v>18</v>
      </c>
      <c r="H145">
        <v>3</v>
      </c>
      <c r="I145" t="s">
        <v>39</v>
      </c>
      <c r="J145" t="str">
        <f>WA_Fn_UseC__HR_Employee_Attrition[[#This Row],[EducationField]]&amp;"-"&amp;WA_Fn_UseC__HR_Employee_Attrition[[#This Row],[Department]]</f>
        <v>Life Sciences-Research &amp; Development</v>
      </c>
      <c r="K145">
        <v>1</v>
      </c>
      <c r="L145">
        <v>194</v>
      </c>
      <c r="M145">
        <v>1</v>
      </c>
      <c r="N145" t="s">
        <v>40</v>
      </c>
      <c r="O145">
        <v>75</v>
      </c>
      <c r="P145">
        <v>3</v>
      </c>
      <c r="Q145">
        <v>1</v>
      </c>
      <c r="R145" t="s">
        <v>48</v>
      </c>
      <c r="S145">
        <v>3</v>
      </c>
      <c r="T145" t="s">
        <v>42</v>
      </c>
      <c r="U145">
        <v>2632</v>
      </c>
      <c r="V145" t="str" cm="1">
        <f t="array" ref="V14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5">
        <v>23910</v>
      </c>
      <c r="X145">
        <v>1</v>
      </c>
      <c r="Y145" t="s">
        <v>43</v>
      </c>
      <c r="Z145" t="s">
        <v>44</v>
      </c>
      <c r="AA145">
        <v>14</v>
      </c>
      <c r="AB145">
        <v>3</v>
      </c>
      <c r="AC145">
        <v>3</v>
      </c>
      <c r="AD145">
        <v>80</v>
      </c>
      <c r="AE145">
        <v>0</v>
      </c>
      <c r="AF145">
        <v>5</v>
      </c>
      <c r="AG145">
        <v>4</v>
      </c>
      <c r="AH145">
        <v>2</v>
      </c>
      <c r="AI145">
        <v>5</v>
      </c>
      <c r="AJ145">
        <v>4</v>
      </c>
      <c r="AK145">
        <v>0</v>
      </c>
      <c r="AL145" t="str" cm="1">
        <f t="array" ref="AL14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5">
        <v>4</v>
      </c>
    </row>
    <row r="146" spans="1:39" x14ac:dyDescent="0.25">
      <c r="A146">
        <v>32</v>
      </c>
      <c r="B146" t="s">
        <v>44</v>
      </c>
      <c r="C146" t="s">
        <v>45</v>
      </c>
      <c r="D146">
        <v>689</v>
      </c>
      <c r="E146" t="s">
        <v>38</v>
      </c>
      <c r="G146">
        <v>9</v>
      </c>
      <c r="H146">
        <v>2</v>
      </c>
      <c r="I146" t="s">
        <v>52</v>
      </c>
      <c r="J146" t="str">
        <f>WA_Fn_UseC__HR_Employee_Attrition[[#This Row],[EducationField]]&amp;"-"&amp;WA_Fn_UseC__HR_Employee_Attrition[[#This Row],[Department]]</f>
        <v>Medical-Sales</v>
      </c>
      <c r="K146">
        <v>1</v>
      </c>
      <c r="L146">
        <v>195</v>
      </c>
      <c r="M146">
        <v>4</v>
      </c>
      <c r="N146" t="s">
        <v>47</v>
      </c>
      <c r="O146">
        <v>35</v>
      </c>
      <c r="P146">
        <v>1</v>
      </c>
      <c r="Q146">
        <v>2</v>
      </c>
      <c r="R146" t="s">
        <v>41</v>
      </c>
      <c r="S146">
        <v>4</v>
      </c>
      <c r="T146" t="s">
        <v>53</v>
      </c>
      <c r="U146">
        <v>4668</v>
      </c>
      <c r="V146" t="str" cm="1">
        <f t="array" ref="V14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6">
        <v>22812</v>
      </c>
      <c r="X146">
        <v>0</v>
      </c>
      <c r="Y146" t="s">
        <v>43</v>
      </c>
      <c r="Z146" t="s">
        <v>44</v>
      </c>
      <c r="AA146">
        <v>17</v>
      </c>
      <c r="AB146">
        <v>3</v>
      </c>
      <c r="AC146">
        <v>4</v>
      </c>
      <c r="AD146">
        <v>80</v>
      </c>
      <c r="AE146">
        <v>3</v>
      </c>
      <c r="AF146">
        <v>9</v>
      </c>
      <c r="AG146">
        <v>2</v>
      </c>
      <c r="AH146">
        <v>4</v>
      </c>
      <c r="AI146">
        <v>8</v>
      </c>
      <c r="AJ146">
        <v>7</v>
      </c>
      <c r="AK146">
        <v>0</v>
      </c>
      <c r="AL146" t="str" cm="1">
        <f t="array" ref="AL14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6">
        <v>7</v>
      </c>
    </row>
    <row r="147" spans="1:39" x14ac:dyDescent="0.25">
      <c r="A147">
        <v>30</v>
      </c>
      <c r="B147" t="s">
        <v>44</v>
      </c>
      <c r="C147" t="s">
        <v>37</v>
      </c>
      <c r="D147">
        <v>201</v>
      </c>
      <c r="E147" t="s">
        <v>46</v>
      </c>
      <c r="G147">
        <v>5</v>
      </c>
      <c r="H147">
        <v>3</v>
      </c>
      <c r="I147" t="s">
        <v>61</v>
      </c>
      <c r="J147" t="str">
        <f>WA_Fn_UseC__HR_Employee_Attrition[[#This Row],[EducationField]]&amp;"-"&amp;WA_Fn_UseC__HR_Employee_Attrition[[#This Row],[Department]]</f>
        <v>Technical Degree-Research &amp; Development</v>
      </c>
      <c r="K147">
        <v>1</v>
      </c>
      <c r="L147">
        <v>197</v>
      </c>
      <c r="M147">
        <v>4</v>
      </c>
      <c r="N147" t="s">
        <v>40</v>
      </c>
      <c r="O147">
        <v>84</v>
      </c>
      <c r="P147">
        <v>3</v>
      </c>
      <c r="Q147">
        <v>1</v>
      </c>
      <c r="R147" t="s">
        <v>48</v>
      </c>
      <c r="S147">
        <v>1</v>
      </c>
      <c r="T147" t="s">
        <v>53</v>
      </c>
      <c r="U147">
        <v>3204</v>
      </c>
      <c r="V147" t="str" cm="1">
        <f t="array" ref="V14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7">
        <v>10415</v>
      </c>
      <c r="X147">
        <v>5</v>
      </c>
      <c r="Y147" t="s">
        <v>43</v>
      </c>
      <c r="Z147" t="s">
        <v>44</v>
      </c>
      <c r="AA147">
        <v>14</v>
      </c>
      <c r="AB147">
        <v>3</v>
      </c>
      <c r="AC147">
        <v>4</v>
      </c>
      <c r="AD147">
        <v>80</v>
      </c>
      <c r="AE147">
        <v>1</v>
      </c>
      <c r="AF147">
        <v>8</v>
      </c>
      <c r="AG147">
        <v>3</v>
      </c>
      <c r="AH147">
        <v>3</v>
      </c>
      <c r="AI147">
        <v>3</v>
      </c>
      <c r="AJ147">
        <v>2</v>
      </c>
      <c r="AK147">
        <v>2</v>
      </c>
      <c r="AL147" t="str" cm="1">
        <f t="array" ref="AL14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7">
        <v>2</v>
      </c>
    </row>
    <row r="148" spans="1:39" x14ac:dyDescent="0.25">
      <c r="A148">
        <v>30</v>
      </c>
      <c r="B148" t="s">
        <v>44</v>
      </c>
      <c r="C148" t="s">
        <v>37</v>
      </c>
      <c r="D148">
        <v>1427</v>
      </c>
      <c r="E148" t="s">
        <v>46</v>
      </c>
      <c r="G148">
        <v>2</v>
      </c>
      <c r="H148">
        <v>1</v>
      </c>
      <c r="I148" t="s">
        <v>52</v>
      </c>
      <c r="J148" t="str">
        <f>WA_Fn_UseC__HR_Employee_Attrition[[#This Row],[EducationField]]&amp;"-"&amp;WA_Fn_UseC__HR_Employee_Attrition[[#This Row],[Department]]</f>
        <v>Medical-Research &amp; Development</v>
      </c>
      <c r="K148">
        <v>1</v>
      </c>
      <c r="L148">
        <v>198</v>
      </c>
      <c r="M148">
        <v>2</v>
      </c>
      <c r="N148" t="s">
        <v>47</v>
      </c>
      <c r="O148">
        <v>35</v>
      </c>
      <c r="P148">
        <v>2</v>
      </c>
      <c r="Q148">
        <v>1</v>
      </c>
      <c r="R148" t="s">
        <v>51</v>
      </c>
      <c r="S148">
        <v>4</v>
      </c>
      <c r="T148" t="s">
        <v>42</v>
      </c>
      <c r="U148">
        <v>2720</v>
      </c>
      <c r="V148" t="str" cm="1">
        <f t="array" ref="V14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8">
        <v>11162</v>
      </c>
      <c r="X148">
        <v>0</v>
      </c>
      <c r="Y148" t="s">
        <v>43</v>
      </c>
      <c r="Z148" t="s">
        <v>44</v>
      </c>
      <c r="AA148">
        <v>13</v>
      </c>
      <c r="AB148">
        <v>3</v>
      </c>
      <c r="AC148">
        <v>4</v>
      </c>
      <c r="AD148">
        <v>80</v>
      </c>
      <c r="AE148">
        <v>0</v>
      </c>
      <c r="AF148">
        <v>6</v>
      </c>
      <c r="AG148">
        <v>3</v>
      </c>
      <c r="AH148">
        <v>3</v>
      </c>
      <c r="AI148">
        <v>5</v>
      </c>
      <c r="AJ148">
        <v>3</v>
      </c>
      <c r="AK148">
        <v>1</v>
      </c>
      <c r="AL148" t="str" cm="1">
        <f t="array" ref="AL14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8">
        <v>2</v>
      </c>
    </row>
    <row r="149" spans="1:39" x14ac:dyDescent="0.25">
      <c r="A149">
        <v>41</v>
      </c>
      <c r="B149" t="s">
        <v>44</v>
      </c>
      <c r="C149" t="s">
        <v>45</v>
      </c>
      <c r="D149">
        <v>857</v>
      </c>
      <c r="E149" t="s">
        <v>46</v>
      </c>
      <c r="G149">
        <v>10</v>
      </c>
      <c r="H149">
        <v>3</v>
      </c>
      <c r="I149" t="s">
        <v>39</v>
      </c>
      <c r="J149" t="str">
        <f>WA_Fn_UseC__HR_Employee_Attrition[[#This Row],[EducationField]]&amp;"-"&amp;WA_Fn_UseC__HR_Employee_Attrition[[#This Row],[Department]]</f>
        <v>Life Sciences-Research &amp; Development</v>
      </c>
      <c r="K149">
        <v>1</v>
      </c>
      <c r="L149">
        <v>199</v>
      </c>
      <c r="M149">
        <v>4</v>
      </c>
      <c r="N149" t="s">
        <v>47</v>
      </c>
      <c r="O149">
        <v>91</v>
      </c>
      <c r="P149">
        <v>2</v>
      </c>
      <c r="Q149">
        <v>4</v>
      </c>
      <c r="R149" t="s">
        <v>57</v>
      </c>
      <c r="S149">
        <v>1</v>
      </c>
      <c r="T149" t="s">
        <v>53</v>
      </c>
      <c r="U149">
        <v>17181</v>
      </c>
      <c r="V149" t="str" cm="1">
        <f t="array" ref="V14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9">
        <v>12888</v>
      </c>
      <c r="X149">
        <v>4</v>
      </c>
      <c r="Y149" t="s">
        <v>43</v>
      </c>
      <c r="Z149" t="s">
        <v>44</v>
      </c>
      <c r="AA149">
        <v>13</v>
      </c>
      <c r="AB149">
        <v>3</v>
      </c>
      <c r="AC149">
        <v>2</v>
      </c>
      <c r="AD149">
        <v>80</v>
      </c>
      <c r="AE149">
        <v>1</v>
      </c>
      <c r="AF149">
        <v>21</v>
      </c>
      <c r="AG149">
        <v>2</v>
      </c>
      <c r="AH149">
        <v>2</v>
      </c>
      <c r="AI149">
        <v>7</v>
      </c>
      <c r="AJ149">
        <v>6</v>
      </c>
      <c r="AK149">
        <v>7</v>
      </c>
      <c r="AL149" t="str" cm="1">
        <f t="array" ref="AL14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9">
        <v>7</v>
      </c>
    </row>
    <row r="150" spans="1:39" x14ac:dyDescent="0.25">
      <c r="A150">
        <v>41</v>
      </c>
      <c r="B150" t="s">
        <v>44</v>
      </c>
      <c r="C150" t="s">
        <v>37</v>
      </c>
      <c r="D150">
        <v>933</v>
      </c>
      <c r="E150" t="s">
        <v>46</v>
      </c>
      <c r="G150">
        <v>9</v>
      </c>
      <c r="H150">
        <v>4</v>
      </c>
      <c r="I150" t="s">
        <v>39</v>
      </c>
      <c r="J150" t="str">
        <f>WA_Fn_UseC__HR_Employee_Attrition[[#This Row],[EducationField]]&amp;"-"&amp;WA_Fn_UseC__HR_Employee_Attrition[[#This Row],[Department]]</f>
        <v>Life Sciences-Research &amp; Development</v>
      </c>
      <c r="K150">
        <v>1</v>
      </c>
      <c r="L150">
        <v>200</v>
      </c>
      <c r="M150">
        <v>3</v>
      </c>
      <c r="N150" t="s">
        <v>47</v>
      </c>
      <c r="O150">
        <v>94</v>
      </c>
      <c r="P150">
        <v>3</v>
      </c>
      <c r="Q150">
        <v>1</v>
      </c>
      <c r="R150" t="s">
        <v>51</v>
      </c>
      <c r="S150">
        <v>1</v>
      </c>
      <c r="T150" t="s">
        <v>49</v>
      </c>
      <c r="U150">
        <v>2238</v>
      </c>
      <c r="V150" t="str" cm="1">
        <f t="array" ref="V15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50">
        <v>6961</v>
      </c>
      <c r="X150">
        <v>2</v>
      </c>
      <c r="Y150" t="s">
        <v>43</v>
      </c>
      <c r="Z150" t="s">
        <v>44</v>
      </c>
      <c r="AA150">
        <v>21</v>
      </c>
      <c r="AB150">
        <v>4</v>
      </c>
      <c r="AC150">
        <v>4</v>
      </c>
      <c r="AD150">
        <v>80</v>
      </c>
      <c r="AE150">
        <v>1</v>
      </c>
      <c r="AF150">
        <v>7</v>
      </c>
      <c r="AG150">
        <v>2</v>
      </c>
      <c r="AH150">
        <v>3</v>
      </c>
      <c r="AI150">
        <v>5</v>
      </c>
      <c r="AJ150">
        <v>0</v>
      </c>
      <c r="AK150">
        <v>1</v>
      </c>
      <c r="AL150" t="str" cm="1">
        <f t="array" ref="AL15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50">
        <v>4</v>
      </c>
    </row>
    <row r="151" spans="1:39" x14ac:dyDescent="0.25">
      <c r="A151">
        <v>19</v>
      </c>
      <c r="B151" t="s">
        <v>44</v>
      </c>
      <c r="C151" t="s">
        <v>37</v>
      </c>
      <c r="D151">
        <v>1181</v>
      </c>
      <c r="E151" t="s">
        <v>46</v>
      </c>
      <c r="G151">
        <v>3</v>
      </c>
      <c r="H151">
        <v>1</v>
      </c>
      <c r="I151" t="s">
        <v>52</v>
      </c>
      <c r="J151" t="str">
        <f>WA_Fn_UseC__HR_Employee_Attrition[[#This Row],[EducationField]]&amp;"-"&amp;WA_Fn_UseC__HR_Employee_Attrition[[#This Row],[Department]]</f>
        <v>Medical-Research &amp; Development</v>
      </c>
      <c r="K151">
        <v>1</v>
      </c>
      <c r="L151">
        <v>201</v>
      </c>
      <c r="M151">
        <v>2</v>
      </c>
      <c r="N151" t="s">
        <v>40</v>
      </c>
      <c r="O151">
        <v>79</v>
      </c>
      <c r="P151">
        <v>3</v>
      </c>
      <c r="Q151">
        <v>1</v>
      </c>
      <c r="R151" t="s">
        <v>51</v>
      </c>
      <c r="S151">
        <v>2</v>
      </c>
      <c r="T151" t="s">
        <v>42</v>
      </c>
      <c r="U151">
        <v>1483</v>
      </c>
      <c r="V151" t="str" cm="1">
        <f t="array" ref="V15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51">
        <v>16102</v>
      </c>
      <c r="X151">
        <v>1</v>
      </c>
      <c r="Y151" t="s">
        <v>43</v>
      </c>
      <c r="Z151" t="s">
        <v>44</v>
      </c>
      <c r="AA151">
        <v>14</v>
      </c>
      <c r="AB151">
        <v>3</v>
      </c>
      <c r="AC151">
        <v>4</v>
      </c>
      <c r="AD151">
        <v>80</v>
      </c>
      <c r="AE151">
        <v>0</v>
      </c>
      <c r="AF151">
        <v>1</v>
      </c>
      <c r="AG151">
        <v>3</v>
      </c>
      <c r="AH151">
        <v>3</v>
      </c>
      <c r="AI151">
        <v>1</v>
      </c>
      <c r="AJ151">
        <v>0</v>
      </c>
      <c r="AK151">
        <v>0</v>
      </c>
      <c r="AL151" t="str" cm="1">
        <f t="array" ref="AL15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51">
        <v>0</v>
      </c>
    </row>
    <row r="152" spans="1:39" x14ac:dyDescent="0.25">
      <c r="A152">
        <v>40</v>
      </c>
      <c r="B152" t="s">
        <v>44</v>
      </c>
      <c r="C152" t="s">
        <v>45</v>
      </c>
      <c r="D152">
        <v>1395</v>
      </c>
      <c r="E152" t="s">
        <v>46</v>
      </c>
      <c r="G152">
        <v>26</v>
      </c>
      <c r="H152">
        <v>3</v>
      </c>
      <c r="I152" t="s">
        <v>52</v>
      </c>
      <c r="J152" t="str">
        <f>WA_Fn_UseC__HR_Employee_Attrition[[#This Row],[EducationField]]&amp;"-"&amp;WA_Fn_UseC__HR_Employee_Attrition[[#This Row],[Department]]</f>
        <v>Medical-Research &amp; Development</v>
      </c>
      <c r="K152">
        <v>1</v>
      </c>
      <c r="L152">
        <v>202</v>
      </c>
      <c r="M152">
        <v>2</v>
      </c>
      <c r="N152" t="s">
        <v>40</v>
      </c>
      <c r="O152">
        <v>54</v>
      </c>
      <c r="P152">
        <v>3</v>
      </c>
      <c r="Q152">
        <v>2</v>
      </c>
      <c r="R152" t="s">
        <v>48</v>
      </c>
      <c r="S152">
        <v>2</v>
      </c>
      <c r="T152" t="s">
        <v>53</v>
      </c>
      <c r="U152">
        <v>5605</v>
      </c>
      <c r="V152" t="str" cm="1">
        <f t="array" ref="V15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52">
        <v>8504</v>
      </c>
      <c r="X152">
        <v>1</v>
      </c>
      <c r="Y152" t="s">
        <v>43</v>
      </c>
      <c r="Z152" t="s">
        <v>44</v>
      </c>
      <c r="AA152">
        <v>11</v>
      </c>
      <c r="AB152">
        <v>3</v>
      </c>
      <c r="AC152">
        <v>1</v>
      </c>
      <c r="AD152">
        <v>80</v>
      </c>
      <c r="AE152">
        <v>1</v>
      </c>
      <c r="AF152">
        <v>20</v>
      </c>
      <c r="AG152">
        <v>2</v>
      </c>
      <c r="AH152">
        <v>3</v>
      </c>
      <c r="AI152">
        <v>20</v>
      </c>
      <c r="AJ152">
        <v>7</v>
      </c>
      <c r="AK152">
        <v>2</v>
      </c>
      <c r="AL152" t="str" cm="1">
        <f t="array" ref="AL15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52">
        <v>13</v>
      </c>
    </row>
    <row r="153" spans="1:39" x14ac:dyDescent="0.25">
      <c r="A153">
        <v>35</v>
      </c>
      <c r="B153" t="s">
        <v>44</v>
      </c>
      <c r="C153" t="s">
        <v>37</v>
      </c>
      <c r="D153">
        <v>662</v>
      </c>
      <c r="E153" t="s">
        <v>38</v>
      </c>
      <c r="G153">
        <v>1</v>
      </c>
      <c r="H153">
        <v>5</v>
      </c>
      <c r="I153" t="s">
        <v>60</v>
      </c>
      <c r="J153" t="str">
        <f>WA_Fn_UseC__HR_Employee_Attrition[[#This Row],[EducationField]]&amp;"-"&amp;WA_Fn_UseC__HR_Employee_Attrition[[#This Row],[Department]]</f>
        <v>Marketing-Sales</v>
      </c>
      <c r="K153">
        <v>1</v>
      </c>
      <c r="L153">
        <v>204</v>
      </c>
      <c r="M153">
        <v>3</v>
      </c>
      <c r="N153" t="s">
        <v>47</v>
      </c>
      <c r="O153">
        <v>94</v>
      </c>
      <c r="P153">
        <v>3</v>
      </c>
      <c r="Q153">
        <v>3</v>
      </c>
      <c r="R153" t="s">
        <v>41</v>
      </c>
      <c r="S153">
        <v>2</v>
      </c>
      <c r="T153" t="s">
        <v>49</v>
      </c>
      <c r="U153">
        <v>7295</v>
      </c>
      <c r="V153" t="str" cm="1">
        <f t="array" ref="V15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53">
        <v>11439</v>
      </c>
      <c r="X153">
        <v>1</v>
      </c>
      <c r="Y153" t="s">
        <v>43</v>
      </c>
      <c r="Z153" t="s">
        <v>44</v>
      </c>
      <c r="AA153">
        <v>13</v>
      </c>
      <c r="AB153">
        <v>3</v>
      </c>
      <c r="AC153">
        <v>1</v>
      </c>
      <c r="AD153">
        <v>80</v>
      </c>
      <c r="AE153">
        <v>2</v>
      </c>
      <c r="AF153">
        <v>10</v>
      </c>
      <c r="AG153">
        <v>3</v>
      </c>
      <c r="AH153">
        <v>3</v>
      </c>
      <c r="AI153">
        <v>10</v>
      </c>
      <c r="AJ153">
        <v>8</v>
      </c>
      <c r="AK153">
        <v>0</v>
      </c>
      <c r="AL153" t="str" cm="1">
        <f t="array" ref="AL15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53">
        <v>6</v>
      </c>
    </row>
    <row r="154" spans="1:39" x14ac:dyDescent="0.25">
      <c r="A154">
        <v>53</v>
      </c>
      <c r="B154" t="s">
        <v>44</v>
      </c>
      <c r="C154" t="s">
        <v>37</v>
      </c>
      <c r="D154">
        <v>1436</v>
      </c>
      <c r="E154" t="s">
        <v>38</v>
      </c>
      <c r="G154">
        <v>6</v>
      </c>
      <c r="H154">
        <v>2</v>
      </c>
      <c r="I154" t="s">
        <v>60</v>
      </c>
      <c r="J154" t="str">
        <f>WA_Fn_UseC__HR_Employee_Attrition[[#This Row],[EducationField]]&amp;"-"&amp;WA_Fn_UseC__HR_Employee_Attrition[[#This Row],[Department]]</f>
        <v>Marketing-Sales</v>
      </c>
      <c r="K154">
        <v>1</v>
      </c>
      <c r="L154">
        <v>205</v>
      </c>
      <c r="M154">
        <v>2</v>
      </c>
      <c r="N154" t="s">
        <v>47</v>
      </c>
      <c r="O154">
        <v>34</v>
      </c>
      <c r="P154">
        <v>3</v>
      </c>
      <c r="Q154">
        <v>2</v>
      </c>
      <c r="R154" t="s">
        <v>58</v>
      </c>
      <c r="S154">
        <v>3</v>
      </c>
      <c r="T154" t="s">
        <v>49</v>
      </c>
      <c r="U154">
        <v>2306</v>
      </c>
      <c r="V154" t="str" cm="1">
        <f t="array" ref="V15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54">
        <v>16047</v>
      </c>
      <c r="X154">
        <v>2</v>
      </c>
      <c r="Y154" t="s">
        <v>43</v>
      </c>
      <c r="Z154" t="s">
        <v>36</v>
      </c>
      <c r="AA154">
        <v>20</v>
      </c>
      <c r="AB154">
        <v>4</v>
      </c>
      <c r="AC154">
        <v>4</v>
      </c>
      <c r="AD154">
        <v>80</v>
      </c>
      <c r="AE154">
        <v>1</v>
      </c>
      <c r="AF154">
        <v>13</v>
      </c>
      <c r="AG154">
        <v>3</v>
      </c>
      <c r="AH154">
        <v>1</v>
      </c>
      <c r="AI154">
        <v>7</v>
      </c>
      <c r="AJ154">
        <v>7</v>
      </c>
      <c r="AK154">
        <v>4</v>
      </c>
      <c r="AL154" t="str" cm="1">
        <f t="array" ref="AL15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54">
        <v>5</v>
      </c>
    </row>
    <row r="155" spans="1:39" x14ac:dyDescent="0.25">
      <c r="A155">
        <v>45</v>
      </c>
      <c r="B155" t="s">
        <v>44</v>
      </c>
      <c r="C155" t="s">
        <v>37</v>
      </c>
      <c r="D155">
        <v>194</v>
      </c>
      <c r="E155" t="s">
        <v>46</v>
      </c>
      <c r="G155">
        <v>9</v>
      </c>
      <c r="H155">
        <v>3</v>
      </c>
      <c r="I155" t="s">
        <v>39</v>
      </c>
      <c r="J155" t="str">
        <f>WA_Fn_UseC__HR_Employee_Attrition[[#This Row],[EducationField]]&amp;"-"&amp;WA_Fn_UseC__HR_Employee_Attrition[[#This Row],[Department]]</f>
        <v>Life Sciences-Research &amp; Development</v>
      </c>
      <c r="K155">
        <v>1</v>
      </c>
      <c r="L155">
        <v>206</v>
      </c>
      <c r="M155">
        <v>2</v>
      </c>
      <c r="N155" t="s">
        <v>47</v>
      </c>
      <c r="O155">
        <v>60</v>
      </c>
      <c r="P155">
        <v>3</v>
      </c>
      <c r="Q155">
        <v>2</v>
      </c>
      <c r="R155" t="s">
        <v>51</v>
      </c>
      <c r="S155">
        <v>2</v>
      </c>
      <c r="T155" t="s">
        <v>53</v>
      </c>
      <c r="U155">
        <v>2348</v>
      </c>
      <c r="V155" t="str" cm="1">
        <f t="array" ref="V15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55">
        <v>10901</v>
      </c>
      <c r="X155">
        <v>8</v>
      </c>
      <c r="Y155" t="s">
        <v>43</v>
      </c>
      <c r="Z155" t="s">
        <v>44</v>
      </c>
      <c r="AA155">
        <v>18</v>
      </c>
      <c r="AB155">
        <v>3</v>
      </c>
      <c r="AC155">
        <v>3</v>
      </c>
      <c r="AD155">
        <v>80</v>
      </c>
      <c r="AE155">
        <v>1</v>
      </c>
      <c r="AF155">
        <v>20</v>
      </c>
      <c r="AG155">
        <v>2</v>
      </c>
      <c r="AH155">
        <v>1</v>
      </c>
      <c r="AI155">
        <v>17</v>
      </c>
      <c r="AJ155">
        <v>9</v>
      </c>
      <c r="AK155">
        <v>0</v>
      </c>
      <c r="AL155" t="str" cm="1">
        <f t="array" ref="AL15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55">
        <v>15</v>
      </c>
    </row>
    <row r="156" spans="1:39" x14ac:dyDescent="0.25">
      <c r="A156">
        <v>32</v>
      </c>
      <c r="B156" t="s">
        <v>44</v>
      </c>
      <c r="C156" t="s">
        <v>45</v>
      </c>
      <c r="D156">
        <v>967</v>
      </c>
      <c r="E156" t="s">
        <v>38</v>
      </c>
      <c r="G156">
        <v>8</v>
      </c>
      <c r="H156">
        <v>3</v>
      </c>
      <c r="I156" t="s">
        <v>60</v>
      </c>
      <c r="J156" t="str">
        <f>WA_Fn_UseC__HR_Employee_Attrition[[#This Row],[EducationField]]&amp;"-"&amp;WA_Fn_UseC__HR_Employee_Attrition[[#This Row],[Department]]</f>
        <v>Marketing-Sales</v>
      </c>
      <c r="K156">
        <v>1</v>
      </c>
      <c r="L156">
        <v>207</v>
      </c>
      <c r="M156">
        <v>2</v>
      </c>
      <c r="N156" t="s">
        <v>40</v>
      </c>
      <c r="O156">
        <v>43</v>
      </c>
      <c r="P156">
        <v>3</v>
      </c>
      <c r="Q156">
        <v>3</v>
      </c>
      <c r="R156" t="s">
        <v>41</v>
      </c>
      <c r="S156">
        <v>4</v>
      </c>
      <c r="T156" t="s">
        <v>42</v>
      </c>
      <c r="U156">
        <v>8998</v>
      </c>
      <c r="V156" t="str" cm="1">
        <f t="array" ref="V15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56">
        <v>15589</v>
      </c>
      <c r="X156">
        <v>1</v>
      </c>
      <c r="Y156" t="s">
        <v>43</v>
      </c>
      <c r="Z156" t="s">
        <v>44</v>
      </c>
      <c r="AA156">
        <v>14</v>
      </c>
      <c r="AB156">
        <v>3</v>
      </c>
      <c r="AC156">
        <v>4</v>
      </c>
      <c r="AD156">
        <v>80</v>
      </c>
      <c r="AE156">
        <v>0</v>
      </c>
      <c r="AF156">
        <v>9</v>
      </c>
      <c r="AG156">
        <v>2</v>
      </c>
      <c r="AH156">
        <v>3</v>
      </c>
      <c r="AI156">
        <v>9</v>
      </c>
      <c r="AJ156">
        <v>8</v>
      </c>
      <c r="AK156">
        <v>3</v>
      </c>
      <c r="AL156" t="str" cm="1">
        <f t="array" ref="AL15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56">
        <v>7</v>
      </c>
    </row>
    <row r="157" spans="1:39" x14ac:dyDescent="0.25">
      <c r="A157">
        <v>29</v>
      </c>
      <c r="B157" t="s">
        <v>44</v>
      </c>
      <c r="C157" t="s">
        <v>56</v>
      </c>
      <c r="D157">
        <v>1496</v>
      </c>
      <c r="E157" t="s">
        <v>46</v>
      </c>
      <c r="G157">
        <v>1</v>
      </c>
      <c r="H157">
        <v>1</v>
      </c>
      <c r="I157" t="s">
        <v>61</v>
      </c>
      <c r="J157" t="str">
        <f>WA_Fn_UseC__HR_Employee_Attrition[[#This Row],[EducationField]]&amp;"-"&amp;WA_Fn_UseC__HR_Employee_Attrition[[#This Row],[Department]]</f>
        <v>Technical Degree-Research &amp; Development</v>
      </c>
      <c r="K157">
        <v>1</v>
      </c>
      <c r="L157">
        <v>208</v>
      </c>
      <c r="M157">
        <v>4</v>
      </c>
      <c r="N157" t="s">
        <v>47</v>
      </c>
      <c r="O157">
        <v>41</v>
      </c>
      <c r="P157">
        <v>3</v>
      </c>
      <c r="Q157">
        <v>2</v>
      </c>
      <c r="R157" t="s">
        <v>54</v>
      </c>
      <c r="S157">
        <v>3</v>
      </c>
      <c r="T157" t="s">
        <v>49</v>
      </c>
      <c r="U157">
        <v>4319</v>
      </c>
      <c r="V157" t="str" cm="1">
        <f t="array" ref="V15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57">
        <v>26283</v>
      </c>
      <c r="X157">
        <v>1</v>
      </c>
      <c r="Y157" t="s">
        <v>43</v>
      </c>
      <c r="Z157" t="s">
        <v>44</v>
      </c>
      <c r="AA157">
        <v>13</v>
      </c>
      <c r="AB157">
        <v>3</v>
      </c>
      <c r="AC157">
        <v>1</v>
      </c>
      <c r="AD157">
        <v>80</v>
      </c>
      <c r="AE157">
        <v>1</v>
      </c>
      <c r="AF157">
        <v>10</v>
      </c>
      <c r="AG157">
        <v>1</v>
      </c>
      <c r="AH157">
        <v>3</v>
      </c>
      <c r="AI157">
        <v>10</v>
      </c>
      <c r="AJ157">
        <v>7</v>
      </c>
      <c r="AK157">
        <v>0</v>
      </c>
      <c r="AL157" t="str" cm="1">
        <f t="array" ref="AL15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57">
        <v>9</v>
      </c>
    </row>
    <row r="158" spans="1:39" x14ac:dyDescent="0.25">
      <c r="A158">
        <v>51</v>
      </c>
      <c r="B158" t="s">
        <v>44</v>
      </c>
      <c r="C158" t="s">
        <v>37</v>
      </c>
      <c r="D158">
        <v>1169</v>
      </c>
      <c r="E158" t="s">
        <v>46</v>
      </c>
      <c r="G158">
        <v>7</v>
      </c>
      <c r="H158">
        <v>4</v>
      </c>
      <c r="I158" t="s">
        <v>52</v>
      </c>
      <c r="J158" t="str">
        <f>WA_Fn_UseC__HR_Employee_Attrition[[#This Row],[EducationField]]&amp;"-"&amp;WA_Fn_UseC__HR_Employee_Attrition[[#This Row],[Department]]</f>
        <v>Medical-Research &amp; Development</v>
      </c>
      <c r="K158">
        <v>1</v>
      </c>
      <c r="L158">
        <v>211</v>
      </c>
      <c r="M158">
        <v>2</v>
      </c>
      <c r="N158" t="s">
        <v>47</v>
      </c>
      <c r="O158">
        <v>34</v>
      </c>
      <c r="P158">
        <v>2</v>
      </c>
      <c r="Q158">
        <v>2</v>
      </c>
      <c r="R158" t="s">
        <v>54</v>
      </c>
      <c r="S158">
        <v>3</v>
      </c>
      <c r="T158" t="s">
        <v>49</v>
      </c>
      <c r="U158">
        <v>6132</v>
      </c>
      <c r="V158" t="str" cm="1">
        <f t="array" ref="V15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58">
        <v>13983</v>
      </c>
      <c r="X158">
        <v>2</v>
      </c>
      <c r="Y158" t="s">
        <v>43</v>
      </c>
      <c r="Z158" t="s">
        <v>44</v>
      </c>
      <c r="AA158">
        <v>17</v>
      </c>
      <c r="AB158">
        <v>3</v>
      </c>
      <c r="AC158">
        <v>3</v>
      </c>
      <c r="AD158">
        <v>80</v>
      </c>
      <c r="AE158">
        <v>0</v>
      </c>
      <c r="AF158">
        <v>10</v>
      </c>
      <c r="AG158">
        <v>2</v>
      </c>
      <c r="AH158">
        <v>3</v>
      </c>
      <c r="AI158">
        <v>1</v>
      </c>
      <c r="AJ158">
        <v>0</v>
      </c>
      <c r="AK158">
        <v>0</v>
      </c>
      <c r="AL158" t="str" cm="1">
        <f t="array" ref="AL15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58">
        <v>0</v>
      </c>
    </row>
    <row r="159" spans="1:39" x14ac:dyDescent="0.25">
      <c r="A159">
        <v>58</v>
      </c>
      <c r="B159" t="s">
        <v>44</v>
      </c>
      <c r="C159" t="s">
        <v>37</v>
      </c>
      <c r="D159">
        <v>1145</v>
      </c>
      <c r="E159" t="s">
        <v>46</v>
      </c>
      <c r="G159">
        <v>9</v>
      </c>
      <c r="H159">
        <v>3</v>
      </c>
      <c r="I159" t="s">
        <v>52</v>
      </c>
      <c r="J159" t="str">
        <f>WA_Fn_UseC__HR_Employee_Attrition[[#This Row],[EducationField]]&amp;"-"&amp;WA_Fn_UseC__HR_Employee_Attrition[[#This Row],[Department]]</f>
        <v>Medical-Research &amp; Development</v>
      </c>
      <c r="K159">
        <v>1</v>
      </c>
      <c r="L159">
        <v>214</v>
      </c>
      <c r="M159">
        <v>2</v>
      </c>
      <c r="N159" t="s">
        <v>40</v>
      </c>
      <c r="O159">
        <v>75</v>
      </c>
      <c r="P159">
        <v>2</v>
      </c>
      <c r="Q159">
        <v>1</v>
      </c>
      <c r="R159" t="s">
        <v>48</v>
      </c>
      <c r="S159">
        <v>2</v>
      </c>
      <c r="T159" t="s">
        <v>49</v>
      </c>
      <c r="U159">
        <v>3346</v>
      </c>
      <c r="V159" t="str" cm="1">
        <f t="array" ref="V15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59">
        <v>11873</v>
      </c>
      <c r="X159">
        <v>4</v>
      </c>
      <c r="Y159" t="s">
        <v>43</v>
      </c>
      <c r="Z159" t="s">
        <v>36</v>
      </c>
      <c r="AA159">
        <v>20</v>
      </c>
      <c r="AB159">
        <v>4</v>
      </c>
      <c r="AC159">
        <v>2</v>
      </c>
      <c r="AD159">
        <v>80</v>
      </c>
      <c r="AE159">
        <v>1</v>
      </c>
      <c r="AF159">
        <v>9</v>
      </c>
      <c r="AG159">
        <v>3</v>
      </c>
      <c r="AH159">
        <v>2</v>
      </c>
      <c r="AI159">
        <v>1</v>
      </c>
      <c r="AJ159">
        <v>0</v>
      </c>
      <c r="AK159">
        <v>0</v>
      </c>
      <c r="AL159" t="str" cm="1">
        <f t="array" ref="AL15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59">
        <v>0</v>
      </c>
    </row>
    <row r="160" spans="1:39" x14ac:dyDescent="0.25">
      <c r="A160">
        <v>40</v>
      </c>
      <c r="B160" t="s">
        <v>44</v>
      </c>
      <c r="C160" t="s">
        <v>37</v>
      </c>
      <c r="D160">
        <v>630</v>
      </c>
      <c r="E160" t="s">
        <v>38</v>
      </c>
      <c r="G160">
        <v>4</v>
      </c>
      <c r="H160">
        <v>4</v>
      </c>
      <c r="I160" t="s">
        <v>60</v>
      </c>
      <c r="J160" t="str">
        <f>WA_Fn_UseC__HR_Employee_Attrition[[#This Row],[EducationField]]&amp;"-"&amp;WA_Fn_UseC__HR_Employee_Attrition[[#This Row],[Department]]</f>
        <v>Marketing-Sales</v>
      </c>
      <c r="K160">
        <v>1</v>
      </c>
      <c r="L160">
        <v>215</v>
      </c>
      <c r="M160">
        <v>3</v>
      </c>
      <c r="N160" t="s">
        <v>47</v>
      </c>
      <c r="O160">
        <v>67</v>
      </c>
      <c r="P160">
        <v>2</v>
      </c>
      <c r="Q160">
        <v>3</v>
      </c>
      <c r="R160" t="s">
        <v>41</v>
      </c>
      <c r="S160">
        <v>4</v>
      </c>
      <c r="T160" t="s">
        <v>49</v>
      </c>
      <c r="U160">
        <v>10855</v>
      </c>
      <c r="V160" t="str" cm="1">
        <f t="array" ref="V16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60">
        <v>8552</v>
      </c>
      <c r="X160">
        <v>7</v>
      </c>
      <c r="Y160" t="s">
        <v>43</v>
      </c>
      <c r="Z160" t="s">
        <v>44</v>
      </c>
      <c r="AA160">
        <v>11</v>
      </c>
      <c r="AB160">
        <v>3</v>
      </c>
      <c r="AC160">
        <v>1</v>
      </c>
      <c r="AD160">
        <v>80</v>
      </c>
      <c r="AE160">
        <v>1</v>
      </c>
      <c r="AF160">
        <v>15</v>
      </c>
      <c r="AG160">
        <v>2</v>
      </c>
      <c r="AH160">
        <v>2</v>
      </c>
      <c r="AI160">
        <v>12</v>
      </c>
      <c r="AJ160">
        <v>11</v>
      </c>
      <c r="AK160">
        <v>2</v>
      </c>
      <c r="AL160" t="str" cm="1">
        <f t="array" ref="AL16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60">
        <v>11</v>
      </c>
    </row>
    <row r="161" spans="1:39" x14ac:dyDescent="0.25">
      <c r="A161">
        <v>34</v>
      </c>
      <c r="B161" t="s">
        <v>44</v>
      </c>
      <c r="C161" t="s">
        <v>45</v>
      </c>
      <c r="D161">
        <v>303</v>
      </c>
      <c r="E161" t="s">
        <v>38</v>
      </c>
      <c r="G161">
        <v>2</v>
      </c>
      <c r="H161">
        <v>4</v>
      </c>
      <c r="I161" t="s">
        <v>60</v>
      </c>
      <c r="J161" t="str">
        <f>WA_Fn_UseC__HR_Employee_Attrition[[#This Row],[EducationField]]&amp;"-"&amp;WA_Fn_UseC__HR_Employee_Attrition[[#This Row],[Department]]</f>
        <v>Marketing-Sales</v>
      </c>
      <c r="K161">
        <v>1</v>
      </c>
      <c r="L161">
        <v>216</v>
      </c>
      <c r="M161">
        <v>3</v>
      </c>
      <c r="N161" t="s">
        <v>40</v>
      </c>
      <c r="O161">
        <v>75</v>
      </c>
      <c r="P161">
        <v>3</v>
      </c>
      <c r="Q161">
        <v>1</v>
      </c>
      <c r="R161" t="s">
        <v>58</v>
      </c>
      <c r="S161">
        <v>3</v>
      </c>
      <c r="T161" t="s">
        <v>49</v>
      </c>
      <c r="U161">
        <v>2231</v>
      </c>
      <c r="V161" t="str" cm="1">
        <f t="array" ref="V16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61">
        <v>11314</v>
      </c>
      <c r="X161">
        <v>6</v>
      </c>
      <c r="Y161" t="s">
        <v>43</v>
      </c>
      <c r="Z161" t="s">
        <v>44</v>
      </c>
      <c r="AA161">
        <v>18</v>
      </c>
      <c r="AB161">
        <v>3</v>
      </c>
      <c r="AC161">
        <v>4</v>
      </c>
      <c r="AD161">
        <v>80</v>
      </c>
      <c r="AE161">
        <v>1</v>
      </c>
      <c r="AF161">
        <v>6</v>
      </c>
      <c r="AG161">
        <v>3</v>
      </c>
      <c r="AH161">
        <v>3</v>
      </c>
      <c r="AI161">
        <v>4</v>
      </c>
      <c r="AJ161">
        <v>3</v>
      </c>
      <c r="AK161">
        <v>1</v>
      </c>
      <c r="AL161" t="str" cm="1">
        <f t="array" ref="AL16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61">
        <v>2</v>
      </c>
    </row>
    <row r="162" spans="1:39" x14ac:dyDescent="0.25">
      <c r="A162">
        <v>22</v>
      </c>
      <c r="B162" t="s">
        <v>44</v>
      </c>
      <c r="C162" t="s">
        <v>37</v>
      </c>
      <c r="D162">
        <v>1256</v>
      </c>
      <c r="E162" t="s">
        <v>46</v>
      </c>
      <c r="G162">
        <v>19</v>
      </c>
      <c r="H162">
        <v>1</v>
      </c>
      <c r="I162" t="s">
        <v>52</v>
      </c>
      <c r="J162" t="str">
        <f>WA_Fn_UseC__HR_Employee_Attrition[[#This Row],[EducationField]]&amp;"-"&amp;WA_Fn_UseC__HR_Employee_Attrition[[#This Row],[Department]]</f>
        <v>Medical-Research &amp; Development</v>
      </c>
      <c r="K162">
        <v>1</v>
      </c>
      <c r="L162">
        <v>217</v>
      </c>
      <c r="M162">
        <v>3</v>
      </c>
      <c r="N162" t="s">
        <v>47</v>
      </c>
      <c r="O162">
        <v>80</v>
      </c>
      <c r="P162">
        <v>3</v>
      </c>
      <c r="Q162">
        <v>1</v>
      </c>
      <c r="R162" t="s">
        <v>48</v>
      </c>
      <c r="S162">
        <v>4</v>
      </c>
      <c r="T162" t="s">
        <v>49</v>
      </c>
      <c r="U162">
        <v>2323</v>
      </c>
      <c r="V162" t="str" cm="1">
        <f t="array" ref="V16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62">
        <v>11992</v>
      </c>
      <c r="X162">
        <v>1</v>
      </c>
      <c r="Y162" t="s">
        <v>43</v>
      </c>
      <c r="Z162" t="s">
        <v>44</v>
      </c>
      <c r="AA162">
        <v>24</v>
      </c>
      <c r="AB162">
        <v>4</v>
      </c>
      <c r="AC162">
        <v>1</v>
      </c>
      <c r="AD162">
        <v>80</v>
      </c>
      <c r="AE162">
        <v>2</v>
      </c>
      <c r="AF162">
        <v>2</v>
      </c>
      <c r="AG162">
        <v>6</v>
      </c>
      <c r="AH162">
        <v>3</v>
      </c>
      <c r="AI162">
        <v>2</v>
      </c>
      <c r="AJ162">
        <v>2</v>
      </c>
      <c r="AK162">
        <v>2</v>
      </c>
      <c r="AL162" t="str" cm="1">
        <f t="array" ref="AL16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62">
        <v>2</v>
      </c>
    </row>
    <row r="163" spans="1:39" x14ac:dyDescent="0.25">
      <c r="A163">
        <v>27</v>
      </c>
      <c r="B163" t="s">
        <v>44</v>
      </c>
      <c r="C163" t="s">
        <v>56</v>
      </c>
      <c r="D163">
        <v>691</v>
      </c>
      <c r="E163" t="s">
        <v>46</v>
      </c>
      <c r="G163">
        <v>9</v>
      </c>
      <c r="H163">
        <v>3</v>
      </c>
      <c r="I163" t="s">
        <v>52</v>
      </c>
      <c r="J163" t="str">
        <f>WA_Fn_UseC__HR_Employee_Attrition[[#This Row],[EducationField]]&amp;"-"&amp;WA_Fn_UseC__HR_Employee_Attrition[[#This Row],[Department]]</f>
        <v>Medical-Research &amp; Development</v>
      </c>
      <c r="K163">
        <v>1</v>
      </c>
      <c r="L163">
        <v>218</v>
      </c>
      <c r="M163">
        <v>4</v>
      </c>
      <c r="N163" t="s">
        <v>47</v>
      </c>
      <c r="O163">
        <v>57</v>
      </c>
      <c r="P163">
        <v>3</v>
      </c>
      <c r="Q163">
        <v>1</v>
      </c>
      <c r="R163" t="s">
        <v>48</v>
      </c>
      <c r="S163">
        <v>2</v>
      </c>
      <c r="T163" t="s">
        <v>53</v>
      </c>
      <c r="U163">
        <v>2024</v>
      </c>
      <c r="V163" t="str" cm="1">
        <f t="array" ref="V16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63">
        <v>5970</v>
      </c>
      <c r="X163">
        <v>6</v>
      </c>
      <c r="Y163" t="s">
        <v>43</v>
      </c>
      <c r="Z163" t="s">
        <v>44</v>
      </c>
      <c r="AA163">
        <v>18</v>
      </c>
      <c r="AB163">
        <v>3</v>
      </c>
      <c r="AC163">
        <v>4</v>
      </c>
      <c r="AD163">
        <v>80</v>
      </c>
      <c r="AE163">
        <v>1</v>
      </c>
      <c r="AF163">
        <v>6</v>
      </c>
      <c r="AG163">
        <v>1</v>
      </c>
      <c r="AH163">
        <v>1</v>
      </c>
      <c r="AI163">
        <v>2</v>
      </c>
      <c r="AJ163">
        <v>2</v>
      </c>
      <c r="AK163">
        <v>2</v>
      </c>
      <c r="AL163" t="str" cm="1">
        <f t="array" ref="AL16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63">
        <v>2</v>
      </c>
    </row>
    <row r="164" spans="1:39" x14ac:dyDescent="0.25">
      <c r="A164">
        <v>28</v>
      </c>
      <c r="B164" t="s">
        <v>44</v>
      </c>
      <c r="C164" t="s">
        <v>37</v>
      </c>
      <c r="D164">
        <v>440</v>
      </c>
      <c r="E164" t="s">
        <v>46</v>
      </c>
      <c r="G164">
        <v>21</v>
      </c>
      <c r="H164">
        <v>3</v>
      </c>
      <c r="I164" t="s">
        <v>52</v>
      </c>
      <c r="J164" t="str">
        <f>WA_Fn_UseC__HR_Employee_Attrition[[#This Row],[EducationField]]&amp;"-"&amp;WA_Fn_UseC__HR_Employee_Attrition[[#This Row],[Department]]</f>
        <v>Medical-Research &amp; Development</v>
      </c>
      <c r="K164">
        <v>1</v>
      </c>
      <c r="L164">
        <v>221</v>
      </c>
      <c r="M164">
        <v>3</v>
      </c>
      <c r="N164" t="s">
        <v>47</v>
      </c>
      <c r="O164">
        <v>42</v>
      </c>
      <c r="P164">
        <v>3</v>
      </c>
      <c r="Q164">
        <v>1</v>
      </c>
      <c r="R164" t="s">
        <v>48</v>
      </c>
      <c r="S164">
        <v>4</v>
      </c>
      <c r="T164" t="s">
        <v>49</v>
      </c>
      <c r="U164">
        <v>2713</v>
      </c>
      <c r="V164" t="str" cm="1">
        <f t="array" ref="V16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64">
        <v>6672</v>
      </c>
      <c r="X164">
        <v>1</v>
      </c>
      <c r="Y164" t="s">
        <v>43</v>
      </c>
      <c r="Z164" t="s">
        <v>44</v>
      </c>
      <c r="AA164">
        <v>11</v>
      </c>
      <c r="AB164">
        <v>3</v>
      </c>
      <c r="AC164">
        <v>3</v>
      </c>
      <c r="AD164">
        <v>80</v>
      </c>
      <c r="AE164">
        <v>1</v>
      </c>
      <c r="AF164">
        <v>5</v>
      </c>
      <c r="AG164">
        <v>2</v>
      </c>
      <c r="AH164">
        <v>1</v>
      </c>
      <c r="AI164">
        <v>5</v>
      </c>
      <c r="AJ164">
        <v>2</v>
      </c>
      <c r="AK164">
        <v>0</v>
      </c>
      <c r="AL164" t="str" cm="1">
        <f t="array" ref="AL16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64">
        <v>2</v>
      </c>
    </row>
    <row r="165" spans="1:39" x14ac:dyDescent="0.25">
      <c r="A165">
        <v>57</v>
      </c>
      <c r="B165" t="s">
        <v>44</v>
      </c>
      <c r="C165" t="s">
        <v>37</v>
      </c>
      <c r="D165">
        <v>334</v>
      </c>
      <c r="E165" t="s">
        <v>46</v>
      </c>
      <c r="G165">
        <v>24</v>
      </c>
      <c r="H165">
        <v>2</v>
      </c>
      <c r="I165" t="s">
        <v>39</v>
      </c>
      <c r="J165" t="str">
        <f>WA_Fn_UseC__HR_Employee_Attrition[[#This Row],[EducationField]]&amp;"-"&amp;WA_Fn_UseC__HR_Employee_Attrition[[#This Row],[Department]]</f>
        <v>Life Sciences-Research &amp; Development</v>
      </c>
      <c r="K165">
        <v>1</v>
      </c>
      <c r="L165">
        <v>223</v>
      </c>
      <c r="M165">
        <v>3</v>
      </c>
      <c r="N165" t="s">
        <v>47</v>
      </c>
      <c r="O165">
        <v>83</v>
      </c>
      <c r="P165">
        <v>4</v>
      </c>
      <c r="Q165">
        <v>3</v>
      </c>
      <c r="R165" t="s">
        <v>55</v>
      </c>
      <c r="S165">
        <v>4</v>
      </c>
      <c r="T165" t="s">
        <v>53</v>
      </c>
      <c r="U165">
        <v>9439</v>
      </c>
      <c r="V165" t="str" cm="1">
        <f t="array" ref="V16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65">
        <v>23402</v>
      </c>
      <c r="X165">
        <v>3</v>
      </c>
      <c r="Y165" t="s">
        <v>43</v>
      </c>
      <c r="Z165" t="s">
        <v>36</v>
      </c>
      <c r="AA165">
        <v>16</v>
      </c>
      <c r="AB165">
        <v>3</v>
      </c>
      <c r="AC165">
        <v>2</v>
      </c>
      <c r="AD165">
        <v>80</v>
      </c>
      <c r="AE165">
        <v>1</v>
      </c>
      <c r="AF165">
        <v>12</v>
      </c>
      <c r="AG165">
        <v>2</v>
      </c>
      <c r="AH165">
        <v>1</v>
      </c>
      <c r="AI165">
        <v>5</v>
      </c>
      <c r="AJ165">
        <v>3</v>
      </c>
      <c r="AK165">
        <v>1</v>
      </c>
      <c r="AL165" t="str" cm="1">
        <f t="array" ref="AL16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65">
        <v>4</v>
      </c>
    </row>
    <row r="166" spans="1:39" x14ac:dyDescent="0.25">
      <c r="A166">
        <v>27</v>
      </c>
      <c r="B166" t="s">
        <v>44</v>
      </c>
      <c r="C166" t="s">
        <v>56</v>
      </c>
      <c r="D166">
        <v>1450</v>
      </c>
      <c r="E166" t="s">
        <v>46</v>
      </c>
      <c r="G166">
        <v>3</v>
      </c>
      <c r="H166">
        <v>3</v>
      </c>
      <c r="I166" t="s">
        <v>52</v>
      </c>
      <c r="J166" t="str">
        <f>WA_Fn_UseC__HR_Employee_Attrition[[#This Row],[EducationField]]&amp;"-"&amp;WA_Fn_UseC__HR_Employee_Attrition[[#This Row],[Department]]</f>
        <v>Medical-Research &amp; Development</v>
      </c>
      <c r="K166">
        <v>1</v>
      </c>
      <c r="L166">
        <v>224</v>
      </c>
      <c r="M166">
        <v>3</v>
      </c>
      <c r="N166" t="s">
        <v>47</v>
      </c>
      <c r="O166">
        <v>79</v>
      </c>
      <c r="P166">
        <v>2</v>
      </c>
      <c r="Q166">
        <v>1</v>
      </c>
      <c r="R166" t="s">
        <v>48</v>
      </c>
      <c r="S166">
        <v>3</v>
      </c>
      <c r="T166" t="s">
        <v>53</v>
      </c>
      <c r="U166">
        <v>2566</v>
      </c>
      <c r="V166" t="str" cm="1">
        <f t="array" ref="V16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66">
        <v>25326</v>
      </c>
      <c r="X166">
        <v>1</v>
      </c>
      <c r="Y166" t="s">
        <v>43</v>
      </c>
      <c r="Z166" t="s">
        <v>36</v>
      </c>
      <c r="AA166">
        <v>15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2</v>
      </c>
      <c r="AH166">
        <v>2</v>
      </c>
      <c r="AI166">
        <v>1</v>
      </c>
      <c r="AJ166">
        <v>1</v>
      </c>
      <c r="AK166">
        <v>0</v>
      </c>
      <c r="AL166" t="str" cm="1">
        <f t="array" ref="AL16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66">
        <v>1</v>
      </c>
    </row>
    <row r="167" spans="1:39" x14ac:dyDescent="0.25">
      <c r="A167">
        <v>50</v>
      </c>
      <c r="B167" t="s">
        <v>44</v>
      </c>
      <c r="C167" t="s">
        <v>37</v>
      </c>
      <c r="D167">
        <v>1452</v>
      </c>
      <c r="E167" t="s">
        <v>46</v>
      </c>
      <c r="G167">
        <v>11</v>
      </c>
      <c r="H167">
        <v>3</v>
      </c>
      <c r="I167" t="s">
        <v>39</v>
      </c>
      <c r="J167" t="str">
        <f>WA_Fn_UseC__HR_Employee_Attrition[[#This Row],[EducationField]]&amp;"-"&amp;WA_Fn_UseC__HR_Employee_Attrition[[#This Row],[Department]]</f>
        <v>Life Sciences-Research &amp; Development</v>
      </c>
      <c r="K167">
        <v>1</v>
      </c>
      <c r="L167">
        <v>226</v>
      </c>
      <c r="M167">
        <v>3</v>
      </c>
      <c r="N167" t="s">
        <v>40</v>
      </c>
      <c r="O167">
        <v>53</v>
      </c>
      <c r="P167">
        <v>3</v>
      </c>
      <c r="Q167">
        <v>5</v>
      </c>
      <c r="R167" t="s">
        <v>57</v>
      </c>
      <c r="S167">
        <v>2</v>
      </c>
      <c r="T167" t="s">
        <v>42</v>
      </c>
      <c r="U167">
        <v>19926</v>
      </c>
      <c r="V167" t="str" cm="1">
        <f t="array" ref="V16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67">
        <v>17053</v>
      </c>
      <c r="X167">
        <v>3</v>
      </c>
      <c r="Y167" t="s">
        <v>43</v>
      </c>
      <c r="Z167" t="s">
        <v>44</v>
      </c>
      <c r="AA167">
        <v>15</v>
      </c>
      <c r="AB167">
        <v>3</v>
      </c>
      <c r="AC167">
        <v>2</v>
      </c>
      <c r="AD167">
        <v>80</v>
      </c>
      <c r="AE167">
        <v>0</v>
      </c>
      <c r="AF167">
        <v>21</v>
      </c>
      <c r="AG167">
        <v>5</v>
      </c>
      <c r="AH167">
        <v>3</v>
      </c>
      <c r="AI167">
        <v>5</v>
      </c>
      <c r="AJ167">
        <v>4</v>
      </c>
      <c r="AK167">
        <v>4</v>
      </c>
      <c r="AL167" t="str" cm="1">
        <f t="array" ref="AL16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67">
        <v>4</v>
      </c>
    </row>
    <row r="168" spans="1:39" x14ac:dyDescent="0.25">
      <c r="A168">
        <v>41</v>
      </c>
      <c r="B168" t="s">
        <v>44</v>
      </c>
      <c r="C168" t="s">
        <v>37</v>
      </c>
      <c r="D168">
        <v>465</v>
      </c>
      <c r="E168" t="s">
        <v>46</v>
      </c>
      <c r="G168">
        <v>14</v>
      </c>
      <c r="H168">
        <v>3</v>
      </c>
      <c r="I168" t="s">
        <v>39</v>
      </c>
      <c r="J168" t="str">
        <f>WA_Fn_UseC__HR_Employee_Attrition[[#This Row],[EducationField]]&amp;"-"&amp;WA_Fn_UseC__HR_Employee_Attrition[[#This Row],[Department]]</f>
        <v>Life Sciences-Research &amp; Development</v>
      </c>
      <c r="K168">
        <v>1</v>
      </c>
      <c r="L168">
        <v>227</v>
      </c>
      <c r="M168">
        <v>1</v>
      </c>
      <c r="N168" t="s">
        <v>47</v>
      </c>
      <c r="O168">
        <v>56</v>
      </c>
      <c r="P168">
        <v>3</v>
      </c>
      <c r="Q168">
        <v>1</v>
      </c>
      <c r="R168" t="s">
        <v>48</v>
      </c>
      <c r="S168">
        <v>3</v>
      </c>
      <c r="T168" t="s">
        <v>53</v>
      </c>
      <c r="U168">
        <v>2451</v>
      </c>
      <c r="V168" t="str" cm="1">
        <f t="array" ref="V16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68">
        <v>4609</v>
      </c>
      <c r="X168">
        <v>4</v>
      </c>
      <c r="Y168" t="s">
        <v>43</v>
      </c>
      <c r="Z168" t="s">
        <v>44</v>
      </c>
      <c r="AA168">
        <v>12</v>
      </c>
      <c r="AB168">
        <v>3</v>
      </c>
      <c r="AC168">
        <v>1</v>
      </c>
      <c r="AD168">
        <v>80</v>
      </c>
      <c r="AE168">
        <v>1</v>
      </c>
      <c r="AF168">
        <v>13</v>
      </c>
      <c r="AG168">
        <v>2</v>
      </c>
      <c r="AH168">
        <v>3</v>
      </c>
      <c r="AI168">
        <v>9</v>
      </c>
      <c r="AJ168">
        <v>8</v>
      </c>
      <c r="AK168">
        <v>1</v>
      </c>
      <c r="AL168" t="str" cm="1">
        <f t="array" ref="AL16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68">
        <v>8</v>
      </c>
    </row>
    <row r="169" spans="1:39" x14ac:dyDescent="0.25">
      <c r="A169">
        <v>30</v>
      </c>
      <c r="B169" t="s">
        <v>44</v>
      </c>
      <c r="C169" t="s">
        <v>37</v>
      </c>
      <c r="D169">
        <v>1339</v>
      </c>
      <c r="E169" t="s">
        <v>38</v>
      </c>
      <c r="G169">
        <v>5</v>
      </c>
      <c r="H169">
        <v>3</v>
      </c>
      <c r="I169" t="s">
        <v>39</v>
      </c>
      <c r="J169" t="str">
        <f>WA_Fn_UseC__HR_Employee_Attrition[[#This Row],[EducationField]]&amp;"-"&amp;WA_Fn_UseC__HR_Employee_Attrition[[#This Row],[Department]]</f>
        <v>Life Sciences-Sales</v>
      </c>
      <c r="K169">
        <v>1</v>
      </c>
      <c r="L169">
        <v>228</v>
      </c>
      <c r="M169">
        <v>2</v>
      </c>
      <c r="N169" t="s">
        <v>40</v>
      </c>
      <c r="O169">
        <v>41</v>
      </c>
      <c r="P169">
        <v>3</v>
      </c>
      <c r="Q169">
        <v>3</v>
      </c>
      <c r="R169" t="s">
        <v>41</v>
      </c>
      <c r="S169">
        <v>4</v>
      </c>
      <c r="T169" t="s">
        <v>49</v>
      </c>
      <c r="U169">
        <v>9419</v>
      </c>
      <c r="V169" t="str" cm="1">
        <f t="array" ref="V16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69">
        <v>8053</v>
      </c>
      <c r="X169">
        <v>2</v>
      </c>
      <c r="Y169" t="s">
        <v>43</v>
      </c>
      <c r="Z169" t="s">
        <v>44</v>
      </c>
      <c r="AA169">
        <v>12</v>
      </c>
      <c r="AB169">
        <v>3</v>
      </c>
      <c r="AC169">
        <v>3</v>
      </c>
      <c r="AD169">
        <v>80</v>
      </c>
      <c r="AE169">
        <v>1</v>
      </c>
      <c r="AF169">
        <v>12</v>
      </c>
      <c r="AG169">
        <v>2</v>
      </c>
      <c r="AH169">
        <v>3</v>
      </c>
      <c r="AI169">
        <v>10</v>
      </c>
      <c r="AJ169">
        <v>9</v>
      </c>
      <c r="AK169">
        <v>7</v>
      </c>
      <c r="AL169" t="str" cm="1">
        <f t="array" ref="AL16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69">
        <v>4</v>
      </c>
    </row>
    <row r="170" spans="1:39" x14ac:dyDescent="0.25">
      <c r="A170">
        <v>38</v>
      </c>
      <c r="B170" t="s">
        <v>44</v>
      </c>
      <c r="C170" t="s">
        <v>37</v>
      </c>
      <c r="D170">
        <v>702</v>
      </c>
      <c r="E170" t="s">
        <v>38</v>
      </c>
      <c r="G170">
        <v>1</v>
      </c>
      <c r="H170">
        <v>4</v>
      </c>
      <c r="I170" t="s">
        <v>39</v>
      </c>
      <c r="J170" t="str">
        <f>WA_Fn_UseC__HR_Employee_Attrition[[#This Row],[EducationField]]&amp;"-"&amp;WA_Fn_UseC__HR_Employee_Attrition[[#This Row],[Department]]</f>
        <v>Life Sciences-Sales</v>
      </c>
      <c r="K170">
        <v>1</v>
      </c>
      <c r="L170">
        <v>230</v>
      </c>
      <c r="M170">
        <v>1</v>
      </c>
      <c r="N170" t="s">
        <v>40</v>
      </c>
      <c r="O170">
        <v>59</v>
      </c>
      <c r="P170">
        <v>2</v>
      </c>
      <c r="Q170">
        <v>2</v>
      </c>
      <c r="R170" t="s">
        <v>41</v>
      </c>
      <c r="S170">
        <v>4</v>
      </c>
      <c r="T170" t="s">
        <v>42</v>
      </c>
      <c r="U170">
        <v>8686</v>
      </c>
      <c r="V170" t="str" cm="1">
        <f t="array" ref="V17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70">
        <v>12930</v>
      </c>
      <c r="X170">
        <v>4</v>
      </c>
      <c r="Y170" t="s">
        <v>43</v>
      </c>
      <c r="Z170" t="s">
        <v>44</v>
      </c>
      <c r="AA170">
        <v>22</v>
      </c>
      <c r="AB170">
        <v>4</v>
      </c>
      <c r="AC170">
        <v>3</v>
      </c>
      <c r="AD170">
        <v>80</v>
      </c>
      <c r="AE170">
        <v>0</v>
      </c>
      <c r="AF170">
        <v>12</v>
      </c>
      <c r="AG170">
        <v>2</v>
      </c>
      <c r="AH170">
        <v>4</v>
      </c>
      <c r="AI170">
        <v>8</v>
      </c>
      <c r="AJ170">
        <v>3</v>
      </c>
      <c r="AK170">
        <v>0</v>
      </c>
      <c r="AL170" t="str" cm="1">
        <f t="array" ref="AL17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70">
        <v>7</v>
      </c>
    </row>
    <row r="171" spans="1:39" x14ac:dyDescent="0.25">
      <c r="A171">
        <v>32</v>
      </c>
      <c r="B171" t="s">
        <v>44</v>
      </c>
      <c r="C171" t="s">
        <v>37</v>
      </c>
      <c r="D171">
        <v>120</v>
      </c>
      <c r="E171" t="s">
        <v>46</v>
      </c>
      <c r="G171">
        <v>6</v>
      </c>
      <c r="H171">
        <v>5</v>
      </c>
      <c r="I171" t="s">
        <v>39</v>
      </c>
      <c r="J171" t="str">
        <f>WA_Fn_UseC__HR_Employee_Attrition[[#This Row],[EducationField]]&amp;"-"&amp;WA_Fn_UseC__HR_Employee_Attrition[[#This Row],[Department]]</f>
        <v>Life Sciences-Research &amp; Development</v>
      </c>
      <c r="K171">
        <v>1</v>
      </c>
      <c r="L171">
        <v>231</v>
      </c>
      <c r="M171">
        <v>3</v>
      </c>
      <c r="N171" t="s">
        <v>47</v>
      </c>
      <c r="O171">
        <v>43</v>
      </c>
      <c r="P171">
        <v>3</v>
      </c>
      <c r="Q171">
        <v>1</v>
      </c>
      <c r="R171" t="s">
        <v>48</v>
      </c>
      <c r="S171">
        <v>3</v>
      </c>
      <c r="T171" t="s">
        <v>42</v>
      </c>
      <c r="U171">
        <v>3038</v>
      </c>
      <c r="V171" t="str" cm="1">
        <f t="array" ref="V17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71">
        <v>12430</v>
      </c>
      <c r="X171">
        <v>3</v>
      </c>
      <c r="Y171" t="s">
        <v>43</v>
      </c>
      <c r="Z171" t="s">
        <v>44</v>
      </c>
      <c r="AA171">
        <v>20</v>
      </c>
      <c r="AB171">
        <v>4</v>
      </c>
      <c r="AC171">
        <v>1</v>
      </c>
      <c r="AD171">
        <v>80</v>
      </c>
      <c r="AE171">
        <v>0</v>
      </c>
      <c r="AF171">
        <v>8</v>
      </c>
      <c r="AG171">
        <v>2</v>
      </c>
      <c r="AH171">
        <v>3</v>
      </c>
      <c r="AI171">
        <v>5</v>
      </c>
      <c r="AJ171">
        <v>4</v>
      </c>
      <c r="AK171">
        <v>1</v>
      </c>
      <c r="AL171" t="str" cm="1">
        <f t="array" ref="AL17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71">
        <v>4</v>
      </c>
    </row>
    <row r="172" spans="1:39" x14ac:dyDescent="0.25">
      <c r="A172">
        <v>27</v>
      </c>
      <c r="B172" t="s">
        <v>44</v>
      </c>
      <c r="C172" t="s">
        <v>37</v>
      </c>
      <c r="D172">
        <v>1157</v>
      </c>
      <c r="E172" t="s">
        <v>46</v>
      </c>
      <c r="G172">
        <v>17</v>
      </c>
      <c r="H172">
        <v>3</v>
      </c>
      <c r="I172" t="s">
        <v>61</v>
      </c>
      <c r="J172" t="str">
        <f>WA_Fn_UseC__HR_Employee_Attrition[[#This Row],[EducationField]]&amp;"-"&amp;WA_Fn_UseC__HR_Employee_Attrition[[#This Row],[Department]]</f>
        <v>Technical Degree-Research &amp; Development</v>
      </c>
      <c r="K172">
        <v>1</v>
      </c>
      <c r="L172">
        <v>233</v>
      </c>
      <c r="M172">
        <v>3</v>
      </c>
      <c r="N172" t="s">
        <v>47</v>
      </c>
      <c r="O172">
        <v>51</v>
      </c>
      <c r="P172">
        <v>3</v>
      </c>
      <c r="Q172">
        <v>1</v>
      </c>
      <c r="R172" t="s">
        <v>48</v>
      </c>
      <c r="S172">
        <v>2</v>
      </c>
      <c r="T172" t="s">
        <v>49</v>
      </c>
      <c r="U172">
        <v>3058</v>
      </c>
      <c r="V172" t="str" cm="1">
        <f t="array" ref="V17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72">
        <v>13364</v>
      </c>
      <c r="X172">
        <v>0</v>
      </c>
      <c r="Y172" t="s">
        <v>43</v>
      </c>
      <c r="Z172" t="s">
        <v>36</v>
      </c>
      <c r="AA172">
        <v>16</v>
      </c>
      <c r="AB172">
        <v>3</v>
      </c>
      <c r="AC172">
        <v>4</v>
      </c>
      <c r="AD172">
        <v>80</v>
      </c>
      <c r="AE172">
        <v>1</v>
      </c>
      <c r="AF172">
        <v>6</v>
      </c>
      <c r="AG172">
        <v>3</v>
      </c>
      <c r="AH172">
        <v>2</v>
      </c>
      <c r="AI172">
        <v>5</v>
      </c>
      <c r="AJ172">
        <v>2</v>
      </c>
      <c r="AK172">
        <v>1</v>
      </c>
      <c r="AL172" t="str" cm="1">
        <f t="array" ref="AL17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72">
        <v>1</v>
      </c>
    </row>
    <row r="173" spans="1:39" x14ac:dyDescent="0.25">
      <c r="A173">
        <v>19</v>
      </c>
      <c r="B173" t="s">
        <v>36</v>
      </c>
      <c r="C173" t="s">
        <v>45</v>
      </c>
      <c r="D173">
        <v>602</v>
      </c>
      <c r="E173" t="s">
        <v>38</v>
      </c>
      <c r="G173">
        <v>1</v>
      </c>
      <c r="H173">
        <v>1</v>
      </c>
      <c r="I173" t="s">
        <v>61</v>
      </c>
      <c r="J173" t="str">
        <f>WA_Fn_UseC__HR_Employee_Attrition[[#This Row],[EducationField]]&amp;"-"&amp;WA_Fn_UseC__HR_Employee_Attrition[[#This Row],[Department]]</f>
        <v>Technical Degree-Sales</v>
      </c>
      <c r="K173">
        <v>1</v>
      </c>
      <c r="L173">
        <v>235</v>
      </c>
      <c r="M173">
        <v>3</v>
      </c>
      <c r="N173" t="s">
        <v>40</v>
      </c>
      <c r="O173">
        <v>100</v>
      </c>
      <c r="P173">
        <v>1</v>
      </c>
      <c r="Q173">
        <v>1</v>
      </c>
      <c r="R173" t="s">
        <v>58</v>
      </c>
      <c r="S173">
        <v>1</v>
      </c>
      <c r="T173" t="s">
        <v>42</v>
      </c>
      <c r="U173">
        <v>2325</v>
      </c>
      <c r="V173" t="str" cm="1">
        <f t="array" ref="V17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73">
        <v>20989</v>
      </c>
      <c r="X173">
        <v>0</v>
      </c>
      <c r="Y173" t="s">
        <v>43</v>
      </c>
      <c r="Z173" t="s">
        <v>44</v>
      </c>
      <c r="AA173">
        <v>21</v>
      </c>
      <c r="AB173">
        <v>4</v>
      </c>
      <c r="AC173">
        <v>1</v>
      </c>
      <c r="AD173">
        <v>80</v>
      </c>
      <c r="AE173">
        <v>0</v>
      </c>
      <c r="AF173">
        <v>1</v>
      </c>
      <c r="AG173">
        <v>5</v>
      </c>
      <c r="AH173">
        <v>4</v>
      </c>
      <c r="AI173">
        <v>0</v>
      </c>
      <c r="AJ173">
        <v>0</v>
      </c>
      <c r="AK173">
        <v>0</v>
      </c>
      <c r="AL173" t="str" cm="1">
        <f t="array" ref="AL17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73">
        <v>0</v>
      </c>
    </row>
    <row r="174" spans="1:39" x14ac:dyDescent="0.25">
      <c r="A174">
        <v>36</v>
      </c>
      <c r="B174" t="s">
        <v>44</v>
      </c>
      <c r="C174" t="s">
        <v>45</v>
      </c>
      <c r="D174">
        <v>1480</v>
      </c>
      <c r="E174" t="s">
        <v>46</v>
      </c>
      <c r="G174">
        <v>3</v>
      </c>
      <c r="H174">
        <v>2</v>
      </c>
      <c r="I174" t="s">
        <v>52</v>
      </c>
      <c r="J174" t="str">
        <f>WA_Fn_UseC__HR_Employee_Attrition[[#This Row],[EducationField]]&amp;"-"&amp;WA_Fn_UseC__HR_Employee_Attrition[[#This Row],[Department]]</f>
        <v>Medical-Research &amp; Development</v>
      </c>
      <c r="K174">
        <v>1</v>
      </c>
      <c r="L174">
        <v>238</v>
      </c>
      <c r="M174">
        <v>4</v>
      </c>
      <c r="N174" t="s">
        <v>47</v>
      </c>
      <c r="O174">
        <v>30</v>
      </c>
      <c r="P174">
        <v>3</v>
      </c>
      <c r="Q174">
        <v>1</v>
      </c>
      <c r="R174" t="s">
        <v>51</v>
      </c>
      <c r="S174">
        <v>2</v>
      </c>
      <c r="T174" t="s">
        <v>42</v>
      </c>
      <c r="U174">
        <v>2088</v>
      </c>
      <c r="V174" t="str" cm="1">
        <f t="array" ref="V17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74">
        <v>15062</v>
      </c>
      <c r="X174">
        <v>4</v>
      </c>
      <c r="Y174" t="s">
        <v>43</v>
      </c>
      <c r="Z174" t="s">
        <v>44</v>
      </c>
      <c r="AA174">
        <v>12</v>
      </c>
      <c r="AB174">
        <v>3</v>
      </c>
      <c r="AC174">
        <v>3</v>
      </c>
      <c r="AD174">
        <v>80</v>
      </c>
      <c r="AE174">
        <v>0</v>
      </c>
      <c r="AF174">
        <v>13</v>
      </c>
      <c r="AG174">
        <v>3</v>
      </c>
      <c r="AH174">
        <v>2</v>
      </c>
      <c r="AI174">
        <v>8</v>
      </c>
      <c r="AJ174">
        <v>7</v>
      </c>
      <c r="AK174">
        <v>7</v>
      </c>
      <c r="AL174" t="str" cm="1">
        <f t="array" ref="AL17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74">
        <v>2</v>
      </c>
    </row>
    <row r="175" spans="1:39" x14ac:dyDescent="0.25">
      <c r="A175">
        <v>30</v>
      </c>
      <c r="B175" t="s">
        <v>44</v>
      </c>
      <c r="C175" t="s">
        <v>56</v>
      </c>
      <c r="D175">
        <v>111</v>
      </c>
      <c r="E175" t="s">
        <v>46</v>
      </c>
      <c r="G175">
        <v>9</v>
      </c>
      <c r="H175">
        <v>3</v>
      </c>
      <c r="I175" t="s">
        <v>52</v>
      </c>
      <c r="J175" t="str">
        <f>WA_Fn_UseC__HR_Employee_Attrition[[#This Row],[EducationField]]&amp;"-"&amp;WA_Fn_UseC__HR_Employee_Attrition[[#This Row],[Department]]</f>
        <v>Medical-Research &amp; Development</v>
      </c>
      <c r="K175">
        <v>1</v>
      </c>
      <c r="L175">
        <v>239</v>
      </c>
      <c r="M175">
        <v>3</v>
      </c>
      <c r="N175" t="s">
        <v>47</v>
      </c>
      <c r="O175">
        <v>66</v>
      </c>
      <c r="P175">
        <v>3</v>
      </c>
      <c r="Q175">
        <v>2</v>
      </c>
      <c r="R175" t="s">
        <v>51</v>
      </c>
      <c r="S175">
        <v>1</v>
      </c>
      <c r="T175" t="s">
        <v>53</v>
      </c>
      <c r="U175">
        <v>3072</v>
      </c>
      <c r="V175" t="str" cm="1">
        <f t="array" ref="V17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75">
        <v>11012</v>
      </c>
      <c r="X175">
        <v>1</v>
      </c>
      <c r="Y175" t="s">
        <v>43</v>
      </c>
      <c r="Z175" t="s">
        <v>44</v>
      </c>
      <c r="AA175">
        <v>11</v>
      </c>
      <c r="AB175">
        <v>3</v>
      </c>
      <c r="AC175">
        <v>3</v>
      </c>
      <c r="AD175">
        <v>80</v>
      </c>
      <c r="AE175">
        <v>2</v>
      </c>
      <c r="AF175">
        <v>12</v>
      </c>
      <c r="AG175">
        <v>4</v>
      </c>
      <c r="AH175">
        <v>3</v>
      </c>
      <c r="AI175">
        <v>12</v>
      </c>
      <c r="AJ175">
        <v>9</v>
      </c>
      <c r="AK175">
        <v>6</v>
      </c>
      <c r="AL175" t="str" cm="1">
        <f t="array" ref="AL17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75">
        <v>10</v>
      </c>
    </row>
    <row r="176" spans="1:39" x14ac:dyDescent="0.25">
      <c r="A176">
        <v>45</v>
      </c>
      <c r="B176" t="s">
        <v>44</v>
      </c>
      <c r="C176" t="s">
        <v>37</v>
      </c>
      <c r="D176">
        <v>1268</v>
      </c>
      <c r="E176" t="s">
        <v>38</v>
      </c>
      <c r="G176">
        <v>4</v>
      </c>
      <c r="H176">
        <v>2</v>
      </c>
      <c r="I176" t="s">
        <v>39</v>
      </c>
      <c r="J176" t="str">
        <f>WA_Fn_UseC__HR_Employee_Attrition[[#This Row],[EducationField]]&amp;"-"&amp;WA_Fn_UseC__HR_Employee_Attrition[[#This Row],[Department]]</f>
        <v>Life Sciences-Sales</v>
      </c>
      <c r="K176">
        <v>1</v>
      </c>
      <c r="L176">
        <v>240</v>
      </c>
      <c r="M176">
        <v>3</v>
      </c>
      <c r="N176" t="s">
        <v>40</v>
      </c>
      <c r="O176">
        <v>30</v>
      </c>
      <c r="P176">
        <v>3</v>
      </c>
      <c r="Q176">
        <v>2</v>
      </c>
      <c r="R176" t="s">
        <v>41</v>
      </c>
      <c r="S176">
        <v>1</v>
      </c>
      <c r="T176" t="s">
        <v>53</v>
      </c>
      <c r="U176">
        <v>5006</v>
      </c>
      <c r="V176" t="str" cm="1">
        <f t="array" ref="V17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76">
        <v>6319</v>
      </c>
      <c r="X176">
        <v>4</v>
      </c>
      <c r="Y176" t="s">
        <v>43</v>
      </c>
      <c r="Z176" t="s">
        <v>36</v>
      </c>
      <c r="AA176">
        <v>11</v>
      </c>
      <c r="AB176">
        <v>3</v>
      </c>
      <c r="AC176">
        <v>1</v>
      </c>
      <c r="AD176">
        <v>80</v>
      </c>
      <c r="AE176">
        <v>1</v>
      </c>
      <c r="AF176">
        <v>9</v>
      </c>
      <c r="AG176">
        <v>3</v>
      </c>
      <c r="AH176">
        <v>4</v>
      </c>
      <c r="AI176">
        <v>5</v>
      </c>
      <c r="AJ176">
        <v>4</v>
      </c>
      <c r="AK176">
        <v>0</v>
      </c>
      <c r="AL176" t="str" cm="1">
        <f t="array" ref="AL17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76">
        <v>3</v>
      </c>
    </row>
    <row r="177" spans="1:39" x14ac:dyDescent="0.25">
      <c r="A177">
        <v>56</v>
      </c>
      <c r="B177" t="s">
        <v>44</v>
      </c>
      <c r="C177" t="s">
        <v>37</v>
      </c>
      <c r="D177">
        <v>713</v>
      </c>
      <c r="E177" t="s">
        <v>46</v>
      </c>
      <c r="G177">
        <v>8</v>
      </c>
      <c r="H177">
        <v>3</v>
      </c>
      <c r="I177" t="s">
        <v>39</v>
      </c>
      <c r="J177" t="str">
        <f>WA_Fn_UseC__HR_Employee_Attrition[[#This Row],[EducationField]]&amp;"-"&amp;WA_Fn_UseC__HR_Employee_Attrition[[#This Row],[Department]]</f>
        <v>Life Sciences-Research &amp; Development</v>
      </c>
      <c r="K177">
        <v>1</v>
      </c>
      <c r="L177">
        <v>241</v>
      </c>
      <c r="M177">
        <v>3</v>
      </c>
      <c r="N177" t="s">
        <v>40</v>
      </c>
      <c r="O177">
        <v>67</v>
      </c>
      <c r="P177">
        <v>3</v>
      </c>
      <c r="Q177">
        <v>1</v>
      </c>
      <c r="R177" t="s">
        <v>48</v>
      </c>
      <c r="S177">
        <v>1</v>
      </c>
      <c r="T177" t="s">
        <v>53</v>
      </c>
      <c r="U177">
        <v>4257</v>
      </c>
      <c r="V177" t="str" cm="1">
        <f t="array" ref="V17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77">
        <v>13939</v>
      </c>
      <c r="X177">
        <v>4</v>
      </c>
      <c r="Y177" t="s">
        <v>43</v>
      </c>
      <c r="Z177" t="s">
        <v>36</v>
      </c>
      <c r="AA177">
        <v>18</v>
      </c>
      <c r="AB177">
        <v>3</v>
      </c>
      <c r="AC177">
        <v>3</v>
      </c>
      <c r="AD177">
        <v>80</v>
      </c>
      <c r="AE177">
        <v>1</v>
      </c>
      <c r="AF177">
        <v>19</v>
      </c>
      <c r="AG177">
        <v>3</v>
      </c>
      <c r="AH177">
        <v>3</v>
      </c>
      <c r="AI177">
        <v>2</v>
      </c>
      <c r="AJ177">
        <v>2</v>
      </c>
      <c r="AK177">
        <v>2</v>
      </c>
      <c r="AL177" t="str" cm="1">
        <f t="array" ref="AL17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77">
        <v>2</v>
      </c>
    </row>
    <row r="178" spans="1:39" x14ac:dyDescent="0.25">
      <c r="A178">
        <v>33</v>
      </c>
      <c r="B178" t="s">
        <v>44</v>
      </c>
      <c r="C178" t="s">
        <v>37</v>
      </c>
      <c r="D178">
        <v>134</v>
      </c>
      <c r="E178" t="s">
        <v>46</v>
      </c>
      <c r="G178">
        <v>2</v>
      </c>
      <c r="H178">
        <v>3</v>
      </c>
      <c r="I178" t="s">
        <v>39</v>
      </c>
      <c r="J178" t="str">
        <f>WA_Fn_UseC__HR_Employee_Attrition[[#This Row],[EducationField]]&amp;"-"&amp;WA_Fn_UseC__HR_Employee_Attrition[[#This Row],[Department]]</f>
        <v>Life Sciences-Research &amp; Development</v>
      </c>
      <c r="K178">
        <v>1</v>
      </c>
      <c r="L178">
        <v>242</v>
      </c>
      <c r="M178">
        <v>3</v>
      </c>
      <c r="N178" t="s">
        <v>47</v>
      </c>
      <c r="O178">
        <v>90</v>
      </c>
      <c r="P178">
        <v>3</v>
      </c>
      <c r="Q178">
        <v>1</v>
      </c>
      <c r="R178" t="s">
        <v>48</v>
      </c>
      <c r="S178">
        <v>4</v>
      </c>
      <c r="T178" t="s">
        <v>42</v>
      </c>
      <c r="U178">
        <v>2500</v>
      </c>
      <c r="V178" t="str" cm="1">
        <f t="array" ref="V17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78">
        <v>10515</v>
      </c>
      <c r="X178">
        <v>0</v>
      </c>
      <c r="Y178" t="s">
        <v>43</v>
      </c>
      <c r="Z178" t="s">
        <v>44</v>
      </c>
      <c r="AA178">
        <v>14</v>
      </c>
      <c r="AB178">
        <v>3</v>
      </c>
      <c r="AC178">
        <v>1</v>
      </c>
      <c r="AD178">
        <v>80</v>
      </c>
      <c r="AE178">
        <v>0</v>
      </c>
      <c r="AF178">
        <v>4</v>
      </c>
      <c r="AG178">
        <v>2</v>
      </c>
      <c r="AH178">
        <v>4</v>
      </c>
      <c r="AI178">
        <v>3</v>
      </c>
      <c r="AJ178">
        <v>1</v>
      </c>
      <c r="AK178">
        <v>0</v>
      </c>
      <c r="AL178" t="str" cm="1">
        <f t="array" ref="AL17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78">
        <v>2</v>
      </c>
    </row>
    <row r="179" spans="1:39" x14ac:dyDescent="0.25">
      <c r="A179">
        <v>19</v>
      </c>
      <c r="B179" t="s">
        <v>36</v>
      </c>
      <c r="C179" t="s">
        <v>37</v>
      </c>
      <c r="D179">
        <v>303</v>
      </c>
      <c r="E179" t="s">
        <v>46</v>
      </c>
      <c r="G179">
        <v>2</v>
      </c>
      <c r="H179">
        <v>3</v>
      </c>
      <c r="I179" t="s">
        <v>39</v>
      </c>
      <c r="J179" t="str">
        <f>WA_Fn_UseC__HR_Employee_Attrition[[#This Row],[EducationField]]&amp;"-"&amp;WA_Fn_UseC__HR_Employee_Attrition[[#This Row],[Department]]</f>
        <v>Life Sciences-Research &amp; Development</v>
      </c>
      <c r="K179">
        <v>1</v>
      </c>
      <c r="L179">
        <v>243</v>
      </c>
      <c r="M179">
        <v>2</v>
      </c>
      <c r="N179" t="s">
        <v>47</v>
      </c>
      <c r="O179">
        <v>47</v>
      </c>
      <c r="P179">
        <v>2</v>
      </c>
      <c r="Q179">
        <v>1</v>
      </c>
      <c r="R179" t="s">
        <v>51</v>
      </c>
      <c r="S179">
        <v>4</v>
      </c>
      <c r="T179" t="s">
        <v>42</v>
      </c>
      <c r="U179">
        <v>1102</v>
      </c>
      <c r="V179" t="str" cm="1">
        <f t="array" ref="V17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79">
        <v>9241</v>
      </c>
      <c r="X179">
        <v>1</v>
      </c>
      <c r="Y179" t="s">
        <v>43</v>
      </c>
      <c r="Z179" t="s">
        <v>44</v>
      </c>
      <c r="AA179">
        <v>22</v>
      </c>
      <c r="AB179">
        <v>4</v>
      </c>
      <c r="AC179">
        <v>3</v>
      </c>
      <c r="AD179">
        <v>80</v>
      </c>
      <c r="AE179">
        <v>0</v>
      </c>
      <c r="AF179">
        <v>1</v>
      </c>
      <c r="AG179">
        <v>3</v>
      </c>
      <c r="AH179">
        <v>2</v>
      </c>
      <c r="AI179">
        <v>1</v>
      </c>
      <c r="AJ179">
        <v>0</v>
      </c>
      <c r="AK179">
        <v>1</v>
      </c>
      <c r="AL179" t="str" cm="1">
        <f t="array" ref="AL17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79">
        <v>0</v>
      </c>
    </row>
    <row r="180" spans="1:39" x14ac:dyDescent="0.25">
      <c r="A180">
        <v>46</v>
      </c>
      <c r="B180" t="s">
        <v>44</v>
      </c>
      <c r="C180" t="s">
        <v>37</v>
      </c>
      <c r="D180">
        <v>526</v>
      </c>
      <c r="E180" t="s">
        <v>38</v>
      </c>
      <c r="G180">
        <v>1</v>
      </c>
      <c r="H180">
        <v>2</v>
      </c>
      <c r="I180" t="s">
        <v>60</v>
      </c>
      <c r="J180" t="str">
        <f>WA_Fn_UseC__HR_Employee_Attrition[[#This Row],[EducationField]]&amp;"-"&amp;WA_Fn_UseC__HR_Employee_Attrition[[#This Row],[Department]]</f>
        <v>Marketing-Sales</v>
      </c>
      <c r="K180">
        <v>1</v>
      </c>
      <c r="L180">
        <v>244</v>
      </c>
      <c r="M180">
        <v>2</v>
      </c>
      <c r="N180" t="s">
        <v>40</v>
      </c>
      <c r="O180">
        <v>92</v>
      </c>
      <c r="P180">
        <v>3</v>
      </c>
      <c r="Q180">
        <v>3</v>
      </c>
      <c r="R180" t="s">
        <v>41</v>
      </c>
      <c r="S180">
        <v>1</v>
      </c>
      <c r="T180" t="s">
        <v>53</v>
      </c>
      <c r="U180">
        <v>10453</v>
      </c>
      <c r="V180" t="str" cm="1">
        <f t="array" ref="V18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80">
        <v>2137</v>
      </c>
      <c r="X180">
        <v>1</v>
      </c>
      <c r="Y180" t="s">
        <v>43</v>
      </c>
      <c r="Z180" t="s">
        <v>44</v>
      </c>
      <c r="AA180">
        <v>25</v>
      </c>
      <c r="AB180">
        <v>4</v>
      </c>
      <c r="AC180">
        <v>3</v>
      </c>
      <c r="AD180">
        <v>80</v>
      </c>
      <c r="AE180">
        <v>3</v>
      </c>
      <c r="AF180">
        <v>24</v>
      </c>
      <c r="AG180">
        <v>2</v>
      </c>
      <c r="AH180">
        <v>3</v>
      </c>
      <c r="AI180">
        <v>24</v>
      </c>
      <c r="AJ180">
        <v>13</v>
      </c>
      <c r="AK180">
        <v>15</v>
      </c>
      <c r="AL180" t="str" cm="1">
        <f t="array" ref="AL18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80">
        <v>7</v>
      </c>
    </row>
    <row r="181" spans="1:39" x14ac:dyDescent="0.25">
      <c r="A181">
        <v>38</v>
      </c>
      <c r="B181" t="s">
        <v>44</v>
      </c>
      <c r="C181" t="s">
        <v>37</v>
      </c>
      <c r="D181">
        <v>1380</v>
      </c>
      <c r="E181" t="s">
        <v>46</v>
      </c>
      <c r="G181">
        <v>9</v>
      </c>
      <c r="H181">
        <v>2</v>
      </c>
      <c r="I181" t="s">
        <v>39</v>
      </c>
      <c r="J181" t="str">
        <f>WA_Fn_UseC__HR_Employee_Attrition[[#This Row],[EducationField]]&amp;"-"&amp;WA_Fn_UseC__HR_Employee_Attrition[[#This Row],[Department]]</f>
        <v>Life Sciences-Research &amp; Development</v>
      </c>
      <c r="K181">
        <v>1</v>
      </c>
      <c r="L181">
        <v>245</v>
      </c>
      <c r="M181">
        <v>3</v>
      </c>
      <c r="N181" t="s">
        <v>40</v>
      </c>
      <c r="O181">
        <v>75</v>
      </c>
      <c r="P181">
        <v>3</v>
      </c>
      <c r="Q181">
        <v>1</v>
      </c>
      <c r="R181" t="s">
        <v>51</v>
      </c>
      <c r="S181">
        <v>4</v>
      </c>
      <c r="T181" t="s">
        <v>42</v>
      </c>
      <c r="U181">
        <v>2288</v>
      </c>
      <c r="V181" t="str" cm="1">
        <f t="array" ref="V18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81">
        <v>6319</v>
      </c>
      <c r="X181">
        <v>1</v>
      </c>
      <c r="Y181" t="s">
        <v>43</v>
      </c>
      <c r="Z181" t="s">
        <v>44</v>
      </c>
      <c r="AA181">
        <v>12</v>
      </c>
      <c r="AB181">
        <v>3</v>
      </c>
      <c r="AC181">
        <v>3</v>
      </c>
      <c r="AD181">
        <v>80</v>
      </c>
      <c r="AE181">
        <v>0</v>
      </c>
      <c r="AF181">
        <v>2</v>
      </c>
      <c r="AG181">
        <v>3</v>
      </c>
      <c r="AH181">
        <v>3</v>
      </c>
      <c r="AI181">
        <v>2</v>
      </c>
      <c r="AJ181">
        <v>2</v>
      </c>
      <c r="AK181">
        <v>2</v>
      </c>
      <c r="AL181" t="str" cm="1">
        <f t="array" ref="AL18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81">
        <v>1</v>
      </c>
    </row>
    <row r="182" spans="1:39" x14ac:dyDescent="0.25">
      <c r="A182">
        <v>31</v>
      </c>
      <c r="B182" t="s">
        <v>44</v>
      </c>
      <c r="C182" t="s">
        <v>37</v>
      </c>
      <c r="D182">
        <v>140</v>
      </c>
      <c r="E182" t="s">
        <v>46</v>
      </c>
      <c r="G182">
        <v>12</v>
      </c>
      <c r="H182">
        <v>1</v>
      </c>
      <c r="I182" t="s">
        <v>52</v>
      </c>
      <c r="J182" t="str">
        <f>WA_Fn_UseC__HR_Employee_Attrition[[#This Row],[EducationField]]&amp;"-"&amp;WA_Fn_UseC__HR_Employee_Attrition[[#This Row],[Department]]</f>
        <v>Medical-Research &amp; Development</v>
      </c>
      <c r="K182">
        <v>1</v>
      </c>
      <c r="L182">
        <v>246</v>
      </c>
      <c r="M182">
        <v>3</v>
      </c>
      <c r="N182" t="s">
        <v>40</v>
      </c>
      <c r="O182">
        <v>95</v>
      </c>
      <c r="P182">
        <v>3</v>
      </c>
      <c r="Q182">
        <v>1</v>
      </c>
      <c r="R182" t="s">
        <v>48</v>
      </c>
      <c r="S182">
        <v>4</v>
      </c>
      <c r="T182" t="s">
        <v>49</v>
      </c>
      <c r="U182">
        <v>3929</v>
      </c>
      <c r="V182" t="str" cm="1">
        <f t="array" ref="V18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82">
        <v>6984</v>
      </c>
      <c r="X182">
        <v>8</v>
      </c>
      <c r="Y182" t="s">
        <v>43</v>
      </c>
      <c r="Z182" t="s">
        <v>36</v>
      </c>
      <c r="AA182">
        <v>23</v>
      </c>
      <c r="AB182">
        <v>4</v>
      </c>
      <c r="AC182">
        <v>3</v>
      </c>
      <c r="AD182">
        <v>80</v>
      </c>
      <c r="AE182">
        <v>1</v>
      </c>
      <c r="AF182">
        <v>7</v>
      </c>
      <c r="AG182">
        <v>0</v>
      </c>
      <c r="AH182">
        <v>3</v>
      </c>
      <c r="AI182">
        <v>4</v>
      </c>
      <c r="AJ182">
        <v>2</v>
      </c>
      <c r="AK182">
        <v>0</v>
      </c>
      <c r="AL182" t="str" cm="1">
        <f t="array" ref="AL18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82">
        <v>2</v>
      </c>
    </row>
    <row r="183" spans="1:39" x14ac:dyDescent="0.25">
      <c r="A183">
        <v>34</v>
      </c>
      <c r="B183" t="s">
        <v>44</v>
      </c>
      <c r="C183" t="s">
        <v>37</v>
      </c>
      <c r="D183">
        <v>629</v>
      </c>
      <c r="E183" t="s">
        <v>46</v>
      </c>
      <c r="G183">
        <v>27</v>
      </c>
      <c r="H183">
        <v>2</v>
      </c>
      <c r="I183" t="s">
        <v>52</v>
      </c>
      <c r="J183" t="str">
        <f>WA_Fn_UseC__HR_Employee_Attrition[[#This Row],[EducationField]]&amp;"-"&amp;WA_Fn_UseC__HR_Employee_Attrition[[#This Row],[Department]]</f>
        <v>Medical-Research &amp; Development</v>
      </c>
      <c r="K183">
        <v>1</v>
      </c>
      <c r="L183">
        <v>247</v>
      </c>
      <c r="M183">
        <v>4</v>
      </c>
      <c r="N183" t="s">
        <v>40</v>
      </c>
      <c r="O183">
        <v>95</v>
      </c>
      <c r="P183">
        <v>3</v>
      </c>
      <c r="Q183">
        <v>1</v>
      </c>
      <c r="R183" t="s">
        <v>48</v>
      </c>
      <c r="S183">
        <v>2</v>
      </c>
      <c r="T183" t="s">
        <v>42</v>
      </c>
      <c r="U183">
        <v>2311</v>
      </c>
      <c r="V183" t="str" cm="1">
        <f t="array" ref="V18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83">
        <v>5711</v>
      </c>
      <c r="X183">
        <v>2</v>
      </c>
      <c r="Y183" t="s">
        <v>43</v>
      </c>
      <c r="Z183" t="s">
        <v>44</v>
      </c>
      <c r="AA183">
        <v>15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3</v>
      </c>
      <c r="AJ183">
        <v>2</v>
      </c>
      <c r="AK183">
        <v>1</v>
      </c>
      <c r="AL183" t="str" cm="1">
        <f t="array" ref="AL18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83">
        <v>2</v>
      </c>
    </row>
    <row r="184" spans="1:39" x14ac:dyDescent="0.25">
      <c r="A184">
        <v>41</v>
      </c>
      <c r="B184" t="s">
        <v>36</v>
      </c>
      <c r="C184" t="s">
        <v>37</v>
      </c>
      <c r="D184">
        <v>1356</v>
      </c>
      <c r="E184" t="s">
        <v>38</v>
      </c>
      <c r="G184">
        <v>20</v>
      </c>
      <c r="H184">
        <v>2</v>
      </c>
      <c r="I184" t="s">
        <v>60</v>
      </c>
      <c r="J184" t="str">
        <f>WA_Fn_UseC__HR_Employee_Attrition[[#This Row],[EducationField]]&amp;"-"&amp;WA_Fn_UseC__HR_Employee_Attrition[[#This Row],[Department]]</f>
        <v>Marketing-Sales</v>
      </c>
      <c r="K184">
        <v>1</v>
      </c>
      <c r="L184">
        <v>248</v>
      </c>
      <c r="M184">
        <v>2</v>
      </c>
      <c r="N184" t="s">
        <v>40</v>
      </c>
      <c r="O184">
        <v>70</v>
      </c>
      <c r="P184">
        <v>3</v>
      </c>
      <c r="Q184">
        <v>1</v>
      </c>
      <c r="R184" t="s">
        <v>58</v>
      </c>
      <c r="S184">
        <v>2</v>
      </c>
      <c r="T184" t="s">
        <v>42</v>
      </c>
      <c r="U184">
        <v>3140</v>
      </c>
      <c r="V184" t="str" cm="1">
        <f t="array" ref="V18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84">
        <v>21728</v>
      </c>
      <c r="X184">
        <v>1</v>
      </c>
      <c r="Y184" t="s">
        <v>43</v>
      </c>
      <c r="Z184" t="s">
        <v>36</v>
      </c>
      <c r="AA184">
        <v>22</v>
      </c>
      <c r="AB184">
        <v>4</v>
      </c>
      <c r="AC184">
        <v>4</v>
      </c>
      <c r="AD184">
        <v>80</v>
      </c>
      <c r="AE184">
        <v>0</v>
      </c>
      <c r="AF184">
        <v>4</v>
      </c>
      <c r="AG184">
        <v>5</v>
      </c>
      <c r="AH184">
        <v>2</v>
      </c>
      <c r="AI184">
        <v>4</v>
      </c>
      <c r="AJ184">
        <v>3</v>
      </c>
      <c r="AK184">
        <v>0</v>
      </c>
      <c r="AL184" t="str" cm="1">
        <f t="array" ref="AL18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84">
        <v>2</v>
      </c>
    </row>
    <row r="185" spans="1:39" x14ac:dyDescent="0.25">
      <c r="A185">
        <v>50</v>
      </c>
      <c r="B185" t="s">
        <v>44</v>
      </c>
      <c r="C185" t="s">
        <v>37</v>
      </c>
      <c r="D185">
        <v>328</v>
      </c>
      <c r="E185" t="s">
        <v>46</v>
      </c>
      <c r="G185">
        <v>1</v>
      </c>
      <c r="H185">
        <v>3</v>
      </c>
      <c r="I185" t="s">
        <v>52</v>
      </c>
      <c r="J185" t="str">
        <f>WA_Fn_UseC__HR_Employee_Attrition[[#This Row],[EducationField]]&amp;"-"&amp;WA_Fn_UseC__HR_Employee_Attrition[[#This Row],[Department]]</f>
        <v>Medical-Research &amp; Development</v>
      </c>
      <c r="K185">
        <v>1</v>
      </c>
      <c r="L185">
        <v>249</v>
      </c>
      <c r="M185">
        <v>3</v>
      </c>
      <c r="N185" t="s">
        <v>47</v>
      </c>
      <c r="O185">
        <v>86</v>
      </c>
      <c r="P185">
        <v>2</v>
      </c>
      <c r="Q185">
        <v>1</v>
      </c>
      <c r="R185" t="s">
        <v>51</v>
      </c>
      <c r="S185">
        <v>3</v>
      </c>
      <c r="T185" t="s">
        <v>49</v>
      </c>
      <c r="U185">
        <v>3690</v>
      </c>
      <c r="V185" t="str" cm="1">
        <f t="array" ref="V18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85">
        <v>3425</v>
      </c>
      <c r="X185">
        <v>2</v>
      </c>
      <c r="Y185" t="s">
        <v>43</v>
      </c>
      <c r="Z185" t="s">
        <v>44</v>
      </c>
      <c r="AA185">
        <v>15</v>
      </c>
      <c r="AB185">
        <v>3</v>
      </c>
      <c r="AC185">
        <v>4</v>
      </c>
      <c r="AD185">
        <v>80</v>
      </c>
      <c r="AE185">
        <v>1</v>
      </c>
      <c r="AF185">
        <v>5</v>
      </c>
      <c r="AG185">
        <v>2</v>
      </c>
      <c r="AH185">
        <v>2</v>
      </c>
      <c r="AI185">
        <v>3</v>
      </c>
      <c r="AJ185">
        <v>2</v>
      </c>
      <c r="AK185">
        <v>0</v>
      </c>
      <c r="AL185" t="str" cm="1">
        <f t="array" ref="AL18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85">
        <v>2</v>
      </c>
    </row>
    <row r="186" spans="1:39" x14ac:dyDescent="0.25">
      <c r="A186">
        <v>53</v>
      </c>
      <c r="B186" t="s">
        <v>44</v>
      </c>
      <c r="C186" t="s">
        <v>37</v>
      </c>
      <c r="D186">
        <v>1084</v>
      </c>
      <c r="E186" t="s">
        <v>46</v>
      </c>
      <c r="G186">
        <v>13</v>
      </c>
      <c r="H186">
        <v>2</v>
      </c>
      <c r="I186" t="s">
        <v>52</v>
      </c>
      <c r="J186" t="str">
        <f>WA_Fn_UseC__HR_Employee_Attrition[[#This Row],[EducationField]]&amp;"-"&amp;WA_Fn_UseC__HR_Employee_Attrition[[#This Row],[Department]]</f>
        <v>Medical-Research &amp; Development</v>
      </c>
      <c r="K186">
        <v>1</v>
      </c>
      <c r="L186">
        <v>250</v>
      </c>
      <c r="M186">
        <v>4</v>
      </c>
      <c r="N186" t="s">
        <v>40</v>
      </c>
      <c r="O186">
        <v>57</v>
      </c>
      <c r="P186">
        <v>4</v>
      </c>
      <c r="Q186">
        <v>2</v>
      </c>
      <c r="R186" t="s">
        <v>54</v>
      </c>
      <c r="S186">
        <v>1</v>
      </c>
      <c r="T186" t="s">
        <v>53</v>
      </c>
      <c r="U186">
        <v>4450</v>
      </c>
      <c r="V186" t="str" cm="1">
        <f t="array" ref="V18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86">
        <v>26250</v>
      </c>
      <c r="X186">
        <v>1</v>
      </c>
      <c r="Y186" t="s">
        <v>43</v>
      </c>
      <c r="Z186" t="s">
        <v>44</v>
      </c>
      <c r="AA186">
        <v>11</v>
      </c>
      <c r="AB186">
        <v>3</v>
      </c>
      <c r="AC186">
        <v>3</v>
      </c>
      <c r="AD186">
        <v>80</v>
      </c>
      <c r="AE186">
        <v>2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 t="str" cm="1">
        <f t="array" ref="AL18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86">
        <v>3</v>
      </c>
    </row>
    <row r="187" spans="1:39" x14ac:dyDescent="0.25">
      <c r="A187">
        <v>33</v>
      </c>
      <c r="B187" t="s">
        <v>44</v>
      </c>
      <c r="C187" t="s">
        <v>37</v>
      </c>
      <c r="D187">
        <v>931</v>
      </c>
      <c r="E187" t="s">
        <v>46</v>
      </c>
      <c r="G187">
        <v>14</v>
      </c>
      <c r="H187">
        <v>3</v>
      </c>
      <c r="I187" t="s">
        <v>52</v>
      </c>
      <c r="J187" t="str">
        <f>WA_Fn_UseC__HR_Employee_Attrition[[#This Row],[EducationField]]&amp;"-"&amp;WA_Fn_UseC__HR_Employee_Attrition[[#This Row],[Department]]</f>
        <v>Medical-Research &amp; Development</v>
      </c>
      <c r="K187">
        <v>1</v>
      </c>
      <c r="L187">
        <v>252</v>
      </c>
      <c r="M187">
        <v>4</v>
      </c>
      <c r="N187" t="s">
        <v>40</v>
      </c>
      <c r="O187">
        <v>72</v>
      </c>
      <c r="P187">
        <v>3</v>
      </c>
      <c r="Q187">
        <v>1</v>
      </c>
      <c r="R187" t="s">
        <v>48</v>
      </c>
      <c r="S187">
        <v>2</v>
      </c>
      <c r="T187" t="s">
        <v>49</v>
      </c>
      <c r="U187">
        <v>2756</v>
      </c>
      <c r="V187" t="str" cm="1">
        <f t="array" ref="V18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87">
        <v>4673</v>
      </c>
      <c r="X187">
        <v>1</v>
      </c>
      <c r="Y187" t="s">
        <v>43</v>
      </c>
      <c r="Z187" t="s">
        <v>44</v>
      </c>
      <c r="AA187">
        <v>13</v>
      </c>
      <c r="AB187">
        <v>3</v>
      </c>
      <c r="AC187">
        <v>4</v>
      </c>
      <c r="AD187">
        <v>80</v>
      </c>
      <c r="AE187">
        <v>1</v>
      </c>
      <c r="AF187">
        <v>8</v>
      </c>
      <c r="AG187">
        <v>5</v>
      </c>
      <c r="AH187">
        <v>3</v>
      </c>
      <c r="AI187">
        <v>8</v>
      </c>
      <c r="AJ187">
        <v>7</v>
      </c>
      <c r="AK187">
        <v>1</v>
      </c>
      <c r="AL187" t="str" cm="1">
        <f t="array" ref="AL18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87">
        <v>6</v>
      </c>
    </row>
    <row r="188" spans="1:39" x14ac:dyDescent="0.25">
      <c r="A188">
        <v>40</v>
      </c>
      <c r="B188" t="s">
        <v>44</v>
      </c>
      <c r="C188" t="s">
        <v>37</v>
      </c>
      <c r="D188">
        <v>989</v>
      </c>
      <c r="E188" t="s">
        <v>46</v>
      </c>
      <c r="G188">
        <v>4</v>
      </c>
      <c r="H188">
        <v>1</v>
      </c>
      <c r="I188" t="s">
        <v>52</v>
      </c>
      <c r="J188" t="str">
        <f>WA_Fn_UseC__HR_Employee_Attrition[[#This Row],[EducationField]]&amp;"-"&amp;WA_Fn_UseC__HR_Employee_Attrition[[#This Row],[Department]]</f>
        <v>Medical-Research &amp; Development</v>
      </c>
      <c r="K188">
        <v>1</v>
      </c>
      <c r="L188">
        <v>253</v>
      </c>
      <c r="M188">
        <v>4</v>
      </c>
      <c r="N188" t="s">
        <v>40</v>
      </c>
      <c r="O188">
        <v>46</v>
      </c>
      <c r="P188">
        <v>3</v>
      </c>
      <c r="Q188">
        <v>5</v>
      </c>
      <c r="R188" t="s">
        <v>57</v>
      </c>
      <c r="S188">
        <v>3</v>
      </c>
      <c r="T188" t="s">
        <v>49</v>
      </c>
      <c r="U188">
        <v>19033</v>
      </c>
      <c r="V188" t="str" cm="1">
        <f t="array" ref="V18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88">
        <v>6499</v>
      </c>
      <c r="X188">
        <v>1</v>
      </c>
      <c r="Y188" t="s">
        <v>43</v>
      </c>
      <c r="Z188" t="s">
        <v>44</v>
      </c>
      <c r="AA188">
        <v>14</v>
      </c>
      <c r="AB188">
        <v>3</v>
      </c>
      <c r="AC188">
        <v>2</v>
      </c>
      <c r="AD188">
        <v>80</v>
      </c>
      <c r="AE188">
        <v>1</v>
      </c>
      <c r="AF188">
        <v>21</v>
      </c>
      <c r="AG188">
        <v>2</v>
      </c>
      <c r="AH188">
        <v>3</v>
      </c>
      <c r="AI188">
        <v>20</v>
      </c>
      <c r="AJ188">
        <v>8</v>
      </c>
      <c r="AK188">
        <v>9</v>
      </c>
      <c r="AL188" t="str" cm="1">
        <f t="array" ref="AL18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88">
        <v>9</v>
      </c>
    </row>
    <row r="189" spans="1:39" x14ac:dyDescent="0.25">
      <c r="A189">
        <v>55</v>
      </c>
      <c r="B189" t="s">
        <v>44</v>
      </c>
      <c r="C189" t="s">
        <v>37</v>
      </c>
      <c r="D189">
        <v>692</v>
      </c>
      <c r="E189" t="s">
        <v>46</v>
      </c>
      <c r="G189">
        <v>14</v>
      </c>
      <c r="H189">
        <v>4</v>
      </c>
      <c r="I189" t="s">
        <v>52</v>
      </c>
      <c r="J189" t="str">
        <f>WA_Fn_UseC__HR_Employee_Attrition[[#This Row],[EducationField]]&amp;"-"&amp;WA_Fn_UseC__HR_Employee_Attrition[[#This Row],[Department]]</f>
        <v>Medical-Research &amp; Development</v>
      </c>
      <c r="K189">
        <v>1</v>
      </c>
      <c r="L189">
        <v>254</v>
      </c>
      <c r="M189">
        <v>3</v>
      </c>
      <c r="N189" t="s">
        <v>47</v>
      </c>
      <c r="O189">
        <v>61</v>
      </c>
      <c r="P189">
        <v>4</v>
      </c>
      <c r="Q189">
        <v>5</v>
      </c>
      <c r="R189" t="s">
        <v>59</v>
      </c>
      <c r="S189">
        <v>2</v>
      </c>
      <c r="T189" t="s">
        <v>42</v>
      </c>
      <c r="U189">
        <v>18722</v>
      </c>
      <c r="V189" t="str" cm="1">
        <f t="array" ref="V18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89">
        <v>13339</v>
      </c>
      <c r="X189">
        <v>8</v>
      </c>
      <c r="Y189" t="s">
        <v>43</v>
      </c>
      <c r="Z189" t="s">
        <v>44</v>
      </c>
      <c r="AA189">
        <v>11</v>
      </c>
      <c r="AB189">
        <v>3</v>
      </c>
      <c r="AC189">
        <v>4</v>
      </c>
      <c r="AD189">
        <v>80</v>
      </c>
      <c r="AE189">
        <v>0</v>
      </c>
      <c r="AF189">
        <v>36</v>
      </c>
      <c r="AG189">
        <v>3</v>
      </c>
      <c r="AH189">
        <v>3</v>
      </c>
      <c r="AI189">
        <v>24</v>
      </c>
      <c r="AJ189">
        <v>15</v>
      </c>
      <c r="AK189">
        <v>2</v>
      </c>
      <c r="AL189" t="str" cm="1">
        <f t="array" ref="AL18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89">
        <v>15</v>
      </c>
    </row>
    <row r="190" spans="1:39" x14ac:dyDescent="0.25">
      <c r="A190">
        <v>34</v>
      </c>
      <c r="B190" t="s">
        <v>44</v>
      </c>
      <c r="C190" t="s">
        <v>45</v>
      </c>
      <c r="D190">
        <v>1069</v>
      </c>
      <c r="E190" t="s">
        <v>46</v>
      </c>
      <c r="G190">
        <v>2</v>
      </c>
      <c r="H190">
        <v>1</v>
      </c>
      <c r="I190" t="s">
        <v>39</v>
      </c>
      <c r="J190" t="str">
        <f>WA_Fn_UseC__HR_Employee_Attrition[[#This Row],[EducationField]]&amp;"-"&amp;WA_Fn_UseC__HR_Employee_Attrition[[#This Row],[Department]]</f>
        <v>Life Sciences-Research &amp; Development</v>
      </c>
      <c r="K190">
        <v>1</v>
      </c>
      <c r="L190">
        <v>256</v>
      </c>
      <c r="M190">
        <v>4</v>
      </c>
      <c r="N190" t="s">
        <v>47</v>
      </c>
      <c r="O190">
        <v>45</v>
      </c>
      <c r="P190">
        <v>2</v>
      </c>
      <c r="Q190">
        <v>2</v>
      </c>
      <c r="R190" t="s">
        <v>54</v>
      </c>
      <c r="S190">
        <v>3</v>
      </c>
      <c r="T190" t="s">
        <v>49</v>
      </c>
      <c r="U190">
        <v>9547</v>
      </c>
      <c r="V190" t="str" cm="1">
        <f t="array" ref="V19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90">
        <v>14074</v>
      </c>
      <c r="X190">
        <v>1</v>
      </c>
      <c r="Y190" t="s">
        <v>43</v>
      </c>
      <c r="Z190" t="s">
        <v>44</v>
      </c>
      <c r="AA190">
        <v>17</v>
      </c>
      <c r="AB190">
        <v>3</v>
      </c>
      <c r="AC190">
        <v>3</v>
      </c>
      <c r="AD190">
        <v>80</v>
      </c>
      <c r="AE190">
        <v>0</v>
      </c>
      <c r="AF190">
        <v>10</v>
      </c>
      <c r="AG190">
        <v>2</v>
      </c>
      <c r="AH190">
        <v>2</v>
      </c>
      <c r="AI190">
        <v>10</v>
      </c>
      <c r="AJ190">
        <v>9</v>
      </c>
      <c r="AK190">
        <v>1</v>
      </c>
      <c r="AL190" t="str" cm="1">
        <f t="array" ref="AL19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90">
        <v>9</v>
      </c>
    </row>
    <row r="191" spans="1:39" x14ac:dyDescent="0.25">
      <c r="A191">
        <v>51</v>
      </c>
      <c r="B191" t="s">
        <v>44</v>
      </c>
      <c r="C191" t="s">
        <v>37</v>
      </c>
      <c r="D191">
        <v>313</v>
      </c>
      <c r="E191" t="s">
        <v>46</v>
      </c>
      <c r="G191">
        <v>3</v>
      </c>
      <c r="H191">
        <v>3</v>
      </c>
      <c r="I191" t="s">
        <v>52</v>
      </c>
      <c r="J191" t="str">
        <f>WA_Fn_UseC__HR_Employee_Attrition[[#This Row],[EducationField]]&amp;"-"&amp;WA_Fn_UseC__HR_Employee_Attrition[[#This Row],[Department]]</f>
        <v>Medical-Research &amp; Development</v>
      </c>
      <c r="K191">
        <v>1</v>
      </c>
      <c r="L191">
        <v>258</v>
      </c>
      <c r="M191">
        <v>4</v>
      </c>
      <c r="N191" t="s">
        <v>40</v>
      </c>
      <c r="O191">
        <v>98</v>
      </c>
      <c r="P191">
        <v>3</v>
      </c>
      <c r="Q191">
        <v>4</v>
      </c>
      <c r="R191" t="s">
        <v>55</v>
      </c>
      <c r="S191">
        <v>2</v>
      </c>
      <c r="T191" t="s">
        <v>42</v>
      </c>
      <c r="U191">
        <v>13734</v>
      </c>
      <c r="V191" t="str" cm="1">
        <f t="array" ref="V19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91">
        <v>7192</v>
      </c>
      <c r="X191">
        <v>3</v>
      </c>
      <c r="Y191" t="s">
        <v>43</v>
      </c>
      <c r="Z191" t="s">
        <v>44</v>
      </c>
      <c r="AA191">
        <v>18</v>
      </c>
      <c r="AB191">
        <v>3</v>
      </c>
      <c r="AC191">
        <v>3</v>
      </c>
      <c r="AD191">
        <v>80</v>
      </c>
      <c r="AE191">
        <v>0</v>
      </c>
      <c r="AF191">
        <v>21</v>
      </c>
      <c r="AG191">
        <v>6</v>
      </c>
      <c r="AH191">
        <v>3</v>
      </c>
      <c r="AI191">
        <v>7</v>
      </c>
      <c r="AJ191">
        <v>7</v>
      </c>
      <c r="AK191">
        <v>1</v>
      </c>
      <c r="AL191" t="str" cm="1">
        <f t="array" ref="AL19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91">
        <v>0</v>
      </c>
    </row>
    <row r="192" spans="1:39" x14ac:dyDescent="0.25">
      <c r="A192">
        <v>52</v>
      </c>
      <c r="B192" t="s">
        <v>44</v>
      </c>
      <c r="C192" t="s">
        <v>37</v>
      </c>
      <c r="D192">
        <v>699</v>
      </c>
      <c r="E192" t="s">
        <v>46</v>
      </c>
      <c r="G192">
        <v>1</v>
      </c>
      <c r="H192">
        <v>4</v>
      </c>
      <c r="I192" t="s">
        <v>39</v>
      </c>
      <c r="J192" t="str">
        <f>WA_Fn_UseC__HR_Employee_Attrition[[#This Row],[EducationField]]&amp;"-"&amp;WA_Fn_UseC__HR_Employee_Attrition[[#This Row],[Department]]</f>
        <v>Life Sciences-Research &amp; Development</v>
      </c>
      <c r="K192">
        <v>1</v>
      </c>
      <c r="L192">
        <v>259</v>
      </c>
      <c r="M192">
        <v>3</v>
      </c>
      <c r="N192" t="s">
        <v>47</v>
      </c>
      <c r="O192">
        <v>65</v>
      </c>
      <c r="P192">
        <v>2</v>
      </c>
      <c r="Q192">
        <v>5</v>
      </c>
      <c r="R192" t="s">
        <v>57</v>
      </c>
      <c r="S192">
        <v>3</v>
      </c>
      <c r="T192" t="s">
        <v>49</v>
      </c>
      <c r="U192">
        <v>19999</v>
      </c>
      <c r="V192" t="str" cm="1">
        <f t="array" ref="V19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92">
        <v>5678</v>
      </c>
      <c r="X192">
        <v>0</v>
      </c>
      <c r="Y192" t="s">
        <v>43</v>
      </c>
      <c r="Z192" t="s">
        <v>44</v>
      </c>
      <c r="AA192">
        <v>14</v>
      </c>
      <c r="AB192">
        <v>3</v>
      </c>
      <c r="AC192">
        <v>1</v>
      </c>
      <c r="AD192">
        <v>80</v>
      </c>
      <c r="AE192">
        <v>1</v>
      </c>
      <c r="AF192">
        <v>34</v>
      </c>
      <c r="AG192">
        <v>5</v>
      </c>
      <c r="AH192">
        <v>3</v>
      </c>
      <c r="AI192">
        <v>33</v>
      </c>
      <c r="AJ192">
        <v>18</v>
      </c>
      <c r="AK192">
        <v>11</v>
      </c>
      <c r="AL192" t="str" cm="1">
        <f t="array" ref="AL19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92">
        <v>9</v>
      </c>
    </row>
    <row r="193" spans="1:39" x14ac:dyDescent="0.25">
      <c r="A193">
        <v>27</v>
      </c>
      <c r="B193" t="s">
        <v>44</v>
      </c>
      <c r="C193" t="s">
        <v>37</v>
      </c>
      <c r="D193">
        <v>894</v>
      </c>
      <c r="E193" t="s">
        <v>46</v>
      </c>
      <c r="G193">
        <v>9</v>
      </c>
      <c r="H193">
        <v>3</v>
      </c>
      <c r="I193" t="s">
        <v>52</v>
      </c>
      <c r="J193" t="str">
        <f>WA_Fn_UseC__HR_Employee_Attrition[[#This Row],[EducationField]]&amp;"-"&amp;WA_Fn_UseC__HR_Employee_Attrition[[#This Row],[Department]]</f>
        <v>Medical-Research &amp; Development</v>
      </c>
      <c r="K193">
        <v>1</v>
      </c>
      <c r="L193">
        <v>260</v>
      </c>
      <c r="M193">
        <v>4</v>
      </c>
      <c r="N193" t="s">
        <v>40</v>
      </c>
      <c r="O193">
        <v>99</v>
      </c>
      <c r="P193">
        <v>3</v>
      </c>
      <c r="Q193">
        <v>1</v>
      </c>
      <c r="R193" t="s">
        <v>48</v>
      </c>
      <c r="S193">
        <v>2</v>
      </c>
      <c r="T193" t="s">
        <v>42</v>
      </c>
      <c r="U193">
        <v>2279</v>
      </c>
      <c r="V193" t="str" cm="1">
        <f t="array" ref="V19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93">
        <v>11781</v>
      </c>
      <c r="X193">
        <v>1</v>
      </c>
      <c r="Y193" t="s">
        <v>43</v>
      </c>
      <c r="Z193" t="s">
        <v>44</v>
      </c>
      <c r="AA193">
        <v>16</v>
      </c>
      <c r="AB193">
        <v>3</v>
      </c>
      <c r="AC193">
        <v>4</v>
      </c>
      <c r="AD193">
        <v>80</v>
      </c>
      <c r="AE193">
        <v>0</v>
      </c>
      <c r="AF193">
        <v>7</v>
      </c>
      <c r="AG193">
        <v>2</v>
      </c>
      <c r="AH193">
        <v>2</v>
      </c>
      <c r="AI193">
        <v>7</v>
      </c>
      <c r="AJ193">
        <v>7</v>
      </c>
      <c r="AK193">
        <v>0</v>
      </c>
      <c r="AL193" t="str" cm="1">
        <f t="array" ref="AL19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93">
        <v>3</v>
      </c>
    </row>
    <row r="194" spans="1:39" x14ac:dyDescent="0.25">
      <c r="A194">
        <v>35</v>
      </c>
      <c r="B194" t="s">
        <v>36</v>
      </c>
      <c r="C194" t="s">
        <v>37</v>
      </c>
      <c r="D194">
        <v>556</v>
      </c>
      <c r="E194" t="s">
        <v>46</v>
      </c>
      <c r="G194">
        <v>23</v>
      </c>
      <c r="H194">
        <v>2</v>
      </c>
      <c r="I194" t="s">
        <v>39</v>
      </c>
      <c r="J194" t="str">
        <f>WA_Fn_UseC__HR_Employee_Attrition[[#This Row],[EducationField]]&amp;"-"&amp;WA_Fn_UseC__HR_Employee_Attrition[[#This Row],[Department]]</f>
        <v>Life Sciences-Research &amp; Development</v>
      </c>
      <c r="K194">
        <v>1</v>
      </c>
      <c r="L194">
        <v>261</v>
      </c>
      <c r="M194">
        <v>2</v>
      </c>
      <c r="N194" t="s">
        <v>47</v>
      </c>
      <c r="O194">
        <v>50</v>
      </c>
      <c r="P194">
        <v>2</v>
      </c>
      <c r="Q194">
        <v>2</v>
      </c>
      <c r="R194" t="s">
        <v>54</v>
      </c>
      <c r="S194">
        <v>3</v>
      </c>
      <c r="T194" t="s">
        <v>49</v>
      </c>
      <c r="U194">
        <v>5916</v>
      </c>
      <c r="V194" t="str" cm="1">
        <f t="array" ref="V19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94">
        <v>15497</v>
      </c>
      <c r="X194">
        <v>3</v>
      </c>
      <c r="Y194" t="s">
        <v>43</v>
      </c>
      <c r="Z194" t="s">
        <v>36</v>
      </c>
      <c r="AA194">
        <v>13</v>
      </c>
      <c r="AB194">
        <v>3</v>
      </c>
      <c r="AC194">
        <v>1</v>
      </c>
      <c r="AD194">
        <v>80</v>
      </c>
      <c r="AE194">
        <v>0</v>
      </c>
      <c r="AF194">
        <v>8</v>
      </c>
      <c r="AG194">
        <v>1</v>
      </c>
      <c r="AH194">
        <v>3</v>
      </c>
      <c r="AI194">
        <v>1</v>
      </c>
      <c r="AJ194">
        <v>0</v>
      </c>
      <c r="AK194">
        <v>0</v>
      </c>
      <c r="AL194" t="str" cm="1">
        <f t="array" ref="AL19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94">
        <v>1</v>
      </c>
    </row>
    <row r="195" spans="1:39" x14ac:dyDescent="0.25">
      <c r="A195">
        <v>43</v>
      </c>
      <c r="B195" t="s">
        <v>44</v>
      </c>
      <c r="C195" t="s">
        <v>56</v>
      </c>
      <c r="D195">
        <v>1344</v>
      </c>
      <c r="E195" t="s">
        <v>46</v>
      </c>
      <c r="G195">
        <v>7</v>
      </c>
      <c r="H195">
        <v>3</v>
      </c>
      <c r="I195" t="s">
        <v>52</v>
      </c>
      <c r="J195" t="str">
        <f>WA_Fn_UseC__HR_Employee_Attrition[[#This Row],[EducationField]]&amp;"-"&amp;WA_Fn_UseC__HR_Employee_Attrition[[#This Row],[Department]]</f>
        <v>Medical-Research &amp; Development</v>
      </c>
      <c r="K195">
        <v>1</v>
      </c>
      <c r="L195">
        <v>262</v>
      </c>
      <c r="M195">
        <v>4</v>
      </c>
      <c r="N195" t="s">
        <v>47</v>
      </c>
      <c r="O195">
        <v>37</v>
      </c>
      <c r="P195">
        <v>4</v>
      </c>
      <c r="Q195">
        <v>1</v>
      </c>
      <c r="R195" t="s">
        <v>48</v>
      </c>
      <c r="S195">
        <v>4</v>
      </c>
      <c r="T195" t="s">
        <v>53</v>
      </c>
      <c r="U195">
        <v>2089</v>
      </c>
      <c r="V195" t="str" cm="1">
        <f t="array" ref="V19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95">
        <v>5228</v>
      </c>
      <c r="X195">
        <v>4</v>
      </c>
      <c r="Y195" t="s">
        <v>43</v>
      </c>
      <c r="Z195" t="s">
        <v>44</v>
      </c>
      <c r="AA195">
        <v>14</v>
      </c>
      <c r="AB195">
        <v>3</v>
      </c>
      <c r="AC195">
        <v>4</v>
      </c>
      <c r="AD195">
        <v>80</v>
      </c>
      <c r="AE195">
        <v>3</v>
      </c>
      <c r="AF195">
        <v>7</v>
      </c>
      <c r="AG195">
        <v>3</v>
      </c>
      <c r="AH195">
        <v>4</v>
      </c>
      <c r="AI195">
        <v>5</v>
      </c>
      <c r="AJ195">
        <v>4</v>
      </c>
      <c r="AK195">
        <v>2</v>
      </c>
      <c r="AL195" t="str" cm="1">
        <f t="array" ref="AL19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95">
        <v>2</v>
      </c>
    </row>
    <row r="196" spans="1:39" x14ac:dyDescent="0.25">
      <c r="A196">
        <v>45</v>
      </c>
      <c r="B196" t="s">
        <v>44</v>
      </c>
      <c r="C196" t="s">
        <v>56</v>
      </c>
      <c r="D196">
        <v>1195</v>
      </c>
      <c r="E196" t="s">
        <v>46</v>
      </c>
      <c r="G196">
        <v>2</v>
      </c>
      <c r="H196">
        <v>2</v>
      </c>
      <c r="I196" t="s">
        <v>52</v>
      </c>
      <c r="J196" t="str">
        <f>WA_Fn_UseC__HR_Employee_Attrition[[#This Row],[EducationField]]&amp;"-"&amp;WA_Fn_UseC__HR_Employee_Attrition[[#This Row],[Department]]</f>
        <v>Medical-Research &amp; Development</v>
      </c>
      <c r="K196">
        <v>1</v>
      </c>
      <c r="L196">
        <v>264</v>
      </c>
      <c r="M196">
        <v>1</v>
      </c>
      <c r="N196" t="s">
        <v>47</v>
      </c>
      <c r="O196">
        <v>65</v>
      </c>
      <c r="P196">
        <v>2</v>
      </c>
      <c r="Q196">
        <v>4</v>
      </c>
      <c r="R196" t="s">
        <v>57</v>
      </c>
      <c r="S196">
        <v>4</v>
      </c>
      <c r="T196" t="s">
        <v>49</v>
      </c>
      <c r="U196">
        <v>16792</v>
      </c>
      <c r="V196" t="str" cm="1">
        <f t="array" ref="V19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96">
        <v>20462</v>
      </c>
      <c r="X196">
        <v>9</v>
      </c>
      <c r="Y196" t="s">
        <v>43</v>
      </c>
      <c r="Z196" t="s">
        <v>44</v>
      </c>
      <c r="AA196">
        <v>23</v>
      </c>
      <c r="AB196">
        <v>4</v>
      </c>
      <c r="AC196">
        <v>4</v>
      </c>
      <c r="AD196">
        <v>80</v>
      </c>
      <c r="AE196">
        <v>1</v>
      </c>
      <c r="AF196">
        <v>22</v>
      </c>
      <c r="AG196">
        <v>1</v>
      </c>
      <c r="AH196">
        <v>3</v>
      </c>
      <c r="AI196">
        <v>20</v>
      </c>
      <c r="AJ196">
        <v>8</v>
      </c>
      <c r="AK196">
        <v>11</v>
      </c>
      <c r="AL196" t="str" cm="1">
        <f t="array" ref="AL19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96">
        <v>8</v>
      </c>
    </row>
    <row r="197" spans="1:39" x14ac:dyDescent="0.25">
      <c r="A197">
        <v>37</v>
      </c>
      <c r="B197" t="s">
        <v>44</v>
      </c>
      <c r="C197" t="s">
        <v>37</v>
      </c>
      <c r="D197">
        <v>290</v>
      </c>
      <c r="E197" t="s">
        <v>46</v>
      </c>
      <c r="G197">
        <v>21</v>
      </c>
      <c r="H197">
        <v>3</v>
      </c>
      <c r="I197" t="s">
        <v>39</v>
      </c>
      <c r="J197" t="str">
        <f>WA_Fn_UseC__HR_Employee_Attrition[[#This Row],[EducationField]]&amp;"-"&amp;WA_Fn_UseC__HR_Employee_Attrition[[#This Row],[Department]]</f>
        <v>Life Sciences-Research &amp; Development</v>
      </c>
      <c r="K197">
        <v>1</v>
      </c>
      <c r="L197">
        <v>267</v>
      </c>
      <c r="M197">
        <v>2</v>
      </c>
      <c r="N197" t="s">
        <v>47</v>
      </c>
      <c r="O197">
        <v>65</v>
      </c>
      <c r="P197">
        <v>4</v>
      </c>
      <c r="Q197">
        <v>1</v>
      </c>
      <c r="R197" t="s">
        <v>48</v>
      </c>
      <c r="S197">
        <v>1</v>
      </c>
      <c r="T197" t="s">
        <v>49</v>
      </c>
      <c r="U197">
        <v>3564</v>
      </c>
      <c r="V197" t="str" cm="1">
        <f t="array" ref="V19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97">
        <v>22977</v>
      </c>
      <c r="X197">
        <v>1</v>
      </c>
      <c r="Y197" t="s">
        <v>43</v>
      </c>
      <c r="Z197" t="s">
        <v>36</v>
      </c>
      <c r="AA197">
        <v>12</v>
      </c>
      <c r="AB197">
        <v>3</v>
      </c>
      <c r="AC197">
        <v>1</v>
      </c>
      <c r="AD197">
        <v>80</v>
      </c>
      <c r="AE197">
        <v>1</v>
      </c>
      <c r="AF197">
        <v>8</v>
      </c>
      <c r="AG197">
        <v>3</v>
      </c>
      <c r="AH197">
        <v>2</v>
      </c>
      <c r="AI197">
        <v>8</v>
      </c>
      <c r="AJ197">
        <v>7</v>
      </c>
      <c r="AK197">
        <v>1</v>
      </c>
      <c r="AL197" t="str" cm="1">
        <f t="array" ref="AL19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97">
        <v>7</v>
      </c>
    </row>
    <row r="198" spans="1:39" x14ac:dyDescent="0.25">
      <c r="A198">
        <v>35</v>
      </c>
      <c r="B198" t="s">
        <v>44</v>
      </c>
      <c r="C198" t="s">
        <v>45</v>
      </c>
      <c r="D198">
        <v>138</v>
      </c>
      <c r="E198" t="s">
        <v>46</v>
      </c>
      <c r="G198">
        <v>2</v>
      </c>
      <c r="H198">
        <v>3</v>
      </c>
      <c r="I198" t="s">
        <v>52</v>
      </c>
      <c r="J198" t="str">
        <f>WA_Fn_UseC__HR_Employee_Attrition[[#This Row],[EducationField]]&amp;"-"&amp;WA_Fn_UseC__HR_Employee_Attrition[[#This Row],[Department]]</f>
        <v>Medical-Research &amp; Development</v>
      </c>
      <c r="K198">
        <v>1</v>
      </c>
      <c r="L198">
        <v>269</v>
      </c>
      <c r="M198">
        <v>2</v>
      </c>
      <c r="N198" t="s">
        <v>40</v>
      </c>
      <c r="O198">
        <v>37</v>
      </c>
      <c r="P198">
        <v>3</v>
      </c>
      <c r="Q198">
        <v>2</v>
      </c>
      <c r="R198" t="s">
        <v>51</v>
      </c>
      <c r="S198">
        <v>2</v>
      </c>
      <c r="T198" t="s">
        <v>42</v>
      </c>
      <c r="U198">
        <v>4425</v>
      </c>
      <c r="V198" t="str" cm="1">
        <f t="array" ref="V19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98">
        <v>15986</v>
      </c>
      <c r="X198">
        <v>5</v>
      </c>
      <c r="Y198" t="s">
        <v>43</v>
      </c>
      <c r="Z198" t="s">
        <v>44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10</v>
      </c>
      <c r="AG198">
        <v>5</v>
      </c>
      <c r="AH198">
        <v>3</v>
      </c>
      <c r="AI198">
        <v>6</v>
      </c>
      <c r="AJ198">
        <v>2</v>
      </c>
      <c r="AK198">
        <v>1</v>
      </c>
      <c r="AL198" t="str" cm="1">
        <f t="array" ref="AL19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98">
        <v>2</v>
      </c>
    </row>
    <row r="199" spans="1:39" x14ac:dyDescent="0.25">
      <c r="A199">
        <v>42</v>
      </c>
      <c r="B199" t="s">
        <v>44</v>
      </c>
      <c r="C199" t="s">
        <v>56</v>
      </c>
      <c r="D199">
        <v>926</v>
      </c>
      <c r="E199" t="s">
        <v>46</v>
      </c>
      <c r="G199">
        <v>21</v>
      </c>
      <c r="H199">
        <v>2</v>
      </c>
      <c r="I199" t="s">
        <v>52</v>
      </c>
      <c r="J199" t="str">
        <f>WA_Fn_UseC__HR_Employee_Attrition[[#This Row],[EducationField]]&amp;"-"&amp;WA_Fn_UseC__HR_Employee_Attrition[[#This Row],[Department]]</f>
        <v>Medical-Research &amp; Development</v>
      </c>
      <c r="K199">
        <v>1</v>
      </c>
      <c r="L199">
        <v>270</v>
      </c>
      <c r="M199">
        <v>3</v>
      </c>
      <c r="N199" t="s">
        <v>40</v>
      </c>
      <c r="O199">
        <v>36</v>
      </c>
      <c r="P199">
        <v>3</v>
      </c>
      <c r="Q199">
        <v>2</v>
      </c>
      <c r="R199" t="s">
        <v>54</v>
      </c>
      <c r="S199">
        <v>3</v>
      </c>
      <c r="T199" t="s">
        <v>53</v>
      </c>
      <c r="U199">
        <v>5265</v>
      </c>
      <c r="V199" t="str" cm="1">
        <f t="array" ref="V19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99">
        <v>16439</v>
      </c>
      <c r="X199">
        <v>2</v>
      </c>
      <c r="Y199" t="s">
        <v>43</v>
      </c>
      <c r="Z199" t="s">
        <v>44</v>
      </c>
      <c r="AA199">
        <v>16</v>
      </c>
      <c r="AB199">
        <v>3</v>
      </c>
      <c r="AC199">
        <v>2</v>
      </c>
      <c r="AD199">
        <v>80</v>
      </c>
      <c r="AE199">
        <v>1</v>
      </c>
      <c r="AF199">
        <v>11</v>
      </c>
      <c r="AG199">
        <v>5</v>
      </c>
      <c r="AH199">
        <v>3</v>
      </c>
      <c r="AI199">
        <v>5</v>
      </c>
      <c r="AJ199">
        <v>3</v>
      </c>
      <c r="AK199">
        <v>0</v>
      </c>
      <c r="AL199" t="str" cm="1">
        <f t="array" ref="AL19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99">
        <v>2</v>
      </c>
    </row>
    <row r="200" spans="1:39" x14ac:dyDescent="0.25">
      <c r="A200">
        <v>38</v>
      </c>
      <c r="B200" t="s">
        <v>44</v>
      </c>
      <c r="C200" t="s">
        <v>37</v>
      </c>
      <c r="D200">
        <v>1261</v>
      </c>
      <c r="E200" t="s">
        <v>46</v>
      </c>
      <c r="G200">
        <v>2</v>
      </c>
      <c r="H200">
        <v>4</v>
      </c>
      <c r="I200" t="s">
        <v>39</v>
      </c>
      <c r="J200" t="str">
        <f>WA_Fn_UseC__HR_Employee_Attrition[[#This Row],[EducationField]]&amp;"-"&amp;WA_Fn_UseC__HR_Employee_Attrition[[#This Row],[Department]]</f>
        <v>Life Sciences-Research &amp; Development</v>
      </c>
      <c r="K200">
        <v>1</v>
      </c>
      <c r="L200">
        <v>271</v>
      </c>
      <c r="M200">
        <v>4</v>
      </c>
      <c r="N200" t="s">
        <v>47</v>
      </c>
      <c r="O200">
        <v>88</v>
      </c>
      <c r="P200">
        <v>3</v>
      </c>
      <c r="Q200">
        <v>2</v>
      </c>
      <c r="R200" t="s">
        <v>54</v>
      </c>
      <c r="S200">
        <v>3</v>
      </c>
      <c r="T200" t="s">
        <v>49</v>
      </c>
      <c r="U200">
        <v>6553</v>
      </c>
      <c r="V200" t="str" cm="1">
        <f t="array" ref="V20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00">
        <v>7259</v>
      </c>
      <c r="X200">
        <v>9</v>
      </c>
      <c r="Y200" t="s">
        <v>43</v>
      </c>
      <c r="Z200" t="s">
        <v>44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14</v>
      </c>
      <c r="AG200">
        <v>3</v>
      </c>
      <c r="AH200">
        <v>3</v>
      </c>
      <c r="AI200">
        <v>1</v>
      </c>
      <c r="AJ200">
        <v>0</v>
      </c>
      <c r="AK200">
        <v>0</v>
      </c>
      <c r="AL200" t="str" cm="1">
        <f t="array" ref="AL20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00">
        <v>0</v>
      </c>
    </row>
    <row r="201" spans="1:39" x14ac:dyDescent="0.25">
      <c r="A201">
        <v>38</v>
      </c>
      <c r="B201" t="s">
        <v>44</v>
      </c>
      <c r="C201" t="s">
        <v>37</v>
      </c>
      <c r="D201">
        <v>1084</v>
      </c>
      <c r="E201" t="s">
        <v>46</v>
      </c>
      <c r="G201">
        <v>29</v>
      </c>
      <c r="H201">
        <v>3</v>
      </c>
      <c r="I201" t="s">
        <v>61</v>
      </c>
      <c r="J201" t="str">
        <f>WA_Fn_UseC__HR_Employee_Attrition[[#This Row],[EducationField]]&amp;"-"&amp;WA_Fn_UseC__HR_Employee_Attrition[[#This Row],[Department]]</f>
        <v>Technical Degree-Research &amp; Development</v>
      </c>
      <c r="K201">
        <v>1</v>
      </c>
      <c r="L201">
        <v>273</v>
      </c>
      <c r="M201">
        <v>4</v>
      </c>
      <c r="N201" t="s">
        <v>47</v>
      </c>
      <c r="O201">
        <v>54</v>
      </c>
      <c r="P201">
        <v>3</v>
      </c>
      <c r="Q201">
        <v>2</v>
      </c>
      <c r="R201" t="s">
        <v>54</v>
      </c>
      <c r="S201">
        <v>4</v>
      </c>
      <c r="T201" t="s">
        <v>49</v>
      </c>
      <c r="U201">
        <v>6261</v>
      </c>
      <c r="V201" t="str" cm="1">
        <f t="array" ref="V20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01">
        <v>4185</v>
      </c>
      <c r="X201">
        <v>3</v>
      </c>
      <c r="Y201" t="s">
        <v>43</v>
      </c>
      <c r="Z201" t="s">
        <v>44</v>
      </c>
      <c r="AA201">
        <v>18</v>
      </c>
      <c r="AB201">
        <v>3</v>
      </c>
      <c r="AC201">
        <v>1</v>
      </c>
      <c r="AD201">
        <v>80</v>
      </c>
      <c r="AE201">
        <v>1</v>
      </c>
      <c r="AF201">
        <v>9</v>
      </c>
      <c r="AG201">
        <v>3</v>
      </c>
      <c r="AH201">
        <v>1</v>
      </c>
      <c r="AI201">
        <v>7</v>
      </c>
      <c r="AJ201">
        <v>7</v>
      </c>
      <c r="AK201">
        <v>1</v>
      </c>
      <c r="AL201" t="str" cm="1">
        <f t="array" ref="AL20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01">
        <v>7</v>
      </c>
    </row>
    <row r="202" spans="1:39" x14ac:dyDescent="0.25">
      <c r="A202">
        <v>27</v>
      </c>
      <c r="B202" t="s">
        <v>44</v>
      </c>
      <c r="C202" t="s">
        <v>45</v>
      </c>
      <c r="D202">
        <v>472</v>
      </c>
      <c r="E202" t="s">
        <v>46</v>
      </c>
      <c r="G202">
        <v>1</v>
      </c>
      <c r="H202">
        <v>1</v>
      </c>
      <c r="I202" t="s">
        <v>61</v>
      </c>
      <c r="J202" t="str">
        <f>WA_Fn_UseC__HR_Employee_Attrition[[#This Row],[EducationField]]&amp;"-"&amp;WA_Fn_UseC__HR_Employee_Attrition[[#This Row],[Department]]</f>
        <v>Technical Degree-Research &amp; Development</v>
      </c>
      <c r="K202">
        <v>1</v>
      </c>
      <c r="L202">
        <v>274</v>
      </c>
      <c r="M202">
        <v>3</v>
      </c>
      <c r="N202" t="s">
        <v>47</v>
      </c>
      <c r="O202">
        <v>60</v>
      </c>
      <c r="P202">
        <v>2</v>
      </c>
      <c r="Q202">
        <v>2</v>
      </c>
      <c r="R202" t="s">
        <v>54</v>
      </c>
      <c r="S202">
        <v>1</v>
      </c>
      <c r="T202" t="s">
        <v>49</v>
      </c>
      <c r="U202">
        <v>4298</v>
      </c>
      <c r="V202" t="str" cm="1">
        <f t="array" ref="V20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02">
        <v>9679</v>
      </c>
      <c r="X202">
        <v>5</v>
      </c>
      <c r="Y202" t="s">
        <v>43</v>
      </c>
      <c r="Z202" t="s">
        <v>44</v>
      </c>
      <c r="AA202">
        <v>19</v>
      </c>
      <c r="AB202">
        <v>3</v>
      </c>
      <c r="AC202">
        <v>3</v>
      </c>
      <c r="AD202">
        <v>80</v>
      </c>
      <c r="AE202">
        <v>1</v>
      </c>
      <c r="AF202">
        <v>6</v>
      </c>
      <c r="AG202">
        <v>1</v>
      </c>
      <c r="AH202">
        <v>3</v>
      </c>
      <c r="AI202">
        <v>2</v>
      </c>
      <c r="AJ202">
        <v>2</v>
      </c>
      <c r="AK202">
        <v>2</v>
      </c>
      <c r="AL202" t="str" cm="1">
        <f t="array" ref="AL20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02">
        <v>0</v>
      </c>
    </row>
    <row r="203" spans="1:39" x14ac:dyDescent="0.25">
      <c r="A203">
        <v>49</v>
      </c>
      <c r="B203" t="s">
        <v>44</v>
      </c>
      <c r="C203" t="s">
        <v>56</v>
      </c>
      <c r="D203">
        <v>1002</v>
      </c>
      <c r="E203" t="s">
        <v>46</v>
      </c>
      <c r="G203">
        <v>18</v>
      </c>
      <c r="H203">
        <v>4</v>
      </c>
      <c r="I203" t="s">
        <v>39</v>
      </c>
      <c r="J203" t="str">
        <f>WA_Fn_UseC__HR_Employee_Attrition[[#This Row],[EducationField]]&amp;"-"&amp;WA_Fn_UseC__HR_Employee_Attrition[[#This Row],[Department]]</f>
        <v>Life Sciences-Research &amp; Development</v>
      </c>
      <c r="K203">
        <v>1</v>
      </c>
      <c r="L203">
        <v>275</v>
      </c>
      <c r="M203">
        <v>4</v>
      </c>
      <c r="N203" t="s">
        <v>47</v>
      </c>
      <c r="O203">
        <v>92</v>
      </c>
      <c r="P203">
        <v>3</v>
      </c>
      <c r="Q203">
        <v>2</v>
      </c>
      <c r="R203" t="s">
        <v>54</v>
      </c>
      <c r="S203">
        <v>4</v>
      </c>
      <c r="T203" t="s">
        <v>53</v>
      </c>
      <c r="U203">
        <v>6804</v>
      </c>
      <c r="V203" t="str" cm="1">
        <f t="array" ref="V20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03">
        <v>23793</v>
      </c>
      <c r="X203">
        <v>1</v>
      </c>
      <c r="Y203" t="s">
        <v>43</v>
      </c>
      <c r="Z203" t="s">
        <v>36</v>
      </c>
      <c r="AA203">
        <v>15</v>
      </c>
      <c r="AB203">
        <v>3</v>
      </c>
      <c r="AC203">
        <v>1</v>
      </c>
      <c r="AD203">
        <v>80</v>
      </c>
      <c r="AE203">
        <v>2</v>
      </c>
      <c r="AF203">
        <v>7</v>
      </c>
      <c r="AG203">
        <v>0</v>
      </c>
      <c r="AH203">
        <v>3</v>
      </c>
      <c r="AI203">
        <v>7</v>
      </c>
      <c r="AJ203">
        <v>7</v>
      </c>
      <c r="AK203">
        <v>1</v>
      </c>
      <c r="AL203" t="str" cm="1">
        <f t="array" ref="AL20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03">
        <v>7</v>
      </c>
    </row>
    <row r="204" spans="1:39" x14ac:dyDescent="0.25">
      <c r="A204">
        <v>34</v>
      </c>
      <c r="B204" t="s">
        <v>44</v>
      </c>
      <c r="C204" t="s">
        <v>45</v>
      </c>
      <c r="D204">
        <v>878</v>
      </c>
      <c r="E204" t="s">
        <v>46</v>
      </c>
      <c r="G204">
        <v>10</v>
      </c>
      <c r="H204">
        <v>4</v>
      </c>
      <c r="I204" t="s">
        <v>52</v>
      </c>
      <c r="J204" t="str">
        <f>WA_Fn_UseC__HR_Employee_Attrition[[#This Row],[EducationField]]&amp;"-"&amp;WA_Fn_UseC__HR_Employee_Attrition[[#This Row],[Department]]</f>
        <v>Medical-Research &amp; Development</v>
      </c>
      <c r="K204">
        <v>1</v>
      </c>
      <c r="L204">
        <v>277</v>
      </c>
      <c r="M204">
        <v>4</v>
      </c>
      <c r="N204" t="s">
        <v>47</v>
      </c>
      <c r="O204">
        <v>43</v>
      </c>
      <c r="P204">
        <v>3</v>
      </c>
      <c r="Q204">
        <v>1</v>
      </c>
      <c r="R204" t="s">
        <v>48</v>
      </c>
      <c r="S204">
        <v>3</v>
      </c>
      <c r="T204" t="s">
        <v>53</v>
      </c>
      <c r="U204">
        <v>3815</v>
      </c>
      <c r="V204" t="str" cm="1">
        <f t="array" ref="V20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04">
        <v>5972</v>
      </c>
      <c r="X204">
        <v>1</v>
      </c>
      <c r="Y204" t="s">
        <v>43</v>
      </c>
      <c r="Z204" t="s">
        <v>36</v>
      </c>
      <c r="AA204">
        <v>17</v>
      </c>
      <c r="AB204">
        <v>3</v>
      </c>
      <c r="AC204">
        <v>4</v>
      </c>
      <c r="AD204">
        <v>80</v>
      </c>
      <c r="AE204">
        <v>1</v>
      </c>
      <c r="AF204">
        <v>5</v>
      </c>
      <c r="AG204">
        <v>4</v>
      </c>
      <c r="AH204">
        <v>4</v>
      </c>
      <c r="AI204">
        <v>5</v>
      </c>
      <c r="AJ204">
        <v>3</v>
      </c>
      <c r="AK204">
        <v>2</v>
      </c>
      <c r="AL204" t="str" cm="1">
        <f t="array" ref="AL20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04">
        <v>0</v>
      </c>
    </row>
    <row r="205" spans="1:39" x14ac:dyDescent="0.25">
      <c r="A205">
        <v>40</v>
      </c>
      <c r="B205" t="s">
        <v>44</v>
      </c>
      <c r="C205" t="s">
        <v>37</v>
      </c>
      <c r="D205">
        <v>905</v>
      </c>
      <c r="E205" t="s">
        <v>46</v>
      </c>
      <c r="G205">
        <v>19</v>
      </c>
      <c r="H205">
        <v>2</v>
      </c>
      <c r="I205" t="s">
        <v>52</v>
      </c>
      <c r="J205" t="str">
        <f>WA_Fn_UseC__HR_Employee_Attrition[[#This Row],[EducationField]]&amp;"-"&amp;WA_Fn_UseC__HR_Employee_Attrition[[#This Row],[Department]]</f>
        <v>Medical-Research &amp; Development</v>
      </c>
      <c r="K205">
        <v>1</v>
      </c>
      <c r="L205">
        <v>281</v>
      </c>
      <c r="M205">
        <v>3</v>
      </c>
      <c r="N205" t="s">
        <v>47</v>
      </c>
      <c r="O205">
        <v>99</v>
      </c>
      <c r="P205">
        <v>3</v>
      </c>
      <c r="Q205">
        <v>2</v>
      </c>
      <c r="R205" t="s">
        <v>51</v>
      </c>
      <c r="S205">
        <v>4</v>
      </c>
      <c r="T205" t="s">
        <v>49</v>
      </c>
      <c r="U205">
        <v>2741</v>
      </c>
      <c r="V205" t="str" cm="1">
        <f t="array" ref="V20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05">
        <v>16523</v>
      </c>
      <c r="X205">
        <v>8</v>
      </c>
      <c r="Y205" t="s">
        <v>43</v>
      </c>
      <c r="Z205" t="s">
        <v>36</v>
      </c>
      <c r="AA205">
        <v>15</v>
      </c>
      <c r="AB205">
        <v>3</v>
      </c>
      <c r="AC205">
        <v>3</v>
      </c>
      <c r="AD205">
        <v>80</v>
      </c>
      <c r="AE205">
        <v>1</v>
      </c>
      <c r="AF205">
        <v>15</v>
      </c>
      <c r="AG205">
        <v>2</v>
      </c>
      <c r="AH205">
        <v>4</v>
      </c>
      <c r="AI205">
        <v>7</v>
      </c>
      <c r="AJ205">
        <v>2</v>
      </c>
      <c r="AK205">
        <v>3</v>
      </c>
      <c r="AL205" t="str" cm="1">
        <f t="array" ref="AL20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05">
        <v>7</v>
      </c>
    </row>
    <row r="206" spans="1:39" x14ac:dyDescent="0.25">
      <c r="A206">
        <v>38</v>
      </c>
      <c r="B206" t="s">
        <v>36</v>
      </c>
      <c r="C206" t="s">
        <v>37</v>
      </c>
      <c r="D206">
        <v>1180</v>
      </c>
      <c r="E206" t="s">
        <v>46</v>
      </c>
      <c r="G206">
        <v>29</v>
      </c>
      <c r="H206">
        <v>1</v>
      </c>
      <c r="I206" t="s">
        <v>52</v>
      </c>
      <c r="J206" t="str">
        <f>WA_Fn_UseC__HR_Employee_Attrition[[#This Row],[EducationField]]&amp;"-"&amp;WA_Fn_UseC__HR_Employee_Attrition[[#This Row],[Department]]</f>
        <v>Medical-Research &amp; Development</v>
      </c>
      <c r="K206">
        <v>1</v>
      </c>
      <c r="L206">
        <v>282</v>
      </c>
      <c r="M206">
        <v>2</v>
      </c>
      <c r="N206" t="s">
        <v>47</v>
      </c>
      <c r="O206">
        <v>70</v>
      </c>
      <c r="P206">
        <v>3</v>
      </c>
      <c r="Q206">
        <v>2</v>
      </c>
      <c r="R206" t="s">
        <v>55</v>
      </c>
      <c r="S206">
        <v>1</v>
      </c>
      <c r="T206" t="s">
        <v>49</v>
      </c>
      <c r="U206">
        <v>6673</v>
      </c>
      <c r="V206" t="str" cm="1">
        <f t="array" ref="V20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06">
        <v>11354</v>
      </c>
      <c r="X206">
        <v>7</v>
      </c>
      <c r="Y206" t="s">
        <v>43</v>
      </c>
      <c r="Z206" t="s">
        <v>36</v>
      </c>
      <c r="AA206">
        <v>19</v>
      </c>
      <c r="AB206">
        <v>3</v>
      </c>
      <c r="AC206">
        <v>2</v>
      </c>
      <c r="AD206">
        <v>80</v>
      </c>
      <c r="AE206">
        <v>0</v>
      </c>
      <c r="AF206">
        <v>17</v>
      </c>
      <c r="AG206">
        <v>2</v>
      </c>
      <c r="AH206">
        <v>3</v>
      </c>
      <c r="AI206">
        <v>1</v>
      </c>
      <c r="AJ206">
        <v>0</v>
      </c>
      <c r="AK206">
        <v>0</v>
      </c>
      <c r="AL206" t="str" cm="1">
        <f t="array" ref="AL20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06">
        <v>0</v>
      </c>
    </row>
    <row r="207" spans="1:39" x14ac:dyDescent="0.25">
      <c r="A207">
        <v>29</v>
      </c>
      <c r="B207" t="s">
        <v>36</v>
      </c>
      <c r="C207" t="s">
        <v>37</v>
      </c>
      <c r="D207">
        <v>121</v>
      </c>
      <c r="E207" t="s">
        <v>38</v>
      </c>
      <c r="G207">
        <v>27</v>
      </c>
      <c r="H207">
        <v>3</v>
      </c>
      <c r="I207" t="s">
        <v>60</v>
      </c>
      <c r="J207" t="str">
        <f>WA_Fn_UseC__HR_Employee_Attrition[[#This Row],[EducationField]]&amp;"-"&amp;WA_Fn_UseC__HR_Employee_Attrition[[#This Row],[Department]]</f>
        <v>Marketing-Sales</v>
      </c>
      <c r="K207">
        <v>1</v>
      </c>
      <c r="L207">
        <v>283</v>
      </c>
      <c r="M207">
        <v>2</v>
      </c>
      <c r="N207" t="s">
        <v>40</v>
      </c>
      <c r="O207">
        <v>35</v>
      </c>
      <c r="P207">
        <v>3</v>
      </c>
      <c r="Q207">
        <v>3</v>
      </c>
      <c r="R207" t="s">
        <v>41</v>
      </c>
      <c r="S207">
        <v>4</v>
      </c>
      <c r="T207" t="s">
        <v>49</v>
      </c>
      <c r="U207">
        <v>7639</v>
      </c>
      <c r="V207" t="str" cm="1">
        <f t="array" ref="V20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07">
        <v>24525</v>
      </c>
      <c r="X207">
        <v>1</v>
      </c>
      <c r="Y207" t="s">
        <v>43</v>
      </c>
      <c r="Z207" t="s">
        <v>44</v>
      </c>
      <c r="AA207">
        <v>22</v>
      </c>
      <c r="AB207">
        <v>4</v>
      </c>
      <c r="AC207">
        <v>4</v>
      </c>
      <c r="AD207">
        <v>80</v>
      </c>
      <c r="AE207">
        <v>3</v>
      </c>
      <c r="AF207">
        <v>10</v>
      </c>
      <c r="AG207">
        <v>3</v>
      </c>
      <c r="AH207">
        <v>2</v>
      </c>
      <c r="AI207">
        <v>10</v>
      </c>
      <c r="AJ207">
        <v>4</v>
      </c>
      <c r="AK207">
        <v>1</v>
      </c>
      <c r="AL207" t="str" cm="1">
        <f t="array" ref="AL20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07">
        <v>9</v>
      </c>
    </row>
    <row r="208" spans="1:39" x14ac:dyDescent="0.25">
      <c r="A208">
        <v>22</v>
      </c>
      <c r="B208" t="s">
        <v>44</v>
      </c>
      <c r="C208" t="s">
        <v>37</v>
      </c>
      <c r="D208">
        <v>1136</v>
      </c>
      <c r="E208" t="s">
        <v>46</v>
      </c>
      <c r="G208">
        <v>5</v>
      </c>
      <c r="H208">
        <v>3</v>
      </c>
      <c r="I208" t="s">
        <v>39</v>
      </c>
      <c r="J208" t="str">
        <f>WA_Fn_UseC__HR_Employee_Attrition[[#This Row],[EducationField]]&amp;"-"&amp;WA_Fn_UseC__HR_Employee_Attrition[[#This Row],[Department]]</f>
        <v>Life Sciences-Research &amp; Development</v>
      </c>
      <c r="K208">
        <v>1</v>
      </c>
      <c r="L208">
        <v>284</v>
      </c>
      <c r="M208">
        <v>4</v>
      </c>
      <c r="N208" t="s">
        <v>47</v>
      </c>
      <c r="O208">
        <v>60</v>
      </c>
      <c r="P208">
        <v>4</v>
      </c>
      <c r="Q208">
        <v>1</v>
      </c>
      <c r="R208" t="s">
        <v>48</v>
      </c>
      <c r="S208">
        <v>2</v>
      </c>
      <c r="T208" t="s">
        <v>53</v>
      </c>
      <c r="U208">
        <v>2328</v>
      </c>
      <c r="V208" t="str" cm="1">
        <f t="array" ref="V20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08">
        <v>12392</v>
      </c>
      <c r="X208">
        <v>1</v>
      </c>
      <c r="Y208" t="s">
        <v>43</v>
      </c>
      <c r="Z208" t="s">
        <v>36</v>
      </c>
      <c r="AA208">
        <v>16</v>
      </c>
      <c r="AB208">
        <v>3</v>
      </c>
      <c r="AC208">
        <v>1</v>
      </c>
      <c r="AD208">
        <v>80</v>
      </c>
      <c r="AE208">
        <v>1</v>
      </c>
      <c r="AF208">
        <v>4</v>
      </c>
      <c r="AG208">
        <v>2</v>
      </c>
      <c r="AH208">
        <v>2</v>
      </c>
      <c r="AI208">
        <v>4</v>
      </c>
      <c r="AJ208">
        <v>2</v>
      </c>
      <c r="AK208">
        <v>2</v>
      </c>
      <c r="AL208" t="str" cm="1">
        <f t="array" ref="AL20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08">
        <v>2</v>
      </c>
    </row>
    <row r="209" spans="1:39" x14ac:dyDescent="0.25">
      <c r="A209">
        <v>36</v>
      </c>
      <c r="B209" t="s">
        <v>44</v>
      </c>
      <c r="C209" t="s">
        <v>45</v>
      </c>
      <c r="D209">
        <v>635</v>
      </c>
      <c r="E209" t="s">
        <v>46</v>
      </c>
      <c r="G209">
        <v>18</v>
      </c>
      <c r="H209">
        <v>1</v>
      </c>
      <c r="I209" t="s">
        <v>52</v>
      </c>
      <c r="J209" t="str">
        <f>WA_Fn_UseC__HR_Employee_Attrition[[#This Row],[EducationField]]&amp;"-"&amp;WA_Fn_UseC__HR_Employee_Attrition[[#This Row],[Department]]</f>
        <v>Medical-Research &amp; Development</v>
      </c>
      <c r="K209">
        <v>1</v>
      </c>
      <c r="L209">
        <v>286</v>
      </c>
      <c r="M209">
        <v>2</v>
      </c>
      <c r="N209" t="s">
        <v>40</v>
      </c>
      <c r="O209">
        <v>73</v>
      </c>
      <c r="P209">
        <v>3</v>
      </c>
      <c r="Q209">
        <v>1</v>
      </c>
      <c r="R209" t="s">
        <v>51</v>
      </c>
      <c r="S209">
        <v>4</v>
      </c>
      <c r="T209" t="s">
        <v>42</v>
      </c>
      <c r="U209">
        <v>2153</v>
      </c>
      <c r="V209" t="str" cm="1">
        <f t="array" ref="V20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09">
        <v>7703</v>
      </c>
      <c r="X209">
        <v>1</v>
      </c>
      <c r="Y209" t="s">
        <v>43</v>
      </c>
      <c r="Z209" t="s">
        <v>44</v>
      </c>
      <c r="AA209">
        <v>13</v>
      </c>
      <c r="AB209">
        <v>3</v>
      </c>
      <c r="AC209">
        <v>1</v>
      </c>
      <c r="AD209">
        <v>80</v>
      </c>
      <c r="AE209">
        <v>0</v>
      </c>
      <c r="AF209">
        <v>8</v>
      </c>
      <c r="AG209">
        <v>2</v>
      </c>
      <c r="AH209">
        <v>3</v>
      </c>
      <c r="AI209">
        <v>8</v>
      </c>
      <c r="AJ209">
        <v>1</v>
      </c>
      <c r="AK209">
        <v>1</v>
      </c>
      <c r="AL209" t="str" cm="1">
        <f t="array" ref="AL20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09">
        <v>7</v>
      </c>
    </row>
    <row r="210" spans="1:39" x14ac:dyDescent="0.25">
      <c r="A210">
        <v>40</v>
      </c>
      <c r="B210" t="s">
        <v>44</v>
      </c>
      <c r="C210" t="s">
        <v>56</v>
      </c>
      <c r="D210">
        <v>1151</v>
      </c>
      <c r="E210" t="s">
        <v>46</v>
      </c>
      <c r="G210">
        <v>9</v>
      </c>
      <c r="H210">
        <v>5</v>
      </c>
      <c r="I210" t="s">
        <v>39</v>
      </c>
      <c r="J210" t="str">
        <f>WA_Fn_UseC__HR_Employee_Attrition[[#This Row],[EducationField]]&amp;"-"&amp;WA_Fn_UseC__HR_Employee_Attrition[[#This Row],[Department]]</f>
        <v>Life Sciences-Research &amp; Development</v>
      </c>
      <c r="K210">
        <v>1</v>
      </c>
      <c r="L210">
        <v>287</v>
      </c>
      <c r="M210">
        <v>4</v>
      </c>
      <c r="N210" t="s">
        <v>47</v>
      </c>
      <c r="O210">
        <v>63</v>
      </c>
      <c r="P210">
        <v>2</v>
      </c>
      <c r="Q210">
        <v>2</v>
      </c>
      <c r="R210" t="s">
        <v>55</v>
      </c>
      <c r="S210">
        <v>4</v>
      </c>
      <c r="T210" t="s">
        <v>49</v>
      </c>
      <c r="U210">
        <v>4876</v>
      </c>
      <c r="V210" t="str" cm="1">
        <f t="array" ref="V21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10">
        <v>14242</v>
      </c>
      <c r="X210">
        <v>9</v>
      </c>
      <c r="Y210" t="s">
        <v>43</v>
      </c>
      <c r="Z210" t="s">
        <v>44</v>
      </c>
      <c r="AA210">
        <v>14</v>
      </c>
      <c r="AB210">
        <v>3</v>
      </c>
      <c r="AC210">
        <v>4</v>
      </c>
      <c r="AD210">
        <v>80</v>
      </c>
      <c r="AE210">
        <v>1</v>
      </c>
      <c r="AF210">
        <v>5</v>
      </c>
      <c r="AG210">
        <v>5</v>
      </c>
      <c r="AH210">
        <v>1</v>
      </c>
      <c r="AI210">
        <v>3</v>
      </c>
      <c r="AJ210">
        <v>2</v>
      </c>
      <c r="AK210">
        <v>0</v>
      </c>
      <c r="AL210" t="str" cm="1">
        <f t="array" ref="AL21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10">
        <v>2</v>
      </c>
    </row>
    <row r="211" spans="1:39" x14ac:dyDescent="0.25">
      <c r="A211">
        <v>46</v>
      </c>
      <c r="B211" t="s">
        <v>44</v>
      </c>
      <c r="C211" t="s">
        <v>37</v>
      </c>
      <c r="D211">
        <v>644</v>
      </c>
      <c r="E211" t="s">
        <v>46</v>
      </c>
      <c r="G211">
        <v>1</v>
      </c>
      <c r="H211">
        <v>4</v>
      </c>
      <c r="I211" t="s">
        <v>52</v>
      </c>
      <c r="J211" t="str">
        <f>WA_Fn_UseC__HR_Employee_Attrition[[#This Row],[EducationField]]&amp;"-"&amp;WA_Fn_UseC__HR_Employee_Attrition[[#This Row],[Department]]</f>
        <v>Medical-Research &amp; Development</v>
      </c>
      <c r="K211">
        <v>1</v>
      </c>
      <c r="L211">
        <v>288</v>
      </c>
      <c r="M211">
        <v>4</v>
      </c>
      <c r="N211" t="s">
        <v>47</v>
      </c>
      <c r="O211">
        <v>97</v>
      </c>
      <c r="P211">
        <v>3</v>
      </c>
      <c r="Q211">
        <v>3</v>
      </c>
      <c r="R211" t="s">
        <v>55</v>
      </c>
      <c r="S211">
        <v>1</v>
      </c>
      <c r="T211" t="s">
        <v>53</v>
      </c>
      <c r="U211">
        <v>9396</v>
      </c>
      <c r="V211" t="str" cm="1">
        <f t="array" ref="V21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11">
        <v>12368</v>
      </c>
      <c r="X211">
        <v>7</v>
      </c>
      <c r="Y211" t="s">
        <v>43</v>
      </c>
      <c r="Z211" t="s">
        <v>44</v>
      </c>
      <c r="AA211">
        <v>16</v>
      </c>
      <c r="AB211">
        <v>3</v>
      </c>
      <c r="AC211">
        <v>3</v>
      </c>
      <c r="AD211">
        <v>80</v>
      </c>
      <c r="AE211">
        <v>1</v>
      </c>
      <c r="AF211">
        <v>17</v>
      </c>
      <c r="AG211">
        <v>3</v>
      </c>
      <c r="AH211">
        <v>3</v>
      </c>
      <c r="AI211">
        <v>4</v>
      </c>
      <c r="AJ211">
        <v>2</v>
      </c>
      <c r="AK211">
        <v>0</v>
      </c>
      <c r="AL211" t="str" cm="1">
        <f t="array" ref="AL21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11">
        <v>3</v>
      </c>
    </row>
    <row r="212" spans="1:39" x14ac:dyDescent="0.25">
      <c r="A212">
        <v>32</v>
      </c>
      <c r="B212" t="s">
        <v>36</v>
      </c>
      <c r="C212" t="s">
        <v>37</v>
      </c>
      <c r="D212">
        <v>1045</v>
      </c>
      <c r="E212" t="s">
        <v>38</v>
      </c>
      <c r="G212">
        <v>4</v>
      </c>
      <c r="H212">
        <v>4</v>
      </c>
      <c r="I212" t="s">
        <v>52</v>
      </c>
      <c r="J212" t="str">
        <f>WA_Fn_UseC__HR_Employee_Attrition[[#This Row],[EducationField]]&amp;"-"&amp;WA_Fn_UseC__HR_Employee_Attrition[[#This Row],[Department]]</f>
        <v>Medical-Sales</v>
      </c>
      <c r="K212">
        <v>1</v>
      </c>
      <c r="L212">
        <v>291</v>
      </c>
      <c r="M212">
        <v>4</v>
      </c>
      <c r="N212" t="s">
        <v>47</v>
      </c>
      <c r="O212">
        <v>32</v>
      </c>
      <c r="P212">
        <v>1</v>
      </c>
      <c r="Q212">
        <v>3</v>
      </c>
      <c r="R212" t="s">
        <v>41</v>
      </c>
      <c r="S212">
        <v>4</v>
      </c>
      <c r="T212" t="s">
        <v>49</v>
      </c>
      <c r="U212">
        <v>10400</v>
      </c>
      <c r="V212" t="str" cm="1">
        <f t="array" ref="V21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12">
        <v>25812</v>
      </c>
      <c r="X212">
        <v>1</v>
      </c>
      <c r="Y212" t="s">
        <v>43</v>
      </c>
      <c r="Z212" t="s">
        <v>44</v>
      </c>
      <c r="AA212">
        <v>11</v>
      </c>
      <c r="AB212">
        <v>3</v>
      </c>
      <c r="AC212">
        <v>3</v>
      </c>
      <c r="AD212">
        <v>80</v>
      </c>
      <c r="AE212">
        <v>0</v>
      </c>
      <c r="AF212">
        <v>14</v>
      </c>
      <c r="AG212">
        <v>2</v>
      </c>
      <c r="AH212">
        <v>2</v>
      </c>
      <c r="AI212">
        <v>14</v>
      </c>
      <c r="AJ212">
        <v>8</v>
      </c>
      <c r="AK212">
        <v>9</v>
      </c>
      <c r="AL212" t="str" cm="1">
        <f t="array" ref="AL21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12">
        <v>8</v>
      </c>
    </row>
    <row r="213" spans="1:39" x14ac:dyDescent="0.25">
      <c r="A213">
        <v>30</v>
      </c>
      <c r="B213" t="s">
        <v>44</v>
      </c>
      <c r="C213" t="s">
        <v>56</v>
      </c>
      <c r="D213">
        <v>829</v>
      </c>
      <c r="E213" t="s">
        <v>46</v>
      </c>
      <c r="G213">
        <v>1</v>
      </c>
      <c r="H213">
        <v>1</v>
      </c>
      <c r="I213" t="s">
        <v>39</v>
      </c>
      <c r="J213" t="str">
        <f>WA_Fn_UseC__HR_Employee_Attrition[[#This Row],[EducationField]]&amp;"-"&amp;WA_Fn_UseC__HR_Employee_Attrition[[#This Row],[Department]]</f>
        <v>Life Sciences-Research &amp; Development</v>
      </c>
      <c r="K213">
        <v>1</v>
      </c>
      <c r="L213">
        <v>292</v>
      </c>
      <c r="M213">
        <v>3</v>
      </c>
      <c r="N213" t="s">
        <v>47</v>
      </c>
      <c r="O213">
        <v>88</v>
      </c>
      <c r="P213">
        <v>2</v>
      </c>
      <c r="Q213">
        <v>3</v>
      </c>
      <c r="R213" t="s">
        <v>54</v>
      </c>
      <c r="S213">
        <v>3</v>
      </c>
      <c r="T213" t="s">
        <v>42</v>
      </c>
      <c r="U213">
        <v>8474</v>
      </c>
      <c r="V213" t="str" cm="1">
        <f t="array" ref="V21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13">
        <v>20925</v>
      </c>
      <c r="X213">
        <v>1</v>
      </c>
      <c r="Y213" t="s">
        <v>43</v>
      </c>
      <c r="Z213" t="s">
        <v>44</v>
      </c>
      <c r="AA213">
        <v>22</v>
      </c>
      <c r="AB213">
        <v>4</v>
      </c>
      <c r="AC213">
        <v>3</v>
      </c>
      <c r="AD213">
        <v>80</v>
      </c>
      <c r="AE213">
        <v>0</v>
      </c>
      <c r="AF213">
        <v>12</v>
      </c>
      <c r="AG213">
        <v>2</v>
      </c>
      <c r="AH213">
        <v>3</v>
      </c>
      <c r="AI213">
        <v>11</v>
      </c>
      <c r="AJ213">
        <v>8</v>
      </c>
      <c r="AK213">
        <v>5</v>
      </c>
      <c r="AL213" t="str" cm="1">
        <f t="array" ref="AL21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13">
        <v>8</v>
      </c>
    </row>
    <row r="214" spans="1:39" x14ac:dyDescent="0.25">
      <c r="A214">
        <v>27</v>
      </c>
      <c r="B214" t="s">
        <v>44</v>
      </c>
      <c r="C214" t="s">
        <v>45</v>
      </c>
      <c r="D214">
        <v>1242</v>
      </c>
      <c r="E214" t="s">
        <v>38</v>
      </c>
      <c r="G214">
        <v>20</v>
      </c>
      <c r="H214">
        <v>3</v>
      </c>
      <c r="I214" t="s">
        <v>39</v>
      </c>
      <c r="J214" t="str">
        <f>WA_Fn_UseC__HR_Employee_Attrition[[#This Row],[EducationField]]&amp;"-"&amp;WA_Fn_UseC__HR_Employee_Attrition[[#This Row],[Department]]</f>
        <v>Life Sciences-Sales</v>
      </c>
      <c r="K214">
        <v>1</v>
      </c>
      <c r="L214">
        <v>293</v>
      </c>
      <c r="M214">
        <v>4</v>
      </c>
      <c r="N214" t="s">
        <v>40</v>
      </c>
      <c r="O214">
        <v>90</v>
      </c>
      <c r="P214">
        <v>3</v>
      </c>
      <c r="Q214">
        <v>2</v>
      </c>
      <c r="R214" t="s">
        <v>41</v>
      </c>
      <c r="S214">
        <v>3</v>
      </c>
      <c r="T214" t="s">
        <v>42</v>
      </c>
      <c r="U214">
        <v>9981</v>
      </c>
      <c r="V214" t="str" cm="1">
        <f t="array" ref="V21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14">
        <v>12916</v>
      </c>
      <c r="X214">
        <v>1</v>
      </c>
      <c r="Y214" t="s">
        <v>43</v>
      </c>
      <c r="Z214" t="s">
        <v>44</v>
      </c>
      <c r="AA214">
        <v>14</v>
      </c>
      <c r="AB214">
        <v>3</v>
      </c>
      <c r="AC214">
        <v>4</v>
      </c>
      <c r="AD214">
        <v>80</v>
      </c>
      <c r="AE214">
        <v>0</v>
      </c>
      <c r="AF214">
        <v>7</v>
      </c>
      <c r="AG214">
        <v>2</v>
      </c>
      <c r="AH214">
        <v>3</v>
      </c>
      <c r="AI214">
        <v>7</v>
      </c>
      <c r="AJ214">
        <v>7</v>
      </c>
      <c r="AK214">
        <v>0</v>
      </c>
      <c r="AL214" t="str" cm="1">
        <f t="array" ref="AL21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14">
        <v>7</v>
      </c>
    </row>
    <row r="215" spans="1:39" x14ac:dyDescent="0.25">
      <c r="A215">
        <v>51</v>
      </c>
      <c r="B215" t="s">
        <v>44</v>
      </c>
      <c r="C215" t="s">
        <v>37</v>
      </c>
      <c r="D215">
        <v>1469</v>
      </c>
      <c r="E215" t="s">
        <v>46</v>
      </c>
      <c r="G215">
        <v>8</v>
      </c>
      <c r="H215">
        <v>4</v>
      </c>
      <c r="I215" t="s">
        <v>39</v>
      </c>
      <c r="J215" t="str">
        <f>WA_Fn_UseC__HR_Employee_Attrition[[#This Row],[EducationField]]&amp;"-"&amp;WA_Fn_UseC__HR_Employee_Attrition[[#This Row],[Department]]</f>
        <v>Life Sciences-Research &amp; Development</v>
      </c>
      <c r="K215">
        <v>1</v>
      </c>
      <c r="L215">
        <v>296</v>
      </c>
      <c r="M215">
        <v>2</v>
      </c>
      <c r="N215" t="s">
        <v>47</v>
      </c>
      <c r="O215">
        <v>81</v>
      </c>
      <c r="P215">
        <v>2</v>
      </c>
      <c r="Q215">
        <v>3</v>
      </c>
      <c r="R215" t="s">
        <v>59</v>
      </c>
      <c r="S215">
        <v>2</v>
      </c>
      <c r="T215" t="s">
        <v>49</v>
      </c>
      <c r="U215">
        <v>12490</v>
      </c>
      <c r="V215" t="str" cm="1">
        <f t="array" ref="V21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15">
        <v>15736</v>
      </c>
      <c r="X215">
        <v>5</v>
      </c>
      <c r="Y215" t="s">
        <v>43</v>
      </c>
      <c r="Z215" t="s">
        <v>44</v>
      </c>
      <c r="AA215">
        <v>16</v>
      </c>
      <c r="AB215">
        <v>3</v>
      </c>
      <c r="AC215">
        <v>4</v>
      </c>
      <c r="AD215">
        <v>80</v>
      </c>
      <c r="AE215">
        <v>2</v>
      </c>
      <c r="AF215">
        <v>16</v>
      </c>
      <c r="AG215">
        <v>5</v>
      </c>
      <c r="AH215">
        <v>1</v>
      </c>
      <c r="AI215">
        <v>10</v>
      </c>
      <c r="AJ215">
        <v>9</v>
      </c>
      <c r="AK215">
        <v>4</v>
      </c>
      <c r="AL215" t="str" cm="1">
        <f t="array" ref="AL21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15">
        <v>7</v>
      </c>
    </row>
    <row r="216" spans="1:39" x14ac:dyDescent="0.25">
      <c r="A216">
        <v>30</v>
      </c>
      <c r="B216" t="s">
        <v>36</v>
      </c>
      <c r="C216" t="s">
        <v>37</v>
      </c>
      <c r="D216">
        <v>1005</v>
      </c>
      <c r="E216" t="s">
        <v>46</v>
      </c>
      <c r="G216">
        <v>3</v>
      </c>
      <c r="H216">
        <v>3</v>
      </c>
      <c r="I216" t="s">
        <v>61</v>
      </c>
      <c r="J216" t="str">
        <f>WA_Fn_UseC__HR_Employee_Attrition[[#This Row],[EducationField]]&amp;"-"&amp;WA_Fn_UseC__HR_Employee_Attrition[[#This Row],[Department]]</f>
        <v>Technical Degree-Research &amp; Development</v>
      </c>
      <c r="K216">
        <v>1</v>
      </c>
      <c r="L216">
        <v>297</v>
      </c>
      <c r="M216">
        <v>4</v>
      </c>
      <c r="N216" t="s">
        <v>40</v>
      </c>
      <c r="O216">
        <v>88</v>
      </c>
      <c r="P216">
        <v>3</v>
      </c>
      <c r="Q216">
        <v>1</v>
      </c>
      <c r="R216" t="s">
        <v>48</v>
      </c>
      <c r="S216">
        <v>1</v>
      </c>
      <c r="T216" t="s">
        <v>42</v>
      </c>
      <c r="U216">
        <v>2657</v>
      </c>
      <c r="V216" t="str" cm="1">
        <f t="array" ref="V21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16">
        <v>8556</v>
      </c>
      <c r="X216">
        <v>5</v>
      </c>
      <c r="Y216" t="s">
        <v>43</v>
      </c>
      <c r="Z216" t="s">
        <v>36</v>
      </c>
      <c r="AA216">
        <v>11</v>
      </c>
      <c r="AB216">
        <v>3</v>
      </c>
      <c r="AC216">
        <v>3</v>
      </c>
      <c r="AD216">
        <v>80</v>
      </c>
      <c r="AE216">
        <v>0</v>
      </c>
      <c r="AF216">
        <v>8</v>
      </c>
      <c r="AG216">
        <v>5</v>
      </c>
      <c r="AH216">
        <v>3</v>
      </c>
      <c r="AI216">
        <v>5</v>
      </c>
      <c r="AJ216">
        <v>2</v>
      </c>
      <c r="AK216">
        <v>0</v>
      </c>
      <c r="AL216" t="str" cm="1">
        <f t="array" ref="AL21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16">
        <v>4</v>
      </c>
    </row>
    <row r="217" spans="1:39" x14ac:dyDescent="0.25">
      <c r="A217">
        <v>41</v>
      </c>
      <c r="B217" t="s">
        <v>44</v>
      </c>
      <c r="C217" t="s">
        <v>37</v>
      </c>
      <c r="D217">
        <v>896</v>
      </c>
      <c r="E217" t="s">
        <v>38</v>
      </c>
      <c r="G217">
        <v>6</v>
      </c>
      <c r="H217">
        <v>3</v>
      </c>
      <c r="I217" t="s">
        <v>39</v>
      </c>
      <c r="J217" t="str">
        <f>WA_Fn_UseC__HR_Employee_Attrition[[#This Row],[EducationField]]&amp;"-"&amp;WA_Fn_UseC__HR_Employee_Attrition[[#This Row],[Department]]</f>
        <v>Life Sciences-Sales</v>
      </c>
      <c r="K217">
        <v>1</v>
      </c>
      <c r="L217">
        <v>298</v>
      </c>
      <c r="M217">
        <v>4</v>
      </c>
      <c r="N217" t="s">
        <v>40</v>
      </c>
      <c r="O217">
        <v>75</v>
      </c>
      <c r="P217">
        <v>3</v>
      </c>
      <c r="Q217">
        <v>3</v>
      </c>
      <c r="R217" t="s">
        <v>57</v>
      </c>
      <c r="S217">
        <v>4</v>
      </c>
      <c r="T217" t="s">
        <v>42</v>
      </c>
      <c r="U217">
        <v>13591</v>
      </c>
      <c r="V217" t="str" cm="1">
        <f t="array" ref="V21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17">
        <v>14674</v>
      </c>
      <c r="X217">
        <v>3</v>
      </c>
      <c r="Y217" t="s">
        <v>43</v>
      </c>
      <c r="Z217" t="s">
        <v>36</v>
      </c>
      <c r="AA217">
        <v>18</v>
      </c>
      <c r="AB217">
        <v>3</v>
      </c>
      <c r="AC217">
        <v>3</v>
      </c>
      <c r="AD217">
        <v>80</v>
      </c>
      <c r="AE217">
        <v>0</v>
      </c>
      <c r="AF217">
        <v>16</v>
      </c>
      <c r="AG217">
        <v>3</v>
      </c>
      <c r="AH217">
        <v>3</v>
      </c>
      <c r="AI217">
        <v>1</v>
      </c>
      <c r="AJ217">
        <v>0</v>
      </c>
      <c r="AK217">
        <v>0</v>
      </c>
      <c r="AL217" t="str" cm="1">
        <f t="array" ref="AL21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17">
        <v>0</v>
      </c>
    </row>
    <row r="218" spans="1:39" x14ac:dyDescent="0.25">
      <c r="A218">
        <v>30</v>
      </c>
      <c r="B218" t="s">
        <v>36</v>
      </c>
      <c r="C218" t="s">
        <v>45</v>
      </c>
      <c r="D218">
        <v>334</v>
      </c>
      <c r="E218" t="s">
        <v>38</v>
      </c>
      <c r="G218">
        <v>26</v>
      </c>
      <c r="H218">
        <v>4</v>
      </c>
      <c r="I218" t="s">
        <v>60</v>
      </c>
      <c r="J218" t="str">
        <f>WA_Fn_UseC__HR_Employee_Attrition[[#This Row],[EducationField]]&amp;"-"&amp;WA_Fn_UseC__HR_Employee_Attrition[[#This Row],[Department]]</f>
        <v>Marketing-Sales</v>
      </c>
      <c r="K218">
        <v>1</v>
      </c>
      <c r="L218">
        <v>299</v>
      </c>
      <c r="M218">
        <v>3</v>
      </c>
      <c r="N218" t="s">
        <v>40</v>
      </c>
      <c r="O218">
        <v>52</v>
      </c>
      <c r="P218">
        <v>2</v>
      </c>
      <c r="Q218">
        <v>2</v>
      </c>
      <c r="R218" t="s">
        <v>41</v>
      </c>
      <c r="S218">
        <v>1</v>
      </c>
      <c r="T218" t="s">
        <v>42</v>
      </c>
      <c r="U218">
        <v>6696</v>
      </c>
      <c r="V218" t="str" cm="1">
        <f t="array" ref="V21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18">
        <v>22967</v>
      </c>
      <c r="X218">
        <v>5</v>
      </c>
      <c r="Y218" t="s">
        <v>43</v>
      </c>
      <c r="Z218" t="s">
        <v>44</v>
      </c>
      <c r="AA218">
        <v>15</v>
      </c>
      <c r="AB218">
        <v>3</v>
      </c>
      <c r="AC218">
        <v>3</v>
      </c>
      <c r="AD218">
        <v>80</v>
      </c>
      <c r="AE218">
        <v>0</v>
      </c>
      <c r="AF218">
        <v>9</v>
      </c>
      <c r="AG218">
        <v>5</v>
      </c>
      <c r="AH218">
        <v>2</v>
      </c>
      <c r="AI218">
        <v>6</v>
      </c>
      <c r="AJ218">
        <v>3</v>
      </c>
      <c r="AK218">
        <v>0</v>
      </c>
      <c r="AL218" t="str" cm="1">
        <f t="array" ref="AL21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18">
        <v>1</v>
      </c>
    </row>
    <row r="219" spans="1:39" x14ac:dyDescent="0.25">
      <c r="A219">
        <v>29</v>
      </c>
      <c r="B219" t="s">
        <v>36</v>
      </c>
      <c r="C219" t="s">
        <v>37</v>
      </c>
      <c r="D219">
        <v>992</v>
      </c>
      <c r="E219" t="s">
        <v>46</v>
      </c>
      <c r="G219">
        <v>1</v>
      </c>
      <c r="H219">
        <v>3</v>
      </c>
      <c r="I219" t="s">
        <v>61</v>
      </c>
      <c r="J219" t="str">
        <f>WA_Fn_UseC__HR_Employee_Attrition[[#This Row],[EducationField]]&amp;"-"&amp;WA_Fn_UseC__HR_Employee_Attrition[[#This Row],[Department]]</f>
        <v>Technical Degree-Research &amp; Development</v>
      </c>
      <c r="K219">
        <v>1</v>
      </c>
      <c r="L219">
        <v>300</v>
      </c>
      <c r="M219">
        <v>3</v>
      </c>
      <c r="N219" t="s">
        <v>47</v>
      </c>
      <c r="O219">
        <v>85</v>
      </c>
      <c r="P219">
        <v>3</v>
      </c>
      <c r="Q219">
        <v>1</v>
      </c>
      <c r="R219" t="s">
        <v>48</v>
      </c>
      <c r="S219">
        <v>3</v>
      </c>
      <c r="T219" t="s">
        <v>42</v>
      </c>
      <c r="U219">
        <v>2058</v>
      </c>
      <c r="V219" t="str" cm="1">
        <f t="array" ref="V21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19">
        <v>19757</v>
      </c>
      <c r="X219">
        <v>0</v>
      </c>
      <c r="Y219" t="s">
        <v>43</v>
      </c>
      <c r="Z219" t="s">
        <v>44</v>
      </c>
      <c r="AA219">
        <v>14</v>
      </c>
      <c r="AB219">
        <v>3</v>
      </c>
      <c r="AC219">
        <v>4</v>
      </c>
      <c r="AD219">
        <v>80</v>
      </c>
      <c r="AE219">
        <v>0</v>
      </c>
      <c r="AF219">
        <v>7</v>
      </c>
      <c r="AG219">
        <v>1</v>
      </c>
      <c r="AH219">
        <v>2</v>
      </c>
      <c r="AI219">
        <v>6</v>
      </c>
      <c r="AJ219">
        <v>2</v>
      </c>
      <c r="AK219">
        <v>1</v>
      </c>
      <c r="AL219" t="str" cm="1">
        <f t="array" ref="AL21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19">
        <v>5</v>
      </c>
    </row>
    <row r="220" spans="1:39" x14ac:dyDescent="0.25">
      <c r="A220">
        <v>45</v>
      </c>
      <c r="B220" t="s">
        <v>44</v>
      </c>
      <c r="C220" t="s">
        <v>56</v>
      </c>
      <c r="D220">
        <v>1052</v>
      </c>
      <c r="E220" t="s">
        <v>38</v>
      </c>
      <c r="G220">
        <v>6</v>
      </c>
      <c r="H220">
        <v>3</v>
      </c>
      <c r="I220" t="s">
        <v>52</v>
      </c>
      <c r="J220" t="str">
        <f>WA_Fn_UseC__HR_Employee_Attrition[[#This Row],[EducationField]]&amp;"-"&amp;WA_Fn_UseC__HR_Employee_Attrition[[#This Row],[Department]]</f>
        <v>Medical-Sales</v>
      </c>
      <c r="K220">
        <v>1</v>
      </c>
      <c r="L220">
        <v>302</v>
      </c>
      <c r="M220">
        <v>4</v>
      </c>
      <c r="N220" t="s">
        <v>40</v>
      </c>
      <c r="O220">
        <v>57</v>
      </c>
      <c r="P220">
        <v>2</v>
      </c>
      <c r="Q220">
        <v>3</v>
      </c>
      <c r="R220" t="s">
        <v>41</v>
      </c>
      <c r="S220">
        <v>4</v>
      </c>
      <c r="T220" t="s">
        <v>42</v>
      </c>
      <c r="U220">
        <v>8865</v>
      </c>
      <c r="V220" t="str" cm="1">
        <f t="array" ref="V22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20">
        <v>16840</v>
      </c>
      <c r="X220">
        <v>6</v>
      </c>
      <c r="Y220" t="s">
        <v>43</v>
      </c>
      <c r="Z220" t="s">
        <v>44</v>
      </c>
      <c r="AA220">
        <v>12</v>
      </c>
      <c r="AB220">
        <v>3</v>
      </c>
      <c r="AC220">
        <v>4</v>
      </c>
      <c r="AD220">
        <v>80</v>
      </c>
      <c r="AE220">
        <v>0</v>
      </c>
      <c r="AF220">
        <v>23</v>
      </c>
      <c r="AG220">
        <v>2</v>
      </c>
      <c r="AH220">
        <v>3</v>
      </c>
      <c r="AI220">
        <v>19</v>
      </c>
      <c r="AJ220">
        <v>7</v>
      </c>
      <c r="AK220">
        <v>12</v>
      </c>
      <c r="AL220" t="str" cm="1">
        <f t="array" ref="AL22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20">
        <v>8</v>
      </c>
    </row>
    <row r="221" spans="1:39" x14ac:dyDescent="0.25">
      <c r="A221">
        <v>54</v>
      </c>
      <c r="B221" t="s">
        <v>44</v>
      </c>
      <c r="C221" t="s">
        <v>37</v>
      </c>
      <c r="D221">
        <v>1147</v>
      </c>
      <c r="E221" t="s">
        <v>38</v>
      </c>
      <c r="G221">
        <v>3</v>
      </c>
      <c r="H221">
        <v>3</v>
      </c>
      <c r="I221" t="s">
        <v>60</v>
      </c>
      <c r="J221" t="str">
        <f>WA_Fn_UseC__HR_Employee_Attrition[[#This Row],[EducationField]]&amp;"-"&amp;WA_Fn_UseC__HR_Employee_Attrition[[#This Row],[Department]]</f>
        <v>Marketing-Sales</v>
      </c>
      <c r="K221">
        <v>1</v>
      </c>
      <c r="L221">
        <v>303</v>
      </c>
      <c r="M221">
        <v>4</v>
      </c>
      <c r="N221" t="s">
        <v>40</v>
      </c>
      <c r="O221">
        <v>52</v>
      </c>
      <c r="P221">
        <v>3</v>
      </c>
      <c r="Q221">
        <v>2</v>
      </c>
      <c r="R221" t="s">
        <v>41</v>
      </c>
      <c r="S221">
        <v>1</v>
      </c>
      <c r="T221" t="s">
        <v>49</v>
      </c>
      <c r="U221">
        <v>5940</v>
      </c>
      <c r="V221" t="str" cm="1">
        <f t="array" ref="V22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21">
        <v>17011</v>
      </c>
      <c r="X221">
        <v>2</v>
      </c>
      <c r="Y221" t="s">
        <v>43</v>
      </c>
      <c r="Z221" t="s">
        <v>44</v>
      </c>
      <c r="AA221">
        <v>14</v>
      </c>
      <c r="AB221">
        <v>3</v>
      </c>
      <c r="AC221">
        <v>4</v>
      </c>
      <c r="AD221">
        <v>80</v>
      </c>
      <c r="AE221">
        <v>1</v>
      </c>
      <c r="AF221">
        <v>16</v>
      </c>
      <c r="AG221">
        <v>4</v>
      </c>
      <c r="AH221">
        <v>3</v>
      </c>
      <c r="AI221">
        <v>6</v>
      </c>
      <c r="AJ221">
        <v>2</v>
      </c>
      <c r="AK221">
        <v>0</v>
      </c>
      <c r="AL221" t="str" cm="1">
        <f t="array" ref="AL22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21">
        <v>5</v>
      </c>
    </row>
    <row r="222" spans="1:39" x14ac:dyDescent="0.25">
      <c r="A222">
        <v>36</v>
      </c>
      <c r="B222" t="s">
        <v>44</v>
      </c>
      <c r="C222" t="s">
        <v>37</v>
      </c>
      <c r="D222">
        <v>1396</v>
      </c>
      <c r="E222" t="s">
        <v>46</v>
      </c>
      <c r="G222">
        <v>5</v>
      </c>
      <c r="H222">
        <v>2</v>
      </c>
      <c r="I222" t="s">
        <v>39</v>
      </c>
      <c r="J222" t="str">
        <f>WA_Fn_UseC__HR_Employee_Attrition[[#This Row],[EducationField]]&amp;"-"&amp;WA_Fn_UseC__HR_Employee_Attrition[[#This Row],[Department]]</f>
        <v>Life Sciences-Research &amp; Development</v>
      </c>
      <c r="K222">
        <v>1</v>
      </c>
      <c r="L222">
        <v>304</v>
      </c>
      <c r="M222">
        <v>4</v>
      </c>
      <c r="N222" t="s">
        <v>47</v>
      </c>
      <c r="O222">
        <v>62</v>
      </c>
      <c r="P222">
        <v>3</v>
      </c>
      <c r="Q222">
        <v>2</v>
      </c>
      <c r="R222" t="s">
        <v>51</v>
      </c>
      <c r="S222">
        <v>2</v>
      </c>
      <c r="T222" t="s">
        <v>42</v>
      </c>
      <c r="U222">
        <v>5914</v>
      </c>
      <c r="V222" t="str" cm="1">
        <f t="array" ref="V22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22">
        <v>9945</v>
      </c>
      <c r="X222">
        <v>8</v>
      </c>
      <c r="Y222" t="s">
        <v>43</v>
      </c>
      <c r="Z222" t="s">
        <v>44</v>
      </c>
      <c r="AA222">
        <v>16</v>
      </c>
      <c r="AB222">
        <v>3</v>
      </c>
      <c r="AC222">
        <v>4</v>
      </c>
      <c r="AD222">
        <v>80</v>
      </c>
      <c r="AE222">
        <v>0</v>
      </c>
      <c r="AF222">
        <v>16</v>
      </c>
      <c r="AG222">
        <v>3</v>
      </c>
      <c r="AH222">
        <v>4</v>
      </c>
      <c r="AI222">
        <v>13</v>
      </c>
      <c r="AJ222">
        <v>11</v>
      </c>
      <c r="AK222">
        <v>3</v>
      </c>
      <c r="AL222" t="str" cm="1">
        <f t="array" ref="AL22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22">
        <v>7</v>
      </c>
    </row>
    <row r="223" spans="1:39" x14ac:dyDescent="0.25">
      <c r="A223">
        <v>33</v>
      </c>
      <c r="B223" t="s">
        <v>44</v>
      </c>
      <c r="C223" t="s">
        <v>37</v>
      </c>
      <c r="D223">
        <v>147</v>
      </c>
      <c r="E223" t="s">
        <v>46</v>
      </c>
      <c r="G223">
        <v>4</v>
      </c>
      <c r="H223">
        <v>4</v>
      </c>
      <c r="I223" t="s">
        <v>52</v>
      </c>
      <c r="J223" t="str">
        <f>WA_Fn_UseC__HR_Employee_Attrition[[#This Row],[EducationField]]&amp;"-"&amp;WA_Fn_UseC__HR_Employee_Attrition[[#This Row],[Department]]</f>
        <v>Medical-Research &amp; Development</v>
      </c>
      <c r="K223">
        <v>1</v>
      </c>
      <c r="L223">
        <v>305</v>
      </c>
      <c r="M223">
        <v>3</v>
      </c>
      <c r="N223" t="s">
        <v>40</v>
      </c>
      <c r="O223">
        <v>47</v>
      </c>
      <c r="P223">
        <v>2</v>
      </c>
      <c r="Q223">
        <v>1</v>
      </c>
      <c r="R223" t="s">
        <v>48</v>
      </c>
      <c r="S223">
        <v>2</v>
      </c>
      <c r="T223" t="s">
        <v>49</v>
      </c>
      <c r="U223">
        <v>2622</v>
      </c>
      <c r="V223" t="str" cm="1">
        <f t="array" ref="V22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23">
        <v>13248</v>
      </c>
      <c r="X223">
        <v>6</v>
      </c>
      <c r="Y223" t="s">
        <v>43</v>
      </c>
      <c r="Z223" t="s">
        <v>44</v>
      </c>
      <c r="AA223">
        <v>21</v>
      </c>
      <c r="AB223">
        <v>4</v>
      </c>
      <c r="AC223">
        <v>4</v>
      </c>
      <c r="AD223">
        <v>80</v>
      </c>
      <c r="AE223">
        <v>0</v>
      </c>
      <c r="AF223">
        <v>7</v>
      </c>
      <c r="AG223">
        <v>3</v>
      </c>
      <c r="AH223">
        <v>3</v>
      </c>
      <c r="AI223">
        <v>3</v>
      </c>
      <c r="AJ223">
        <v>2</v>
      </c>
      <c r="AK223">
        <v>1</v>
      </c>
      <c r="AL223" t="str" cm="1">
        <f t="array" ref="AL22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23">
        <v>1</v>
      </c>
    </row>
    <row r="224" spans="1:39" x14ac:dyDescent="0.25">
      <c r="A224">
        <v>37</v>
      </c>
      <c r="B224" t="s">
        <v>44</v>
      </c>
      <c r="C224" t="s">
        <v>45</v>
      </c>
      <c r="D224">
        <v>663</v>
      </c>
      <c r="E224" t="s">
        <v>46</v>
      </c>
      <c r="G224">
        <v>11</v>
      </c>
      <c r="H224">
        <v>3</v>
      </c>
      <c r="I224" t="s">
        <v>50</v>
      </c>
      <c r="J224" t="str">
        <f>WA_Fn_UseC__HR_Employee_Attrition[[#This Row],[EducationField]]&amp;"-"&amp;WA_Fn_UseC__HR_Employee_Attrition[[#This Row],[Department]]</f>
        <v>Other-Research &amp; Development</v>
      </c>
      <c r="K224">
        <v>1</v>
      </c>
      <c r="L224">
        <v>306</v>
      </c>
      <c r="M224">
        <v>2</v>
      </c>
      <c r="N224" t="s">
        <v>47</v>
      </c>
      <c r="O224">
        <v>47</v>
      </c>
      <c r="P224">
        <v>3</v>
      </c>
      <c r="Q224">
        <v>3</v>
      </c>
      <c r="R224" t="s">
        <v>59</v>
      </c>
      <c r="S224">
        <v>4</v>
      </c>
      <c r="T224" t="s">
        <v>53</v>
      </c>
      <c r="U224">
        <v>12185</v>
      </c>
      <c r="V224" t="str" cm="1">
        <f t="array" ref="V22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24">
        <v>10056</v>
      </c>
      <c r="X224">
        <v>1</v>
      </c>
      <c r="Y224" t="s">
        <v>43</v>
      </c>
      <c r="Z224" t="s">
        <v>36</v>
      </c>
      <c r="AA224">
        <v>14</v>
      </c>
      <c r="AB224">
        <v>3</v>
      </c>
      <c r="AC224">
        <v>3</v>
      </c>
      <c r="AD224">
        <v>80</v>
      </c>
      <c r="AE224">
        <v>3</v>
      </c>
      <c r="AF224">
        <v>10</v>
      </c>
      <c r="AG224">
        <v>1</v>
      </c>
      <c r="AH224">
        <v>3</v>
      </c>
      <c r="AI224">
        <v>10</v>
      </c>
      <c r="AJ224">
        <v>8</v>
      </c>
      <c r="AK224">
        <v>0</v>
      </c>
      <c r="AL224" t="str" cm="1">
        <f t="array" ref="AL22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24">
        <v>7</v>
      </c>
    </row>
    <row r="225" spans="1:39" x14ac:dyDescent="0.25">
      <c r="A225">
        <v>38</v>
      </c>
      <c r="B225" t="s">
        <v>44</v>
      </c>
      <c r="C225" t="s">
        <v>37</v>
      </c>
      <c r="D225">
        <v>119</v>
      </c>
      <c r="E225" t="s">
        <v>38</v>
      </c>
      <c r="G225">
        <v>3</v>
      </c>
      <c r="H225">
        <v>3</v>
      </c>
      <c r="I225" t="s">
        <v>39</v>
      </c>
      <c r="J225" t="str">
        <f>WA_Fn_UseC__HR_Employee_Attrition[[#This Row],[EducationField]]&amp;"-"&amp;WA_Fn_UseC__HR_Employee_Attrition[[#This Row],[Department]]</f>
        <v>Life Sciences-Sales</v>
      </c>
      <c r="K225">
        <v>1</v>
      </c>
      <c r="L225">
        <v>307</v>
      </c>
      <c r="M225">
        <v>1</v>
      </c>
      <c r="N225" t="s">
        <v>47</v>
      </c>
      <c r="O225">
        <v>76</v>
      </c>
      <c r="P225">
        <v>3</v>
      </c>
      <c r="Q225">
        <v>3</v>
      </c>
      <c r="R225" t="s">
        <v>41</v>
      </c>
      <c r="S225">
        <v>3</v>
      </c>
      <c r="T225" t="s">
        <v>53</v>
      </c>
      <c r="U225">
        <v>10609</v>
      </c>
      <c r="V225" t="str" cm="1">
        <f t="array" ref="V22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25">
        <v>9647</v>
      </c>
      <c r="X225">
        <v>0</v>
      </c>
      <c r="Y225" t="s">
        <v>43</v>
      </c>
      <c r="Z225" t="s">
        <v>44</v>
      </c>
      <c r="AA225">
        <v>12</v>
      </c>
      <c r="AB225">
        <v>3</v>
      </c>
      <c r="AC225">
        <v>3</v>
      </c>
      <c r="AD225">
        <v>80</v>
      </c>
      <c r="AE225">
        <v>2</v>
      </c>
      <c r="AF225">
        <v>17</v>
      </c>
      <c r="AG225">
        <v>6</v>
      </c>
      <c r="AH225">
        <v>2</v>
      </c>
      <c r="AI225">
        <v>16</v>
      </c>
      <c r="AJ225">
        <v>10</v>
      </c>
      <c r="AK225">
        <v>5</v>
      </c>
      <c r="AL225" t="str" cm="1">
        <f t="array" ref="AL22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25">
        <v>13</v>
      </c>
    </row>
    <row r="226" spans="1:39" x14ac:dyDescent="0.25">
      <c r="A226">
        <v>31</v>
      </c>
      <c r="B226" t="s">
        <v>44</v>
      </c>
      <c r="C226" t="s">
        <v>56</v>
      </c>
      <c r="D226">
        <v>979</v>
      </c>
      <c r="E226" t="s">
        <v>46</v>
      </c>
      <c r="G226">
        <v>1</v>
      </c>
      <c r="H226">
        <v>4</v>
      </c>
      <c r="I226" t="s">
        <v>52</v>
      </c>
      <c r="J226" t="str">
        <f>WA_Fn_UseC__HR_Employee_Attrition[[#This Row],[EducationField]]&amp;"-"&amp;WA_Fn_UseC__HR_Employee_Attrition[[#This Row],[Department]]</f>
        <v>Medical-Research &amp; Development</v>
      </c>
      <c r="K226">
        <v>1</v>
      </c>
      <c r="L226">
        <v>308</v>
      </c>
      <c r="M226">
        <v>3</v>
      </c>
      <c r="N226" t="s">
        <v>47</v>
      </c>
      <c r="O226">
        <v>90</v>
      </c>
      <c r="P226">
        <v>1</v>
      </c>
      <c r="Q226">
        <v>2</v>
      </c>
      <c r="R226" t="s">
        <v>54</v>
      </c>
      <c r="S226">
        <v>3</v>
      </c>
      <c r="T226" t="s">
        <v>49</v>
      </c>
      <c r="U226">
        <v>4345</v>
      </c>
      <c r="V226" t="str" cm="1">
        <f t="array" ref="V22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26">
        <v>4381</v>
      </c>
      <c r="X226">
        <v>0</v>
      </c>
      <c r="Y226" t="s">
        <v>43</v>
      </c>
      <c r="Z226" t="s">
        <v>44</v>
      </c>
      <c r="AA226">
        <v>12</v>
      </c>
      <c r="AB226">
        <v>3</v>
      </c>
      <c r="AC226">
        <v>4</v>
      </c>
      <c r="AD226">
        <v>80</v>
      </c>
      <c r="AE226">
        <v>1</v>
      </c>
      <c r="AF226">
        <v>6</v>
      </c>
      <c r="AG226">
        <v>2</v>
      </c>
      <c r="AH226">
        <v>3</v>
      </c>
      <c r="AI226">
        <v>5</v>
      </c>
      <c r="AJ226">
        <v>4</v>
      </c>
      <c r="AK226">
        <v>1</v>
      </c>
      <c r="AL226" t="str" cm="1">
        <f t="array" ref="AL22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26">
        <v>4</v>
      </c>
    </row>
    <row r="227" spans="1:39" x14ac:dyDescent="0.25">
      <c r="A227">
        <v>59</v>
      </c>
      <c r="B227" t="s">
        <v>44</v>
      </c>
      <c r="C227" t="s">
        <v>37</v>
      </c>
      <c r="D227">
        <v>142</v>
      </c>
      <c r="E227" t="s">
        <v>46</v>
      </c>
      <c r="G227">
        <v>3</v>
      </c>
      <c r="H227">
        <v>3</v>
      </c>
      <c r="I227" t="s">
        <v>39</v>
      </c>
      <c r="J227" t="str">
        <f>WA_Fn_UseC__HR_Employee_Attrition[[#This Row],[EducationField]]&amp;"-"&amp;WA_Fn_UseC__HR_Employee_Attrition[[#This Row],[Department]]</f>
        <v>Life Sciences-Research &amp; Development</v>
      </c>
      <c r="K227">
        <v>1</v>
      </c>
      <c r="L227">
        <v>309</v>
      </c>
      <c r="M227">
        <v>3</v>
      </c>
      <c r="N227" t="s">
        <v>47</v>
      </c>
      <c r="O227">
        <v>70</v>
      </c>
      <c r="P227">
        <v>2</v>
      </c>
      <c r="Q227">
        <v>1</v>
      </c>
      <c r="R227" t="s">
        <v>48</v>
      </c>
      <c r="S227">
        <v>4</v>
      </c>
      <c r="T227" t="s">
        <v>49</v>
      </c>
      <c r="U227">
        <v>2177</v>
      </c>
      <c r="V227" t="str" cm="1">
        <f t="array" ref="V22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27">
        <v>8456</v>
      </c>
      <c r="X227">
        <v>3</v>
      </c>
      <c r="Y227" t="s">
        <v>43</v>
      </c>
      <c r="Z227" t="s">
        <v>44</v>
      </c>
      <c r="AA227">
        <v>17</v>
      </c>
      <c r="AB227">
        <v>3</v>
      </c>
      <c r="AC227">
        <v>1</v>
      </c>
      <c r="AD227">
        <v>80</v>
      </c>
      <c r="AE227">
        <v>1</v>
      </c>
      <c r="AF227">
        <v>7</v>
      </c>
      <c r="AG227">
        <v>6</v>
      </c>
      <c r="AH227">
        <v>3</v>
      </c>
      <c r="AI227">
        <v>1</v>
      </c>
      <c r="AJ227">
        <v>0</v>
      </c>
      <c r="AK227">
        <v>0</v>
      </c>
      <c r="AL227" t="str" cm="1">
        <f t="array" ref="AL22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27">
        <v>0</v>
      </c>
    </row>
    <row r="228" spans="1:39" x14ac:dyDescent="0.25">
      <c r="A228">
        <v>37</v>
      </c>
      <c r="B228" t="s">
        <v>44</v>
      </c>
      <c r="C228" t="s">
        <v>45</v>
      </c>
      <c r="D228">
        <v>319</v>
      </c>
      <c r="E228" t="s">
        <v>38</v>
      </c>
      <c r="G228">
        <v>4</v>
      </c>
      <c r="H228">
        <v>4</v>
      </c>
      <c r="I228" t="s">
        <v>60</v>
      </c>
      <c r="J228" t="str">
        <f>WA_Fn_UseC__HR_Employee_Attrition[[#This Row],[EducationField]]&amp;"-"&amp;WA_Fn_UseC__HR_Employee_Attrition[[#This Row],[Department]]</f>
        <v>Marketing-Sales</v>
      </c>
      <c r="K228">
        <v>1</v>
      </c>
      <c r="L228">
        <v>311</v>
      </c>
      <c r="M228">
        <v>1</v>
      </c>
      <c r="N228" t="s">
        <v>47</v>
      </c>
      <c r="O228">
        <v>41</v>
      </c>
      <c r="P228">
        <v>3</v>
      </c>
      <c r="Q228">
        <v>1</v>
      </c>
      <c r="R228" t="s">
        <v>58</v>
      </c>
      <c r="S228">
        <v>4</v>
      </c>
      <c r="T228" t="s">
        <v>53</v>
      </c>
      <c r="U228">
        <v>2793</v>
      </c>
      <c r="V228" t="str" cm="1">
        <f t="array" ref="V22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28">
        <v>2539</v>
      </c>
      <c r="X228">
        <v>4</v>
      </c>
      <c r="Y228" t="s">
        <v>43</v>
      </c>
      <c r="Z228" t="s">
        <v>44</v>
      </c>
      <c r="AA228">
        <v>17</v>
      </c>
      <c r="AB228">
        <v>3</v>
      </c>
      <c r="AC228">
        <v>3</v>
      </c>
      <c r="AD228">
        <v>80</v>
      </c>
      <c r="AE228">
        <v>1</v>
      </c>
      <c r="AF228">
        <v>13</v>
      </c>
      <c r="AG228">
        <v>2</v>
      </c>
      <c r="AH228">
        <v>3</v>
      </c>
      <c r="AI228">
        <v>9</v>
      </c>
      <c r="AJ228">
        <v>8</v>
      </c>
      <c r="AK228">
        <v>5</v>
      </c>
      <c r="AL228" t="str" cm="1">
        <f t="array" ref="AL22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28">
        <v>8</v>
      </c>
    </row>
    <row r="229" spans="1:39" x14ac:dyDescent="0.25">
      <c r="A229">
        <v>29</v>
      </c>
      <c r="B229" t="s">
        <v>44</v>
      </c>
      <c r="C229" t="s">
        <v>45</v>
      </c>
      <c r="D229">
        <v>1413</v>
      </c>
      <c r="E229" t="s">
        <v>38</v>
      </c>
      <c r="G229">
        <v>1</v>
      </c>
      <c r="H229">
        <v>1</v>
      </c>
      <c r="I229" t="s">
        <v>52</v>
      </c>
      <c r="J229" t="str">
        <f>WA_Fn_UseC__HR_Employee_Attrition[[#This Row],[EducationField]]&amp;"-"&amp;WA_Fn_UseC__HR_Employee_Attrition[[#This Row],[Department]]</f>
        <v>Medical-Sales</v>
      </c>
      <c r="K229">
        <v>1</v>
      </c>
      <c r="L229">
        <v>312</v>
      </c>
      <c r="M229">
        <v>2</v>
      </c>
      <c r="N229" t="s">
        <v>40</v>
      </c>
      <c r="O229">
        <v>42</v>
      </c>
      <c r="P229">
        <v>3</v>
      </c>
      <c r="Q229">
        <v>3</v>
      </c>
      <c r="R229" t="s">
        <v>41</v>
      </c>
      <c r="S229">
        <v>4</v>
      </c>
      <c r="T229" t="s">
        <v>49</v>
      </c>
      <c r="U229">
        <v>7918</v>
      </c>
      <c r="V229" t="str" cm="1">
        <f t="array" ref="V22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29">
        <v>6599</v>
      </c>
      <c r="X229">
        <v>1</v>
      </c>
      <c r="Y229" t="s">
        <v>43</v>
      </c>
      <c r="Z229" t="s">
        <v>44</v>
      </c>
      <c r="AA229">
        <v>14</v>
      </c>
      <c r="AB229">
        <v>3</v>
      </c>
      <c r="AC229">
        <v>4</v>
      </c>
      <c r="AD229">
        <v>80</v>
      </c>
      <c r="AE229">
        <v>1</v>
      </c>
      <c r="AF229">
        <v>11</v>
      </c>
      <c r="AG229">
        <v>5</v>
      </c>
      <c r="AH229">
        <v>3</v>
      </c>
      <c r="AI229">
        <v>11</v>
      </c>
      <c r="AJ229">
        <v>10</v>
      </c>
      <c r="AK229">
        <v>4</v>
      </c>
      <c r="AL229" t="str" cm="1">
        <f t="array" ref="AL22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29">
        <v>1</v>
      </c>
    </row>
    <row r="230" spans="1:39" x14ac:dyDescent="0.25">
      <c r="A230">
        <v>35</v>
      </c>
      <c r="B230" t="s">
        <v>44</v>
      </c>
      <c r="C230" t="s">
        <v>45</v>
      </c>
      <c r="D230">
        <v>944</v>
      </c>
      <c r="E230" t="s">
        <v>38</v>
      </c>
      <c r="G230">
        <v>1</v>
      </c>
      <c r="H230">
        <v>3</v>
      </c>
      <c r="I230" t="s">
        <v>60</v>
      </c>
      <c r="J230" t="str">
        <f>WA_Fn_UseC__HR_Employee_Attrition[[#This Row],[EducationField]]&amp;"-"&amp;WA_Fn_UseC__HR_Employee_Attrition[[#This Row],[Department]]</f>
        <v>Marketing-Sales</v>
      </c>
      <c r="K230">
        <v>1</v>
      </c>
      <c r="L230">
        <v>314</v>
      </c>
      <c r="M230">
        <v>3</v>
      </c>
      <c r="N230" t="s">
        <v>40</v>
      </c>
      <c r="O230">
        <v>92</v>
      </c>
      <c r="P230">
        <v>3</v>
      </c>
      <c r="Q230">
        <v>3</v>
      </c>
      <c r="R230" t="s">
        <v>41</v>
      </c>
      <c r="S230">
        <v>3</v>
      </c>
      <c r="T230" t="s">
        <v>42</v>
      </c>
      <c r="U230">
        <v>8789</v>
      </c>
      <c r="V230" t="str" cm="1">
        <f t="array" ref="V23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30">
        <v>9096</v>
      </c>
      <c r="X230">
        <v>1</v>
      </c>
      <c r="Y230" t="s">
        <v>43</v>
      </c>
      <c r="Z230" t="s">
        <v>44</v>
      </c>
      <c r="AA230">
        <v>14</v>
      </c>
      <c r="AB230">
        <v>3</v>
      </c>
      <c r="AC230">
        <v>1</v>
      </c>
      <c r="AD230">
        <v>80</v>
      </c>
      <c r="AE230">
        <v>0</v>
      </c>
      <c r="AF230">
        <v>10</v>
      </c>
      <c r="AG230">
        <v>3</v>
      </c>
      <c r="AH230">
        <v>4</v>
      </c>
      <c r="AI230">
        <v>10</v>
      </c>
      <c r="AJ230">
        <v>7</v>
      </c>
      <c r="AK230">
        <v>0</v>
      </c>
      <c r="AL230" t="str" cm="1">
        <f t="array" ref="AL23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30">
        <v>8</v>
      </c>
    </row>
    <row r="231" spans="1:39" x14ac:dyDescent="0.25">
      <c r="A231">
        <v>29</v>
      </c>
      <c r="B231" t="s">
        <v>36</v>
      </c>
      <c r="C231" t="s">
        <v>37</v>
      </c>
      <c r="D231">
        <v>896</v>
      </c>
      <c r="E231" t="s">
        <v>46</v>
      </c>
      <c r="G231">
        <v>18</v>
      </c>
      <c r="H231">
        <v>1</v>
      </c>
      <c r="I231" t="s">
        <v>52</v>
      </c>
      <c r="J231" t="str">
        <f>WA_Fn_UseC__HR_Employee_Attrition[[#This Row],[EducationField]]&amp;"-"&amp;WA_Fn_UseC__HR_Employee_Attrition[[#This Row],[Department]]</f>
        <v>Medical-Research &amp; Development</v>
      </c>
      <c r="K231">
        <v>1</v>
      </c>
      <c r="L231">
        <v>315</v>
      </c>
      <c r="M231">
        <v>3</v>
      </c>
      <c r="N231" t="s">
        <v>47</v>
      </c>
      <c r="O231">
        <v>86</v>
      </c>
      <c r="P231">
        <v>2</v>
      </c>
      <c r="Q231">
        <v>1</v>
      </c>
      <c r="R231" t="s">
        <v>48</v>
      </c>
      <c r="S231">
        <v>4</v>
      </c>
      <c r="T231" t="s">
        <v>42</v>
      </c>
      <c r="U231">
        <v>2389</v>
      </c>
      <c r="V231" t="str" cm="1">
        <f t="array" ref="V23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31">
        <v>14961</v>
      </c>
      <c r="X231">
        <v>1</v>
      </c>
      <c r="Y231" t="s">
        <v>43</v>
      </c>
      <c r="Z231" t="s">
        <v>36</v>
      </c>
      <c r="AA231">
        <v>13</v>
      </c>
      <c r="AB231">
        <v>3</v>
      </c>
      <c r="AC231">
        <v>3</v>
      </c>
      <c r="AD231">
        <v>80</v>
      </c>
      <c r="AE231">
        <v>0</v>
      </c>
      <c r="AF231">
        <v>4</v>
      </c>
      <c r="AG231">
        <v>3</v>
      </c>
      <c r="AH231">
        <v>2</v>
      </c>
      <c r="AI231">
        <v>4</v>
      </c>
      <c r="AJ231">
        <v>3</v>
      </c>
      <c r="AK231">
        <v>0</v>
      </c>
      <c r="AL231" t="str" cm="1">
        <f t="array" ref="AL23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31">
        <v>1</v>
      </c>
    </row>
    <row r="232" spans="1:39" x14ac:dyDescent="0.25">
      <c r="A232">
        <v>52</v>
      </c>
      <c r="B232" t="s">
        <v>44</v>
      </c>
      <c r="C232" t="s">
        <v>37</v>
      </c>
      <c r="D232">
        <v>1323</v>
      </c>
      <c r="E232" t="s">
        <v>46</v>
      </c>
      <c r="G232">
        <v>2</v>
      </c>
      <c r="H232">
        <v>3</v>
      </c>
      <c r="I232" t="s">
        <v>39</v>
      </c>
      <c r="J232" t="str">
        <f>WA_Fn_UseC__HR_Employee_Attrition[[#This Row],[EducationField]]&amp;"-"&amp;WA_Fn_UseC__HR_Employee_Attrition[[#This Row],[Department]]</f>
        <v>Life Sciences-Research &amp; Development</v>
      </c>
      <c r="K232">
        <v>1</v>
      </c>
      <c r="L232">
        <v>316</v>
      </c>
      <c r="M232">
        <v>3</v>
      </c>
      <c r="N232" t="s">
        <v>40</v>
      </c>
      <c r="O232">
        <v>89</v>
      </c>
      <c r="P232">
        <v>2</v>
      </c>
      <c r="Q232">
        <v>1</v>
      </c>
      <c r="R232" t="s">
        <v>51</v>
      </c>
      <c r="S232">
        <v>4</v>
      </c>
      <c r="T232" t="s">
        <v>42</v>
      </c>
      <c r="U232">
        <v>3212</v>
      </c>
      <c r="V232" t="str" cm="1">
        <f t="array" ref="V23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32">
        <v>3300</v>
      </c>
      <c r="X232">
        <v>7</v>
      </c>
      <c r="Y232" t="s">
        <v>43</v>
      </c>
      <c r="Z232" t="s">
        <v>44</v>
      </c>
      <c r="AA232">
        <v>15</v>
      </c>
      <c r="AB232">
        <v>3</v>
      </c>
      <c r="AC232">
        <v>2</v>
      </c>
      <c r="AD232">
        <v>80</v>
      </c>
      <c r="AE232">
        <v>0</v>
      </c>
      <c r="AF232">
        <v>6</v>
      </c>
      <c r="AG232">
        <v>3</v>
      </c>
      <c r="AH232">
        <v>2</v>
      </c>
      <c r="AI232">
        <v>2</v>
      </c>
      <c r="AJ232">
        <v>2</v>
      </c>
      <c r="AK232">
        <v>2</v>
      </c>
      <c r="AL232" t="str" cm="1">
        <f t="array" ref="AL23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32">
        <v>2</v>
      </c>
    </row>
    <row r="233" spans="1:39" x14ac:dyDescent="0.25">
      <c r="A233">
        <v>42</v>
      </c>
      <c r="B233" t="s">
        <v>44</v>
      </c>
      <c r="C233" t="s">
        <v>37</v>
      </c>
      <c r="D233">
        <v>532</v>
      </c>
      <c r="E233" t="s">
        <v>46</v>
      </c>
      <c r="G233">
        <v>4</v>
      </c>
      <c r="H233">
        <v>2</v>
      </c>
      <c r="I233" t="s">
        <v>61</v>
      </c>
      <c r="J233" t="str">
        <f>WA_Fn_UseC__HR_Employee_Attrition[[#This Row],[EducationField]]&amp;"-"&amp;WA_Fn_UseC__HR_Employee_Attrition[[#This Row],[Department]]</f>
        <v>Technical Degree-Research &amp; Development</v>
      </c>
      <c r="K233">
        <v>1</v>
      </c>
      <c r="L233">
        <v>319</v>
      </c>
      <c r="M233">
        <v>3</v>
      </c>
      <c r="N233" t="s">
        <v>47</v>
      </c>
      <c r="O233">
        <v>58</v>
      </c>
      <c r="P233">
        <v>3</v>
      </c>
      <c r="Q233">
        <v>5</v>
      </c>
      <c r="R233" t="s">
        <v>57</v>
      </c>
      <c r="S233">
        <v>4</v>
      </c>
      <c r="T233" t="s">
        <v>49</v>
      </c>
      <c r="U233">
        <v>19232</v>
      </c>
      <c r="V233" t="str" cm="1">
        <f t="array" ref="V23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33">
        <v>4933</v>
      </c>
      <c r="X233">
        <v>1</v>
      </c>
      <c r="Y233" t="s">
        <v>43</v>
      </c>
      <c r="Z233" t="s">
        <v>44</v>
      </c>
      <c r="AA233">
        <v>11</v>
      </c>
      <c r="AB233">
        <v>3</v>
      </c>
      <c r="AC233">
        <v>4</v>
      </c>
      <c r="AD233">
        <v>80</v>
      </c>
      <c r="AE233">
        <v>0</v>
      </c>
      <c r="AF233">
        <v>22</v>
      </c>
      <c r="AG233">
        <v>3</v>
      </c>
      <c r="AH233">
        <v>3</v>
      </c>
      <c r="AI233">
        <v>22</v>
      </c>
      <c r="AJ233">
        <v>17</v>
      </c>
      <c r="AK233">
        <v>11</v>
      </c>
      <c r="AL233" t="str" cm="1">
        <f t="array" ref="AL23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33">
        <v>15</v>
      </c>
    </row>
    <row r="234" spans="1:39" x14ac:dyDescent="0.25">
      <c r="A234">
        <v>59</v>
      </c>
      <c r="B234" t="s">
        <v>44</v>
      </c>
      <c r="C234" t="s">
        <v>37</v>
      </c>
      <c r="D234">
        <v>818</v>
      </c>
      <c r="E234" t="s">
        <v>62</v>
      </c>
      <c r="G234">
        <v>6</v>
      </c>
      <c r="H234">
        <v>2</v>
      </c>
      <c r="I234" t="s">
        <v>52</v>
      </c>
      <c r="J234" t="str">
        <f>WA_Fn_UseC__HR_Employee_Attrition[[#This Row],[EducationField]]&amp;"-"&amp;WA_Fn_UseC__HR_Employee_Attrition[[#This Row],[Department]]</f>
        <v>Medical-Human Resources</v>
      </c>
      <c r="K234">
        <v>1</v>
      </c>
      <c r="L234">
        <v>321</v>
      </c>
      <c r="M234">
        <v>2</v>
      </c>
      <c r="N234" t="s">
        <v>47</v>
      </c>
      <c r="O234">
        <v>52</v>
      </c>
      <c r="P234">
        <v>3</v>
      </c>
      <c r="Q234">
        <v>1</v>
      </c>
      <c r="R234" t="s">
        <v>62</v>
      </c>
      <c r="S234">
        <v>3</v>
      </c>
      <c r="T234" t="s">
        <v>49</v>
      </c>
      <c r="U234">
        <v>2267</v>
      </c>
      <c r="V234" t="str" cm="1">
        <f t="array" ref="V23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34">
        <v>25657</v>
      </c>
      <c r="X234">
        <v>8</v>
      </c>
      <c r="Y234" t="s">
        <v>43</v>
      </c>
      <c r="Z234" t="s">
        <v>44</v>
      </c>
      <c r="AA234">
        <v>17</v>
      </c>
      <c r="AB234">
        <v>3</v>
      </c>
      <c r="AC234">
        <v>4</v>
      </c>
      <c r="AD234">
        <v>80</v>
      </c>
      <c r="AE234">
        <v>0</v>
      </c>
      <c r="AF234">
        <v>7</v>
      </c>
      <c r="AG234">
        <v>2</v>
      </c>
      <c r="AH234">
        <v>2</v>
      </c>
      <c r="AI234">
        <v>2</v>
      </c>
      <c r="AJ234">
        <v>2</v>
      </c>
      <c r="AK234">
        <v>2</v>
      </c>
      <c r="AL234" t="str" cm="1">
        <f t="array" ref="AL23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34">
        <v>2</v>
      </c>
    </row>
    <row r="235" spans="1:39" x14ac:dyDescent="0.25">
      <c r="A235">
        <v>50</v>
      </c>
      <c r="B235" t="s">
        <v>44</v>
      </c>
      <c r="C235" t="s">
        <v>37</v>
      </c>
      <c r="D235">
        <v>854</v>
      </c>
      <c r="E235" t="s">
        <v>38</v>
      </c>
      <c r="G235">
        <v>1</v>
      </c>
      <c r="H235">
        <v>4</v>
      </c>
      <c r="I235" t="s">
        <v>52</v>
      </c>
      <c r="J235" t="str">
        <f>WA_Fn_UseC__HR_Employee_Attrition[[#This Row],[EducationField]]&amp;"-"&amp;WA_Fn_UseC__HR_Employee_Attrition[[#This Row],[Department]]</f>
        <v>Medical-Sales</v>
      </c>
      <c r="K235">
        <v>1</v>
      </c>
      <c r="L235">
        <v>323</v>
      </c>
      <c r="M235">
        <v>4</v>
      </c>
      <c r="N235" t="s">
        <v>40</v>
      </c>
      <c r="O235">
        <v>68</v>
      </c>
      <c r="P235">
        <v>3</v>
      </c>
      <c r="Q235">
        <v>5</v>
      </c>
      <c r="R235" t="s">
        <v>57</v>
      </c>
      <c r="S235">
        <v>4</v>
      </c>
      <c r="T235" t="s">
        <v>53</v>
      </c>
      <c r="U235">
        <v>19517</v>
      </c>
      <c r="V235" t="str" cm="1">
        <f t="array" ref="V23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35">
        <v>24118</v>
      </c>
      <c r="X235">
        <v>3</v>
      </c>
      <c r="Y235" t="s">
        <v>43</v>
      </c>
      <c r="Z235" t="s">
        <v>44</v>
      </c>
      <c r="AA235">
        <v>11</v>
      </c>
      <c r="AB235">
        <v>3</v>
      </c>
      <c r="AC235">
        <v>3</v>
      </c>
      <c r="AD235">
        <v>80</v>
      </c>
      <c r="AE235">
        <v>1</v>
      </c>
      <c r="AF235">
        <v>32</v>
      </c>
      <c r="AG235">
        <v>3</v>
      </c>
      <c r="AH235">
        <v>2</v>
      </c>
      <c r="AI235">
        <v>7</v>
      </c>
      <c r="AJ235">
        <v>0</v>
      </c>
      <c r="AK235">
        <v>0</v>
      </c>
      <c r="AL235" t="str" cm="1">
        <f t="array" ref="AL23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35">
        <v>6</v>
      </c>
    </row>
    <row r="236" spans="1:39" x14ac:dyDescent="0.25">
      <c r="A236">
        <v>33</v>
      </c>
      <c r="B236" t="s">
        <v>36</v>
      </c>
      <c r="C236" t="s">
        <v>37</v>
      </c>
      <c r="D236">
        <v>813</v>
      </c>
      <c r="E236" t="s">
        <v>46</v>
      </c>
      <c r="G236">
        <v>14</v>
      </c>
      <c r="H236">
        <v>3</v>
      </c>
      <c r="I236" t="s">
        <v>52</v>
      </c>
      <c r="J236" t="str">
        <f>WA_Fn_UseC__HR_Employee_Attrition[[#This Row],[EducationField]]&amp;"-"&amp;WA_Fn_UseC__HR_Employee_Attrition[[#This Row],[Department]]</f>
        <v>Medical-Research &amp; Development</v>
      </c>
      <c r="K236">
        <v>1</v>
      </c>
      <c r="L236">
        <v>325</v>
      </c>
      <c r="M236">
        <v>3</v>
      </c>
      <c r="N236" t="s">
        <v>47</v>
      </c>
      <c r="O236">
        <v>58</v>
      </c>
      <c r="P236">
        <v>3</v>
      </c>
      <c r="Q236">
        <v>1</v>
      </c>
      <c r="R236" t="s">
        <v>51</v>
      </c>
      <c r="S236">
        <v>4</v>
      </c>
      <c r="T236" t="s">
        <v>49</v>
      </c>
      <c r="U236">
        <v>2436</v>
      </c>
      <c r="V236" t="str" cm="1">
        <f t="array" ref="V23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36">
        <v>22149</v>
      </c>
      <c r="X236">
        <v>5</v>
      </c>
      <c r="Y236" t="s">
        <v>43</v>
      </c>
      <c r="Z236" t="s">
        <v>36</v>
      </c>
      <c r="AA236">
        <v>13</v>
      </c>
      <c r="AB236">
        <v>3</v>
      </c>
      <c r="AC236">
        <v>3</v>
      </c>
      <c r="AD236">
        <v>80</v>
      </c>
      <c r="AE236">
        <v>1</v>
      </c>
      <c r="AF236">
        <v>8</v>
      </c>
      <c r="AG236">
        <v>2</v>
      </c>
      <c r="AH236">
        <v>1</v>
      </c>
      <c r="AI236">
        <v>5</v>
      </c>
      <c r="AJ236">
        <v>4</v>
      </c>
      <c r="AK236">
        <v>0</v>
      </c>
      <c r="AL236" t="str" cm="1">
        <f t="array" ref="AL23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36">
        <v>4</v>
      </c>
    </row>
    <row r="237" spans="1:39" x14ac:dyDescent="0.25">
      <c r="A237">
        <v>43</v>
      </c>
      <c r="B237" t="s">
        <v>44</v>
      </c>
      <c r="C237" t="s">
        <v>37</v>
      </c>
      <c r="D237">
        <v>1034</v>
      </c>
      <c r="E237" t="s">
        <v>38</v>
      </c>
      <c r="G237">
        <v>16</v>
      </c>
      <c r="H237">
        <v>3</v>
      </c>
      <c r="I237" t="s">
        <v>60</v>
      </c>
      <c r="J237" t="str">
        <f>WA_Fn_UseC__HR_Employee_Attrition[[#This Row],[EducationField]]&amp;"-"&amp;WA_Fn_UseC__HR_Employee_Attrition[[#This Row],[Department]]</f>
        <v>Marketing-Sales</v>
      </c>
      <c r="K237">
        <v>1</v>
      </c>
      <c r="L237">
        <v>327</v>
      </c>
      <c r="M237">
        <v>4</v>
      </c>
      <c r="N237" t="s">
        <v>40</v>
      </c>
      <c r="O237">
        <v>80</v>
      </c>
      <c r="P237">
        <v>3</v>
      </c>
      <c r="Q237">
        <v>4</v>
      </c>
      <c r="R237" t="s">
        <v>57</v>
      </c>
      <c r="S237">
        <v>4</v>
      </c>
      <c r="T237" t="s">
        <v>49</v>
      </c>
      <c r="U237">
        <v>16064</v>
      </c>
      <c r="V237" t="str" cm="1">
        <f t="array" ref="V23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37">
        <v>7744</v>
      </c>
      <c r="X237">
        <v>5</v>
      </c>
      <c r="Y237" t="s">
        <v>43</v>
      </c>
      <c r="Z237" t="s">
        <v>36</v>
      </c>
      <c r="AA237">
        <v>22</v>
      </c>
      <c r="AB237">
        <v>4</v>
      </c>
      <c r="AC237">
        <v>3</v>
      </c>
      <c r="AD237">
        <v>80</v>
      </c>
      <c r="AE237">
        <v>1</v>
      </c>
      <c r="AF237">
        <v>22</v>
      </c>
      <c r="AG237">
        <v>3</v>
      </c>
      <c r="AH237">
        <v>3</v>
      </c>
      <c r="AI237">
        <v>17</v>
      </c>
      <c r="AJ237">
        <v>13</v>
      </c>
      <c r="AK237">
        <v>1</v>
      </c>
      <c r="AL237" t="str" cm="1">
        <f t="array" ref="AL23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37">
        <v>9</v>
      </c>
    </row>
    <row r="238" spans="1:39" x14ac:dyDescent="0.25">
      <c r="A238">
        <v>33</v>
      </c>
      <c r="B238" t="s">
        <v>36</v>
      </c>
      <c r="C238" t="s">
        <v>37</v>
      </c>
      <c r="D238">
        <v>465</v>
      </c>
      <c r="E238" t="s">
        <v>46</v>
      </c>
      <c r="G238">
        <v>2</v>
      </c>
      <c r="H238">
        <v>2</v>
      </c>
      <c r="I238" t="s">
        <v>39</v>
      </c>
      <c r="J238" t="str">
        <f>WA_Fn_UseC__HR_Employee_Attrition[[#This Row],[EducationField]]&amp;"-"&amp;WA_Fn_UseC__HR_Employee_Attrition[[#This Row],[Department]]</f>
        <v>Life Sciences-Research &amp; Development</v>
      </c>
      <c r="K238">
        <v>1</v>
      </c>
      <c r="L238">
        <v>328</v>
      </c>
      <c r="M238">
        <v>1</v>
      </c>
      <c r="N238" t="s">
        <v>40</v>
      </c>
      <c r="O238">
        <v>39</v>
      </c>
      <c r="P238">
        <v>3</v>
      </c>
      <c r="Q238">
        <v>1</v>
      </c>
      <c r="R238" t="s">
        <v>51</v>
      </c>
      <c r="S238">
        <v>1</v>
      </c>
      <c r="T238" t="s">
        <v>49</v>
      </c>
      <c r="U238">
        <v>2707</v>
      </c>
      <c r="V238" t="str" cm="1">
        <f t="array" ref="V23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38">
        <v>21509</v>
      </c>
      <c r="X238">
        <v>7</v>
      </c>
      <c r="Y238" t="s">
        <v>43</v>
      </c>
      <c r="Z238" t="s">
        <v>44</v>
      </c>
      <c r="AA238">
        <v>20</v>
      </c>
      <c r="AB238">
        <v>4</v>
      </c>
      <c r="AC238">
        <v>1</v>
      </c>
      <c r="AD238">
        <v>80</v>
      </c>
      <c r="AE238">
        <v>0</v>
      </c>
      <c r="AF238">
        <v>13</v>
      </c>
      <c r="AG238">
        <v>3</v>
      </c>
      <c r="AH238">
        <v>4</v>
      </c>
      <c r="AI238">
        <v>9</v>
      </c>
      <c r="AJ238">
        <v>7</v>
      </c>
      <c r="AK238">
        <v>1</v>
      </c>
      <c r="AL238" t="str" cm="1">
        <f t="array" ref="AL23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38">
        <v>7</v>
      </c>
    </row>
    <row r="239" spans="1:39" x14ac:dyDescent="0.25">
      <c r="A239">
        <v>52</v>
      </c>
      <c r="B239" t="s">
        <v>44</v>
      </c>
      <c r="C239" t="s">
        <v>56</v>
      </c>
      <c r="D239">
        <v>771</v>
      </c>
      <c r="E239" t="s">
        <v>38</v>
      </c>
      <c r="G239">
        <v>2</v>
      </c>
      <c r="H239">
        <v>4</v>
      </c>
      <c r="I239" t="s">
        <v>39</v>
      </c>
      <c r="J239" t="str">
        <f>WA_Fn_UseC__HR_Employee_Attrition[[#This Row],[EducationField]]&amp;"-"&amp;WA_Fn_UseC__HR_Employee_Attrition[[#This Row],[Department]]</f>
        <v>Life Sciences-Sales</v>
      </c>
      <c r="K239">
        <v>1</v>
      </c>
      <c r="L239">
        <v>329</v>
      </c>
      <c r="M239">
        <v>1</v>
      </c>
      <c r="N239" t="s">
        <v>47</v>
      </c>
      <c r="O239">
        <v>79</v>
      </c>
      <c r="P239">
        <v>2</v>
      </c>
      <c r="Q239">
        <v>5</v>
      </c>
      <c r="R239" t="s">
        <v>57</v>
      </c>
      <c r="S239">
        <v>3</v>
      </c>
      <c r="T239" t="s">
        <v>42</v>
      </c>
      <c r="U239">
        <v>19068</v>
      </c>
      <c r="V239" t="str" cm="1">
        <f t="array" ref="V23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39">
        <v>21030</v>
      </c>
      <c r="X239">
        <v>1</v>
      </c>
      <c r="Y239" t="s">
        <v>43</v>
      </c>
      <c r="Z239" t="s">
        <v>36</v>
      </c>
      <c r="AA239">
        <v>18</v>
      </c>
      <c r="AB239">
        <v>3</v>
      </c>
      <c r="AC239">
        <v>4</v>
      </c>
      <c r="AD239">
        <v>80</v>
      </c>
      <c r="AE239">
        <v>0</v>
      </c>
      <c r="AF239">
        <v>33</v>
      </c>
      <c r="AG239">
        <v>2</v>
      </c>
      <c r="AH239">
        <v>4</v>
      </c>
      <c r="AI239">
        <v>33</v>
      </c>
      <c r="AJ239">
        <v>7</v>
      </c>
      <c r="AK239">
        <v>15</v>
      </c>
      <c r="AL239" t="str" cm="1">
        <f t="array" ref="AL23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39">
        <v>12</v>
      </c>
    </row>
    <row r="240" spans="1:39" x14ac:dyDescent="0.25">
      <c r="A240">
        <v>32</v>
      </c>
      <c r="B240" t="s">
        <v>44</v>
      </c>
      <c r="C240" t="s">
        <v>37</v>
      </c>
      <c r="D240">
        <v>1401</v>
      </c>
      <c r="E240" t="s">
        <v>38</v>
      </c>
      <c r="G240">
        <v>4</v>
      </c>
      <c r="H240">
        <v>2</v>
      </c>
      <c r="I240" t="s">
        <v>39</v>
      </c>
      <c r="J240" t="str">
        <f>WA_Fn_UseC__HR_Employee_Attrition[[#This Row],[EducationField]]&amp;"-"&amp;WA_Fn_UseC__HR_Employee_Attrition[[#This Row],[Department]]</f>
        <v>Life Sciences-Sales</v>
      </c>
      <c r="K240">
        <v>1</v>
      </c>
      <c r="L240">
        <v>330</v>
      </c>
      <c r="M240">
        <v>3</v>
      </c>
      <c r="N240" t="s">
        <v>40</v>
      </c>
      <c r="O240">
        <v>56</v>
      </c>
      <c r="P240">
        <v>3</v>
      </c>
      <c r="Q240">
        <v>1</v>
      </c>
      <c r="R240" t="s">
        <v>58</v>
      </c>
      <c r="S240">
        <v>2</v>
      </c>
      <c r="T240" t="s">
        <v>49</v>
      </c>
      <c r="U240">
        <v>3931</v>
      </c>
      <c r="V240" t="str" cm="1">
        <f t="array" ref="V24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40">
        <v>20990</v>
      </c>
      <c r="X240">
        <v>2</v>
      </c>
      <c r="Y240" t="s">
        <v>43</v>
      </c>
      <c r="Z240" t="s">
        <v>44</v>
      </c>
      <c r="AA240">
        <v>11</v>
      </c>
      <c r="AB240">
        <v>3</v>
      </c>
      <c r="AC240">
        <v>1</v>
      </c>
      <c r="AD240">
        <v>80</v>
      </c>
      <c r="AE240">
        <v>1</v>
      </c>
      <c r="AF240">
        <v>6</v>
      </c>
      <c r="AG240">
        <v>5</v>
      </c>
      <c r="AH240">
        <v>3</v>
      </c>
      <c r="AI240">
        <v>4</v>
      </c>
      <c r="AJ240">
        <v>3</v>
      </c>
      <c r="AK240">
        <v>1</v>
      </c>
      <c r="AL240" t="str" cm="1">
        <f t="array" ref="AL24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40">
        <v>2</v>
      </c>
    </row>
    <row r="241" spans="1:39" x14ac:dyDescent="0.25">
      <c r="A241">
        <v>32</v>
      </c>
      <c r="B241" t="s">
        <v>36</v>
      </c>
      <c r="C241" t="s">
        <v>37</v>
      </c>
      <c r="D241">
        <v>515</v>
      </c>
      <c r="E241" t="s">
        <v>46</v>
      </c>
      <c r="G241">
        <v>1</v>
      </c>
      <c r="H241">
        <v>3</v>
      </c>
      <c r="I241" t="s">
        <v>39</v>
      </c>
      <c r="J241" t="str">
        <f>WA_Fn_UseC__HR_Employee_Attrition[[#This Row],[EducationField]]&amp;"-"&amp;WA_Fn_UseC__HR_Employee_Attrition[[#This Row],[Department]]</f>
        <v>Life Sciences-Research &amp; Development</v>
      </c>
      <c r="K241">
        <v>1</v>
      </c>
      <c r="L241">
        <v>331</v>
      </c>
      <c r="M241">
        <v>4</v>
      </c>
      <c r="N241" t="s">
        <v>47</v>
      </c>
      <c r="O241">
        <v>62</v>
      </c>
      <c r="P241">
        <v>2</v>
      </c>
      <c r="Q241">
        <v>1</v>
      </c>
      <c r="R241" t="s">
        <v>51</v>
      </c>
      <c r="S241">
        <v>3</v>
      </c>
      <c r="T241" t="s">
        <v>42</v>
      </c>
      <c r="U241">
        <v>3730</v>
      </c>
      <c r="V241" t="str" cm="1">
        <f t="array" ref="V24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41">
        <v>9571</v>
      </c>
      <c r="X241">
        <v>0</v>
      </c>
      <c r="Y241" t="s">
        <v>43</v>
      </c>
      <c r="Z241" t="s">
        <v>36</v>
      </c>
      <c r="AA241">
        <v>14</v>
      </c>
      <c r="AB241">
        <v>3</v>
      </c>
      <c r="AC241">
        <v>4</v>
      </c>
      <c r="AD241">
        <v>80</v>
      </c>
      <c r="AE241">
        <v>0</v>
      </c>
      <c r="AF241">
        <v>4</v>
      </c>
      <c r="AG241">
        <v>2</v>
      </c>
      <c r="AH241">
        <v>1</v>
      </c>
      <c r="AI241">
        <v>3</v>
      </c>
      <c r="AJ241">
        <v>2</v>
      </c>
      <c r="AK241">
        <v>1</v>
      </c>
      <c r="AL241" t="str" cm="1">
        <f t="array" ref="AL24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41">
        <v>2</v>
      </c>
    </row>
    <row r="242" spans="1:39" x14ac:dyDescent="0.25">
      <c r="A242">
        <v>39</v>
      </c>
      <c r="B242" t="s">
        <v>44</v>
      </c>
      <c r="C242" t="s">
        <v>37</v>
      </c>
      <c r="D242">
        <v>1431</v>
      </c>
      <c r="E242" t="s">
        <v>46</v>
      </c>
      <c r="G242">
        <v>1</v>
      </c>
      <c r="H242">
        <v>4</v>
      </c>
      <c r="I242" t="s">
        <v>52</v>
      </c>
      <c r="J242" t="str">
        <f>WA_Fn_UseC__HR_Employee_Attrition[[#This Row],[EducationField]]&amp;"-"&amp;WA_Fn_UseC__HR_Employee_Attrition[[#This Row],[Department]]</f>
        <v>Medical-Research &amp; Development</v>
      </c>
      <c r="K242">
        <v>1</v>
      </c>
      <c r="L242">
        <v>332</v>
      </c>
      <c r="M242">
        <v>3</v>
      </c>
      <c r="N242" t="s">
        <v>40</v>
      </c>
      <c r="O242">
        <v>96</v>
      </c>
      <c r="P242">
        <v>3</v>
      </c>
      <c r="Q242">
        <v>1</v>
      </c>
      <c r="R242" t="s">
        <v>51</v>
      </c>
      <c r="S242">
        <v>3</v>
      </c>
      <c r="T242" t="s">
        <v>53</v>
      </c>
      <c r="U242">
        <v>2232</v>
      </c>
      <c r="V242" t="str" cm="1">
        <f t="array" ref="V24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42">
        <v>15417</v>
      </c>
      <c r="X242">
        <v>7</v>
      </c>
      <c r="Y242" t="s">
        <v>43</v>
      </c>
      <c r="Z242" t="s">
        <v>44</v>
      </c>
      <c r="AA242">
        <v>14</v>
      </c>
      <c r="AB242">
        <v>3</v>
      </c>
      <c r="AC242">
        <v>3</v>
      </c>
      <c r="AD242">
        <v>80</v>
      </c>
      <c r="AE242">
        <v>3</v>
      </c>
      <c r="AF242">
        <v>7</v>
      </c>
      <c r="AG242">
        <v>1</v>
      </c>
      <c r="AH242">
        <v>3</v>
      </c>
      <c r="AI242">
        <v>3</v>
      </c>
      <c r="AJ242">
        <v>2</v>
      </c>
      <c r="AK242">
        <v>1</v>
      </c>
      <c r="AL242" t="str" cm="1">
        <f t="array" ref="AL24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42">
        <v>2</v>
      </c>
    </row>
    <row r="243" spans="1:39" x14ac:dyDescent="0.25">
      <c r="A243">
        <v>32</v>
      </c>
      <c r="B243" t="s">
        <v>44</v>
      </c>
      <c r="C243" t="s">
        <v>56</v>
      </c>
      <c r="D243">
        <v>976</v>
      </c>
      <c r="E243" t="s">
        <v>38</v>
      </c>
      <c r="G243">
        <v>26</v>
      </c>
      <c r="H243">
        <v>4</v>
      </c>
      <c r="I243" t="s">
        <v>60</v>
      </c>
      <c r="J243" t="str">
        <f>WA_Fn_UseC__HR_Employee_Attrition[[#This Row],[EducationField]]&amp;"-"&amp;WA_Fn_UseC__HR_Employee_Attrition[[#This Row],[Department]]</f>
        <v>Marketing-Sales</v>
      </c>
      <c r="K243">
        <v>1</v>
      </c>
      <c r="L243">
        <v>333</v>
      </c>
      <c r="M243">
        <v>3</v>
      </c>
      <c r="N243" t="s">
        <v>47</v>
      </c>
      <c r="O243">
        <v>100</v>
      </c>
      <c r="P243">
        <v>3</v>
      </c>
      <c r="Q243">
        <v>2</v>
      </c>
      <c r="R243" t="s">
        <v>41</v>
      </c>
      <c r="S243">
        <v>4</v>
      </c>
      <c r="T243" t="s">
        <v>49</v>
      </c>
      <c r="U243">
        <v>4465</v>
      </c>
      <c r="V243" t="str" cm="1">
        <f t="array" ref="V24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43">
        <v>12069</v>
      </c>
      <c r="X243">
        <v>0</v>
      </c>
      <c r="Y243" t="s">
        <v>43</v>
      </c>
      <c r="Z243" t="s">
        <v>44</v>
      </c>
      <c r="AA243">
        <v>18</v>
      </c>
      <c r="AB243">
        <v>3</v>
      </c>
      <c r="AC243">
        <v>1</v>
      </c>
      <c r="AD243">
        <v>80</v>
      </c>
      <c r="AE243">
        <v>0</v>
      </c>
      <c r="AF243">
        <v>4</v>
      </c>
      <c r="AG243">
        <v>2</v>
      </c>
      <c r="AH243">
        <v>3</v>
      </c>
      <c r="AI243">
        <v>3</v>
      </c>
      <c r="AJ243">
        <v>2</v>
      </c>
      <c r="AK243">
        <v>2</v>
      </c>
      <c r="AL243" t="str" cm="1">
        <f t="array" ref="AL24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43">
        <v>2</v>
      </c>
    </row>
    <row r="244" spans="1:39" x14ac:dyDescent="0.25">
      <c r="A244">
        <v>41</v>
      </c>
      <c r="B244" t="s">
        <v>44</v>
      </c>
      <c r="C244" t="s">
        <v>37</v>
      </c>
      <c r="D244">
        <v>1411</v>
      </c>
      <c r="E244" t="s">
        <v>46</v>
      </c>
      <c r="G244">
        <v>19</v>
      </c>
      <c r="H244">
        <v>2</v>
      </c>
      <c r="I244" t="s">
        <v>39</v>
      </c>
      <c r="J244" t="str">
        <f>WA_Fn_UseC__HR_Employee_Attrition[[#This Row],[EducationField]]&amp;"-"&amp;WA_Fn_UseC__HR_Employee_Attrition[[#This Row],[Department]]</f>
        <v>Life Sciences-Research &amp; Development</v>
      </c>
      <c r="K244">
        <v>1</v>
      </c>
      <c r="L244">
        <v>334</v>
      </c>
      <c r="M244">
        <v>3</v>
      </c>
      <c r="N244" t="s">
        <v>47</v>
      </c>
      <c r="O244">
        <v>36</v>
      </c>
      <c r="P244">
        <v>3</v>
      </c>
      <c r="Q244">
        <v>2</v>
      </c>
      <c r="R244" t="s">
        <v>48</v>
      </c>
      <c r="S244">
        <v>1</v>
      </c>
      <c r="T244" t="s">
        <v>53</v>
      </c>
      <c r="U244">
        <v>3072</v>
      </c>
      <c r="V244" t="str" cm="1">
        <f t="array" ref="V24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44">
        <v>19877</v>
      </c>
      <c r="X244">
        <v>2</v>
      </c>
      <c r="Y244" t="s">
        <v>43</v>
      </c>
      <c r="Z244" t="s">
        <v>44</v>
      </c>
      <c r="AA244">
        <v>16</v>
      </c>
      <c r="AB244">
        <v>3</v>
      </c>
      <c r="AC244">
        <v>1</v>
      </c>
      <c r="AD244">
        <v>80</v>
      </c>
      <c r="AE244">
        <v>2</v>
      </c>
      <c r="AF244">
        <v>17</v>
      </c>
      <c r="AG244">
        <v>2</v>
      </c>
      <c r="AH244">
        <v>2</v>
      </c>
      <c r="AI244">
        <v>1</v>
      </c>
      <c r="AJ244">
        <v>0</v>
      </c>
      <c r="AK244">
        <v>0</v>
      </c>
      <c r="AL244" t="str" cm="1">
        <f t="array" ref="AL24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44">
        <v>0</v>
      </c>
    </row>
    <row r="245" spans="1:39" x14ac:dyDescent="0.25">
      <c r="A245">
        <v>40</v>
      </c>
      <c r="B245" t="s">
        <v>44</v>
      </c>
      <c r="C245" t="s">
        <v>37</v>
      </c>
      <c r="D245">
        <v>1300</v>
      </c>
      <c r="E245" t="s">
        <v>46</v>
      </c>
      <c r="G245">
        <v>24</v>
      </c>
      <c r="H245">
        <v>2</v>
      </c>
      <c r="I245" t="s">
        <v>61</v>
      </c>
      <c r="J245" t="str">
        <f>WA_Fn_UseC__HR_Employee_Attrition[[#This Row],[EducationField]]&amp;"-"&amp;WA_Fn_UseC__HR_Employee_Attrition[[#This Row],[Department]]</f>
        <v>Technical Degree-Research &amp; Development</v>
      </c>
      <c r="K245">
        <v>1</v>
      </c>
      <c r="L245">
        <v>335</v>
      </c>
      <c r="M245">
        <v>1</v>
      </c>
      <c r="N245" t="s">
        <v>47</v>
      </c>
      <c r="O245">
        <v>62</v>
      </c>
      <c r="P245">
        <v>3</v>
      </c>
      <c r="Q245">
        <v>2</v>
      </c>
      <c r="R245" t="s">
        <v>48</v>
      </c>
      <c r="S245">
        <v>4</v>
      </c>
      <c r="T245" t="s">
        <v>53</v>
      </c>
      <c r="U245">
        <v>3319</v>
      </c>
      <c r="V245" t="str" cm="1">
        <f t="array" ref="V24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45">
        <v>24447</v>
      </c>
      <c r="X245">
        <v>1</v>
      </c>
      <c r="Y245" t="s">
        <v>43</v>
      </c>
      <c r="Z245" t="s">
        <v>44</v>
      </c>
      <c r="AA245">
        <v>17</v>
      </c>
      <c r="AB245">
        <v>3</v>
      </c>
      <c r="AC245">
        <v>1</v>
      </c>
      <c r="AD245">
        <v>80</v>
      </c>
      <c r="AE245">
        <v>2</v>
      </c>
      <c r="AF245">
        <v>9</v>
      </c>
      <c r="AG245">
        <v>3</v>
      </c>
      <c r="AH245">
        <v>3</v>
      </c>
      <c r="AI245">
        <v>9</v>
      </c>
      <c r="AJ245">
        <v>8</v>
      </c>
      <c r="AK245">
        <v>4</v>
      </c>
      <c r="AL245" t="str" cm="1">
        <f t="array" ref="AL24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45">
        <v>7</v>
      </c>
    </row>
    <row r="246" spans="1:39" x14ac:dyDescent="0.25">
      <c r="A246">
        <v>45</v>
      </c>
      <c r="B246" t="s">
        <v>44</v>
      </c>
      <c r="C246" t="s">
        <v>37</v>
      </c>
      <c r="D246">
        <v>252</v>
      </c>
      <c r="E246" t="s">
        <v>46</v>
      </c>
      <c r="G246">
        <v>1</v>
      </c>
      <c r="H246">
        <v>3</v>
      </c>
      <c r="I246" t="s">
        <v>50</v>
      </c>
      <c r="J246" t="str">
        <f>WA_Fn_UseC__HR_Employee_Attrition[[#This Row],[EducationField]]&amp;"-"&amp;WA_Fn_UseC__HR_Employee_Attrition[[#This Row],[Department]]</f>
        <v>Other-Research &amp; Development</v>
      </c>
      <c r="K246">
        <v>1</v>
      </c>
      <c r="L246">
        <v>336</v>
      </c>
      <c r="M246">
        <v>3</v>
      </c>
      <c r="N246" t="s">
        <v>47</v>
      </c>
      <c r="O246">
        <v>70</v>
      </c>
      <c r="P246">
        <v>4</v>
      </c>
      <c r="Q246">
        <v>5</v>
      </c>
      <c r="R246" t="s">
        <v>57</v>
      </c>
      <c r="S246">
        <v>4</v>
      </c>
      <c r="T246" t="s">
        <v>49</v>
      </c>
      <c r="U246">
        <v>19202</v>
      </c>
      <c r="V246" t="str" cm="1">
        <f t="array" ref="V24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46">
        <v>15970</v>
      </c>
      <c r="X246">
        <v>0</v>
      </c>
      <c r="Y246" t="s">
        <v>43</v>
      </c>
      <c r="Z246" t="s">
        <v>44</v>
      </c>
      <c r="AA246">
        <v>11</v>
      </c>
      <c r="AB246">
        <v>3</v>
      </c>
      <c r="AC246">
        <v>3</v>
      </c>
      <c r="AD246">
        <v>80</v>
      </c>
      <c r="AE246">
        <v>1</v>
      </c>
      <c r="AF246">
        <v>25</v>
      </c>
      <c r="AG246">
        <v>2</v>
      </c>
      <c r="AH246">
        <v>3</v>
      </c>
      <c r="AI246">
        <v>24</v>
      </c>
      <c r="AJ246">
        <v>0</v>
      </c>
      <c r="AK246">
        <v>1</v>
      </c>
      <c r="AL246" t="str" cm="1">
        <f t="array" ref="AL24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46">
        <v>7</v>
      </c>
    </row>
    <row r="247" spans="1:39" x14ac:dyDescent="0.25">
      <c r="A247">
        <v>31</v>
      </c>
      <c r="B247" t="s">
        <v>44</v>
      </c>
      <c r="C247" t="s">
        <v>45</v>
      </c>
      <c r="D247">
        <v>1327</v>
      </c>
      <c r="E247" t="s">
        <v>46</v>
      </c>
      <c r="G247">
        <v>3</v>
      </c>
      <c r="H247">
        <v>4</v>
      </c>
      <c r="I247" t="s">
        <v>52</v>
      </c>
      <c r="J247" t="str">
        <f>WA_Fn_UseC__HR_Employee_Attrition[[#This Row],[EducationField]]&amp;"-"&amp;WA_Fn_UseC__HR_Employee_Attrition[[#This Row],[Department]]</f>
        <v>Medical-Research &amp; Development</v>
      </c>
      <c r="K247">
        <v>1</v>
      </c>
      <c r="L247">
        <v>337</v>
      </c>
      <c r="M247">
        <v>2</v>
      </c>
      <c r="N247" t="s">
        <v>47</v>
      </c>
      <c r="O247">
        <v>73</v>
      </c>
      <c r="P247">
        <v>3</v>
      </c>
      <c r="Q247">
        <v>3</v>
      </c>
      <c r="R247" t="s">
        <v>59</v>
      </c>
      <c r="S247">
        <v>3</v>
      </c>
      <c r="T247" t="s">
        <v>53</v>
      </c>
      <c r="U247">
        <v>13675</v>
      </c>
      <c r="V247" t="str" cm="1">
        <f t="array" ref="V24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47">
        <v>13523</v>
      </c>
      <c r="X247">
        <v>9</v>
      </c>
      <c r="Y247" t="s">
        <v>43</v>
      </c>
      <c r="Z247" t="s">
        <v>44</v>
      </c>
      <c r="AA247">
        <v>12</v>
      </c>
      <c r="AB247">
        <v>3</v>
      </c>
      <c r="AC247">
        <v>1</v>
      </c>
      <c r="AD247">
        <v>80</v>
      </c>
      <c r="AE247">
        <v>1</v>
      </c>
      <c r="AF247">
        <v>9</v>
      </c>
      <c r="AG247">
        <v>3</v>
      </c>
      <c r="AH247">
        <v>3</v>
      </c>
      <c r="AI247">
        <v>2</v>
      </c>
      <c r="AJ247">
        <v>2</v>
      </c>
      <c r="AK247">
        <v>2</v>
      </c>
      <c r="AL247" t="str" cm="1">
        <f t="array" ref="AL24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47">
        <v>2</v>
      </c>
    </row>
    <row r="248" spans="1:39" x14ac:dyDescent="0.25">
      <c r="A248">
        <v>33</v>
      </c>
      <c r="B248" t="s">
        <v>44</v>
      </c>
      <c r="C248" t="s">
        <v>37</v>
      </c>
      <c r="D248">
        <v>832</v>
      </c>
      <c r="E248" t="s">
        <v>46</v>
      </c>
      <c r="G248">
        <v>5</v>
      </c>
      <c r="H248">
        <v>4</v>
      </c>
      <c r="I248" t="s">
        <v>39</v>
      </c>
      <c r="J248" t="str">
        <f>WA_Fn_UseC__HR_Employee_Attrition[[#This Row],[EducationField]]&amp;"-"&amp;WA_Fn_UseC__HR_Employee_Attrition[[#This Row],[Department]]</f>
        <v>Life Sciences-Research &amp; Development</v>
      </c>
      <c r="K248">
        <v>1</v>
      </c>
      <c r="L248">
        <v>338</v>
      </c>
      <c r="M248">
        <v>3</v>
      </c>
      <c r="N248" t="s">
        <v>40</v>
      </c>
      <c r="O248">
        <v>63</v>
      </c>
      <c r="P248">
        <v>2</v>
      </c>
      <c r="Q248">
        <v>1</v>
      </c>
      <c r="R248" t="s">
        <v>48</v>
      </c>
      <c r="S248">
        <v>4</v>
      </c>
      <c r="T248" t="s">
        <v>49</v>
      </c>
      <c r="U248">
        <v>2911</v>
      </c>
      <c r="V248" t="str" cm="1">
        <f t="array" ref="V24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48">
        <v>14776</v>
      </c>
      <c r="X248">
        <v>1</v>
      </c>
      <c r="Y248" t="s">
        <v>43</v>
      </c>
      <c r="Z248" t="s">
        <v>44</v>
      </c>
      <c r="AA248">
        <v>13</v>
      </c>
      <c r="AB248">
        <v>3</v>
      </c>
      <c r="AC248">
        <v>3</v>
      </c>
      <c r="AD248">
        <v>80</v>
      </c>
      <c r="AE248">
        <v>1</v>
      </c>
      <c r="AF248">
        <v>2</v>
      </c>
      <c r="AG248">
        <v>2</v>
      </c>
      <c r="AH248">
        <v>2</v>
      </c>
      <c r="AI248">
        <v>2</v>
      </c>
      <c r="AJ248">
        <v>2</v>
      </c>
      <c r="AK248">
        <v>0</v>
      </c>
      <c r="AL248" t="str" cm="1">
        <f t="array" ref="AL24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48">
        <v>2</v>
      </c>
    </row>
    <row r="249" spans="1:39" x14ac:dyDescent="0.25">
      <c r="A249">
        <v>34</v>
      </c>
      <c r="B249" t="s">
        <v>44</v>
      </c>
      <c r="C249" t="s">
        <v>37</v>
      </c>
      <c r="D249">
        <v>470</v>
      </c>
      <c r="E249" t="s">
        <v>46</v>
      </c>
      <c r="G249">
        <v>2</v>
      </c>
      <c r="H249">
        <v>4</v>
      </c>
      <c r="I249" t="s">
        <v>39</v>
      </c>
      <c r="J249" t="str">
        <f>WA_Fn_UseC__HR_Employee_Attrition[[#This Row],[EducationField]]&amp;"-"&amp;WA_Fn_UseC__HR_Employee_Attrition[[#This Row],[Department]]</f>
        <v>Life Sciences-Research &amp; Development</v>
      </c>
      <c r="K249">
        <v>1</v>
      </c>
      <c r="L249">
        <v>339</v>
      </c>
      <c r="M249">
        <v>4</v>
      </c>
      <c r="N249" t="s">
        <v>47</v>
      </c>
      <c r="O249">
        <v>84</v>
      </c>
      <c r="P249">
        <v>2</v>
      </c>
      <c r="Q249">
        <v>2</v>
      </c>
      <c r="R249" t="s">
        <v>54</v>
      </c>
      <c r="S249">
        <v>1</v>
      </c>
      <c r="T249" t="s">
        <v>49</v>
      </c>
      <c r="U249">
        <v>5957</v>
      </c>
      <c r="V249" t="str" cm="1">
        <f t="array" ref="V24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49">
        <v>23687</v>
      </c>
      <c r="X249">
        <v>6</v>
      </c>
      <c r="Y249" t="s">
        <v>43</v>
      </c>
      <c r="Z249" t="s">
        <v>44</v>
      </c>
      <c r="AA249">
        <v>13</v>
      </c>
      <c r="AB249">
        <v>3</v>
      </c>
      <c r="AC249">
        <v>2</v>
      </c>
      <c r="AD249">
        <v>80</v>
      </c>
      <c r="AE249">
        <v>1</v>
      </c>
      <c r="AF249">
        <v>13</v>
      </c>
      <c r="AG249">
        <v>3</v>
      </c>
      <c r="AH249">
        <v>3</v>
      </c>
      <c r="AI249">
        <v>11</v>
      </c>
      <c r="AJ249">
        <v>9</v>
      </c>
      <c r="AK249">
        <v>5</v>
      </c>
      <c r="AL249" t="str" cm="1">
        <f t="array" ref="AL24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49">
        <v>9</v>
      </c>
    </row>
    <row r="250" spans="1:39" x14ac:dyDescent="0.25">
      <c r="A250">
        <v>37</v>
      </c>
      <c r="B250" t="s">
        <v>44</v>
      </c>
      <c r="C250" t="s">
        <v>37</v>
      </c>
      <c r="D250">
        <v>1017</v>
      </c>
      <c r="E250" t="s">
        <v>46</v>
      </c>
      <c r="G250">
        <v>1</v>
      </c>
      <c r="H250">
        <v>2</v>
      </c>
      <c r="I250" t="s">
        <v>52</v>
      </c>
      <c r="J250" t="str">
        <f>WA_Fn_UseC__HR_Employee_Attrition[[#This Row],[EducationField]]&amp;"-"&amp;WA_Fn_UseC__HR_Employee_Attrition[[#This Row],[Department]]</f>
        <v>Medical-Research &amp; Development</v>
      </c>
      <c r="K250">
        <v>1</v>
      </c>
      <c r="L250">
        <v>340</v>
      </c>
      <c r="M250">
        <v>3</v>
      </c>
      <c r="N250" t="s">
        <v>40</v>
      </c>
      <c r="O250">
        <v>83</v>
      </c>
      <c r="P250">
        <v>2</v>
      </c>
      <c r="Q250">
        <v>1</v>
      </c>
      <c r="R250" t="s">
        <v>48</v>
      </c>
      <c r="S250">
        <v>1</v>
      </c>
      <c r="T250" t="s">
        <v>49</v>
      </c>
      <c r="U250">
        <v>3920</v>
      </c>
      <c r="V250" t="str" cm="1">
        <f t="array" ref="V25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50">
        <v>18697</v>
      </c>
      <c r="X250">
        <v>2</v>
      </c>
      <c r="Y250" t="s">
        <v>43</v>
      </c>
      <c r="Z250" t="s">
        <v>44</v>
      </c>
      <c r="AA250">
        <v>14</v>
      </c>
      <c r="AB250">
        <v>3</v>
      </c>
      <c r="AC250">
        <v>1</v>
      </c>
      <c r="AD250">
        <v>80</v>
      </c>
      <c r="AE250">
        <v>1</v>
      </c>
      <c r="AF250">
        <v>17</v>
      </c>
      <c r="AG250">
        <v>2</v>
      </c>
      <c r="AH250">
        <v>2</v>
      </c>
      <c r="AI250">
        <v>3</v>
      </c>
      <c r="AJ250">
        <v>1</v>
      </c>
      <c r="AK250">
        <v>0</v>
      </c>
      <c r="AL250" t="str" cm="1">
        <f t="array" ref="AL25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50">
        <v>2</v>
      </c>
    </row>
    <row r="251" spans="1:39" x14ac:dyDescent="0.25">
      <c r="A251">
        <v>45</v>
      </c>
      <c r="B251" t="s">
        <v>44</v>
      </c>
      <c r="C251" t="s">
        <v>45</v>
      </c>
      <c r="D251">
        <v>1199</v>
      </c>
      <c r="E251" t="s">
        <v>46</v>
      </c>
      <c r="G251">
        <v>7</v>
      </c>
      <c r="H251">
        <v>4</v>
      </c>
      <c r="I251" t="s">
        <v>39</v>
      </c>
      <c r="J251" t="str">
        <f>WA_Fn_UseC__HR_Employee_Attrition[[#This Row],[EducationField]]&amp;"-"&amp;WA_Fn_UseC__HR_Employee_Attrition[[#This Row],[Department]]</f>
        <v>Life Sciences-Research &amp; Development</v>
      </c>
      <c r="K251">
        <v>1</v>
      </c>
      <c r="L251">
        <v>341</v>
      </c>
      <c r="M251">
        <v>1</v>
      </c>
      <c r="N251" t="s">
        <v>47</v>
      </c>
      <c r="O251">
        <v>77</v>
      </c>
      <c r="P251">
        <v>4</v>
      </c>
      <c r="Q251">
        <v>2</v>
      </c>
      <c r="R251" t="s">
        <v>54</v>
      </c>
      <c r="S251">
        <v>3</v>
      </c>
      <c r="T251" t="s">
        <v>49</v>
      </c>
      <c r="U251">
        <v>6434</v>
      </c>
      <c r="V251" t="str" cm="1">
        <f t="array" ref="V25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51">
        <v>5118</v>
      </c>
      <c r="X251">
        <v>4</v>
      </c>
      <c r="Y251" t="s">
        <v>43</v>
      </c>
      <c r="Z251" t="s">
        <v>44</v>
      </c>
      <c r="AA251">
        <v>17</v>
      </c>
      <c r="AB251">
        <v>3</v>
      </c>
      <c r="AC251">
        <v>4</v>
      </c>
      <c r="AD251">
        <v>80</v>
      </c>
      <c r="AE251">
        <v>1</v>
      </c>
      <c r="AF251">
        <v>9</v>
      </c>
      <c r="AG251">
        <v>1</v>
      </c>
      <c r="AH251">
        <v>3</v>
      </c>
      <c r="AI251">
        <v>3</v>
      </c>
      <c r="AJ251">
        <v>2</v>
      </c>
      <c r="AK251">
        <v>0</v>
      </c>
      <c r="AL251" t="str" cm="1">
        <f t="array" ref="AL25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51">
        <v>2</v>
      </c>
    </row>
    <row r="252" spans="1:39" x14ac:dyDescent="0.25">
      <c r="A252">
        <v>37</v>
      </c>
      <c r="B252" t="s">
        <v>36</v>
      </c>
      <c r="C252" t="s">
        <v>45</v>
      </c>
      <c r="D252">
        <v>504</v>
      </c>
      <c r="E252" t="s">
        <v>46</v>
      </c>
      <c r="G252">
        <v>10</v>
      </c>
      <c r="H252">
        <v>3</v>
      </c>
      <c r="I252" t="s">
        <v>52</v>
      </c>
      <c r="J252" t="str">
        <f>WA_Fn_UseC__HR_Employee_Attrition[[#This Row],[EducationField]]&amp;"-"&amp;WA_Fn_UseC__HR_Employee_Attrition[[#This Row],[Department]]</f>
        <v>Medical-Research &amp; Development</v>
      </c>
      <c r="K252">
        <v>1</v>
      </c>
      <c r="L252">
        <v>342</v>
      </c>
      <c r="M252">
        <v>1</v>
      </c>
      <c r="N252" t="s">
        <v>47</v>
      </c>
      <c r="O252">
        <v>61</v>
      </c>
      <c r="P252">
        <v>3</v>
      </c>
      <c r="Q252">
        <v>3</v>
      </c>
      <c r="R252" t="s">
        <v>54</v>
      </c>
      <c r="S252">
        <v>3</v>
      </c>
      <c r="T252" t="s">
        <v>53</v>
      </c>
      <c r="U252">
        <v>10048</v>
      </c>
      <c r="V252" t="str" cm="1">
        <f t="array" ref="V25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52">
        <v>22573</v>
      </c>
      <c r="X252">
        <v>6</v>
      </c>
      <c r="Y252" t="s">
        <v>43</v>
      </c>
      <c r="Z252" t="s">
        <v>44</v>
      </c>
      <c r="AA252">
        <v>11</v>
      </c>
      <c r="AB252">
        <v>3</v>
      </c>
      <c r="AC252">
        <v>2</v>
      </c>
      <c r="AD252">
        <v>80</v>
      </c>
      <c r="AE252">
        <v>2</v>
      </c>
      <c r="AF252">
        <v>17</v>
      </c>
      <c r="AG252">
        <v>5</v>
      </c>
      <c r="AH252">
        <v>3</v>
      </c>
      <c r="AI252">
        <v>1</v>
      </c>
      <c r="AJ252">
        <v>0</v>
      </c>
      <c r="AK252">
        <v>0</v>
      </c>
      <c r="AL252" t="str" cm="1">
        <f t="array" ref="AL25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52">
        <v>0</v>
      </c>
    </row>
    <row r="253" spans="1:39" x14ac:dyDescent="0.25">
      <c r="A253">
        <v>39</v>
      </c>
      <c r="B253" t="s">
        <v>44</v>
      </c>
      <c r="C253" t="s">
        <v>45</v>
      </c>
      <c r="D253">
        <v>505</v>
      </c>
      <c r="E253" t="s">
        <v>46</v>
      </c>
      <c r="G253">
        <v>2</v>
      </c>
      <c r="H253">
        <v>4</v>
      </c>
      <c r="I253" t="s">
        <v>61</v>
      </c>
      <c r="J253" t="str">
        <f>WA_Fn_UseC__HR_Employee_Attrition[[#This Row],[EducationField]]&amp;"-"&amp;WA_Fn_UseC__HR_Employee_Attrition[[#This Row],[Department]]</f>
        <v>Technical Degree-Research &amp; Development</v>
      </c>
      <c r="K253">
        <v>1</v>
      </c>
      <c r="L253">
        <v>343</v>
      </c>
      <c r="M253">
        <v>3</v>
      </c>
      <c r="N253" t="s">
        <v>40</v>
      </c>
      <c r="O253">
        <v>64</v>
      </c>
      <c r="P253">
        <v>3</v>
      </c>
      <c r="Q253">
        <v>3</v>
      </c>
      <c r="R253" t="s">
        <v>55</v>
      </c>
      <c r="S253">
        <v>3</v>
      </c>
      <c r="T253" t="s">
        <v>42</v>
      </c>
      <c r="U253">
        <v>10938</v>
      </c>
      <c r="V253" t="str" cm="1">
        <f t="array" ref="V25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53">
        <v>6420</v>
      </c>
      <c r="X253">
        <v>0</v>
      </c>
      <c r="Y253" t="s">
        <v>43</v>
      </c>
      <c r="Z253" t="s">
        <v>44</v>
      </c>
      <c r="AA253">
        <v>25</v>
      </c>
      <c r="AB253">
        <v>4</v>
      </c>
      <c r="AC253">
        <v>4</v>
      </c>
      <c r="AD253">
        <v>80</v>
      </c>
      <c r="AE253">
        <v>0</v>
      </c>
      <c r="AF253">
        <v>20</v>
      </c>
      <c r="AG253">
        <v>1</v>
      </c>
      <c r="AH253">
        <v>3</v>
      </c>
      <c r="AI253">
        <v>19</v>
      </c>
      <c r="AJ253">
        <v>6</v>
      </c>
      <c r="AK253">
        <v>11</v>
      </c>
      <c r="AL253" t="str" cm="1">
        <f t="array" ref="AL25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53">
        <v>8</v>
      </c>
    </row>
    <row r="254" spans="1:39" x14ac:dyDescent="0.25">
      <c r="A254">
        <v>29</v>
      </c>
      <c r="B254" t="s">
        <v>44</v>
      </c>
      <c r="C254" t="s">
        <v>37</v>
      </c>
      <c r="D254">
        <v>665</v>
      </c>
      <c r="E254" t="s">
        <v>46</v>
      </c>
      <c r="G254">
        <v>15</v>
      </c>
      <c r="H254">
        <v>3</v>
      </c>
      <c r="I254" t="s">
        <v>39</v>
      </c>
      <c r="J254" t="str">
        <f>WA_Fn_UseC__HR_Employee_Attrition[[#This Row],[EducationField]]&amp;"-"&amp;WA_Fn_UseC__HR_Employee_Attrition[[#This Row],[Department]]</f>
        <v>Life Sciences-Research &amp; Development</v>
      </c>
      <c r="K254">
        <v>1</v>
      </c>
      <c r="L254">
        <v>346</v>
      </c>
      <c r="M254">
        <v>3</v>
      </c>
      <c r="N254" t="s">
        <v>47</v>
      </c>
      <c r="O254">
        <v>60</v>
      </c>
      <c r="P254">
        <v>3</v>
      </c>
      <c r="Q254">
        <v>1</v>
      </c>
      <c r="R254" t="s">
        <v>48</v>
      </c>
      <c r="S254">
        <v>4</v>
      </c>
      <c r="T254" t="s">
        <v>42</v>
      </c>
      <c r="U254">
        <v>2340</v>
      </c>
      <c r="V254" t="str" cm="1">
        <f t="array" ref="V25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54">
        <v>22673</v>
      </c>
      <c r="X254">
        <v>1</v>
      </c>
      <c r="Y254" t="s">
        <v>43</v>
      </c>
      <c r="Z254" t="s">
        <v>44</v>
      </c>
      <c r="AA254">
        <v>19</v>
      </c>
      <c r="AB254">
        <v>3</v>
      </c>
      <c r="AC254">
        <v>1</v>
      </c>
      <c r="AD254">
        <v>80</v>
      </c>
      <c r="AE254">
        <v>0</v>
      </c>
      <c r="AF254">
        <v>6</v>
      </c>
      <c r="AG254">
        <v>1</v>
      </c>
      <c r="AH254">
        <v>3</v>
      </c>
      <c r="AI254">
        <v>6</v>
      </c>
      <c r="AJ254">
        <v>5</v>
      </c>
      <c r="AK254">
        <v>1</v>
      </c>
      <c r="AL254" t="str" cm="1">
        <f t="array" ref="AL25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54">
        <v>5</v>
      </c>
    </row>
    <row r="255" spans="1:39" x14ac:dyDescent="0.25">
      <c r="A255">
        <v>42</v>
      </c>
      <c r="B255" t="s">
        <v>44</v>
      </c>
      <c r="C255" t="s">
        <v>37</v>
      </c>
      <c r="D255">
        <v>916</v>
      </c>
      <c r="E255" t="s">
        <v>46</v>
      </c>
      <c r="G255">
        <v>17</v>
      </c>
      <c r="H255">
        <v>2</v>
      </c>
      <c r="I255" t="s">
        <v>39</v>
      </c>
      <c r="J255" t="str">
        <f>WA_Fn_UseC__HR_Employee_Attrition[[#This Row],[EducationField]]&amp;"-"&amp;WA_Fn_UseC__HR_Employee_Attrition[[#This Row],[Department]]</f>
        <v>Life Sciences-Research &amp; Development</v>
      </c>
      <c r="K255">
        <v>1</v>
      </c>
      <c r="L255">
        <v>347</v>
      </c>
      <c r="M255">
        <v>4</v>
      </c>
      <c r="N255" t="s">
        <v>40</v>
      </c>
      <c r="O255">
        <v>82</v>
      </c>
      <c r="P255">
        <v>4</v>
      </c>
      <c r="Q255">
        <v>2</v>
      </c>
      <c r="R255" t="s">
        <v>48</v>
      </c>
      <c r="S255">
        <v>1</v>
      </c>
      <c r="T255" t="s">
        <v>42</v>
      </c>
      <c r="U255">
        <v>6545</v>
      </c>
      <c r="V255" t="str" cm="1">
        <f t="array" ref="V25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55">
        <v>23016</v>
      </c>
      <c r="X255">
        <v>3</v>
      </c>
      <c r="Y255" t="s">
        <v>43</v>
      </c>
      <c r="Z255" t="s">
        <v>36</v>
      </c>
      <c r="AA255">
        <v>13</v>
      </c>
      <c r="AB255">
        <v>3</v>
      </c>
      <c r="AC255">
        <v>3</v>
      </c>
      <c r="AD255">
        <v>80</v>
      </c>
      <c r="AE255">
        <v>0</v>
      </c>
      <c r="AF255">
        <v>10</v>
      </c>
      <c r="AG255">
        <v>1</v>
      </c>
      <c r="AH255">
        <v>3</v>
      </c>
      <c r="AI255">
        <v>3</v>
      </c>
      <c r="AJ255">
        <v>2</v>
      </c>
      <c r="AK255">
        <v>0</v>
      </c>
      <c r="AL255" t="str" cm="1">
        <f t="array" ref="AL25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55">
        <v>2</v>
      </c>
    </row>
    <row r="256" spans="1:39" x14ac:dyDescent="0.25">
      <c r="A256">
        <v>29</v>
      </c>
      <c r="B256" t="s">
        <v>44</v>
      </c>
      <c r="C256" t="s">
        <v>37</v>
      </c>
      <c r="D256">
        <v>1247</v>
      </c>
      <c r="E256" t="s">
        <v>38</v>
      </c>
      <c r="G256">
        <v>20</v>
      </c>
      <c r="H256">
        <v>2</v>
      </c>
      <c r="I256" t="s">
        <v>60</v>
      </c>
      <c r="J256" t="str">
        <f>WA_Fn_UseC__HR_Employee_Attrition[[#This Row],[EducationField]]&amp;"-"&amp;WA_Fn_UseC__HR_Employee_Attrition[[#This Row],[Department]]</f>
        <v>Marketing-Sales</v>
      </c>
      <c r="K256">
        <v>1</v>
      </c>
      <c r="L256">
        <v>349</v>
      </c>
      <c r="M256">
        <v>4</v>
      </c>
      <c r="N256" t="s">
        <v>47</v>
      </c>
      <c r="O256">
        <v>45</v>
      </c>
      <c r="P256">
        <v>3</v>
      </c>
      <c r="Q256">
        <v>2</v>
      </c>
      <c r="R256" t="s">
        <v>41</v>
      </c>
      <c r="S256">
        <v>4</v>
      </c>
      <c r="T256" t="s">
        <v>53</v>
      </c>
      <c r="U256">
        <v>6931</v>
      </c>
      <c r="V256" t="str" cm="1">
        <f t="array" ref="V25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56">
        <v>10732</v>
      </c>
      <c r="X256">
        <v>2</v>
      </c>
      <c r="Y256" t="s">
        <v>43</v>
      </c>
      <c r="Z256" t="s">
        <v>44</v>
      </c>
      <c r="AA256">
        <v>14</v>
      </c>
      <c r="AB256">
        <v>3</v>
      </c>
      <c r="AC256">
        <v>4</v>
      </c>
      <c r="AD256">
        <v>80</v>
      </c>
      <c r="AE256">
        <v>1</v>
      </c>
      <c r="AF256">
        <v>10</v>
      </c>
      <c r="AG256">
        <v>2</v>
      </c>
      <c r="AH256">
        <v>3</v>
      </c>
      <c r="AI256">
        <v>3</v>
      </c>
      <c r="AJ256">
        <v>2</v>
      </c>
      <c r="AK256">
        <v>0</v>
      </c>
      <c r="AL256" t="str" cm="1">
        <f t="array" ref="AL25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56">
        <v>2</v>
      </c>
    </row>
    <row r="257" spans="1:39" x14ac:dyDescent="0.25">
      <c r="A257">
        <v>25</v>
      </c>
      <c r="B257" t="s">
        <v>44</v>
      </c>
      <c r="C257" t="s">
        <v>37</v>
      </c>
      <c r="D257">
        <v>685</v>
      </c>
      <c r="E257" t="s">
        <v>46</v>
      </c>
      <c r="G257">
        <v>1</v>
      </c>
      <c r="H257">
        <v>3</v>
      </c>
      <c r="I257" t="s">
        <v>39</v>
      </c>
      <c r="J257" t="str">
        <f>WA_Fn_UseC__HR_Employee_Attrition[[#This Row],[EducationField]]&amp;"-"&amp;WA_Fn_UseC__HR_Employee_Attrition[[#This Row],[Department]]</f>
        <v>Life Sciences-Research &amp; Development</v>
      </c>
      <c r="K257">
        <v>1</v>
      </c>
      <c r="L257">
        <v>350</v>
      </c>
      <c r="M257">
        <v>1</v>
      </c>
      <c r="N257" t="s">
        <v>40</v>
      </c>
      <c r="O257">
        <v>62</v>
      </c>
      <c r="P257">
        <v>3</v>
      </c>
      <c r="Q257">
        <v>2</v>
      </c>
      <c r="R257" t="s">
        <v>54</v>
      </c>
      <c r="S257">
        <v>3</v>
      </c>
      <c r="T257" t="s">
        <v>49</v>
      </c>
      <c r="U257">
        <v>4898</v>
      </c>
      <c r="V257" t="str" cm="1">
        <f t="array" ref="V25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57">
        <v>7505</v>
      </c>
      <c r="X257">
        <v>0</v>
      </c>
      <c r="Y257" t="s">
        <v>43</v>
      </c>
      <c r="Z257" t="s">
        <v>44</v>
      </c>
      <c r="AA257">
        <v>12</v>
      </c>
      <c r="AB257">
        <v>3</v>
      </c>
      <c r="AC257">
        <v>4</v>
      </c>
      <c r="AD257">
        <v>80</v>
      </c>
      <c r="AE257">
        <v>2</v>
      </c>
      <c r="AF257">
        <v>5</v>
      </c>
      <c r="AG257">
        <v>3</v>
      </c>
      <c r="AH257">
        <v>3</v>
      </c>
      <c r="AI257">
        <v>4</v>
      </c>
      <c r="AJ257">
        <v>2</v>
      </c>
      <c r="AK257">
        <v>1</v>
      </c>
      <c r="AL257" t="str" cm="1">
        <f t="array" ref="AL25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57">
        <v>2</v>
      </c>
    </row>
    <row r="258" spans="1:39" x14ac:dyDescent="0.25">
      <c r="A258">
        <v>42</v>
      </c>
      <c r="B258" t="s">
        <v>44</v>
      </c>
      <c r="C258" t="s">
        <v>37</v>
      </c>
      <c r="D258">
        <v>269</v>
      </c>
      <c r="E258" t="s">
        <v>46</v>
      </c>
      <c r="G258">
        <v>2</v>
      </c>
      <c r="H258">
        <v>3</v>
      </c>
      <c r="I258" t="s">
        <v>52</v>
      </c>
      <c r="J258" t="str">
        <f>WA_Fn_UseC__HR_Employee_Attrition[[#This Row],[EducationField]]&amp;"-"&amp;WA_Fn_UseC__HR_Employee_Attrition[[#This Row],[Department]]</f>
        <v>Medical-Research &amp; Development</v>
      </c>
      <c r="K258">
        <v>1</v>
      </c>
      <c r="L258">
        <v>351</v>
      </c>
      <c r="M258">
        <v>4</v>
      </c>
      <c r="N258" t="s">
        <v>40</v>
      </c>
      <c r="O258">
        <v>56</v>
      </c>
      <c r="P258">
        <v>2</v>
      </c>
      <c r="Q258">
        <v>1</v>
      </c>
      <c r="R258" t="s">
        <v>51</v>
      </c>
      <c r="S258">
        <v>1</v>
      </c>
      <c r="T258" t="s">
        <v>53</v>
      </c>
      <c r="U258">
        <v>2593</v>
      </c>
      <c r="V258" t="str" cm="1">
        <f t="array" ref="V25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58">
        <v>8007</v>
      </c>
      <c r="X258">
        <v>0</v>
      </c>
      <c r="Y258" t="s">
        <v>43</v>
      </c>
      <c r="Z258" t="s">
        <v>36</v>
      </c>
      <c r="AA258">
        <v>11</v>
      </c>
      <c r="AB258">
        <v>3</v>
      </c>
      <c r="AC258">
        <v>3</v>
      </c>
      <c r="AD258">
        <v>80</v>
      </c>
      <c r="AE258">
        <v>1</v>
      </c>
      <c r="AF258">
        <v>10</v>
      </c>
      <c r="AG258">
        <v>4</v>
      </c>
      <c r="AH258">
        <v>3</v>
      </c>
      <c r="AI258">
        <v>9</v>
      </c>
      <c r="AJ258">
        <v>6</v>
      </c>
      <c r="AK258">
        <v>7</v>
      </c>
      <c r="AL258" t="str" cm="1">
        <f t="array" ref="AL25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58">
        <v>8</v>
      </c>
    </row>
    <row r="259" spans="1:39" x14ac:dyDescent="0.25">
      <c r="A259">
        <v>40</v>
      </c>
      <c r="B259" t="s">
        <v>44</v>
      </c>
      <c r="C259" t="s">
        <v>37</v>
      </c>
      <c r="D259">
        <v>1416</v>
      </c>
      <c r="E259" t="s">
        <v>46</v>
      </c>
      <c r="G259">
        <v>2</v>
      </c>
      <c r="H259">
        <v>2</v>
      </c>
      <c r="I259" t="s">
        <v>52</v>
      </c>
      <c r="J259" t="str">
        <f>WA_Fn_UseC__HR_Employee_Attrition[[#This Row],[EducationField]]&amp;"-"&amp;WA_Fn_UseC__HR_Employee_Attrition[[#This Row],[Department]]</f>
        <v>Medical-Research &amp; Development</v>
      </c>
      <c r="K259">
        <v>1</v>
      </c>
      <c r="L259">
        <v>352</v>
      </c>
      <c r="M259">
        <v>1</v>
      </c>
      <c r="N259" t="s">
        <v>47</v>
      </c>
      <c r="O259">
        <v>49</v>
      </c>
      <c r="P259">
        <v>3</v>
      </c>
      <c r="Q259">
        <v>5</v>
      </c>
      <c r="R259" t="s">
        <v>59</v>
      </c>
      <c r="S259">
        <v>3</v>
      </c>
      <c r="T259" t="s">
        <v>53</v>
      </c>
      <c r="U259">
        <v>19436</v>
      </c>
      <c r="V259" t="str" cm="1">
        <f t="array" ref="V25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59">
        <v>5949</v>
      </c>
      <c r="X259">
        <v>0</v>
      </c>
      <c r="Y259" t="s">
        <v>43</v>
      </c>
      <c r="Z259" t="s">
        <v>44</v>
      </c>
      <c r="AA259">
        <v>19</v>
      </c>
      <c r="AB259">
        <v>3</v>
      </c>
      <c r="AC259">
        <v>4</v>
      </c>
      <c r="AD259">
        <v>80</v>
      </c>
      <c r="AE259">
        <v>1</v>
      </c>
      <c r="AF259">
        <v>22</v>
      </c>
      <c r="AG259">
        <v>5</v>
      </c>
      <c r="AH259">
        <v>3</v>
      </c>
      <c r="AI259">
        <v>21</v>
      </c>
      <c r="AJ259">
        <v>7</v>
      </c>
      <c r="AK259">
        <v>3</v>
      </c>
      <c r="AL259" t="str" cm="1">
        <f t="array" ref="AL25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59">
        <v>9</v>
      </c>
    </row>
    <row r="260" spans="1:39" x14ac:dyDescent="0.25">
      <c r="A260">
        <v>51</v>
      </c>
      <c r="B260" t="s">
        <v>44</v>
      </c>
      <c r="C260" t="s">
        <v>37</v>
      </c>
      <c r="D260">
        <v>833</v>
      </c>
      <c r="E260" t="s">
        <v>46</v>
      </c>
      <c r="G260">
        <v>1</v>
      </c>
      <c r="H260">
        <v>3</v>
      </c>
      <c r="I260" t="s">
        <v>39</v>
      </c>
      <c r="J260" t="str">
        <f>WA_Fn_UseC__HR_Employee_Attrition[[#This Row],[EducationField]]&amp;"-"&amp;WA_Fn_UseC__HR_Employee_Attrition[[#This Row],[Department]]</f>
        <v>Life Sciences-Research &amp; Development</v>
      </c>
      <c r="K260">
        <v>1</v>
      </c>
      <c r="L260">
        <v>353</v>
      </c>
      <c r="M260">
        <v>3</v>
      </c>
      <c r="N260" t="s">
        <v>47</v>
      </c>
      <c r="O260">
        <v>96</v>
      </c>
      <c r="P260">
        <v>3</v>
      </c>
      <c r="Q260">
        <v>1</v>
      </c>
      <c r="R260" t="s">
        <v>48</v>
      </c>
      <c r="S260">
        <v>4</v>
      </c>
      <c r="T260" t="s">
        <v>49</v>
      </c>
      <c r="U260">
        <v>2723</v>
      </c>
      <c r="V260" t="str" cm="1">
        <f t="array" ref="V26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60">
        <v>23231</v>
      </c>
      <c r="X260">
        <v>1</v>
      </c>
      <c r="Y260" t="s">
        <v>43</v>
      </c>
      <c r="Z260" t="s">
        <v>44</v>
      </c>
      <c r="AA260">
        <v>11</v>
      </c>
      <c r="AB260">
        <v>3</v>
      </c>
      <c r="AC260">
        <v>2</v>
      </c>
      <c r="AD260">
        <v>80</v>
      </c>
      <c r="AE260">
        <v>0</v>
      </c>
      <c r="AF260">
        <v>1</v>
      </c>
      <c r="AG260">
        <v>0</v>
      </c>
      <c r="AH260">
        <v>2</v>
      </c>
      <c r="AI260">
        <v>1</v>
      </c>
      <c r="AJ260">
        <v>0</v>
      </c>
      <c r="AK260">
        <v>0</v>
      </c>
      <c r="AL260" t="str" cm="1">
        <f t="array" ref="AL26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60">
        <v>0</v>
      </c>
    </row>
    <row r="261" spans="1:39" x14ac:dyDescent="0.25">
      <c r="A261">
        <v>31</v>
      </c>
      <c r="B261" t="s">
        <v>36</v>
      </c>
      <c r="C261" t="s">
        <v>45</v>
      </c>
      <c r="D261">
        <v>307</v>
      </c>
      <c r="E261" t="s">
        <v>46</v>
      </c>
      <c r="G261">
        <v>29</v>
      </c>
      <c r="H261">
        <v>2</v>
      </c>
      <c r="I261" t="s">
        <v>52</v>
      </c>
      <c r="J261" t="str">
        <f>WA_Fn_UseC__HR_Employee_Attrition[[#This Row],[EducationField]]&amp;"-"&amp;WA_Fn_UseC__HR_Employee_Attrition[[#This Row],[Department]]</f>
        <v>Medical-Research &amp; Development</v>
      </c>
      <c r="K261">
        <v>1</v>
      </c>
      <c r="L261">
        <v>355</v>
      </c>
      <c r="M261">
        <v>3</v>
      </c>
      <c r="N261" t="s">
        <v>47</v>
      </c>
      <c r="O261">
        <v>71</v>
      </c>
      <c r="P261">
        <v>2</v>
      </c>
      <c r="Q261">
        <v>1</v>
      </c>
      <c r="R261" t="s">
        <v>51</v>
      </c>
      <c r="S261">
        <v>2</v>
      </c>
      <c r="T261" t="s">
        <v>42</v>
      </c>
      <c r="U261">
        <v>3479</v>
      </c>
      <c r="V261" t="str" cm="1">
        <f t="array" ref="V26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61">
        <v>11652</v>
      </c>
      <c r="X261">
        <v>0</v>
      </c>
      <c r="Y261" t="s">
        <v>43</v>
      </c>
      <c r="Z261" t="s">
        <v>44</v>
      </c>
      <c r="AA261">
        <v>11</v>
      </c>
      <c r="AB261">
        <v>3</v>
      </c>
      <c r="AC261">
        <v>2</v>
      </c>
      <c r="AD261">
        <v>80</v>
      </c>
      <c r="AE261">
        <v>0</v>
      </c>
      <c r="AF261">
        <v>6</v>
      </c>
      <c r="AG261">
        <v>2</v>
      </c>
      <c r="AH261">
        <v>4</v>
      </c>
      <c r="AI261">
        <v>5</v>
      </c>
      <c r="AJ261">
        <v>4</v>
      </c>
      <c r="AK261">
        <v>1</v>
      </c>
      <c r="AL261" t="str" cm="1">
        <f t="array" ref="AL26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61">
        <v>4</v>
      </c>
    </row>
    <row r="262" spans="1:39" x14ac:dyDescent="0.25">
      <c r="A262">
        <v>32</v>
      </c>
      <c r="B262" t="s">
        <v>44</v>
      </c>
      <c r="C262" t="s">
        <v>45</v>
      </c>
      <c r="D262">
        <v>1311</v>
      </c>
      <c r="E262" t="s">
        <v>46</v>
      </c>
      <c r="G262">
        <v>7</v>
      </c>
      <c r="H262">
        <v>3</v>
      </c>
      <c r="I262" t="s">
        <v>39</v>
      </c>
      <c r="J262" t="str">
        <f>WA_Fn_UseC__HR_Employee_Attrition[[#This Row],[EducationField]]&amp;"-"&amp;WA_Fn_UseC__HR_Employee_Attrition[[#This Row],[Department]]</f>
        <v>Life Sciences-Research &amp; Development</v>
      </c>
      <c r="K262">
        <v>1</v>
      </c>
      <c r="L262">
        <v>359</v>
      </c>
      <c r="M262">
        <v>2</v>
      </c>
      <c r="N262" t="s">
        <v>47</v>
      </c>
      <c r="O262">
        <v>100</v>
      </c>
      <c r="P262">
        <v>4</v>
      </c>
      <c r="Q262">
        <v>1</v>
      </c>
      <c r="R262" t="s">
        <v>51</v>
      </c>
      <c r="S262">
        <v>2</v>
      </c>
      <c r="T262" t="s">
        <v>49</v>
      </c>
      <c r="U262">
        <v>2794</v>
      </c>
      <c r="V262" t="str" cm="1">
        <f t="array" ref="V26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62">
        <v>26062</v>
      </c>
      <c r="X262">
        <v>1</v>
      </c>
      <c r="Y262" t="s">
        <v>43</v>
      </c>
      <c r="Z262" t="s">
        <v>44</v>
      </c>
      <c r="AA262">
        <v>20</v>
      </c>
      <c r="AB262">
        <v>4</v>
      </c>
      <c r="AC262">
        <v>3</v>
      </c>
      <c r="AD262">
        <v>80</v>
      </c>
      <c r="AE262">
        <v>0</v>
      </c>
      <c r="AF262">
        <v>5</v>
      </c>
      <c r="AG262">
        <v>3</v>
      </c>
      <c r="AH262">
        <v>1</v>
      </c>
      <c r="AI262">
        <v>5</v>
      </c>
      <c r="AJ262">
        <v>1</v>
      </c>
      <c r="AK262">
        <v>0</v>
      </c>
      <c r="AL262" t="str" cm="1">
        <f t="array" ref="AL26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62">
        <v>3</v>
      </c>
    </row>
    <row r="263" spans="1:39" x14ac:dyDescent="0.25">
      <c r="A263">
        <v>38</v>
      </c>
      <c r="B263" t="s">
        <v>44</v>
      </c>
      <c r="C263" t="s">
        <v>56</v>
      </c>
      <c r="D263">
        <v>1327</v>
      </c>
      <c r="E263" t="s">
        <v>38</v>
      </c>
      <c r="G263">
        <v>2</v>
      </c>
      <c r="H263">
        <v>2</v>
      </c>
      <c r="I263" t="s">
        <v>39</v>
      </c>
      <c r="J263" t="str">
        <f>WA_Fn_UseC__HR_Employee_Attrition[[#This Row],[EducationField]]&amp;"-"&amp;WA_Fn_UseC__HR_Employee_Attrition[[#This Row],[Department]]</f>
        <v>Life Sciences-Sales</v>
      </c>
      <c r="K263">
        <v>1</v>
      </c>
      <c r="L263">
        <v>361</v>
      </c>
      <c r="M263">
        <v>4</v>
      </c>
      <c r="N263" t="s">
        <v>47</v>
      </c>
      <c r="O263">
        <v>39</v>
      </c>
      <c r="P263">
        <v>2</v>
      </c>
      <c r="Q263">
        <v>2</v>
      </c>
      <c r="R263" t="s">
        <v>41</v>
      </c>
      <c r="S263">
        <v>4</v>
      </c>
      <c r="T263" t="s">
        <v>49</v>
      </c>
      <c r="U263">
        <v>5249</v>
      </c>
      <c r="V263" t="str" cm="1">
        <f t="array" ref="V26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63">
        <v>19682</v>
      </c>
      <c r="X263">
        <v>3</v>
      </c>
      <c r="Y263" t="s">
        <v>43</v>
      </c>
      <c r="Z263" t="s">
        <v>44</v>
      </c>
      <c r="AA263">
        <v>18</v>
      </c>
      <c r="AB263">
        <v>3</v>
      </c>
      <c r="AC263">
        <v>4</v>
      </c>
      <c r="AD263">
        <v>80</v>
      </c>
      <c r="AE263">
        <v>1</v>
      </c>
      <c r="AF263">
        <v>13</v>
      </c>
      <c r="AG263">
        <v>0</v>
      </c>
      <c r="AH263">
        <v>3</v>
      </c>
      <c r="AI263">
        <v>8</v>
      </c>
      <c r="AJ263">
        <v>7</v>
      </c>
      <c r="AK263">
        <v>7</v>
      </c>
      <c r="AL263" t="str" cm="1">
        <f t="array" ref="AL26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63">
        <v>5</v>
      </c>
    </row>
    <row r="264" spans="1:39" x14ac:dyDescent="0.25">
      <c r="A264">
        <v>32</v>
      </c>
      <c r="B264" t="s">
        <v>44</v>
      </c>
      <c r="C264" t="s">
        <v>37</v>
      </c>
      <c r="D264">
        <v>128</v>
      </c>
      <c r="E264" t="s">
        <v>46</v>
      </c>
      <c r="G264">
        <v>2</v>
      </c>
      <c r="H264">
        <v>1</v>
      </c>
      <c r="I264" t="s">
        <v>61</v>
      </c>
      <c r="J264" t="str">
        <f>WA_Fn_UseC__HR_Employee_Attrition[[#This Row],[EducationField]]&amp;"-"&amp;WA_Fn_UseC__HR_Employee_Attrition[[#This Row],[Department]]</f>
        <v>Technical Degree-Research &amp; Development</v>
      </c>
      <c r="K264">
        <v>1</v>
      </c>
      <c r="L264">
        <v>362</v>
      </c>
      <c r="M264">
        <v>4</v>
      </c>
      <c r="N264" t="s">
        <v>47</v>
      </c>
      <c r="O264">
        <v>84</v>
      </c>
      <c r="P264">
        <v>2</v>
      </c>
      <c r="Q264">
        <v>2</v>
      </c>
      <c r="R264" t="s">
        <v>51</v>
      </c>
      <c r="S264">
        <v>1</v>
      </c>
      <c r="T264" t="s">
        <v>42</v>
      </c>
      <c r="U264">
        <v>2176</v>
      </c>
      <c r="V264" t="str" cm="1">
        <f t="array" ref="V26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64">
        <v>19737</v>
      </c>
      <c r="X264">
        <v>4</v>
      </c>
      <c r="Y264" t="s">
        <v>43</v>
      </c>
      <c r="Z264" t="s">
        <v>44</v>
      </c>
      <c r="AA264">
        <v>13</v>
      </c>
      <c r="AB264">
        <v>3</v>
      </c>
      <c r="AC264">
        <v>4</v>
      </c>
      <c r="AD264">
        <v>80</v>
      </c>
      <c r="AE264">
        <v>0</v>
      </c>
      <c r="AF264">
        <v>9</v>
      </c>
      <c r="AG264">
        <v>5</v>
      </c>
      <c r="AH264">
        <v>3</v>
      </c>
      <c r="AI264">
        <v>6</v>
      </c>
      <c r="AJ264">
        <v>2</v>
      </c>
      <c r="AK264">
        <v>0</v>
      </c>
      <c r="AL264" t="str" cm="1">
        <f t="array" ref="AL26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64">
        <v>4</v>
      </c>
    </row>
    <row r="265" spans="1:39" x14ac:dyDescent="0.25">
      <c r="A265">
        <v>46</v>
      </c>
      <c r="B265" t="s">
        <v>44</v>
      </c>
      <c r="C265" t="s">
        <v>37</v>
      </c>
      <c r="D265">
        <v>488</v>
      </c>
      <c r="E265" t="s">
        <v>38</v>
      </c>
      <c r="G265">
        <v>2</v>
      </c>
      <c r="H265">
        <v>3</v>
      </c>
      <c r="I265" t="s">
        <v>61</v>
      </c>
      <c r="J265" t="str">
        <f>WA_Fn_UseC__HR_Employee_Attrition[[#This Row],[EducationField]]&amp;"-"&amp;WA_Fn_UseC__HR_Employee_Attrition[[#This Row],[Department]]</f>
        <v>Technical Degree-Sales</v>
      </c>
      <c r="K265">
        <v>1</v>
      </c>
      <c r="L265">
        <v>363</v>
      </c>
      <c r="M265">
        <v>3</v>
      </c>
      <c r="N265" t="s">
        <v>40</v>
      </c>
      <c r="O265">
        <v>75</v>
      </c>
      <c r="P265">
        <v>1</v>
      </c>
      <c r="Q265">
        <v>4</v>
      </c>
      <c r="R265" t="s">
        <v>57</v>
      </c>
      <c r="S265">
        <v>2</v>
      </c>
      <c r="T265" t="s">
        <v>49</v>
      </c>
      <c r="U265">
        <v>16872</v>
      </c>
      <c r="V265" t="str" cm="1">
        <f t="array" ref="V26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65">
        <v>14977</v>
      </c>
      <c r="X265">
        <v>3</v>
      </c>
      <c r="Y265" t="s">
        <v>43</v>
      </c>
      <c r="Z265" t="s">
        <v>36</v>
      </c>
      <c r="AA265">
        <v>12</v>
      </c>
      <c r="AB265">
        <v>3</v>
      </c>
      <c r="AC265">
        <v>2</v>
      </c>
      <c r="AD265">
        <v>80</v>
      </c>
      <c r="AE265">
        <v>1</v>
      </c>
      <c r="AF265">
        <v>28</v>
      </c>
      <c r="AG265">
        <v>2</v>
      </c>
      <c r="AH265">
        <v>2</v>
      </c>
      <c r="AI265">
        <v>7</v>
      </c>
      <c r="AJ265">
        <v>7</v>
      </c>
      <c r="AK265">
        <v>7</v>
      </c>
      <c r="AL265" t="str" cm="1">
        <f t="array" ref="AL26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65">
        <v>7</v>
      </c>
    </row>
    <row r="266" spans="1:39" x14ac:dyDescent="0.25">
      <c r="A266">
        <v>28</v>
      </c>
      <c r="B266" t="s">
        <v>36</v>
      </c>
      <c r="C266" t="s">
        <v>37</v>
      </c>
      <c r="D266">
        <v>529</v>
      </c>
      <c r="E266" t="s">
        <v>46</v>
      </c>
      <c r="G266">
        <v>2</v>
      </c>
      <c r="H266">
        <v>4</v>
      </c>
      <c r="I266" t="s">
        <v>39</v>
      </c>
      <c r="J266" t="str">
        <f>WA_Fn_UseC__HR_Employee_Attrition[[#This Row],[EducationField]]&amp;"-"&amp;WA_Fn_UseC__HR_Employee_Attrition[[#This Row],[Department]]</f>
        <v>Life Sciences-Research &amp; Development</v>
      </c>
      <c r="K266">
        <v>1</v>
      </c>
      <c r="L266">
        <v>364</v>
      </c>
      <c r="M266">
        <v>1</v>
      </c>
      <c r="N266" t="s">
        <v>47</v>
      </c>
      <c r="O266">
        <v>79</v>
      </c>
      <c r="P266">
        <v>3</v>
      </c>
      <c r="Q266">
        <v>1</v>
      </c>
      <c r="R266" t="s">
        <v>51</v>
      </c>
      <c r="S266">
        <v>3</v>
      </c>
      <c r="T266" t="s">
        <v>42</v>
      </c>
      <c r="U266">
        <v>3485</v>
      </c>
      <c r="V266" t="str" cm="1">
        <f t="array" ref="V26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66">
        <v>14935</v>
      </c>
      <c r="X266">
        <v>2</v>
      </c>
      <c r="Y266" t="s">
        <v>43</v>
      </c>
      <c r="Z266" t="s">
        <v>44</v>
      </c>
      <c r="AA266">
        <v>11</v>
      </c>
      <c r="AB266">
        <v>3</v>
      </c>
      <c r="AC266">
        <v>3</v>
      </c>
      <c r="AD266">
        <v>80</v>
      </c>
      <c r="AE266">
        <v>0</v>
      </c>
      <c r="AF266">
        <v>5</v>
      </c>
      <c r="AG266">
        <v>5</v>
      </c>
      <c r="AH266">
        <v>1</v>
      </c>
      <c r="AI266">
        <v>0</v>
      </c>
      <c r="AJ266">
        <v>0</v>
      </c>
      <c r="AK266">
        <v>0</v>
      </c>
      <c r="AL266" t="str" cm="1">
        <f t="array" ref="AL26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66">
        <v>0</v>
      </c>
    </row>
    <row r="267" spans="1:39" x14ac:dyDescent="0.25">
      <c r="A267">
        <v>29</v>
      </c>
      <c r="B267" t="s">
        <v>44</v>
      </c>
      <c r="C267" t="s">
        <v>37</v>
      </c>
      <c r="D267">
        <v>1210</v>
      </c>
      <c r="E267" t="s">
        <v>38</v>
      </c>
      <c r="G267">
        <v>2</v>
      </c>
      <c r="H267">
        <v>3</v>
      </c>
      <c r="I267" t="s">
        <v>52</v>
      </c>
      <c r="J267" t="str">
        <f>WA_Fn_UseC__HR_Employee_Attrition[[#This Row],[EducationField]]&amp;"-"&amp;WA_Fn_UseC__HR_Employee_Attrition[[#This Row],[Department]]</f>
        <v>Medical-Sales</v>
      </c>
      <c r="K267">
        <v>1</v>
      </c>
      <c r="L267">
        <v>366</v>
      </c>
      <c r="M267">
        <v>1</v>
      </c>
      <c r="N267" t="s">
        <v>47</v>
      </c>
      <c r="O267">
        <v>78</v>
      </c>
      <c r="P267">
        <v>2</v>
      </c>
      <c r="Q267">
        <v>2</v>
      </c>
      <c r="R267" t="s">
        <v>41</v>
      </c>
      <c r="S267">
        <v>2</v>
      </c>
      <c r="T267" t="s">
        <v>49</v>
      </c>
      <c r="U267">
        <v>6644</v>
      </c>
      <c r="V267" t="str" cm="1">
        <f t="array" ref="V26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67">
        <v>3687</v>
      </c>
      <c r="X267">
        <v>2</v>
      </c>
      <c r="Y267" t="s">
        <v>43</v>
      </c>
      <c r="Z267" t="s">
        <v>44</v>
      </c>
      <c r="AA267">
        <v>19</v>
      </c>
      <c r="AB267">
        <v>3</v>
      </c>
      <c r="AC267">
        <v>2</v>
      </c>
      <c r="AD267">
        <v>80</v>
      </c>
      <c r="AE267">
        <v>2</v>
      </c>
      <c r="AF267">
        <v>10</v>
      </c>
      <c r="AG267">
        <v>2</v>
      </c>
      <c r="AH267">
        <v>3</v>
      </c>
      <c r="AI267">
        <v>0</v>
      </c>
      <c r="AJ267">
        <v>0</v>
      </c>
      <c r="AK267">
        <v>0</v>
      </c>
      <c r="AL267" t="str" cm="1">
        <f t="array" ref="AL26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67">
        <v>0</v>
      </c>
    </row>
    <row r="268" spans="1:39" x14ac:dyDescent="0.25">
      <c r="A268">
        <v>31</v>
      </c>
      <c r="B268" t="s">
        <v>44</v>
      </c>
      <c r="C268" t="s">
        <v>37</v>
      </c>
      <c r="D268">
        <v>1463</v>
      </c>
      <c r="E268" t="s">
        <v>46</v>
      </c>
      <c r="G268">
        <v>23</v>
      </c>
      <c r="H268">
        <v>3</v>
      </c>
      <c r="I268" t="s">
        <v>52</v>
      </c>
      <c r="J268" t="str">
        <f>WA_Fn_UseC__HR_Employee_Attrition[[#This Row],[EducationField]]&amp;"-"&amp;WA_Fn_UseC__HR_Employee_Attrition[[#This Row],[Department]]</f>
        <v>Medical-Research &amp; Development</v>
      </c>
      <c r="K268">
        <v>1</v>
      </c>
      <c r="L268">
        <v>367</v>
      </c>
      <c r="M268">
        <v>2</v>
      </c>
      <c r="N268" t="s">
        <v>47</v>
      </c>
      <c r="O268">
        <v>64</v>
      </c>
      <c r="P268">
        <v>2</v>
      </c>
      <c r="Q268">
        <v>2</v>
      </c>
      <c r="R268" t="s">
        <v>55</v>
      </c>
      <c r="S268">
        <v>4</v>
      </c>
      <c r="T268" t="s">
        <v>49</v>
      </c>
      <c r="U268">
        <v>5582</v>
      </c>
      <c r="V268" t="str" cm="1">
        <f t="array" ref="V26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68">
        <v>14408</v>
      </c>
      <c r="X268">
        <v>0</v>
      </c>
      <c r="Y268" t="s">
        <v>43</v>
      </c>
      <c r="Z268" t="s">
        <v>44</v>
      </c>
      <c r="AA268">
        <v>21</v>
      </c>
      <c r="AB268">
        <v>4</v>
      </c>
      <c r="AC268">
        <v>2</v>
      </c>
      <c r="AD268">
        <v>80</v>
      </c>
      <c r="AE268">
        <v>1</v>
      </c>
      <c r="AF268">
        <v>10</v>
      </c>
      <c r="AG268">
        <v>2</v>
      </c>
      <c r="AH268">
        <v>3</v>
      </c>
      <c r="AI268">
        <v>9</v>
      </c>
      <c r="AJ268">
        <v>0</v>
      </c>
      <c r="AK268">
        <v>7</v>
      </c>
      <c r="AL268" t="str" cm="1">
        <f t="array" ref="AL26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68">
        <v>8</v>
      </c>
    </row>
    <row r="269" spans="1:39" x14ac:dyDescent="0.25">
      <c r="A269">
        <v>25</v>
      </c>
      <c r="B269" t="s">
        <v>44</v>
      </c>
      <c r="C269" t="s">
        <v>56</v>
      </c>
      <c r="D269">
        <v>675</v>
      </c>
      <c r="E269" t="s">
        <v>46</v>
      </c>
      <c r="G269">
        <v>5</v>
      </c>
      <c r="H269">
        <v>2</v>
      </c>
      <c r="I269" t="s">
        <v>39</v>
      </c>
      <c r="J269" t="str">
        <f>WA_Fn_UseC__HR_Employee_Attrition[[#This Row],[EducationField]]&amp;"-"&amp;WA_Fn_UseC__HR_Employee_Attrition[[#This Row],[Department]]</f>
        <v>Life Sciences-Research &amp; Development</v>
      </c>
      <c r="K269">
        <v>1</v>
      </c>
      <c r="L269">
        <v>369</v>
      </c>
      <c r="M269">
        <v>2</v>
      </c>
      <c r="N269" t="s">
        <v>47</v>
      </c>
      <c r="O269">
        <v>85</v>
      </c>
      <c r="P269">
        <v>4</v>
      </c>
      <c r="Q269">
        <v>2</v>
      </c>
      <c r="R269" t="s">
        <v>55</v>
      </c>
      <c r="S269">
        <v>1</v>
      </c>
      <c r="T269" t="s">
        <v>53</v>
      </c>
      <c r="U269">
        <v>4000</v>
      </c>
      <c r="V269" t="str" cm="1">
        <f t="array" ref="V26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69">
        <v>18384</v>
      </c>
      <c r="X269">
        <v>1</v>
      </c>
      <c r="Y269" t="s">
        <v>43</v>
      </c>
      <c r="Z269" t="s">
        <v>44</v>
      </c>
      <c r="AA269">
        <v>12</v>
      </c>
      <c r="AB269">
        <v>3</v>
      </c>
      <c r="AC269">
        <v>4</v>
      </c>
      <c r="AD269">
        <v>80</v>
      </c>
      <c r="AE269">
        <v>2</v>
      </c>
      <c r="AF269">
        <v>6</v>
      </c>
      <c r="AG269">
        <v>2</v>
      </c>
      <c r="AH269">
        <v>3</v>
      </c>
      <c r="AI269">
        <v>6</v>
      </c>
      <c r="AJ269">
        <v>3</v>
      </c>
      <c r="AK269">
        <v>1</v>
      </c>
      <c r="AL269" t="str" cm="1">
        <f t="array" ref="AL26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69">
        <v>5</v>
      </c>
    </row>
    <row r="270" spans="1:39" x14ac:dyDescent="0.25">
      <c r="A270">
        <v>45</v>
      </c>
      <c r="B270" t="s">
        <v>44</v>
      </c>
      <c r="C270" t="s">
        <v>37</v>
      </c>
      <c r="D270">
        <v>1385</v>
      </c>
      <c r="E270" t="s">
        <v>46</v>
      </c>
      <c r="G270">
        <v>20</v>
      </c>
      <c r="H270">
        <v>2</v>
      </c>
      <c r="I270" t="s">
        <v>52</v>
      </c>
      <c r="J270" t="str">
        <f>WA_Fn_UseC__HR_Employee_Attrition[[#This Row],[EducationField]]&amp;"-"&amp;WA_Fn_UseC__HR_Employee_Attrition[[#This Row],[Department]]</f>
        <v>Medical-Research &amp; Development</v>
      </c>
      <c r="K270">
        <v>1</v>
      </c>
      <c r="L270">
        <v>372</v>
      </c>
      <c r="M270">
        <v>3</v>
      </c>
      <c r="N270" t="s">
        <v>47</v>
      </c>
      <c r="O270">
        <v>79</v>
      </c>
      <c r="P270">
        <v>3</v>
      </c>
      <c r="Q270">
        <v>4</v>
      </c>
      <c r="R270" t="s">
        <v>55</v>
      </c>
      <c r="S270">
        <v>4</v>
      </c>
      <c r="T270" t="s">
        <v>49</v>
      </c>
      <c r="U270">
        <v>13496</v>
      </c>
      <c r="V270" t="str" cm="1">
        <f t="array" ref="V27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70">
        <v>7501</v>
      </c>
      <c r="X270">
        <v>0</v>
      </c>
      <c r="Y270" t="s">
        <v>43</v>
      </c>
      <c r="Z270" t="s">
        <v>36</v>
      </c>
      <c r="AA270">
        <v>14</v>
      </c>
      <c r="AB270">
        <v>3</v>
      </c>
      <c r="AC270">
        <v>2</v>
      </c>
      <c r="AD270">
        <v>80</v>
      </c>
      <c r="AE270">
        <v>0</v>
      </c>
      <c r="AF270">
        <v>21</v>
      </c>
      <c r="AG270">
        <v>2</v>
      </c>
      <c r="AH270">
        <v>3</v>
      </c>
      <c r="AI270">
        <v>20</v>
      </c>
      <c r="AJ270">
        <v>7</v>
      </c>
      <c r="AK270">
        <v>4</v>
      </c>
      <c r="AL270" t="str" cm="1">
        <f t="array" ref="AL27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70">
        <v>10</v>
      </c>
    </row>
    <row r="271" spans="1:39" x14ac:dyDescent="0.25">
      <c r="A271">
        <v>36</v>
      </c>
      <c r="B271" t="s">
        <v>44</v>
      </c>
      <c r="C271" t="s">
        <v>37</v>
      </c>
      <c r="D271">
        <v>1403</v>
      </c>
      <c r="E271" t="s">
        <v>46</v>
      </c>
      <c r="G271">
        <v>6</v>
      </c>
      <c r="H271">
        <v>3</v>
      </c>
      <c r="I271" t="s">
        <v>39</v>
      </c>
      <c r="J271" t="str">
        <f>WA_Fn_UseC__HR_Employee_Attrition[[#This Row],[EducationField]]&amp;"-"&amp;WA_Fn_UseC__HR_Employee_Attrition[[#This Row],[Department]]</f>
        <v>Life Sciences-Research &amp; Development</v>
      </c>
      <c r="K271">
        <v>1</v>
      </c>
      <c r="L271">
        <v>373</v>
      </c>
      <c r="M271">
        <v>4</v>
      </c>
      <c r="N271" t="s">
        <v>47</v>
      </c>
      <c r="O271">
        <v>47</v>
      </c>
      <c r="P271">
        <v>3</v>
      </c>
      <c r="Q271">
        <v>1</v>
      </c>
      <c r="R271" t="s">
        <v>51</v>
      </c>
      <c r="S271">
        <v>4</v>
      </c>
      <c r="T271" t="s">
        <v>49</v>
      </c>
      <c r="U271">
        <v>3210</v>
      </c>
      <c r="V271" t="str" cm="1">
        <f t="array" ref="V27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71">
        <v>20251</v>
      </c>
      <c r="X271">
        <v>0</v>
      </c>
      <c r="Y271" t="s">
        <v>43</v>
      </c>
      <c r="Z271" t="s">
        <v>44</v>
      </c>
      <c r="AA271">
        <v>11</v>
      </c>
      <c r="AB271">
        <v>3</v>
      </c>
      <c r="AC271">
        <v>3</v>
      </c>
      <c r="AD271">
        <v>80</v>
      </c>
      <c r="AE271">
        <v>1</v>
      </c>
      <c r="AF271">
        <v>16</v>
      </c>
      <c r="AG271">
        <v>4</v>
      </c>
      <c r="AH271">
        <v>3</v>
      </c>
      <c r="AI271">
        <v>15</v>
      </c>
      <c r="AJ271">
        <v>13</v>
      </c>
      <c r="AK271">
        <v>10</v>
      </c>
      <c r="AL271" t="str" cm="1">
        <f t="array" ref="AL27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71">
        <v>11</v>
      </c>
    </row>
    <row r="272" spans="1:39" x14ac:dyDescent="0.25">
      <c r="A272">
        <v>55</v>
      </c>
      <c r="B272" t="s">
        <v>44</v>
      </c>
      <c r="C272" t="s">
        <v>37</v>
      </c>
      <c r="D272">
        <v>452</v>
      </c>
      <c r="E272" t="s">
        <v>46</v>
      </c>
      <c r="G272">
        <v>1</v>
      </c>
      <c r="H272">
        <v>3</v>
      </c>
      <c r="I272" t="s">
        <v>52</v>
      </c>
      <c r="J272" t="str">
        <f>WA_Fn_UseC__HR_Employee_Attrition[[#This Row],[EducationField]]&amp;"-"&amp;WA_Fn_UseC__HR_Employee_Attrition[[#This Row],[Department]]</f>
        <v>Medical-Research &amp; Development</v>
      </c>
      <c r="K272">
        <v>1</v>
      </c>
      <c r="L272">
        <v>374</v>
      </c>
      <c r="M272">
        <v>4</v>
      </c>
      <c r="N272" t="s">
        <v>47</v>
      </c>
      <c r="O272">
        <v>81</v>
      </c>
      <c r="P272">
        <v>3</v>
      </c>
      <c r="Q272">
        <v>5</v>
      </c>
      <c r="R272" t="s">
        <v>57</v>
      </c>
      <c r="S272">
        <v>1</v>
      </c>
      <c r="T272" t="s">
        <v>42</v>
      </c>
      <c r="U272">
        <v>19045</v>
      </c>
      <c r="V272" t="str" cm="1">
        <f t="array" ref="V27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72">
        <v>18938</v>
      </c>
      <c r="X272">
        <v>0</v>
      </c>
      <c r="Y272" t="s">
        <v>43</v>
      </c>
      <c r="Z272" t="s">
        <v>36</v>
      </c>
      <c r="AA272">
        <v>14</v>
      </c>
      <c r="AB272">
        <v>3</v>
      </c>
      <c r="AC272">
        <v>3</v>
      </c>
      <c r="AD272">
        <v>80</v>
      </c>
      <c r="AE272">
        <v>0</v>
      </c>
      <c r="AF272">
        <v>37</v>
      </c>
      <c r="AG272">
        <v>2</v>
      </c>
      <c r="AH272">
        <v>3</v>
      </c>
      <c r="AI272">
        <v>36</v>
      </c>
      <c r="AJ272">
        <v>10</v>
      </c>
      <c r="AK272">
        <v>4</v>
      </c>
      <c r="AL272" t="str" cm="1">
        <f t="array" ref="AL27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72">
        <v>13</v>
      </c>
    </row>
    <row r="273" spans="1:39" x14ac:dyDescent="0.25">
      <c r="A273">
        <v>47</v>
      </c>
      <c r="B273" t="s">
        <v>36</v>
      </c>
      <c r="C273" t="s">
        <v>56</v>
      </c>
      <c r="D273">
        <v>666</v>
      </c>
      <c r="E273" t="s">
        <v>46</v>
      </c>
      <c r="G273">
        <v>29</v>
      </c>
      <c r="H273">
        <v>4</v>
      </c>
      <c r="I273" t="s">
        <v>39</v>
      </c>
      <c r="J273" t="str">
        <f>WA_Fn_UseC__HR_Employee_Attrition[[#This Row],[EducationField]]&amp;"-"&amp;WA_Fn_UseC__HR_Employee_Attrition[[#This Row],[Department]]</f>
        <v>Life Sciences-Research &amp; Development</v>
      </c>
      <c r="K273">
        <v>1</v>
      </c>
      <c r="L273">
        <v>376</v>
      </c>
      <c r="M273">
        <v>1</v>
      </c>
      <c r="N273" t="s">
        <v>47</v>
      </c>
      <c r="O273">
        <v>88</v>
      </c>
      <c r="P273">
        <v>3</v>
      </c>
      <c r="Q273">
        <v>3</v>
      </c>
      <c r="R273" t="s">
        <v>57</v>
      </c>
      <c r="S273">
        <v>2</v>
      </c>
      <c r="T273" t="s">
        <v>49</v>
      </c>
      <c r="U273">
        <v>11849</v>
      </c>
      <c r="V273" t="str" cm="1">
        <f t="array" ref="V27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73">
        <v>10268</v>
      </c>
      <c r="X273">
        <v>1</v>
      </c>
      <c r="Y273" t="s">
        <v>43</v>
      </c>
      <c r="Z273" t="s">
        <v>36</v>
      </c>
      <c r="AA273">
        <v>12</v>
      </c>
      <c r="AB273">
        <v>3</v>
      </c>
      <c r="AC273">
        <v>4</v>
      </c>
      <c r="AD273">
        <v>80</v>
      </c>
      <c r="AE273">
        <v>1</v>
      </c>
      <c r="AF273">
        <v>10</v>
      </c>
      <c r="AG273">
        <v>2</v>
      </c>
      <c r="AH273">
        <v>2</v>
      </c>
      <c r="AI273">
        <v>10</v>
      </c>
      <c r="AJ273">
        <v>7</v>
      </c>
      <c r="AK273">
        <v>9</v>
      </c>
      <c r="AL273" t="str" cm="1">
        <f t="array" ref="AL27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73">
        <v>9</v>
      </c>
    </row>
    <row r="274" spans="1:39" x14ac:dyDescent="0.25">
      <c r="A274">
        <v>28</v>
      </c>
      <c r="B274" t="s">
        <v>44</v>
      </c>
      <c r="C274" t="s">
        <v>37</v>
      </c>
      <c r="D274">
        <v>1158</v>
      </c>
      <c r="E274" t="s">
        <v>46</v>
      </c>
      <c r="G274">
        <v>9</v>
      </c>
      <c r="H274">
        <v>3</v>
      </c>
      <c r="I274" t="s">
        <v>52</v>
      </c>
      <c r="J274" t="str">
        <f>WA_Fn_UseC__HR_Employee_Attrition[[#This Row],[EducationField]]&amp;"-"&amp;WA_Fn_UseC__HR_Employee_Attrition[[#This Row],[Department]]</f>
        <v>Medical-Research &amp; Development</v>
      </c>
      <c r="K274">
        <v>1</v>
      </c>
      <c r="L274">
        <v>377</v>
      </c>
      <c r="M274">
        <v>4</v>
      </c>
      <c r="N274" t="s">
        <v>47</v>
      </c>
      <c r="O274">
        <v>94</v>
      </c>
      <c r="P274">
        <v>3</v>
      </c>
      <c r="Q274">
        <v>1</v>
      </c>
      <c r="R274" t="s">
        <v>48</v>
      </c>
      <c r="S274">
        <v>4</v>
      </c>
      <c r="T274" t="s">
        <v>49</v>
      </c>
      <c r="U274">
        <v>2070</v>
      </c>
      <c r="V274" t="str" cm="1">
        <f t="array" ref="V27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74">
        <v>2613</v>
      </c>
      <c r="X274">
        <v>1</v>
      </c>
      <c r="Y274" t="s">
        <v>43</v>
      </c>
      <c r="Z274" t="s">
        <v>44</v>
      </c>
      <c r="AA274">
        <v>23</v>
      </c>
      <c r="AB274">
        <v>4</v>
      </c>
      <c r="AC274">
        <v>4</v>
      </c>
      <c r="AD274">
        <v>80</v>
      </c>
      <c r="AE274">
        <v>1</v>
      </c>
      <c r="AF274">
        <v>5</v>
      </c>
      <c r="AG274">
        <v>3</v>
      </c>
      <c r="AH274">
        <v>2</v>
      </c>
      <c r="AI274">
        <v>5</v>
      </c>
      <c r="AJ274">
        <v>2</v>
      </c>
      <c r="AK274">
        <v>0</v>
      </c>
      <c r="AL274" t="str" cm="1">
        <f t="array" ref="AL27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74">
        <v>4</v>
      </c>
    </row>
    <row r="275" spans="1:39" x14ac:dyDescent="0.25">
      <c r="A275">
        <v>37</v>
      </c>
      <c r="B275" t="s">
        <v>44</v>
      </c>
      <c r="C275" t="s">
        <v>37</v>
      </c>
      <c r="D275">
        <v>228</v>
      </c>
      <c r="E275" t="s">
        <v>38</v>
      </c>
      <c r="G275">
        <v>6</v>
      </c>
      <c r="H275">
        <v>4</v>
      </c>
      <c r="I275" t="s">
        <v>52</v>
      </c>
      <c r="J275" t="str">
        <f>WA_Fn_UseC__HR_Employee_Attrition[[#This Row],[EducationField]]&amp;"-"&amp;WA_Fn_UseC__HR_Employee_Attrition[[#This Row],[Department]]</f>
        <v>Medical-Sales</v>
      </c>
      <c r="K275">
        <v>1</v>
      </c>
      <c r="L275">
        <v>378</v>
      </c>
      <c r="M275">
        <v>3</v>
      </c>
      <c r="N275" t="s">
        <v>47</v>
      </c>
      <c r="O275">
        <v>98</v>
      </c>
      <c r="P275">
        <v>3</v>
      </c>
      <c r="Q275">
        <v>2</v>
      </c>
      <c r="R275" t="s">
        <v>41</v>
      </c>
      <c r="S275">
        <v>4</v>
      </c>
      <c r="T275" t="s">
        <v>49</v>
      </c>
      <c r="U275">
        <v>6502</v>
      </c>
      <c r="V275" t="str" cm="1">
        <f t="array" ref="V27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75">
        <v>22825</v>
      </c>
      <c r="X275">
        <v>4</v>
      </c>
      <c r="Y275" t="s">
        <v>43</v>
      </c>
      <c r="Z275" t="s">
        <v>44</v>
      </c>
      <c r="AA275">
        <v>14</v>
      </c>
      <c r="AB275">
        <v>3</v>
      </c>
      <c r="AC275">
        <v>2</v>
      </c>
      <c r="AD275">
        <v>80</v>
      </c>
      <c r="AE275">
        <v>1</v>
      </c>
      <c r="AF275">
        <v>7</v>
      </c>
      <c r="AG275">
        <v>5</v>
      </c>
      <c r="AH275">
        <v>4</v>
      </c>
      <c r="AI275">
        <v>5</v>
      </c>
      <c r="AJ275">
        <v>4</v>
      </c>
      <c r="AK275">
        <v>0</v>
      </c>
      <c r="AL275" t="str" cm="1">
        <f t="array" ref="AL27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75">
        <v>1</v>
      </c>
    </row>
    <row r="276" spans="1:39" x14ac:dyDescent="0.25">
      <c r="A276">
        <v>21</v>
      </c>
      <c r="B276" t="s">
        <v>44</v>
      </c>
      <c r="C276" t="s">
        <v>37</v>
      </c>
      <c r="D276">
        <v>996</v>
      </c>
      <c r="E276" t="s">
        <v>46</v>
      </c>
      <c r="G276">
        <v>3</v>
      </c>
      <c r="H276">
        <v>2</v>
      </c>
      <c r="I276" t="s">
        <v>52</v>
      </c>
      <c r="J276" t="str">
        <f>WA_Fn_UseC__HR_Employee_Attrition[[#This Row],[EducationField]]&amp;"-"&amp;WA_Fn_UseC__HR_Employee_Attrition[[#This Row],[Department]]</f>
        <v>Medical-Research &amp; Development</v>
      </c>
      <c r="K276">
        <v>1</v>
      </c>
      <c r="L276">
        <v>379</v>
      </c>
      <c r="M276">
        <v>4</v>
      </c>
      <c r="N276" t="s">
        <v>47</v>
      </c>
      <c r="O276">
        <v>100</v>
      </c>
      <c r="P276">
        <v>2</v>
      </c>
      <c r="Q276">
        <v>1</v>
      </c>
      <c r="R276" t="s">
        <v>48</v>
      </c>
      <c r="S276">
        <v>3</v>
      </c>
      <c r="T276" t="s">
        <v>42</v>
      </c>
      <c r="U276">
        <v>3230</v>
      </c>
      <c r="V276" t="str" cm="1">
        <f t="array" ref="V27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76">
        <v>10531</v>
      </c>
      <c r="X276">
        <v>1</v>
      </c>
      <c r="Y276" t="s">
        <v>43</v>
      </c>
      <c r="Z276" t="s">
        <v>44</v>
      </c>
      <c r="AA276">
        <v>17</v>
      </c>
      <c r="AB276">
        <v>3</v>
      </c>
      <c r="AC276">
        <v>1</v>
      </c>
      <c r="AD276">
        <v>80</v>
      </c>
      <c r="AE276">
        <v>0</v>
      </c>
      <c r="AF276">
        <v>3</v>
      </c>
      <c r="AG276">
        <v>4</v>
      </c>
      <c r="AH276">
        <v>4</v>
      </c>
      <c r="AI276">
        <v>3</v>
      </c>
      <c r="AJ276">
        <v>2</v>
      </c>
      <c r="AK276">
        <v>1</v>
      </c>
      <c r="AL276" t="str" cm="1">
        <f t="array" ref="AL27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76">
        <v>0</v>
      </c>
    </row>
    <row r="277" spans="1:39" x14ac:dyDescent="0.25">
      <c r="A277">
        <v>37</v>
      </c>
      <c r="B277" t="s">
        <v>44</v>
      </c>
      <c r="C277" t="s">
        <v>56</v>
      </c>
      <c r="D277">
        <v>728</v>
      </c>
      <c r="E277" t="s">
        <v>46</v>
      </c>
      <c r="G277">
        <v>1</v>
      </c>
      <c r="H277">
        <v>4</v>
      </c>
      <c r="I277" t="s">
        <v>52</v>
      </c>
      <c r="J277" t="str">
        <f>WA_Fn_UseC__HR_Employee_Attrition[[#This Row],[EducationField]]&amp;"-"&amp;WA_Fn_UseC__HR_Employee_Attrition[[#This Row],[Department]]</f>
        <v>Medical-Research &amp; Development</v>
      </c>
      <c r="K277">
        <v>1</v>
      </c>
      <c r="L277">
        <v>380</v>
      </c>
      <c r="M277">
        <v>1</v>
      </c>
      <c r="N277" t="s">
        <v>40</v>
      </c>
      <c r="O277">
        <v>80</v>
      </c>
      <c r="P277">
        <v>3</v>
      </c>
      <c r="Q277">
        <v>3</v>
      </c>
      <c r="R277" t="s">
        <v>59</v>
      </c>
      <c r="S277">
        <v>4</v>
      </c>
      <c r="T277" t="s">
        <v>53</v>
      </c>
      <c r="U277">
        <v>13603</v>
      </c>
      <c r="V277" t="str" cm="1">
        <f t="array" ref="V27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77">
        <v>11677</v>
      </c>
      <c r="X277">
        <v>2</v>
      </c>
      <c r="Y277" t="s">
        <v>43</v>
      </c>
      <c r="Z277" t="s">
        <v>36</v>
      </c>
      <c r="AA277">
        <v>18</v>
      </c>
      <c r="AB277">
        <v>3</v>
      </c>
      <c r="AC277">
        <v>1</v>
      </c>
      <c r="AD277">
        <v>80</v>
      </c>
      <c r="AE277">
        <v>2</v>
      </c>
      <c r="AF277">
        <v>15</v>
      </c>
      <c r="AG277">
        <v>2</v>
      </c>
      <c r="AH277">
        <v>3</v>
      </c>
      <c r="AI277">
        <v>5</v>
      </c>
      <c r="AJ277">
        <v>2</v>
      </c>
      <c r="AK277">
        <v>0</v>
      </c>
      <c r="AL277" t="str" cm="1">
        <f t="array" ref="AL27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77">
        <v>2</v>
      </c>
    </row>
    <row r="278" spans="1:39" x14ac:dyDescent="0.25">
      <c r="A278">
        <v>35</v>
      </c>
      <c r="B278" t="s">
        <v>44</v>
      </c>
      <c r="C278" t="s">
        <v>37</v>
      </c>
      <c r="D278">
        <v>1315</v>
      </c>
      <c r="E278" t="s">
        <v>46</v>
      </c>
      <c r="G278">
        <v>22</v>
      </c>
      <c r="H278">
        <v>3</v>
      </c>
      <c r="I278" t="s">
        <v>39</v>
      </c>
      <c r="J278" t="str">
        <f>WA_Fn_UseC__HR_Employee_Attrition[[#This Row],[EducationField]]&amp;"-"&amp;WA_Fn_UseC__HR_Employee_Attrition[[#This Row],[Department]]</f>
        <v>Life Sciences-Research &amp; Development</v>
      </c>
      <c r="K278">
        <v>1</v>
      </c>
      <c r="L278">
        <v>381</v>
      </c>
      <c r="M278">
        <v>2</v>
      </c>
      <c r="N278" t="s">
        <v>40</v>
      </c>
      <c r="O278">
        <v>71</v>
      </c>
      <c r="P278">
        <v>4</v>
      </c>
      <c r="Q278">
        <v>3</v>
      </c>
      <c r="R278" t="s">
        <v>57</v>
      </c>
      <c r="S278">
        <v>2</v>
      </c>
      <c r="T278" t="s">
        <v>53</v>
      </c>
      <c r="U278">
        <v>11996</v>
      </c>
      <c r="V278" t="str" cm="1">
        <f t="array" ref="V27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78">
        <v>19100</v>
      </c>
      <c r="X278">
        <v>7</v>
      </c>
      <c r="Y278" t="s">
        <v>43</v>
      </c>
      <c r="Z278" t="s">
        <v>44</v>
      </c>
      <c r="AA278">
        <v>18</v>
      </c>
      <c r="AB278">
        <v>3</v>
      </c>
      <c r="AC278">
        <v>2</v>
      </c>
      <c r="AD278">
        <v>80</v>
      </c>
      <c r="AE278">
        <v>1</v>
      </c>
      <c r="AF278">
        <v>10</v>
      </c>
      <c r="AG278">
        <v>6</v>
      </c>
      <c r="AH278">
        <v>2</v>
      </c>
      <c r="AI278">
        <v>7</v>
      </c>
      <c r="AJ278">
        <v>7</v>
      </c>
      <c r="AK278">
        <v>6</v>
      </c>
      <c r="AL278" t="str" cm="1">
        <f t="array" ref="AL27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78">
        <v>2</v>
      </c>
    </row>
    <row r="279" spans="1:39" x14ac:dyDescent="0.25">
      <c r="A279">
        <v>38</v>
      </c>
      <c r="B279" t="s">
        <v>44</v>
      </c>
      <c r="C279" t="s">
        <v>37</v>
      </c>
      <c r="D279">
        <v>322</v>
      </c>
      <c r="E279" t="s">
        <v>38</v>
      </c>
      <c r="G279">
        <v>7</v>
      </c>
      <c r="H279">
        <v>2</v>
      </c>
      <c r="I279" t="s">
        <v>52</v>
      </c>
      <c r="J279" t="str">
        <f>WA_Fn_UseC__HR_Employee_Attrition[[#This Row],[EducationField]]&amp;"-"&amp;WA_Fn_UseC__HR_Employee_Attrition[[#This Row],[Department]]</f>
        <v>Medical-Sales</v>
      </c>
      <c r="K279">
        <v>1</v>
      </c>
      <c r="L279">
        <v>382</v>
      </c>
      <c r="M279">
        <v>1</v>
      </c>
      <c r="N279" t="s">
        <v>40</v>
      </c>
      <c r="O279">
        <v>44</v>
      </c>
      <c r="P279">
        <v>4</v>
      </c>
      <c r="Q279">
        <v>2</v>
      </c>
      <c r="R279" t="s">
        <v>41</v>
      </c>
      <c r="S279">
        <v>1</v>
      </c>
      <c r="T279" t="s">
        <v>53</v>
      </c>
      <c r="U279">
        <v>5605</v>
      </c>
      <c r="V279" t="str" cm="1">
        <f t="array" ref="V27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79">
        <v>19191</v>
      </c>
      <c r="X279">
        <v>1</v>
      </c>
      <c r="Y279" t="s">
        <v>43</v>
      </c>
      <c r="Z279" t="s">
        <v>36</v>
      </c>
      <c r="AA279">
        <v>24</v>
      </c>
      <c r="AB279">
        <v>4</v>
      </c>
      <c r="AC279">
        <v>3</v>
      </c>
      <c r="AD279">
        <v>80</v>
      </c>
      <c r="AE279">
        <v>1</v>
      </c>
      <c r="AF279">
        <v>8</v>
      </c>
      <c r="AG279">
        <v>3</v>
      </c>
      <c r="AH279">
        <v>3</v>
      </c>
      <c r="AI279">
        <v>8</v>
      </c>
      <c r="AJ279">
        <v>0</v>
      </c>
      <c r="AK279">
        <v>7</v>
      </c>
      <c r="AL279" t="str" cm="1">
        <f t="array" ref="AL27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79">
        <v>7</v>
      </c>
    </row>
    <row r="280" spans="1:39" x14ac:dyDescent="0.25">
      <c r="A280">
        <v>26</v>
      </c>
      <c r="B280" t="s">
        <v>44</v>
      </c>
      <c r="C280" t="s">
        <v>45</v>
      </c>
      <c r="D280">
        <v>1479</v>
      </c>
      <c r="E280" t="s">
        <v>46</v>
      </c>
      <c r="G280">
        <v>1</v>
      </c>
      <c r="H280">
        <v>3</v>
      </c>
      <c r="I280" t="s">
        <v>39</v>
      </c>
      <c r="J280" t="str">
        <f>WA_Fn_UseC__HR_Employee_Attrition[[#This Row],[EducationField]]&amp;"-"&amp;WA_Fn_UseC__HR_Employee_Attrition[[#This Row],[Department]]</f>
        <v>Life Sciences-Research &amp; Development</v>
      </c>
      <c r="K280">
        <v>1</v>
      </c>
      <c r="L280">
        <v>384</v>
      </c>
      <c r="M280">
        <v>3</v>
      </c>
      <c r="N280" t="s">
        <v>40</v>
      </c>
      <c r="O280">
        <v>84</v>
      </c>
      <c r="P280">
        <v>3</v>
      </c>
      <c r="Q280">
        <v>2</v>
      </c>
      <c r="R280" t="s">
        <v>54</v>
      </c>
      <c r="S280">
        <v>2</v>
      </c>
      <c r="T280" t="s">
        <v>53</v>
      </c>
      <c r="U280">
        <v>6397</v>
      </c>
      <c r="V280" t="str" cm="1">
        <f t="array" ref="V28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80">
        <v>26767</v>
      </c>
      <c r="X280">
        <v>1</v>
      </c>
      <c r="Y280" t="s">
        <v>43</v>
      </c>
      <c r="Z280" t="s">
        <v>44</v>
      </c>
      <c r="AA280">
        <v>20</v>
      </c>
      <c r="AB280">
        <v>4</v>
      </c>
      <c r="AC280">
        <v>1</v>
      </c>
      <c r="AD280">
        <v>80</v>
      </c>
      <c r="AE280">
        <v>1</v>
      </c>
      <c r="AF280">
        <v>6</v>
      </c>
      <c r="AG280">
        <v>6</v>
      </c>
      <c r="AH280">
        <v>1</v>
      </c>
      <c r="AI280">
        <v>6</v>
      </c>
      <c r="AJ280">
        <v>5</v>
      </c>
      <c r="AK280">
        <v>1</v>
      </c>
      <c r="AL280" t="str" cm="1">
        <f t="array" ref="AL28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80">
        <v>4</v>
      </c>
    </row>
    <row r="281" spans="1:39" x14ac:dyDescent="0.25">
      <c r="A281">
        <v>50</v>
      </c>
      <c r="B281" t="s">
        <v>44</v>
      </c>
      <c r="C281" t="s">
        <v>37</v>
      </c>
      <c r="D281">
        <v>797</v>
      </c>
      <c r="E281" t="s">
        <v>46</v>
      </c>
      <c r="G281">
        <v>4</v>
      </c>
      <c r="H281">
        <v>1</v>
      </c>
      <c r="I281" t="s">
        <v>39</v>
      </c>
      <c r="J281" t="str">
        <f>WA_Fn_UseC__HR_Employee_Attrition[[#This Row],[EducationField]]&amp;"-"&amp;WA_Fn_UseC__HR_Employee_Attrition[[#This Row],[Department]]</f>
        <v>Life Sciences-Research &amp; Development</v>
      </c>
      <c r="K281">
        <v>1</v>
      </c>
      <c r="L281">
        <v>385</v>
      </c>
      <c r="M281">
        <v>1</v>
      </c>
      <c r="N281" t="s">
        <v>47</v>
      </c>
      <c r="O281">
        <v>96</v>
      </c>
      <c r="P281">
        <v>3</v>
      </c>
      <c r="Q281">
        <v>5</v>
      </c>
      <c r="R281" t="s">
        <v>59</v>
      </c>
      <c r="S281">
        <v>2</v>
      </c>
      <c r="T281" t="s">
        <v>53</v>
      </c>
      <c r="U281">
        <v>19144</v>
      </c>
      <c r="V281" t="str" cm="1">
        <f t="array" ref="V28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81">
        <v>15815</v>
      </c>
      <c r="X281">
        <v>3</v>
      </c>
      <c r="Y281" t="s">
        <v>43</v>
      </c>
      <c r="Z281" t="s">
        <v>44</v>
      </c>
      <c r="AA281">
        <v>14</v>
      </c>
      <c r="AB281">
        <v>3</v>
      </c>
      <c r="AC281">
        <v>1</v>
      </c>
      <c r="AD281">
        <v>80</v>
      </c>
      <c r="AE281">
        <v>2</v>
      </c>
      <c r="AF281">
        <v>28</v>
      </c>
      <c r="AG281">
        <v>4</v>
      </c>
      <c r="AH281">
        <v>2</v>
      </c>
      <c r="AI281">
        <v>10</v>
      </c>
      <c r="AJ281">
        <v>4</v>
      </c>
      <c r="AK281">
        <v>1</v>
      </c>
      <c r="AL281" t="str" cm="1">
        <f t="array" ref="AL28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81">
        <v>6</v>
      </c>
    </row>
    <row r="282" spans="1:39" x14ac:dyDescent="0.25">
      <c r="A282">
        <v>53</v>
      </c>
      <c r="B282" t="s">
        <v>44</v>
      </c>
      <c r="C282" t="s">
        <v>37</v>
      </c>
      <c r="D282">
        <v>1070</v>
      </c>
      <c r="E282" t="s">
        <v>46</v>
      </c>
      <c r="G282">
        <v>3</v>
      </c>
      <c r="H282">
        <v>4</v>
      </c>
      <c r="I282" t="s">
        <v>52</v>
      </c>
      <c r="J282" t="str">
        <f>WA_Fn_UseC__HR_Employee_Attrition[[#This Row],[EducationField]]&amp;"-"&amp;WA_Fn_UseC__HR_Employee_Attrition[[#This Row],[Department]]</f>
        <v>Medical-Research &amp; Development</v>
      </c>
      <c r="K282">
        <v>1</v>
      </c>
      <c r="L282">
        <v>386</v>
      </c>
      <c r="M282">
        <v>3</v>
      </c>
      <c r="N282" t="s">
        <v>47</v>
      </c>
      <c r="O282">
        <v>45</v>
      </c>
      <c r="P282">
        <v>3</v>
      </c>
      <c r="Q282">
        <v>4</v>
      </c>
      <c r="R282" t="s">
        <v>59</v>
      </c>
      <c r="S282">
        <v>3</v>
      </c>
      <c r="T282" t="s">
        <v>49</v>
      </c>
      <c r="U282">
        <v>17584</v>
      </c>
      <c r="V282" t="str" cm="1">
        <f t="array" ref="V28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82">
        <v>21016</v>
      </c>
      <c r="X282">
        <v>3</v>
      </c>
      <c r="Y282" t="s">
        <v>43</v>
      </c>
      <c r="Z282" t="s">
        <v>36</v>
      </c>
      <c r="AA282">
        <v>16</v>
      </c>
      <c r="AB282">
        <v>3</v>
      </c>
      <c r="AC282">
        <v>4</v>
      </c>
      <c r="AD282">
        <v>80</v>
      </c>
      <c r="AE282">
        <v>3</v>
      </c>
      <c r="AF282">
        <v>21</v>
      </c>
      <c r="AG282">
        <v>5</v>
      </c>
      <c r="AH282">
        <v>2</v>
      </c>
      <c r="AI282">
        <v>5</v>
      </c>
      <c r="AJ282">
        <v>3</v>
      </c>
      <c r="AK282">
        <v>1</v>
      </c>
      <c r="AL282" t="str" cm="1">
        <f t="array" ref="AL28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82">
        <v>3</v>
      </c>
    </row>
    <row r="283" spans="1:39" x14ac:dyDescent="0.25">
      <c r="A283">
        <v>42</v>
      </c>
      <c r="B283" t="s">
        <v>44</v>
      </c>
      <c r="C283" t="s">
        <v>37</v>
      </c>
      <c r="D283">
        <v>635</v>
      </c>
      <c r="E283" t="s">
        <v>38</v>
      </c>
      <c r="G283">
        <v>1</v>
      </c>
      <c r="H283">
        <v>1</v>
      </c>
      <c r="I283" t="s">
        <v>39</v>
      </c>
      <c r="J283" t="str">
        <f>WA_Fn_UseC__HR_Employee_Attrition[[#This Row],[EducationField]]&amp;"-"&amp;WA_Fn_UseC__HR_Employee_Attrition[[#This Row],[Department]]</f>
        <v>Life Sciences-Sales</v>
      </c>
      <c r="K283">
        <v>1</v>
      </c>
      <c r="L283">
        <v>387</v>
      </c>
      <c r="M283">
        <v>2</v>
      </c>
      <c r="N283" t="s">
        <v>47</v>
      </c>
      <c r="O283">
        <v>99</v>
      </c>
      <c r="P283">
        <v>3</v>
      </c>
      <c r="Q283">
        <v>2</v>
      </c>
      <c r="R283" t="s">
        <v>41</v>
      </c>
      <c r="S283">
        <v>3</v>
      </c>
      <c r="T283" t="s">
        <v>49</v>
      </c>
      <c r="U283">
        <v>4907</v>
      </c>
      <c r="V283" t="str" cm="1">
        <f t="array" ref="V28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83">
        <v>24532</v>
      </c>
      <c r="X283">
        <v>1</v>
      </c>
      <c r="Y283" t="s">
        <v>43</v>
      </c>
      <c r="Z283" t="s">
        <v>44</v>
      </c>
      <c r="AA283">
        <v>25</v>
      </c>
      <c r="AB283">
        <v>4</v>
      </c>
      <c r="AC283">
        <v>3</v>
      </c>
      <c r="AD283">
        <v>80</v>
      </c>
      <c r="AE283">
        <v>0</v>
      </c>
      <c r="AF283">
        <v>20</v>
      </c>
      <c r="AG283">
        <v>3</v>
      </c>
      <c r="AH283">
        <v>3</v>
      </c>
      <c r="AI283">
        <v>20</v>
      </c>
      <c r="AJ283">
        <v>16</v>
      </c>
      <c r="AK283">
        <v>11</v>
      </c>
      <c r="AL283" t="str" cm="1">
        <f t="array" ref="AL28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83">
        <v>6</v>
      </c>
    </row>
    <row r="284" spans="1:39" x14ac:dyDescent="0.25">
      <c r="A284">
        <v>29</v>
      </c>
      <c r="B284" t="s">
        <v>44</v>
      </c>
      <c r="C284" t="s">
        <v>45</v>
      </c>
      <c r="D284">
        <v>442</v>
      </c>
      <c r="E284" t="s">
        <v>38</v>
      </c>
      <c r="G284">
        <v>2</v>
      </c>
      <c r="H284">
        <v>2</v>
      </c>
      <c r="I284" t="s">
        <v>39</v>
      </c>
      <c r="J284" t="str">
        <f>WA_Fn_UseC__HR_Employee_Attrition[[#This Row],[EducationField]]&amp;"-"&amp;WA_Fn_UseC__HR_Employee_Attrition[[#This Row],[Department]]</f>
        <v>Life Sciences-Sales</v>
      </c>
      <c r="K284">
        <v>1</v>
      </c>
      <c r="L284">
        <v>388</v>
      </c>
      <c r="M284">
        <v>2</v>
      </c>
      <c r="N284" t="s">
        <v>47</v>
      </c>
      <c r="O284">
        <v>44</v>
      </c>
      <c r="P284">
        <v>3</v>
      </c>
      <c r="Q284">
        <v>2</v>
      </c>
      <c r="R284" t="s">
        <v>41</v>
      </c>
      <c r="S284">
        <v>4</v>
      </c>
      <c r="T284" t="s">
        <v>42</v>
      </c>
      <c r="U284">
        <v>4554</v>
      </c>
      <c r="V284" t="str" cm="1">
        <f t="array" ref="V28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84">
        <v>20260</v>
      </c>
      <c r="X284">
        <v>1</v>
      </c>
      <c r="Y284" t="s">
        <v>43</v>
      </c>
      <c r="Z284" t="s">
        <v>44</v>
      </c>
      <c r="AA284">
        <v>18</v>
      </c>
      <c r="AB284">
        <v>3</v>
      </c>
      <c r="AC284">
        <v>1</v>
      </c>
      <c r="AD284">
        <v>80</v>
      </c>
      <c r="AE284">
        <v>0</v>
      </c>
      <c r="AF284">
        <v>10</v>
      </c>
      <c r="AG284">
        <v>3</v>
      </c>
      <c r="AH284">
        <v>2</v>
      </c>
      <c r="AI284">
        <v>10</v>
      </c>
      <c r="AJ284">
        <v>7</v>
      </c>
      <c r="AK284">
        <v>0</v>
      </c>
      <c r="AL284" t="str" cm="1">
        <f t="array" ref="AL28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84">
        <v>9</v>
      </c>
    </row>
    <row r="285" spans="1:39" x14ac:dyDescent="0.25">
      <c r="A285">
        <v>55</v>
      </c>
      <c r="B285" t="s">
        <v>44</v>
      </c>
      <c r="C285" t="s">
        <v>37</v>
      </c>
      <c r="D285">
        <v>147</v>
      </c>
      <c r="E285" t="s">
        <v>46</v>
      </c>
      <c r="G285">
        <v>20</v>
      </c>
      <c r="H285">
        <v>2</v>
      </c>
      <c r="I285" t="s">
        <v>61</v>
      </c>
      <c r="J285" t="str">
        <f>WA_Fn_UseC__HR_Employee_Attrition[[#This Row],[EducationField]]&amp;"-"&amp;WA_Fn_UseC__HR_Employee_Attrition[[#This Row],[Department]]</f>
        <v>Technical Degree-Research &amp; Development</v>
      </c>
      <c r="K285">
        <v>1</v>
      </c>
      <c r="L285">
        <v>389</v>
      </c>
      <c r="M285">
        <v>2</v>
      </c>
      <c r="N285" t="s">
        <v>47</v>
      </c>
      <c r="O285">
        <v>37</v>
      </c>
      <c r="P285">
        <v>3</v>
      </c>
      <c r="Q285">
        <v>2</v>
      </c>
      <c r="R285" t="s">
        <v>51</v>
      </c>
      <c r="S285">
        <v>4</v>
      </c>
      <c r="T285" t="s">
        <v>49</v>
      </c>
      <c r="U285">
        <v>5415</v>
      </c>
      <c r="V285" t="str" cm="1">
        <f t="array" ref="V28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85">
        <v>15972</v>
      </c>
      <c r="X285">
        <v>3</v>
      </c>
      <c r="Y285" t="s">
        <v>43</v>
      </c>
      <c r="Z285" t="s">
        <v>36</v>
      </c>
      <c r="AA285">
        <v>19</v>
      </c>
      <c r="AB285">
        <v>3</v>
      </c>
      <c r="AC285">
        <v>4</v>
      </c>
      <c r="AD285">
        <v>80</v>
      </c>
      <c r="AE285">
        <v>1</v>
      </c>
      <c r="AF285">
        <v>12</v>
      </c>
      <c r="AG285">
        <v>4</v>
      </c>
      <c r="AH285">
        <v>3</v>
      </c>
      <c r="AI285">
        <v>10</v>
      </c>
      <c r="AJ285">
        <v>7</v>
      </c>
      <c r="AK285">
        <v>0</v>
      </c>
      <c r="AL285" t="str" cm="1">
        <f t="array" ref="AL28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85">
        <v>8</v>
      </c>
    </row>
    <row r="286" spans="1:39" x14ac:dyDescent="0.25">
      <c r="A286">
        <v>26</v>
      </c>
      <c r="B286" t="s">
        <v>44</v>
      </c>
      <c r="C286" t="s">
        <v>45</v>
      </c>
      <c r="D286">
        <v>496</v>
      </c>
      <c r="E286" t="s">
        <v>46</v>
      </c>
      <c r="G286">
        <v>11</v>
      </c>
      <c r="H286">
        <v>2</v>
      </c>
      <c r="I286" t="s">
        <v>52</v>
      </c>
      <c r="J286" t="str">
        <f>WA_Fn_UseC__HR_Employee_Attrition[[#This Row],[EducationField]]&amp;"-"&amp;WA_Fn_UseC__HR_Employee_Attrition[[#This Row],[Department]]</f>
        <v>Medical-Research &amp; Development</v>
      </c>
      <c r="K286">
        <v>1</v>
      </c>
      <c r="L286">
        <v>390</v>
      </c>
      <c r="M286">
        <v>1</v>
      </c>
      <c r="N286" t="s">
        <v>47</v>
      </c>
      <c r="O286">
        <v>60</v>
      </c>
      <c r="P286">
        <v>3</v>
      </c>
      <c r="Q286">
        <v>2</v>
      </c>
      <c r="R286" t="s">
        <v>55</v>
      </c>
      <c r="S286">
        <v>1</v>
      </c>
      <c r="T286" t="s">
        <v>49</v>
      </c>
      <c r="U286">
        <v>4741</v>
      </c>
      <c r="V286" t="str" cm="1">
        <f t="array" ref="V28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86">
        <v>22722</v>
      </c>
      <c r="X286">
        <v>1</v>
      </c>
      <c r="Y286" t="s">
        <v>43</v>
      </c>
      <c r="Z286" t="s">
        <v>36</v>
      </c>
      <c r="AA286">
        <v>13</v>
      </c>
      <c r="AB286">
        <v>3</v>
      </c>
      <c r="AC286">
        <v>3</v>
      </c>
      <c r="AD286">
        <v>80</v>
      </c>
      <c r="AE286">
        <v>1</v>
      </c>
      <c r="AF286">
        <v>5</v>
      </c>
      <c r="AG286">
        <v>3</v>
      </c>
      <c r="AH286">
        <v>3</v>
      </c>
      <c r="AI286">
        <v>5</v>
      </c>
      <c r="AJ286">
        <v>3</v>
      </c>
      <c r="AK286">
        <v>3</v>
      </c>
      <c r="AL286" t="str" cm="1">
        <f t="array" ref="AL28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86">
        <v>3</v>
      </c>
    </row>
    <row r="287" spans="1:39" x14ac:dyDescent="0.25">
      <c r="A287">
        <v>37</v>
      </c>
      <c r="B287" t="s">
        <v>44</v>
      </c>
      <c r="C287" t="s">
        <v>37</v>
      </c>
      <c r="D287">
        <v>1372</v>
      </c>
      <c r="E287" t="s">
        <v>46</v>
      </c>
      <c r="G287">
        <v>1</v>
      </c>
      <c r="H287">
        <v>3</v>
      </c>
      <c r="I287" t="s">
        <v>39</v>
      </c>
      <c r="J287" t="str">
        <f>WA_Fn_UseC__HR_Employee_Attrition[[#This Row],[EducationField]]&amp;"-"&amp;WA_Fn_UseC__HR_Employee_Attrition[[#This Row],[Department]]</f>
        <v>Life Sciences-Research &amp; Development</v>
      </c>
      <c r="K287">
        <v>1</v>
      </c>
      <c r="L287">
        <v>391</v>
      </c>
      <c r="M287">
        <v>4</v>
      </c>
      <c r="N287" t="s">
        <v>40</v>
      </c>
      <c r="O287">
        <v>42</v>
      </c>
      <c r="P287">
        <v>3</v>
      </c>
      <c r="Q287">
        <v>1</v>
      </c>
      <c r="R287" t="s">
        <v>48</v>
      </c>
      <c r="S287">
        <v>4</v>
      </c>
      <c r="T287" t="s">
        <v>42</v>
      </c>
      <c r="U287">
        <v>2115</v>
      </c>
      <c r="V287" t="str" cm="1">
        <f t="array" ref="V28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87">
        <v>15881</v>
      </c>
      <c r="X287">
        <v>1</v>
      </c>
      <c r="Y287" t="s">
        <v>43</v>
      </c>
      <c r="Z287" t="s">
        <v>44</v>
      </c>
      <c r="AA287">
        <v>12</v>
      </c>
      <c r="AB287">
        <v>3</v>
      </c>
      <c r="AC287">
        <v>2</v>
      </c>
      <c r="AD287">
        <v>80</v>
      </c>
      <c r="AE287">
        <v>0</v>
      </c>
      <c r="AF287">
        <v>17</v>
      </c>
      <c r="AG287">
        <v>3</v>
      </c>
      <c r="AH287">
        <v>3</v>
      </c>
      <c r="AI287">
        <v>17</v>
      </c>
      <c r="AJ287">
        <v>12</v>
      </c>
      <c r="AK287">
        <v>5</v>
      </c>
      <c r="AL287" t="str" cm="1">
        <f t="array" ref="AL28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87">
        <v>7</v>
      </c>
    </row>
    <row r="288" spans="1:39" x14ac:dyDescent="0.25">
      <c r="A288">
        <v>44</v>
      </c>
      <c r="B288" t="s">
        <v>36</v>
      </c>
      <c r="C288" t="s">
        <v>45</v>
      </c>
      <c r="D288">
        <v>920</v>
      </c>
      <c r="E288" t="s">
        <v>46</v>
      </c>
      <c r="G288">
        <v>24</v>
      </c>
      <c r="H288">
        <v>3</v>
      </c>
      <c r="I288" t="s">
        <v>39</v>
      </c>
      <c r="J288" t="str">
        <f>WA_Fn_UseC__HR_Employee_Attrition[[#This Row],[EducationField]]&amp;"-"&amp;WA_Fn_UseC__HR_Employee_Attrition[[#This Row],[Department]]</f>
        <v>Life Sciences-Research &amp; Development</v>
      </c>
      <c r="K288">
        <v>1</v>
      </c>
      <c r="L288">
        <v>392</v>
      </c>
      <c r="M288">
        <v>4</v>
      </c>
      <c r="N288" t="s">
        <v>47</v>
      </c>
      <c r="O288">
        <v>43</v>
      </c>
      <c r="P288">
        <v>3</v>
      </c>
      <c r="Q288">
        <v>1</v>
      </c>
      <c r="R288" t="s">
        <v>51</v>
      </c>
      <c r="S288">
        <v>3</v>
      </c>
      <c r="T288" t="s">
        <v>53</v>
      </c>
      <c r="U288">
        <v>3161</v>
      </c>
      <c r="V288" t="str" cm="1">
        <f t="array" ref="V28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88">
        <v>19920</v>
      </c>
      <c r="X288">
        <v>3</v>
      </c>
      <c r="Y288" t="s">
        <v>43</v>
      </c>
      <c r="Z288" t="s">
        <v>36</v>
      </c>
      <c r="AA288">
        <v>22</v>
      </c>
      <c r="AB288">
        <v>4</v>
      </c>
      <c r="AC288">
        <v>4</v>
      </c>
      <c r="AD288">
        <v>80</v>
      </c>
      <c r="AE288">
        <v>1</v>
      </c>
      <c r="AF288">
        <v>19</v>
      </c>
      <c r="AG288">
        <v>0</v>
      </c>
      <c r="AH288">
        <v>1</v>
      </c>
      <c r="AI288">
        <v>1</v>
      </c>
      <c r="AJ288">
        <v>0</v>
      </c>
      <c r="AK288">
        <v>0</v>
      </c>
      <c r="AL288" t="str" cm="1">
        <f t="array" ref="AL28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88">
        <v>0</v>
      </c>
    </row>
    <row r="289" spans="1:39" x14ac:dyDescent="0.25">
      <c r="A289">
        <v>38</v>
      </c>
      <c r="B289" t="s">
        <v>44</v>
      </c>
      <c r="C289" t="s">
        <v>37</v>
      </c>
      <c r="D289">
        <v>688</v>
      </c>
      <c r="E289" t="s">
        <v>46</v>
      </c>
      <c r="G289">
        <v>23</v>
      </c>
      <c r="H289">
        <v>4</v>
      </c>
      <c r="I289" t="s">
        <v>39</v>
      </c>
      <c r="J289" t="str">
        <f>WA_Fn_UseC__HR_Employee_Attrition[[#This Row],[EducationField]]&amp;"-"&amp;WA_Fn_UseC__HR_Employee_Attrition[[#This Row],[Department]]</f>
        <v>Life Sciences-Research &amp; Development</v>
      </c>
      <c r="K289">
        <v>1</v>
      </c>
      <c r="L289">
        <v>393</v>
      </c>
      <c r="M289">
        <v>4</v>
      </c>
      <c r="N289" t="s">
        <v>47</v>
      </c>
      <c r="O289">
        <v>82</v>
      </c>
      <c r="P289">
        <v>3</v>
      </c>
      <c r="Q289">
        <v>2</v>
      </c>
      <c r="R289" t="s">
        <v>55</v>
      </c>
      <c r="S289">
        <v>4</v>
      </c>
      <c r="T289" t="s">
        <v>53</v>
      </c>
      <c r="U289">
        <v>5745</v>
      </c>
      <c r="V289" t="str" cm="1">
        <f t="array" ref="V28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89">
        <v>18899</v>
      </c>
      <c r="X289">
        <v>9</v>
      </c>
      <c r="Y289" t="s">
        <v>43</v>
      </c>
      <c r="Z289" t="s">
        <v>44</v>
      </c>
      <c r="AA289">
        <v>14</v>
      </c>
      <c r="AB289">
        <v>3</v>
      </c>
      <c r="AC289">
        <v>2</v>
      </c>
      <c r="AD289">
        <v>80</v>
      </c>
      <c r="AE289">
        <v>1</v>
      </c>
      <c r="AF289">
        <v>10</v>
      </c>
      <c r="AG289">
        <v>2</v>
      </c>
      <c r="AH289">
        <v>3</v>
      </c>
      <c r="AI289">
        <v>2</v>
      </c>
      <c r="AJ289">
        <v>2</v>
      </c>
      <c r="AK289">
        <v>1</v>
      </c>
      <c r="AL289" t="str" cm="1">
        <f t="array" ref="AL28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89">
        <v>2</v>
      </c>
    </row>
    <row r="290" spans="1:39" x14ac:dyDescent="0.25">
      <c r="A290">
        <v>26</v>
      </c>
      <c r="B290" t="s">
        <v>36</v>
      </c>
      <c r="C290" t="s">
        <v>37</v>
      </c>
      <c r="D290">
        <v>1449</v>
      </c>
      <c r="E290" t="s">
        <v>46</v>
      </c>
      <c r="G290">
        <v>16</v>
      </c>
      <c r="H290">
        <v>4</v>
      </c>
      <c r="I290" t="s">
        <v>52</v>
      </c>
      <c r="J290" t="str">
        <f>WA_Fn_UseC__HR_Employee_Attrition[[#This Row],[EducationField]]&amp;"-"&amp;WA_Fn_UseC__HR_Employee_Attrition[[#This Row],[Department]]</f>
        <v>Medical-Research &amp; Development</v>
      </c>
      <c r="K290">
        <v>1</v>
      </c>
      <c r="L290">
        <v>394</v>
      </c>
      <c r="M290">
        <v>1</v>
      </c>
      <c r="N290" t="s">
        <v>47</v>
      </c>
      <c r="O290">
        <v>45</v>
      </c>
      <c r="P290">
        <v>3</v>
      </c>
      <c r="Q290">
        <v>1</v>
      </c>
      <c r="R290" t="s">
        <v>51</v>
      </c>
      <c r="S290">
        <v>2</v>
      </c>
      <c r="T290" t="s">
        <v>53</v>
      </c>
      <c r="U290">
        <v>2373</v>
      </c>
      <c r="V290" t="str" cm="1">
        <f t="array" ref="V29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90">
        <v>14180</v>
      </c>
      <c r="X290">
        <v>2</v>
      </c>
      <c r="Y290" t="s">
        <v>43</v>
      </c>
      <c r="Z290" t="s">
        <v>36</v>
      </c>
      <c r="AA290">
        <v>13</v>
      </c>
      <c r="AB290">
        <v>3</v>
      </c>
      <c r="AC290">
        <v>4</v>
      </c>
      <c r="AD290">
        <v>80</v>
      </c>
      <c r="AE290">
        <v>1</v>
      </c>
      <c r="AF290">
        <v>5</v>
      </c>
      <c r="AG290">
        <v>2</v>
      </c>
      <c r="AH290">
        <v>3</v>
      </c>
      <c r="AI290">
        <v>3</v>
      </c>
      <c r="AJ290">
        <v>2</v>
      </c>
      <c r="AK290">
        <v>0</v>
      </c>
      <c r="AL290" t="str" cm="1">
        <f t="array" ref="AL29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90">
        <v>2</v>
      </c>
    </row>
    <row r="291" spans="1:39" x14ac:dyDescent="0.25">
      <c r="A291">
        <v>28</v>
      </c>
      <c r="B291" t="s">
        <v>44</v>
      </c>
      <c r="C291" t="s">
        <v>37</v>
      </c>
      <c r="D291">
        <v>1117</v>
      </c>
      <c r="E291" t="s">
        <v>46</v>
      </c>
      <c r="G291">
        <v>8</v>
      </c>
      <c r="H291">
        <v>2</v>
      </c>
      <c r="I291" t="s">
        <v>39</v>
      </c>
      <c r="J291" t="str">
        <f>WA_Fn_UseC__HR_Employee_Attrition[[#This Row],[EducationField]]&amp;"-"&amp;WA_Fn_UseC__HR_Employee_Attrition[[#This Row],[Department]]</f>
        <v>Life Sciences-Research &amp; Development</v>
      </c>
      <c r="K291">
        <v>1</v>
      </c>
      <c r="L291">
        <v>395</v>
      </c>
      <c r="M291">
        <v>4</v>
      </c>
      <c r="N291" t="s">
        <v>40</v>
      </c>
      <c r="O291">
        <v>66</v>
      </c>
      <c r="P291">
        <v>3</v>
      </c>
      <c r="Q291">
        <v>1</v>
      </c>
      <c r="R291" t="s">
        <v>48</v>
      </c>
      <c r="S291">
        <v>4</v>
      </c>
      <c r="T291" t="s">
        <v>42</v>
      </c>
      <c r="U291">
        <v>3310</v>
      </c>
      <c r="V291" t="str" cm="1">
        <f t="array" ref="V29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91">
        <v>4488</v>
      </c>
      <c r="X291">
        <v>1</v>
      </c>
      <c r="Y291" t="s">
        <v>43</v>
      </c>
      <c r="Z291" t="s">
        <v>44</v>
      </c>
      <c r="AA291">
        <v>21</v>
      </c>
      <c r="AB291">
        <v>4</v>
      </c>
      <c r="AC291">
        <v>4</v>
      </c>
      <c r="AD291">
        <v>80</v>
      </c>
      <c r="AE291">
        <v>0</v>
      </c>
      <c r="AF291">
        <v>5</v>
      </c>
      <c r="AG291">
        <v>3</v>
      </c>
      <c r="AH291">
        <v>3</v>
      </c>
      <c r="AI291">
        <v>5</v>
      </c>
      <c r="AJ291">
        <v>3</v>
      </c>
      <c r="AK291">
        <v>0</v>
      </c>
      <c r="AL291" t="str" cm="1">
        <f t="array" ref="AL29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91">
        <v>2</v>
      </c>
    </row>
    <row r="292" spans="1:39" x14ac:dyDescent="0.25">
      <c r="A292">
        <v>49</v>
      </c>
      <c r="B292" t="s">
        <v>44</v>
      </c>
      <c r="C292" t="s">
        <v>45</v>
      </c>
      <c r="D292">
        <v>636</v>
      </c>
      <c r="E292" t="s">
        <v>46</v>
      </c>
      <c r="G292">
        <v>10</v>
      </c>
      <c r="H292">
        <v>4</v>
      </c>
      <c r="I292" t="s">
        <v>39</v>
      </c>
      <c r="J292" t="str">
        <f>WA_Fn_UseC__HR_Employee_Attrition[[#This Row],[EducationField]]&amp;"-"&amp;WA_Fn_UseC__HR_Employee_Attrition[[#This Row],[Department]]</f>
        <v>Life Sciences-Research &amp; Development</v>
      </c>
      <c r="K292">
        <v>1</v>
      </c>
      <c r="L292">
        <v>396</v>
      </c>
      <c r="M292">
        <v>3</v>
      </c>
      <c r="N292" t="s">
        <v>40</v>
      </c>
      <c r="O292">
        <v>35</v>
      </c>
      <c r="P292">
        <v>3</v>
      </c>
      <c r="Q292">
        <v>5</v>
      </c>
      <c r="R292" t="s">
        <v>59</v>
      </c>
      <c r="S292">
        <v>1</v>
      </c>
      <c r="T292" t="s">
        <v>42</v>
      </c>
      <c r="U292">
        <v>18665</v>
      </c>
      <c r="V292" t="str" cm="1">
        <f t="array" ref="V29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92">
        <v>25594</v>
      </c>
      <c r="X292">
        <v>9</v>
      </c>
      <c r="Y292" t="s">
        <v>43</v>
      </c>
      <c r="Z292" t="s">
        <v>36</v>
      </c>
      <c r="AA292">
        <v>11</v>
      </c>
      <c r="AB292">
        <v>3</v>
      </c>
      <c r="AC292">
        <v>4</v>
      </c>
      <c r="AD292">
        <v>80</v>
      </c>
      <c r="AE292">
        <v>0</v>
      </c>
      <c r="AF292">
        <v>22</v>
      </c>
      <c r="AG292">
        <v>4</v>
      </c>
      <c r="AH292">
        <v>3</v>
      </c>
      <c r="AI292">
        <v>3</v>
      </c>
      <c r="AJ292">
        <v>2</v>
      </c>
      <c r="AK292">
        <v>1</v>
      </c>
      <c r="AL292" t="str" cm="1">
        <f t="array" ref="AL29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92">
        <v>2</v>
      </c>
    </row>
    <row r="293" spans="1:39" x14ac:dyDescent="0.25">
      <c r="A293">
        <v>36</v>
      </c>
      <c r="B293" t="s">
        <v>44</v>
      </c>
      <c r="C293" t="s">
        <v>37</v>
      </c>
      <c r="D293">
        <v>506</v>
      </c>
      <c r="E293" t="s">
        <v>46</v>
      </c>
      <c r="G293">
        <v>3</v>
      </c>
      <c r="H293">
        <v>3</v>
      </c>
      <c r="I293" t="s">
        <v>61</v>
      </c>
      <c r="J293" t="str">
        <f>WA_Fn_UseC__HR_Employee_Attrition[[#This Row],[EducationField]]&amp;"-"&amp;WA_Fn_UseC__HR_Employee_Attrition[[#This Row],[Department]]</f>
        <v>Technical Degree-Research &amp; Development</v>
      </c>
      <c r="K293">
        <v>1</v>
      </c>
      <c r="L293">
        <v>397</v>
      </c>
      <c r="M293">
        <v>3</v>
      </c>
      <c r="N293" t="s">
        <v>47</v>
      </c>
      <c r="O293">
        <v>30</v>
      </c>
      <c r="P293">
        <v>3</v>
      </c>
      <c r="Q293">
        <v>2</v>
      </c>
      <c r="R293" t="s">
        <v>48</v>
      </c>
      <c r="S293">
        <v>2</v>
      </c>
      <c r="T293" t="s">
        <v>42</v>
      </c>
      <c r="U293">
        <v>4485</v>
      </c>
      <c r="V293" t="str" cm="1">
        <f t="array" ref="V29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93">
        <v>26285</v>
      </c>
      <c r="X293">
        <v>4</v>
      </c>
      <c r="Y293" t="s">
        <v>43</v>
      </c>
      <c r="Z293" t="s">
        <v>44</v>
      </c>
      <c r="AA293">
        <v>12</v>
      </c>
      <c r="AB293">
        <v>3</v>
      </c>
      <c r="AC293">
        <v>4</v>
      </c>
      <c r="AD293">
        <v>80</v>
      </c>
      <c r="AE293">
        <v>0</v>
      </c>
      <c r="AF293">
        <v>10</v>
      </c>
      <c r="AG293">
        <v>2</v>
      </c>
      <c r="AH293">
        <v>3</v>
      </c>
      <c r="AI293">
        <v>8</v>
      </c>
      <c r="AJ293">
        <v>0</v>
      </c>
      <c r="AK293">
        <v>7</v>
      </c>
      <c r="AL293" t="str" cm="1">
        <f t="array" ref="AL29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93">
        <v>7</v>
      </c>
    </row>
    <row r="294" spans="1:39" x14ac:dyDescent="0.25">
      <c r="A294">
        <v>31</v>
      </c>
      <c r="B294" t="s">
        <v>44</v>
      </c>
      <c r="C294" t="s">
        <v>45</v>
      </c>
      <c r="D294">
        <v>444</v>
      </c>
      <c r="E294" t="s">
        <v>38</v>
      </c>
      <c r="G294">
        <v>5</v>
      </c>
      <c r="H294">
        <v>3</v>
      </c>
      <c r="I294" t="s">
        <v>60</v>
      </c>
      <c r="J294" t="str">
        <f>WA_Fn_UseC__HR_Employee_Attrition[[#This Row],[EducationField]]&amp;"-"&amp;WA_Fn_UseC__HR_Employee_Attrition[[#This Row],[Department]]</f>
        <v>Marketing-Sales</v>
      </c>
      <c r="K294">
        <v>1</v>
      </c>
      <c r="L294">
        <v>399</v>
      </c>
      <c r="M294">
        <v>4</v>
      </c>
      <c r="N294" t="s">
        <v>40</v>
      </c>
      <c r="O294">
        <v>84</v>
      </c>
      <c r="P294">
        <v>3</v>
      </c>
      <c r="Q294">
        <v>1</v>
      </c>
      <c r="R294" t="s">
        <v>58</v>
      </c>
      <c r="S294">
        <v>2</v>
      </c>
      <c r="T294" t="s">
        <v>53</v>
      </c>
      <c r="U294">
        <v>2789</v>
      </c>
      <c r="V294" t="str" cm="1">
        <f t="array" ref="V29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94">
        <v>3909</v>
      </c>
      <c r="X294">
        <v>1</v>
      </c>
      <c r="Y294" t="s">
        <v>43</v>
      </c>
      <c r="Z294" t="s">
        <v>44</v>
      </c>
      <c r="AA294">
        <v>11</v>
      </c>
      <c r="AB294">
        <v>3</v>
      </c>
      <c r="AC294">
        <v>3</v>
      </c>
      <c r="AD294">
        <v>80</v>
      </c>
      <c r="AE294">
        <v>1</v>
      </c>
      <c r="AF294">
        <v>2</v>
      </c>
      <c r="AG294">
        <v>5</v>
      </c>
      <c r="AH294">
        <v>2</v>
      </c>
      <c r="AI294">
        <v>2</v>
      </c>
      <c r="AJ294">
        <v>2</v>
      </c>
      <c r="AK294">
        <v>2</v>
      </c>
      <c r="AL294" t="str" cm="1">
        <f t="array" ref="AL29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94">
        <v>2</v>
      </c>
    </row>
    <row r="295" spans="1:39" x14ac:dyDescent="0.25">
      <c r="A295">
        <v>26</v>
      </c>
      <c r="B295" t="s">
        <v>36</v>
      </c>
      <c r="C295" t="s">
        <v>37</v>
      </c>
      <c r="D295">
        <v>950</v>
      </c>
      <c r="E295" t="s">
        <v>38</v>
      </c>
      <c r="G295">
        <v>4</v>
      </c>
      <c r="H295">
        <v>4</v>
      </c>
      <c r="I295" t="s">
        <v>60</v>
      </c>
      <c r="J295" t="str">
        <f>WA_Fn_UseC__HR_Employee_Attrition[[#This Row],[EducationField]]&amp;"-"&amp;WA_Fn_UseC__HR_Employee_Attrition[[#This Row],[Department]]</f>
        <v>Marketing-Sales</v>
      </c>
      <c r="K295">
        <v>1</v>
      </c>
      <c r="L295">
        <v>401</v>
      </c>
      <c r="M295">
        <v>4</v>
      </c>
      <c r="N295" t="s">
        <v>47</v>
      </c>
      <c r="O295">
        <v>48</v>
      </c>
      <c r="P295">
        <v>2</v>
      </c>
      <c r="Q295">
        <v>2</v>
      </c>
      <c r="R295" t="s">
        <v>41</v>
      </c>
      <c r="S295">
        <v>4</v>
      </c>
      <c r="T295" t="s">
        <v>42</v>
      </c>
      <c r="U295">
        <v>5828</v>
      </c>
      <c r="V295" t="str" cm="1">
        <f t="array" ref="V29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295">
        <v>8450</v>
      </c>
      <c r="X295">
        <v>1</v>
      </c>
      <c r="Y295" t="s">
        <v>43</v>
      </c>
      <c r="Z295" t="s">
        <v>36</v>
      </c>
      <c r="AA295">
        <v>12</v>
      </c>
      <c r="AB295">
        <v>3</v>
      </c>
      <c r="AC295">
        <v>2</v>
      </c>
      <c r="AD295">
        <v>80</v>
      </c>
      <c r="AE295">
        <v>0</v>
      </c>
      <c r="AF295">
        <v>8</v>
      </c>
      <c r="AG295">
        <v>0</v>
      </c>
      <c r="AH295">
        <v>3</v>
      </c>
      <c r="AI295">
        <v>8</v>
      </c>
      <c r="AJ295">
        <v>7</v>
      </c>
      <c r="AK295">
        <v>7</v>
      </c>
      <c r="AL295" t="str" cm="1">
        <f t="array" ref="AL29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295">
        <v>4</v>
      </c>
    </row>
    <row r="296" spans="1:39" x14ac:dyDescent="0.25">
      <c r="A296">
        <v>37</v>
      </c>
      <c r="B296" t="s">
        <v>44</v>
      </c>
      <c r="C296" t="s">
        <v>45</v>
      </c>
      <c r="D296">
        <v>889</v>
      </c>
      <c r="E296" t="s">
        <v>46</v>
      </c>
      <c r="G296">
        <v>9</v>
      </c>
      <c r="H296">
        <v>3</v>
      </c>
      <c r="I296" t="s">
        <v>52</v>
      </c>
      <c r="J296" t="str">
        <f>WA_Fn_UseC__HR_Employee_Attrition[[#This Row],[EducationField]]&amp;"-"&amp;WA_Fn_UseC__HR_Employee_Attrition[[#This Row],[Department]]</f>
        <v>Medical-Research &amp; Development</v>
      </c>
      <c r="K296">
        <v>1</v>
      </c>
      <c r="L296">
        <v>403</v>
      </c>
      <c r="M296">
        <v>2</v>
      </c>
      <c r="N296" t="s">
        <v>47</v>
      </c>
      <c r="O296">
        <v>53</v>
      </c>
      <c r="P296">
        <v>3</v>
      </c>
      <c r="Q296">
        <v>1</v>
      </c>
      <c r="R296" t="s">
        <v>48</v>
      </c>
      <c r="S296">
        <v>4</v>
      </c>
      <c r="T296" t="s">
        <v>49</v>
      </c>
      <c r="U296">
        <v>2326</v>
      </c>
      <c r="V296" t="str" cm="1">
        <f t="array" ref="V29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96">
        <v>11411</v>
      </c>
      <c r="X296">
        <v>1</v>
      </c>
      <c r="Y296" t="s">
        <v>43</v>
      </c>
      <c r="Z296" t="s">
        <v>36</v>
      </c>
      <c r="AA296">
        <v>12</v>
      </c>
      <c r="AB296">
        <v>3</v>
      </c>
      <c r="AC296">
        <v>3</v>
      </c>
      <c r="AD296">
        <v>80</v>
      </c>
      <c r="AE296">
        <v>3</v>
      </c>
      <c r="AF296">
        <v>4</v>
      </c>
      <c r="AG296">
        <v>3</v>
      </c>
      <c r="AH296">
        <v>2</v>
      </c>
      <c r="AI296">
        <v>4</v>
      </c>
      <c r="AJ296">
        <v>2</v>
      </c>
      <c r="AK296">
        <v>1</v>
      </c>
      <c r="AL296" t="str" cm="1">
        <f t="array" ref="AL29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96">
        <v>2</v>
      </c>
    </row>
    <row r="297" spans="1:39" x14ac:dyDescent="0.25">
      <c r="A297">
        <v>42</v>
      </c>
      <c r="B297" t="s">
        <v>44</v>
      </c>
      <c r="C297" t="s">
        <v>45</v>
      </c>
      <c r="D297">
        <v>555</v>
      </c>
      <c r="E297" t="s">
        <v>38</v>
      </c>
      <c r="G297">
        <v>26</v>
      </c>
      <c r="H297">
        <v>3</v>
      </c>
      <c r="I297" t="s">
        <v>60</v>
      </c>
      <c r="J297" t="str">
        <f>WA_Fn_UseC__HR_Employee_Attrition[[#This Row],[EducationField]]&amp;"-"&amp;WA_Fn_UseC__HR_Employee_Attrition[[#This Row],[Department]]</f>
        <v>Marketing-Sales</v>
      </c>
      <c r="K297">
        <v>1</v>
      </c>
      <c r="L297">
        <v>404</v>
      </c>
      <c r="M297">
        <v>3</v>
      </c>
      <c r="N297" t="s">
        <v>40</v>
      </c>
      <c r="O297">
        <v>77</v>
      </c>
      <c r="P297">
        <v>3</v>
      </c>
      <c r="Q297">
        <v>4</v>
      </c>
      <c r="R297" t="s">
        <v>41</v>
      </c>
      <c r="S297">
        <v>2</v>
      </c>
      <c r="T297" t="s">
        <v>49</v>
      </c>
      <c r="U297">
        <v>13525</v>
      </c>
      <c r="V297" t="str" cm="1">
        <f t="array" ref="V29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97">
        <v>14864</v>
      </c>
      <c r="X297">
        <v>5</v>
      </c>
      <c r="Y297" t="s">
        <v>43</v>
      </c>
      <c r="Z297" t="s">
        <v>44</v>
      </c>
      <c r="AA297">
        <v>14</v>
      </c>
      <c r="AB297">
        <v>3</v>
      </c>
      <c r="AC297">
        <v>4</v>
      </c>
      <c r="AD297">
        <v>80</v>
      </c>
      <c r="AE297">
        <v>1</v>
      </c>
      <c r="AF297">
        <v>23</v>
      </c>
      <c r="AG297">
        <v>2</v>
      </c>
      <c r="AH297">
        <v>4</v>
      </c>
      <c r="AI297">
        <v>20</v>
      </c>
      <c r="AJ297">
        <v>4</v>
      </c>
      <c r="AK297">
        <v>4</v>
      </c>
      <c r="AL297" t="str" cm="1">
        <f t="array" ref="AL29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97">
        <v>8</v>
      </c>
    </row>
    <row r="298" spans="1:39" x14ac:dyDescent="0.25">
      <c r="A298">
        <v>18</v>
      </c>
      <c r="B298" t="s">
        <v>36</v>
      </c>
      <c r="C298" t="s">
        <v>37</v>
      </c>
      <c r="D298">
        <v>230</v>
      </c>
      <c r="E298" t="s">
        <v>46</v>
      </c>
      <c r="G298">
        <v>3</v>
      </c>
      <c r="H298">
        <v>3</v>
      </c>
      <c r="I298" t="s">
        <v>39</v>
      </c>
      <c r="J298" t="str">
        <f>WA_Fn_UseC__HR_Employee_Attrition[[#This Row],[EducationField]]&amp;"-"&amp;WA_Fn_UseC__HR_Employee_Attrition[[#This Row],[Department]]</f>
        <v>Life Sciences-Research &amp; Development</v>
      </c>
      <c r="K298">
        <v>1</v>
      </c>
      <c r="L298">
        <v>405</v>
      </c>
      <c r="M298">
        <v>3</v>
      </c>
      <c r="N298" t="s">
        <v>47</v>
      </c>
      <c r="O298">
        <v>54</v>
      </c>
      <c r="P298">
        <v>3</v>
      </c>
      <c r="Q298">
        <v>1</v>
      </c>
      <c r="R298" t="s">
        <v>51</v>
      </c>
      <c r="S298">
        <v>3</v>
      </c>
      <c r="T298" t="s">
        <v>42</v>
      </c>
      <c r="U298">
        <v>1420</v>
      </c>
      <c r="V298" t="str" cm="1">
        <f t="array" ref="V29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298">
        <v>25233</v>
      </c>
      <c r="X298">
        <v>1</v>
      </c>
      <c r="Y298" t="s">
        <v>43</v>
      </c>
      <c r="Z298" t="s">
        <v>44</v>
      </c>
      <c r="AA298">
        <v>13</v>
      </c>
      <c r="AB298">
        <v>3</v>
      </c>
      <c r="AC298">
        <v>3</v>
      </c>
      <c r="AD298">
        <v>80</v>
      </c>
      <c r="AE298">
        <v>0</v>
      </c>
      <c r="AF298">
        <v>0</v>
      </c>
      <c r="AG298">
        <v>2</v>
      </c>
      <c r="AH298">
        <v>3</v>
      </c>
      <c r="AI298">
        <v>0</v>
      </c>
      <c r="AJ298">
        <v>0</v>
      </c>
      <c r="AK298">
        <v>0</v>
      </c>
      <c r="AL298" t="str" cm="1">
        <f t="array" ref="AL29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298">
        <v>0</v>
      </c>
    </row>
    <row r="299" spans="1:39" x14ac:dyDescent="0.25">
      <c r="A299">
        <v>35</v>
      </c>
      <c r="B299" t="s">
        <v>44</v>
      </c>
      <c r="C299" t="s">
        <v>37</v>
      </c>
      <c r="D299">
        <v>1232</v>
      </c>
      <c r="E299" t="s">
        <v>38</v>
      </c>
      <c r="G299">
        <v>16</v>
      </c>
      <c r="H299">
        <v>3</v>
      </c>
      <c r="I299" t="s">
        <v>60</v>
      </c>
      <c r="J299" t="str">
        <f>WA_Fn_UseC__HR_Employee_Attrition[[#This Row],[EducationField]]&amp;"-"&amp;WA_Fn_UseC__HR_Employee_Attrition[[#This Row],[Department]]</f>
        <v>Marketing-Sales</v>
      </c>
      <c r="K299">
        <v>1</v>
      </c>
      <c r="L299">
        <v>406</v>
      </c>
      <c r="M299">
        <v>3</v>
      </c>
      <c r="N299" t="s">
        <v>47</v>
      </c>
      <c r="O299">
        <v>96</v>
      </c>
      <c r="P299">
        <v>3</v>
      </c>
      <c r="Q299">
        <v>3</v>
      </c>
      <c r="R299" t="s">
        <v>41</v>
      </c>
      <c r="S299">
        <v>2</v>
      </c>
      <c r="T299" t="s">
        <v>49</v>
      </c>
      <c r="U299">
        <v>8020</v>
      </c>
      <c r="V299" t="str" cm="1">
        <f t="array" ref="V29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299">
        <v>5100</v>
      </c>
      <c r="X299">
        <v>0</v>
      </c>
      <c r="Y299" t="s">
        <v>43</v>
      </c>
      <c r="Z299" t="s">
        <v>44</v>
      </c>
      <c r="AA299">
        <v>15</v>
      </c>
      <c r="AB299">
        <v>3</v>
      </c>
      <c r="AC299">
        <v>3</v>
      </c>
      <c r="AD299">
        <v>80</v>
      </c>
      <c r="AE299">
        <v>2</v>
      </c>
      <c r="AF299">
        <v>12</v>
      </c>
      <c r="AG299">
        <v>3</v>
      </c>
      <c r="AH299">
        <v>2</v>
      </c>
      <c r="AI299">
        <v>11</v>
      </c>
      <c r="AJ299">
        <v>9</v>
      </c>
      <c r="AK299">
        <v>6</v>
      </c>
      <c r="AL299" t="str" cm="1">
        <f t="array" ref="AL29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299">
        <v>9</v>
      </c>
    </row>
    <row r="300" spans="1:39" x14ac:dyDescent="0.25">
      <c r="A300">
        <v>36</v>
      </c>
      <c r="B300" t="s">
        <v>44</v>
      </c>
      <c r="C300" t="s">
        <v>45</v>
      </c>
      <c r="D300">
        <v>566</v>
      </c>
      <c r="E300" t="s">
        <v>46</v>
      </c>
      <c r="G300">
        <v>18</v>
      </c>
      <c r="H300">
        <v>4</v>
      </c>
      <c r="I300" t="s">
        <v>39</v>
      </c>
      <c r="J300" t="str">
        <f>WA_Fn_UseC__HR_Employee_Attrition[[#This Row],[EducationField]]&amp;"-"&amp;WA_Fn_UseC__HR_Employee_Attrition[[#This Row],[Department]]</f>
        <v>Life Sciences-Research &amp; Development</v>
      </c>
      <c r="K300">
        <v>1</v>
      </c>
      <c r="L300">
        <v>407</v>
      </c>
      <c r="M300">
        <v>3</v>
      </c>
      <c r="N300" t="s">
        <v>47</v>
      </c>
      <c r="O300">
        <v>81</v>
      </c>
      <c r="P300">
        <v>4</v>
      </c>
      <c r="Q300">
        <v>1</v>
      </c>
      <c r="R300" t="s">
        <v>51</v>
      </c>
      <c r="S300">
        <v>4</v>
      </c>
      <c r="T300" t="s">
        <v>49</v>
      </c>
      <c r="U300">
        <v>3688</v>
      </c>
      <c r="V300" t="str" cm="1">
        <f t="array" ref="V30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00">
        <v>7122</v>
      </c>
      <c r="X300">
        <v>4</v>
      </c>
      <c r="Y300" t="s">
        <v>43</v>
      </c>
      <c r="Z300" t="s">
        <v>44</v>
      </c>
      <c r="AA300">
        <v>18</v>
      </c>
      <c r="AB300">
        <v>3</v>
      </c>
      <c r="AC300">
        <v>4</v>
      </c>
      <c r="AD300">
        <v>80</v>
      </c>
      <c r="AE300">
        <v>2</v>
      </c>
      <c r="AF300">
        <v>4</v>
      </c>
      <c r="AG300">
        <v>2</v>
      </c>
      <c r="AH300">
        <v>3</v>
      </c>
      <c r="AI300">
        <v>1</v>
      </c>
      <c r="AJ300">
        <v>0</v>
      </c>
      <c r="AK300">
        <v>0</v>
      </c>
      <c r="AL300" t="str" cm="1">
        <f t="array" ref="AL30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00">
        <v>0</v>
      </c>
    </row>
    <row r="301" spans="1:39" x14ac:dyDescent="0.25">
      <c r="A301">
        <v>51</v>
      </c>
      <c r="B301" t="s">
        <v>44</v>
      </c>
      <c r="C301" t="s">
        <v>37</v>
      </c>
      <c r="D301">
        <v>1302</v>
      </c>
      <c r="E301" t="s">
        <v>46</v>
      </c>
      <c r="G301">
        <v>2</v>
      </c>
      <c r="H301">
        <v>3</v>
      </c>
      <c r="I301" t="s">
        <v>52</v>
      </c>
      <c r="J301" t="str">
        <f>WA_Fn_UseC__HR_Employee_Attrition[[#This Row],[EducationField]]&amp;"-"&amp;WA_Fn_UseC__HR_Employee_Attrition[[#This Row],[Department]]</f>
        <v>Medical-Research &amp; Development</v>
      </c>
      <c r="K301">
        <v>1</v>
      </c>
      <c r="L301">
        <v>408</v>
      </c>
      <c r="M301">
        <v>4</v>
      </c>
      <c r="N301" t="s">
        <v>47</v>
      </c>
      <c r="O301">
        <v>84</v>
      </c>
      <c r="P301">
        <v>1</v>
      </c>
      <c r="Q301">
        <v>2</v>
      </c>
      <c r="R301" t="s">
        <v>54</v>
      </c>
      <c r="S301">
        <v>2</v>
      </c>
      <c r="T301" t="s">
        <v>53</v>
      </c>
      <c r="U301">
        <v>5482</v>
      </c>
      <c r="V301" t="str" cm="1">
        <f t="array" ref="V30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01">
        <v>16321</v>
      </c>
      <c r="X301">
        <v>5</v>
      </c>
      <c r="Y301" t="s">
        <v>43</v>
      </c>
      <c r="Z301" t="s">
        <v>44</v>
      </c>
      <c r="AA301">
        <v>18</v>
      </c>
      <c r="AB301">
        <v>3</v>
      </c>
      <c r="AC301">
        <v>4</v>
      </c>
      <c r="AD301">
        <v>80</v>
      </c>
      <c r="AE301">
        <v>1</v>
      </c>
      <c r="AF301">
        <v>13</v>
      </c>
      <c r="AG301">
        <v>3</v>
      </c>
      <c r="AH301">
        <v>3</v>
      </c>
      <c r="AI301">
        <v>4</v>
      </c>
      <c r="AJ301">
        <v>1</v>
      </c>
      <c r="AK301">
        <v>1</v>
      </c>
      <c r="AL301" t="str" cm="1">
        <f t="array" ref="AL30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01">
        <v>2</v>
      </c>
    </row>
    <row r="302" spans="1:39" x14ac:dyDescent="0.25">
      <c r="A302">
        <v>41</v>
      </c>
      <c r="B302" t="s">
        <v>44</v>
      </c>
      <c r="C302" t="s">
        <v>37</v>
      </c>
      <c r="D302">
        <v>334</v>
      </c>
      <c r="E302" t="s">
        <v>38</v>
      </c>
      <c r="G302">
        <v>2</v>
      </c>
      <c r="H302">
        <v>4</v>
      </c>
      <c r="I302" t="s">
        <v>39</v>
      </c>
      <c r="J302" t="str">
        <f>WA_Fn_UseC__HR_Employee_Attrition[[#This Row],[EducationField]]&amp;"-"&amp;WA_Fn_UseC__HR_Employee_Attrition[[#This Row],[Department]]</f>
        <v>Life Sciences-Sales</v>
      </c>
      <c r="K302">
        <v>1</v>
      </c>
      <c r="L302">
        <v>410</v>
      </c>
      <c r="M302">
        <v>4</v>
      </c>
      <c r="N302" t="s">
        <v>47</v>
      </c>
      <c r="O302">
        <v>88</v>
      </c>
      <c r="P302">
        <v>3</v>
      </c>
      <c r="Q302">
        <v>4</v>
      </c>
      <c r="R302" t="s">
        <v>57</v>
      </c>
      <c r="S302">
        <v>2</v>
      </c>
      <c r="T302" t="s">
        <v>42</v>
      </c>
      <c r="U302">
        <v>16015</v>
      </c>
      <c r="V302" t="str" cm="1">
        <f t="array" ref="V30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02">
        <v>15896</v>
      </c>
      <c r="X302">
        <v>1</v>
      </c>
      <c r="Y302" t="s">
        <v>43</v>
      </c>
      <c r="Z302" t="s">
        <v>44</v>
      </c>
      <c r="AA302">
        <v>19</v>
      </c>
      <c r="AB302">
        <v>3</v>
      </c>
      <c r="AC302">
        <v>2</v>
      </c>
      <c r="AD302">
        <v>80</v>
      </c>
      <c r="AE302">
        <v>0</v>
      </c>
      <c r="AF302">
        <v>22</v>
      </c>
      <c r="AG302">
        <v>2</v>
      </c>
      <c r="AH302">
        <v>3</v>
      </c>
      <c r="AI302">
        <v>22</v>
      </c>
      <c r="AJ302">
        <v>10</v>
      </c>
      <c r="AK302">
        <v>0</v>
      </c>
      <c r="AL302" t="str" cm="1">
        <f t="array" ref="AL30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02">
        <v>4</v>
      </c>
    </row>
    <row r="303" spans="1:39" x14ac:dyDescent="0.25">
      <c r="A303">
        <v>18</v>
      </c>
      <c r="B303" t="s">
        <v>44</v>
      </c>
      <c r="C303" t="s">
        <v>37</v>
      </c>
      <c r="D303">
        <v>812</v>
      </c>
      <c r="E303" t="s">
        <v>38</v>
      </c>
      <c r="G303">
        <v>10</v>
      </c>
      <c r="H303">
        <v>3</v>
      </c>
      <c r="I303" t="s">
        <v>52</v>
      </c>
      <c r="J303" t="str">
        <f>WA_Fn_UseC__HR_Employee_Attrition[[#This Row],[EducationField]]&amp;"-"&amp;WA_Fn_UseC__HR_Employee_Attrition[[#This Row],[Department]]</f>
        <v>Medical-Sales</v>
      </c>
      <c r="K303">
        <v>1</v>
      </c>
      <c r="L303">
        <v>411</v>
      </c>
      <c r="M303">
        <v>4</v>
      </c>
      <c r="N303" t="s">
        <v>40</v>
      </c>
      <c r="O303">
        <v>69</v>
      </c>
      <c r="P303">
        <v>2</v>
      </c>
      <c r="Q303">
        <v>1</v>
      </c>
      <c r="R303" t="s">
        <v>58</v>
      </c>
      <c r="S303">
        <v>3</v>
      </c>
      <c r="T303" t="s">
        <v>42</v>
      </c>
      <c r="U303">
        <v>1200</v>
      </c>
      <c r="V303" t="str" cm="1">
        <f t="array" ref="V30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03">
        <v>9724</v>
      </c>
      <c r="X303">
        <v>1</v>
      </c>
      <c r="Y303" t="s">
        <v>43</v>
      </c>
      <c r="Z303" t="s">
        <v>44</v>
      </c>
      <c r="AA303">
        <v>12</v>
      </c>
      <c r="AB303">
        <v>3</v>
      </c>
      <c r="AC303">
        <v>1</v>
      </c>
      <c r="AD303">
        <v>80</v>
      </c>
      <c r="AE303">
        <v>0</v>
      </c>
      <c r="AF303">
        <v>0</v>
      </c>
      <c r="AG303">
        <v>2</v>
      </c>
      <c r="AH303">
        <v>3</v>
      </c>
      <c r="AI303">
        <v>0</v>
      </c>
      <c r="AJ303">
        <v>0</v>
      </c>
      <c r="AK303">
        <v>0</v>
      </c>
      <c r="AL303" t="str" cm="1">
        <f t="array" ref="AL30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03">
        <v>0</v>
      </c>
    </row>
    <row r="304" spans="1:39" x14ac:dyDescent="0.25">
      <c r="A304">
        <v>28</v>
      </c>
      <c r="B304" t="s">
        <v>44</v>
      </c>
      <c r="C304" t="s">
        <v>37</v>
      </c>
      <c r="D304">
        <v>1476</v>
      </c>
      <c r="E304" t="s">
        <v>46</v>
      </c>
      <c r="G304">
        <v>16</v>
      </c>
      <c r="H304">
        <v>2</v>
      </c>
      <c r="I304" t="s">
        <v>52</v>
      </c>
      <c r="J304" t="str">
        <f>WA_Fn_UseC__HR_Employee_Attrition[[#This Row],[EducationField]]&amp;"-"&amp;WA_Fn_UseC__HR_Employee_Attrition[[#This Row],[Department]]</f>
        <v>Medical-Research &amp; Development</v>
      </c>
      <c r="K304">
        <v>1</v>
      </c>
      <c r="L304">
        <v>412</v>
      </c>
      <c r="M304">
        <v>2</v>
      </c>
      <c r="N304" t="s">
        <v>47</v>
      </c>
      <c r="O304">
        <v>68</v>
      </c>
      <c r="P304">
        <v>4</v>
      </c>
      <c r="Q304">
        <v>2</v>
      </c>
      <c r="R304" t="s">
        <v>55</v>
      </c>
      <c r="S304">
        <v>1</v>
      </c>
      <c r="T304" t="s">
        <v>42</v>
      </c>
      <c r="U304">
        <v>5661</v>
      </c>
      <c r="V304" t="str" cm="1">
        <f t="array" ref="V30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04">
        <v>4824</v>
      </c>
      <c r="X304">
        <v>0</v>
      </c>
      <c r="Y304" t="s">
        <v>43</v>
      </c>
      <c r="Z304" t="s">
        <v>44</v>
      </c>
      <c r="AA304">
        <v>19</v>
      </c>
      <c r="AB304">
        <v>3</v>
      </c>
      <c r="AC304">
        <v>3</v>
      </c>
      <c r="AD304">
        <v>80</v>
      </c>
      <c r="AE304">
        <v>0</v>
      </c>
      <c r="AF304">
        <v>9</v>
      </c>
      <c r="AG304">
        <v>2</v>
      </c>
      <c r="AH304">
        <v>3</v>
      </c>
      <c r="AI304">
        <v>8</v>
      </c>
      <c r="AJ304">
        <v>3</v>
      </c>
      <c r="AK304">
        <v>0</v>
      </c>
      <c r="AL304" t="str" cm="1">
        <f t="array" ref="AL30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04">
        <v>7</v>
      </c>
    </row>
    <row r="305" spans="1:39" x14ac:dyDescent="0.25">
      <c r="A305">
        <v>31</v>
      </c>
      <c r="B305" t="s">
        <v>44</v>
      </c>
      <c r="C305" t="s">
        <v>37</v>
      </c>
      <c r="D305">
        <v>218</v>
      </c>
      <c r="E305" t="s">
        <v>38</v>
      </c>
      <c r="G305">
        <v>7</v>
      </c>
      <c r="H305">
        <v>3</v>
      </c>
      <c r="I305" t="s">
        <v>61</v>
      </c>
      <c r="J305" t="str">
        <f>WA_Fn_UseC__HR_Employee_Attrition[[#This Row],[EducationField]]&amp;"-"&amp;WA_Fn_UseC__HR_Employee_Attrition[[#This Row],[Department]]</f>
        <v>Technical Degree-Sales</v>
      </c>
      <c r="K305">
        <v>1</v>
      </c>
      <c r="L305">
        <v>416</v>
      </c>
      <c r="M305">
        <v>2</v>
      </c>
      <c r="N305" t="s">
        <v>47</v>
      </c>
      <c r="O305">
        <v>100</v>
      </c>
      <c r="P305">
        <v>4</v>
      </c>
      <c r="Q305">
        <v>2</v>
      </c>
      <c r="R305" t="s">
        <v>41</v>
      </c>
      <c r="S305">
        <v>4</v>
      </c>
      <c r="T305" t="s">
        <v>49</v>
      </c>
      <c r="U305">
        <v>6929</v>
      </c>
      <c r="V305" t="str" cm="1">
        <f t="array" ref="V30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05">
        <v>12241</v>
      </c>
      <c r="X305">
        <v>4</v>
      </c>
      <c r="Y305" t="s">
        <v>43</v>
      </c>
      <c r="Z305" t="s">
        <v>44</v>
      </c>
      <c r="AA305">
        <v>11</v>
      </c>
      <c r="AB305">
        <v>3</v>
      </c>
      <c r="AC305">
        <v>2</v>
      </c>
      <c r="AD305">
        <v>80</v>
      </c>
      <c r="AE305">
        <v>1</v>
      </c>
      <c r="AF305">
        <v>10</v>
      </c>
      <c r="AG305">
        <v>3</v>
      </c>
      <c r="AH305">
        <v>2</v>
      </c>
      <c r="AI305">
        <v>8</v>
      </c>
      <c r="AJ305">
        <v>7</v>
      </c>
      <c r="AK305">
        <v>7</v>
      </c>
      <c r="AL305" t="str" cm="1">
        <f t="array" ref="AL30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05">
        <v>7</v>
      </c>
    </row>
    <row r="306" spans="1:39" x14ac:dyDescent="0.25">
      <c r="A306">
        <v>39</v>
      </c>
      <c r="B306" t="s">
        <v>44</v>
      </c>
      <c r="C306" t="s">
        <v>37</v>
      </c>
      <c r="D306">
        <v>1132</v>
      </c>
      <c r="E306" t="s">
        <v>46</v>
      </c>
      <c r="G306">
        <v>1</v>
      </c>
      <c r="H306">
        <v>3</v>
      </c>
      <c r="I306" t="s">
        <v>52</v>
      </c>
      <c r="J306" t="str">
        <f>WA_Fn_UseC__HR_Employee_Attrition[[#This Row],[EducationField]]&amp;"-"&amp;WA_Fn_UseC__HR_Employee_Attrition[[#This Row],[Department]]</f>
        <v>Medical-Research &amp; Development</v>
      </c>
      <c r="K306">
        <v>1</v>
      </c>
      <c r="L306">
        <v>417</v>
      </c>
      <c r="M306">
        <v>3</v>
      </c>
      <c r="N306" t="s">
        <v>47</v>
      </c>
      <c r="O306">
        <v>48</v>
      </c>
      <c r="P306">
        <v>4</v>
      </c>
      <c r="Q306">
        <v>3</v>
      </c>
      <c r="R306" t="s">
        <v>55</v>
      </c>
      <c r="S306">
        <v>4</v>
      </c>
      <c r="T306" t="s">
        <v>53</v>
      </c>
      <c r="U306">
        <v>9613</v>
      </c>
      <c r="V306" t="str" cm="1">
        <f t="array" ref="V30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06">
        <v>10942</v>
      </c>
      <c r="X306">
        <v>0</v>
      </c>
      <c r="Y306" t="s">
        <v>43</v>
      </c>
      <c r="Z306" t="s">
        <v>44</v>
      </c>
      <c r="AA306">
        <v>17</v>
      </c>
      <c r="AB306">
        <v>3</v>
      </c>
      <c r="AC306">
        <v>1</v>
      </c>
      <c r="AD306">
        <v>80</v>
      </c>
      <c r="AE306">
        <v>3</v>
      </c>
      <c r="AF306">
        <v>19</v>
      </c>
      <c r="AG306">
        <v>5</v>
      </c>
      <c r="AH306">
        <v>2</v>
      </c>
      <c r="AI306">
        <v>18</v>
      </c>
      <c r="AJ306">
        <v>10</v>
      </c>
      <c r="AK306">
        <v>3</v>
      </c>
      <c r="AL306" t="str" cm="1">
        <f t="array" ref="AL30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06">
        <v>7</v>
      </c>
    </row>
    <row r="307" spans="1:39" x14ac:dyDescent="0.25">
      <c r="A307">
        <v>36</v>
      </c>
      <c r="B307" t="s">
        <v>44</v>
      </c>
      <c r="C307" t="s">
        <v>56</v>
      </c>
      <c r="D307">
        <v>1105</v>
      </c>
      <c r="E307" t="s">
        <v>46</v>
      </c>
      <c r="G307">
        <v>24</v>
      </c>
      <c r="H307">
        <v>4</v>
      </c>
      <c r="I307" t="s">
        <v>39</v>
      </c>
      <c r="J307" t="str">
        <f>WA_Fn_UseC__HR_Employee_Attrition[[#This Row],[EducationField]]&amp;"-"&amp;WA_Fn_UseC__HR_Employee_Attrition[[#This Row],[Department]]</f>
        <v>Life Sciences-Research &amp; Development</v>
      </c>
      <c r="K307">
        <v>1</v>
      </c>
      <c r="L307">
        <v>419</v>
      </c>
      <c r="M307">
        <v>2</v>
      </c>
      <c r="N307" t="s">
        <v>40</v>
      </c>
      <c r="O307">
        <v>47</v>
      </c>
      <c r="P307">
        <v>3</v>
      </c>
      <c r="Q307">
        <v>2</v>
      </c>
      <c r="R307" t="s">
        <v>51</v>
      </c>
      <c r="S307">
        <v>2</v>
      </c>
      <c r="T307" t="s">
        <v>49</v>
      </c>
      <c r="U307">
        <v>5674</v>
      </c>
      <c r="V307" t="str" cm="1">
        <f t="array" ref="V30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07">
        <v>6927</v>
      </c>
      <c r="X307">
        <v>7</v>
      </c>
      <c r="Y307" t="s">
        <v>43</v>
      </c>
      <c r="Z307" t="s">
        <v>44</v>
      </c>
      <c r="AA307">
        <v>15</v>
      </c>
      <c r="AB307">
        <v>3</v>
      </c>
      <c r="AC307">
        <v>3</v>
      </c>
      <c r="AD307">
        <v>80</v>
      </c>
      <c r="AE307">
        <v>1</v>
      </c>
      <c r="AF307">
        <v>11</v>
      </c>
      <c r="AG307">
        <v>3</v>
      </c>
      <c r="AH307">
        <v>3</v>
      </c>
      <c r="AI307">
        <v>9</v>
      </c>
      <c r="AJ307">
        <v>8</v>
      </c>
      <c r="AK307">
        <v>0</v>
      </c>
      <c r="AL307" t="str" cm="1">
        <f t="array" ref="AL30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07">
        <v>8</v>
      </c>
    </row>
    <row r="308" spans="1:39" x14ac:dyDescent="0.25">
      <c r="A308">
        <v>32</v>
      </c>
      <c r="B308" t="s">
        <v>44</v>
      </c>
      <c r="C308" t="s">
        <v>37</v>
      </c>
      <c r="D308">
        <v>906</v>
      </c>
      <c r="E308" t="s">
        <v>38</v>
      </c>
      <c r="G308">
        <v>7</v>
      </c>
      <c r="H308">
        <v>3</v>
      </c>
      <c r="I308" t="s">
        <v>39</v>
      </c>
      <c r="J308" t="str">
        <f>WA_Fn_UseC__HR_Employee_Attrition[[#This Row],[EducationField]]&amp;"-"&amp;WA_Fn_UseC__HR_Employee_Attrition[[#This Row],[Department]]</f>
        <v>Life Sciences-Sales</v>
      </c>
      <c r="K308">
        <v>1</v>
      </c>
      <c r="L308">
        <v>420</v>
      </c>
      <c r="M308">
        <v>4</v>
      </c>
      <c r="N308" t="s">
        <v>47</v>
      </c>
      <c r="O308">
        <v>91</v>
      </c>
      <c r="P308">
        <v>2</v>
      </c>
      <c r="Q308">
        <v>2</v>
      </c>
      <c r="R308" t="s">
        <v>41</v>
      </c>
      <c r="S308">
        <v>3</v>
      </c>
      <c r="T308" t="s">
        <v>49</v>
      </c>
      <c r="U308">
        <v>5484</v>
      </c>
      <c r="V308" t="str" cm="1">
        <f t="array" ref="V30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08">
        <v>16985</v>
      </c>
      <c r="X308">
        <v>1</v>
      </c>
      <c r="Y308" t="s">
        <v>43</v>
      </c>
      <c r="Z308" t="s">
        <v>44</v>
      </c>
      <c r="AA308">
        <v>14</v>
      </c>
      <c r="AB308">
        <v>3</v>
      </c>
      <c r="AC308">
        <v>3</v>
      </c>
      <c r="AD308">
        <v>80</v>
      </c>
      <c r="AE308">
        <v>1</v>
      </c>
      <c r="AF308">
        <v>13</v>
      </c>
      <c r="AG308">
        <v>3</v>
      </c>
      <c r="AH308">
        <v>2</v>
      </c>
      <c r="AI308">
        <v>13</v>
      </c>
      <c r="AJ308">
        <v>8</v>
      </c>
      <c r="AK308">
        <v>4</v>
      </c>
      <c r="AL308" t="str" cm="1">
        <f t="array" ref="AL30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08">
        <v>8</v>
      </c>
    </row>
    <row r="309" spans="1:39" x14ac:dyDescent="0.25">
      <c r="A309">
        <v>38</v>
      </c>
      <c r="B309" t="s">
        <v>44</v>
      </c>
      <c r="C309" t="s">
        <v>37</v>
      </c>
      <c r="D309">
        <v>849</v>
      </c>
      <c r="E309" t="s">
        <v>46</v>
      </c>
      <c r="G309">
        <v>25</v>
      </c>
      <c r="H309">
        <v>2</v>
      </c>
      <c r="I309" t="s">
        <v>39</v>
      </c>
      <c r="J309" t="str">
        <f>WA_Fn_UseC__HR_Employee_Attrition[[#This Row],[EducationField]]&amp;"-"&amp;WA_Fn_UseC__HR_Employee_Attrition[[#This Row],[Department]]</f>
        <v>Life Sciences-Research &amp; Development</v>
      </c>
      <c r="K309">
        <v>1</v>
      </c>
      <c r="L309">
        <v>421</v>
      </c>
      <c r="M309">
        <v>1</v>
      </c>
      <c r="N309" t="s">
        <v>40</v>
      </c>
      <c r="O309">
        <v>81</v>
      </c>
      <c r="P309">
        <v>2</v>
      </c>
      <c r="Q309">
        <v>3</v>
      </c>
      <c r="R309" t="s">
        <v>59</v>
      </c>
      <c r="S309">
        <v>2</v>
      </c>
      <c r="T309" t="s">
        <v>49</v>
      </c>
      <c r="U309">
        <v>12061</v>
      </c>
      <c r="V309" t="str" cm="1">
        <f t="array" ref="V30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09">
        <v>26707</v>
      </c>
      <c r="X309">
        <v>3</v>
      </c>
      <c r="Y309" t="s">
        <v>43</v>
      </c>
      <c r="Z309" t="s">
        <v>44</v>
      </c>
      <c r="AA309">
        <v>17</v>
      </c>
      <c r="AB309">
        <v>3</v>
      </c>
      <c r="AC309">
        <v>3</v>
      </c>
      <c r="AD309">
        <v>80</v>
      </c>
      <c r="AE309">
        <v>1</v>
      </c>
      <c r="AF309">
        <v>19</v>
      </c>
      <c r="AG309">
        <v>2</v>
      </c>
      <c r="AH309">
        <v>3</v>
      </c>
      <c r="AI309">
        <v>10</v>
      </c>
      <c r="AJ309">
        <v>8</v>
      </c>
      <c r="AK309">
        <v>0</v>
      </c>
      <c r="AL309" t="str" cm="1">
        <f t="array" ref="AL30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09">
        <v>1</v>
      </c>
    </row>
    <row r="310" spans="1:39" x14ac:dyDescent="0.25">
      <c r="A310">
        <v>58</v>
      </c>
      <c r="B310" t="s">
        <v>44</v>
      </c>
      <c r="C310" t="s">
        <v>56</v>
      </c>
      <c r="D310">
        <v>390</v>
      </c>
      <c r="E310" t="s">
        <v>46</v>
      </c>
      <c r="G310">
        <v>1</v>
      </c>
      <c r="H310">
        <v>4</v>
      </c>
      <c r="I310" t="s">
        <v>39</v>
      </c>
      <c r="J310" t="str">
        <f>WA_Fn_UseC__HR_Employee_Attrition[[#This Row],[EducationField]]&amp;"-"&amp;WA_Fn_UseC__HR_Employee_Attrition[[#This Row],[Department]]</f>
        <v>Life Sciences-Research &amp; Development</v>
      </c>
      <c r="K310">
        <v>1</v>
      </c>
      <c r="L310">
        <v>422</v>
      </c>
      <c r="M310">
        <v>4</v>
      </c>
      <c r="N310" t="s">
        <v>47</v>
      </c>
      <c r="O310">
        <v>32</v>
      </c>
      <c r="P310">
        <v>1</v>
      </c>
      <c r="Q310">
        <v>2</v>
      </c>
      <c r="R310" t="s">
        <v>55</v>
      </c>
      <c r="S310">
        <v>3</v>
      </c>
      <c r="T310" t="s">
        <v>53</v>
      </c>
      <c r="U310">
        <v>5660</v>
      </c>
      <c r="V310" t="str" cm="1">
        <f t="array" ref="V31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10">
        <v>17056</v>
      </c>
      <c r="X310">
        <v>2</v>
      </c>
      <c r="Y310" t="s">
        <v>43</v>
      </c>
      <c r="Z310" t="s">
        <v>36</v>
      </c>
      <c r="AA310">
        <v>13</v>
      </c>
      <c r="AB310">
        <v>3</v>
      </c>
      <c r="AC310">
        <v>4</v>
      </c>
      <c r="AD310">
        <v>80</v>
      </c>
      <c r="AE310">
        <v>1</v>
      </c>
      <c r="AF310">
        <v>12</v>
      </c>
      <c r="AG310">
        <v>2</v>
      </c>
      <c r="AH310">
        <v>3</v>
      </c>
      <c r="AI310">
        <v>5</v>
      </c>
      <c r="AJ310">
        <v>3</v>
      </c>
      <c r="AK310">
        <v>1</v>
      </c>
      <c r="AL310" t="str" cm="1">
        <f t="array" ref="AL31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10">
        <v>2</v>
      </c>
    </row>
    <row r="311" spans="1:39" x14ac:dyDescent="0.25">
      <c r="A311">
        <v>31</v>
      </c>
      <c r="B311" t="s">
        <v>44</v>
      </c>
      <c r="C311" t="s">
        <v>37</v>
      </c>
      <c r="D311">
        <v>691</v>
      </c>
      <c r="E311" t="s">
        <v>46</v>
      </c>
      <c r="G311">
        <v>5</v>
      </c>
      <c r="H311">
        <v>4</v>
      </c>
      <c r="I311" t="s">
        <v>61</v>
      </c>
      <c r="J311" t="str">
        <f>WA_Fn_UseC__HR_Employee_Attrition[[#This Row],[EducationField]]&amp;"-"&amp;WA_Fn_UseC__HR_Employee_Attrition[[#This Row],[Department]]</f>
        <v>Technical Degree-Research &amp; Development</v>
      </c>
      <c r="K311">
        <v>1</v>
      </c>
      <c r="L311">
        <v>423</v>
      </c>
      <c r="M311">
        <v>3</v>
      </c>
      <c r="N311" t="s">
        <v>47</v>
      </c>
      <c r="O311">
        <v>86</v>
      </c>
      <c r="P311">
        <v>3</v>
      </c>
      <c r="Q311">
        <v>1</v>
      </c>
      <c r="R311" t="s">
        <v>48</v>
      </c>
      <c r="S311">
        <v>4</v>
      </c>
      <c r="T311" t="s">
        <v>49</v>
      </c>
      <c r="U311">
        <v>4821</v>
      </c>
      <c r="V311" t="str" cm="1">
        <f t="array" ref="V31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11">
        <v>10077</v>
      </c>
      <c r="X311">
        <v>0</v>
      </c>
      <c r="Y311" t="s">
        <v>43</v>
      </c>
      <c r="Z311" t="s">
        <v>36</v>
      </c>
      <c r="AA311">
        <v>12</v>
      </c>
      <c r="AB311">
        <v>3</v>
      </c>
      <c r="AC311">
        <v>3</v>
      </c>
      <c r="AD311">
        <v>80</v>
      </c>
      <c r="AE311">
        <v>1</v>
      </c>
      <c r="AF311">
        <v>6</v>
      </c>
      <c r="AG311">
        <v>4</v>
      </c>
      <c r="AH311">
        <v>3</v>
      </c>
      <c r="AI311">
        <v>5</v>
      </c>
      <c r="AJ311">
        <v>2</v>
      </c>
      <c r="AK311">
        <v>0</v>
      </c>
      <c r="AL311" t="str" cm="1">
        <f t="array" ref="AL31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11">
        <v>3</v>
      </c>
    </row>
    <row r="312" spans="1:39" x14ac:dyDescent="0.25">
      <c r="A312">
        <v>31</v>
      </c>
      <c r="B312" t="s">
        <v>44</v>
      </c>
      <c r="C312" t="s">
        <v>37</v>
      </c>
      <c r="D312">
        <v>106</v>
      </c>
      <c r="E312" t="s">
        <v>62</v>
      </c>
      <c r="G312">
        <v>2</v>
      </c>
      <c r="H312">
        <v>3</v>
      </c>
      <c r="I312" t="s">
        <v>62</v>
      </c>
      <c r="J312" t="str">
        <f>WA_Fn_UseC__HR_Employee_Attrition[[#This Row],[EducationField]]&amp;"-"&amp;WA_Fn_UseC__HR_Employee_Attrition[[#This Row],[Department]]</f>
        <v>Human Resources-Human Resources</v>
      </c>
      <c r="K312">
        <v>1</v>
      </c>
      <c r="L312">
        <v>424</v>
      </c>
      <c r="M312">
        <v>1</v>
      </c>
      <c r="N312" t="s">
        <v>47</v>
      </c>
      <c r="O312">
        <v>62</v>
      </c>
      <c r="P312">
        <v>2</v>
      </c>
      <c r="Q312">
        <v>2</v>
      </c>
      <c r="R312" t="s">
        <v>62</v>
      </c>
      <c r="S312">
        <v>1</v>
      </c>
      <c r="T312" t="s">
        <v>49</v>
      </c>
      <c r="U312">
        <v>6410</v>
      </c>
      <c r="V312" t="str" cm="1">
        <f t="array" ref="V31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12">
        <v>17822</v>
      </c>
      <c r="X312">
        <v>3</v>
      </c>
      <c r="Y312" t="s">
        <v>43</v>
      </c>
      <c r="Z312" t="s">
        <v>44</v>
      </c>
      <c r="AA312">
        <v>12</v>
      </c>
      <c r="AB312">
        <v>3</v>
      </c>
      <c r="AC312">
        <v>4</v>
      </c>
      <c r="AD312">
        <v>80</v>
      </c>
      <c r="AE312">
        <v>0</v>
      </c>
      <c r="AF312">
        <v>9</v>
      </c>
      <c r="AG312">
        <v>1</v>
      </c>
      <c r="AH312">
        <v>3</v>
      </c>
      <c r="AI312">
        <v>2</v>
      </c>
      <c r="AJ312">
        <v>2</v>
      </c>
      <c r="AK312">
        <v>1</v>
      </c>
      <c r="AL312" t="str" cm="1">
        <f t="array" ref="AL31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12">
        <v>0</v>
      </c>
    </row>
    <row r="313" spans="1:39" x14ac:dyDescent="0.25">
      <c r="A313">
        <v>45</v>
      </c>
      <c r="B313" t="s">
        <v>44</v>
      </c>
      <c r="C313" t="s">
        <v>45</v>
      </c>
      <c r="D313">
        <v>1249</v>
      </c>
      <c r="E313" t="s">
        <v>46</v>
      </c>
      <c r="G313">
        <v>7</v>
      </c>
      <c r="H313">
        <v>3</v>
      </c>
      <c r="I313" t="s">
        <v>39</v>
      </c>
      <c r="J313" t="str">
        <f>WA_Fn_UseC__HR_Employee_Attrition[[#This Row],[EducationField]]&amp;"-"&amp;WA_Fn_UseC__HR_Employee_Attrition[[#This Row],[Department]]</f>
        <v>Life Sciences-Research &amp; Development</v>
      </c>
      <c r="K313">
        <v>1</v>
      </c>
      <c r="L313">
        <v>425</v>
      </c>
      <c r="M313">
        <v>1</v>
      </c>
      <c r="N313" t="s">
        <v>47</v>
      </c>
      <c r="O313">
        <v>97</v>
      </c>
      <c r="P313">
        <v>3</v>
      </c>
      <c r="Q313">
        <v>3</v>
      </c>
      <c r="R313" t="s">
        <v>51</v>
      </c>
      <c r="S313">
        <v>1</v>
      </c>
      <c r="T313" t="s">
        <v>53</v>
      </c>
      <c r="U313">
        <v>5210</v>
      </c>
      <c r="V313" t="str" cm="1">
        <f t="array" ref="V31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13">
        <v>20308</v>
      </c>
      <c r="X313">
        <v>1</v>
      </c>
      <c r="Y313" t="s">
        <v>43</v>
      </c>
      <c r="Z313" t="s">
        <v>44</v>
      </c>
      <c r="AA313">
        <v>18</v>
      </c>
      <c r="AB313">
        <v>3</v>
      </c>
      <c r="AC313">
        <v>1</v>
      </c>
      <c r="AD313">
        <v>80</v>
      </c>
      <c r="AE313">
        <v>1</v>
      </c>
      <c r="AF313">
        <v>24</v>
      </c>
      <c r="AG313">
        <v>2</v>
      </c>
      <c r="AH313">
        <v>3</v>
      </c>
      <c r="AI313">
        <v>24</v>
      </c>
      <c r="AJ313">
        <v>9</v>
      </c>
      <c r="AK313">
        <v>9</v>
      </c>
      <c r="AL313" t="str" cm="1">
        <f t="array" ref="AL31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13">
        <v>11</v>
      </c>
    </row>
    <row r="314" spans="1:39" x14ac:dyDescent="0.25">
      <c r="A314">
        <v>31</v>
      </c>
      <c r="B314" t="s">
        <v>44</v>
      </c>
      <c r="C314" t="s">
        <v>37</v>
      </c>
      <c r="D314">
        <v>192</v>
      </c>
      <c r="E314" t="s">
        <v>46</v>
      </c>
      <c r="G314">
        <v>2</v>
      </c>
      <c r="H314">
        <v>4</v>
      </c>
      <c r="I314" t="s">
        <v>39</v>
      </c>
      <c r="J314" t="str">
        <f>WA_Fn_UseC__HR_Employee_Attrition[[#This Row],[EducationField]]&amp;"-"&amp;WA_Fn_UseC__HR_Employee_Attrition[[#This Row],[Department]]</f>
        <v>Life Sciences-Research &amp; Development</v>
      </c>
      <c r="K314">
        <v>1</v>
      </c>
      <c r="L314">
        <v>426</v>
      </c>
      <c r="M314">
        <v>3</v>
      </c>
      <c r="N314" t="s">
        <v>47</v>
      </c>
      <c r="O314">
        <v>32</v>
      </c>
      <c r="P314">
        <v>3</v>
      </c>
      <c r="Q314">
        <v>1</v>
      </c>
      <c r="R314" t="s">
        <v>48</v>
      </c>
      <c r="S314">
        <v>4</v>
      </c>
      <c r="T314" t="s">
        <v>53</v>
      </c>
      <c r="U314">
        <v>2695</v>
      </c>
      <c r="V314" t="str" cm="1">
        <f t="array" ref="V31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14">
        <v>7747</v>
      </c>
      <c r="X314">
        <v>0</v>
      </c>
      <c r="Y314" t="s">
        <v>43</v>
      </c>
      <c r="Z314" t="s">
        <v>36</v>
      </c>
      <c r="AA314">
        <v>18</v>
      </c>
      <c r="AB314">
        <v>3</v>
      </c>
      <c r="AC314">
        <v>2</v>
      </c>
      <c r="AD314">
        <v>80</v>
      </c>
      <c r="AE314">
        <v>1</v>
      </c>
      <c r="AF314">
        <v>3</v>
      </c>
      <c r="AG314">
        <v>2</v>
      </c>
      <c r="AH314">
        <v>1</v>
      </c>
      <c r="AI314">
        <v>2</v>
      </c>
      <c r="AJ314">
        <v>2</v>
      </c>
      <c r="AK314">
        <v>2</v>
      </c>
      <c r="AL314" t="str" cm="1">
        <f t="array" ref="AL31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14">
        <v>2</v>
      </c>
    </row>
    <row r="315" spans="1:39" x14ac:dyDescent="0.25">
      <c r="A315">
        <v>33</v>
      </c>
      <c r="B315" t="s">
        <v>44</v>
      </c>
      <c r="C315" t="s">
        <v>45</v>
      </c>
      <c r="D315">
        <v>553</v>
      </c>
      <c r="E315" t="s">
        <v>46</v>
      </c>
      <c r="G315">
        <v>5</v>
      </c>
      <c r="H315">
        <v>4</v>
      </c>
      <c r="I315" t="s">
        <v>39</v>
      </c>
      <c r="J315" t="str">
        <f>WA_Fn_UseC__HR_Employee_Attrition[[#This Row],[EducationField]]&amp;"-"&amp;WA_Fn_UseC__HR_Employee_Attrition[[#This Row],[Department]]</f>
        <v>Life Sciences-Research &amp; Development</v>
      </c>
      <c r="K315">
        <v>1</v>
      </c>
      <c r="L315">
        <v>428</v>
      </c>
      <c r="M315">
        <v>4</v>
      </c>
      <c r="N315" t="s">
        <v>40</v>
      </c>
      <c r="O315">
        <v>74</v>
      </c>
      <c r="P315">
        <v>3</v>
      </c>
      <c r="Q315">
        <v>3</v>
      </c>
      <c r="R315" t="s">
        <v>57</v>
      </c>
      <c r="S315">
        <v>2</v>
      </c>
      <c r="T315" t="s">
        <v>49</v>
      </c>
      <c r="U315">
        <v>11878</v>
      </c>
      <c r="V315" t="str" cm="1">
        <f t="array" ref="V31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15">
        <v>23364</v>
      </c>
      <c r="X315">
        <v>6</v>
      </c>
      <c r="Y315" t="s">
        <v>43</v>
      </c>
      <c r="Z315" t="s">
        <v>44</v>
      </c>
      <c r="AA315">
        <v>11</v>
      </c>
      <c r="AB315">
        <v>3</v>
      </c>
      <c r="AC315">
        <v>2</v>
      </c>
      <c r="AD315">
        <v>80</v>
      </c>
      <c r="AE315">
        <v>2</v>
      </c>
      <c r="AF315">
        <v>12</v>
      </c>
      <c r="AG315">
        <v>2</v>
      </c>
      <c r="AH315">
        <v>3</v>
      </c>
      <c r="AI315">
        <v>10</v>
      </c>
      <c r="AJ315">
        <v>6</v>
      </c>
      <c r="AK315">
        <v>8</v>
      </c>
      <c r="AL315" t="str" cm="1">
        <f t="array" ref="AL31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15">
        <v>8</v>
      </c>
    </row>
    <row r="316" spans="1:39" x14ac:dyDescent="0.25">
      <c r="A316">
        <v>39</v>
      </c>
      <c r="B316" t="s">
        <v>44</v>
      </c>
      <c r="C316" t="s">
        <v>37</v>
      </c>
      <c r="D316">
        <v>117</v>
      </c>
      <c r="E316" t="s">
        <v>46</v>
      </c>
      <c r="G316">
        <v>10</v>
      </c>
      <c r="H316">
        <v>1</v>
      </c>
      <c r="I316" t="s">
        <v>52</v>
      </c>
      <c r="J316" t="str">
        <f>WA_Fn_UseC__HR_Employee_Attrition[[#This Row],[EducationField]]&amp;"-"&amp;WA_Fn_UseC__HR_Employee_Attrition[[#This Row],[Department]]</f>
        <v>Medical-Research &amp; Development</v>
      </c>
      <c r="K316">
        <v>1</v>
      </c>
      <c r="L316">
        <v>429</v>
      </c>
      <c r="M316">
        <v>3</v>
      </c>
      <c r="N316" t="s">
        <v>47</v>
      </c>
      <c r="O316">
        <v>99</v>
      </c>
      <c r="P316">
        <v>3</v>
      </c>
      <c r="Q316">
        <v>4</v>
      </c>
      <c r="R316" t="s">
        <v>57</v>
      </c>
      <c r="S316">
        <v>1</v>
      </c>
      <c r="T316" t="s">
        <v>49</v>
      </c>
      <c r="U316">
        <v>17068</v>
      </c>
      <c r="V316" t="str" cm="1">
        <f t="array" ref="V31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16">
        <v>5355</v>
      </c>
      <c r="X316">
        <v>1</v>
      </c>
      <c r="Y316" t="s">
        <v>43</v>
      </c>
      <c r="Z316" t="s">
        <v>36</v>
      </c>
      <c r="AA316">
        <v>14</v>
      </c>
      <c r="AB316">
        <v>3</v>
      </c>
      <c r="AC316">
        <v>4</v>
      </c>
      <c r="AD316">
        <v>80</v>
      </c>
      <c r="AE316">
        <v>0</v>
      </c>
      <c r="AF316">
        <v>21</v>
      </c>
      <c r="AG316">
        <v>3</v>
      </c>
      <c r="AH316">
        <v>3</v>
      </c>
      <c r="AI316">
        <v>21</v>
      </c>
      <c r="AJ316">
        <v>9</v>
      </c>
      <c r="AK316">
        <v>11</v>
      </c>
      <c r="AL316" t="str" cm="1">
        <f t="array" ref="AL31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16">
        <v>10</v>
      </c>
    </row>
    <row r="317" spans="1:39" x14ac:dyDescent="0.25">
      <c r="A317">
        <v>43</v>
      </c>
      <c r="B317" t="s">
        <v>44</v>
      </c>
      <c r="C317" t="s">
        <v>45</v>
      </c>
      <c r="D317">
        <v>185</v>
      </c>
      <c r="E317" t="s">
        <v>46</v>
      </c>
      <c r="G317">
        <v>10</v>
      </c>
      <c r="H317">
        <v>4</v>
      </c>
      <c r="I317" t="s">
        <v>39</v>
      </c>
      <c r="J317" t="str">
        <f>WA_Fn_UseC__HR_Employee_Attrition[[#This Row],[EducationField]]&amp;"-"&amp;WA_Fn_UseC__HR_Employee_Attrition[[#This Row],[Department]]</f>
        <v>Life Sciences-Research &amp; Development</v>
      </c>
      <c r="K317">
        <v>1</v>
      </c>
      <c r="L317">
        <v>430</v>
      </c>
      <c r="M317">
        <v>3</v>
      </c>
      <c r="N317" t="s">
        <v>40</v>
      </c>
      <c r="O317">
        <v>33</v>
      </c>
      <c r="P317">
        <v>3</v>
      </c>
      <c r="Q317">
        <v>1</v>
      </c>
      <c r="R317" t="s">
        <v>51</v>
      </c>
      <c r="S317">
        <v>4</v>
      </c>
      <c r="T317" t="s">
        <v>42</v>
      </c>
      <c r="U317">
        <v>2455</v>
      </c>
      <c r="V317" t="str" cm="1">
        <f t="array" ref="V31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17">
        <v>10675</v>
      </c>
      <c r="X317">
        <v>0</v>
      </c>
      <c r="Y317" t="s">
        <v>43</v>
      </c>
      <c r="Z317" t="s">
        <v>44</v>
      </c>
      <c r="AA317">
        <v>19</v>
      </c>
      <c r="AB317">
        <v>3</v>
      </c>
      <c r="AC317">
        <v>1</v>
      </c>
      <c r="AD317">
        <v>80</v>
      </c>
      <c r="AE317">
        <v>0</v>
      </c>
      <c r="AF317">
        <v>9</v>
      </c>
      <c r="AG317">
        <v>5</v>
      </c>
      <c r="AH317">
        <v>3</v>
      </c>
      <c r="AI317">
        <v>8</v>
      </c>
      <c r="AJ317">
        <v>7</v>
      </c>
      <c r="AK317">
        <v>1</v>
      </c>
      <c r="AL317" t="str" cm="1">
        <f t="array" ref="AL31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17">
        <v>7</v>
      </c>
    </row>
    <row r="318" spans="1:39" x14ac:dyDescent="0.25">
      <c r="A318">
        <v>49</v>
      </c>
      <c r="B318" t="s">
        <v>44</v>
      </c>
      <c r="C318" t="s">
        <v>37</v>
      </c>
      <c r="D318">
        <v>1091</v>
      </c>
      <c r="E318" t="s">
        <v>46</v>
      </c>
      <c r="G318">
        <v>1</v>
      </c>
      <c r="H318">
        <v>2</v>
      </c>
      <c r="I318" t="s">
        <v>61</v>
      </c>
      <c r="J318" t="str">
        <f>WA_Fn_UseC__HR_Employee_Attrition[[#This Row],[EducationField]]&amp;"-"&amp;WA_Fn_UseC__HR_Employee_Attrition[[#This Row],[Department]]</f>
        <v>Technical Degree-Research &amp; Development</v>
      </c>
      <c r="K318">
        <v>1</v>
      </c>
      <c r="L318">
        <v>431</v>
      </c>
      <c r="M318">
        <v>3</v>
      </c>
      <c r="N318" t="s">
        <v>40</v>
      </c>
      <c r="O318">
        <v>90</v>
      </c>
      <c r="P318">
        <v>2</v>
      </c>
      <c r="Q318">
        <v>4</v>
      </c>
      <c r="R318" t="s">
        <v>55</v>
      </c>
      <c r="S318">
        <v>3</v>
      </c>
      <c r="T318" t="s">
        <v>42</v>
      </c>
      <c r="U318">
        <v>13964</v>
      </c>
      <c r="V318" t="str" cm="1">
        <f t="array" ref="V31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18">
        <v>17810</v>
      </c>
      <c r="X318">
        <v>7</v>
      </c>
      <c r="Y318" t="s">
        <v>43</v>
      </c>
      <c r="Z318" t="s">
        <v>36</v>
      </c>
      <c r="AA318">
        <v>12</v>
      </c>
      <c r="AB318">
        <v>3</v>
      </c>
      <c r="AC318">
        <v>4</v>
      </c>
      <c r="AD318">
        <v>80</v>
      </c>
      <c r="AE318">
        <v>0</v>
      </c>
      <c r="AF318">
        <v>25</v>
      </c>
      <c r="AG318">
        <v>2</v>
      </c>
      <c r="AH318">
        <v>3</v>
      </c>
      <c r="AI318">
        <v>7</v>
      </c>
      <c r="AJ318">
        <v>1</v>
      </c>
      <c r="AK318">
        <v>0</v>
      </c>
      <c r="AL318" t="str" cm="1">
        <f t="array" ref="AL31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18">
        <v>7</v>
      </c>
    </row>
    <row r="319" spans="1:39" x14ac:dyDescent="0.25">
      <c r="A319">
        <v>52</v>
      </c>
      <c r="B319" t="s">
        <v>36</v>
      </c>
      <c r="C319" t="s">
        <v>37</v>
      </c>
      <c r="D319">
        <v>723</v>
      </c>
      <c r="E319" t="s">
        <v>46</v>
      </c>
      <c r="G319">
        <v>8</v>
      </c>
      <c r="H319">
        <v>4</v>
      </c>
      <c r="I319" t="s">
        <v>52</v>
      </c>
      <c r="J319" t="str">
        <f>WA_Fn_UseC__HR_Employee_Attrition[[#This Row],[EducationField]]&amp;"-"&amp;WA_Fn_UseC__HR_Employee_Attrition[[#This Row],[Department]]</f>
        <v>Medical-Research &amp; Development</v>
      </c>
      <c r="K319">
        <v>1</v>
      </c>
      <c r="L319">
        <v>433</v>
      </c>
      <c r="M319">
        <v>3</v>
      </c>
      <c r="N319" t="s">
        <v>47</v>
      </c>
      <c r="O319">
        <v>85</v>
      </c>
      <c r="P319">
        <v>2</v>
      </c>
      <c r="Q319">
        <v>2</v>
      </c>
      <c r="R319" t="s">
        <v>48</v>
      </c>
      <c r="S319">
        <v>2</v>
      </c>
      <c r="T319" t="s">
        <v>49</v>
      </c>
      <c r="U319">
        <v>4941</v>
      </c>
      <c r="V319" t="str" cm="1">
        <f t="array" ref="V31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19">
        <v>17747</v>
      </c>
      <c r="X319">
        <v>2</v>
      </c>
      <c r="Y319" t="s">
        <v>43</v>
      </c>
      <c r="Z319" t="s">
        <v>44</v>
      </c>
      <c r="AA319">
        <v>15</v>
      </c>
      <c r="AB319">
        <v>3</v>
      </c>
      <c r="AC319">
        <v>1</v>
      </c>
      <c r="AD319">
        <v>80</v>
      </c>
      <c r="AE319">
        <v>0</v>
      </c>
      <c r="AF319">
        <v>11</v>
      </c>
      <c r="AG319">
        <v>3</v>
      </c>
      <c r="AH319">
        <v>2</v>
      </c>
      <c r="AI319">
        <v>8</v>
      </c>
      <c r="AJ319">
        <v>2</v>
      </c>
      <c r="AK319">
        <v>7</v>
      </c>
      <c r="AL319" t="str" cm="1">
        <f t="array" ref="AL31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19">
        <v>7</v>
      </c>
    </row>
    <row r="320" spans="1:39" x14ac:dyDescent="0.25">
      <c r="A320">
        <v>27</v>
      </c>
      <c r="B320" t="s">
        <v>44</v>
      </c>
      <c r="C320" t="s">
        <v>37</v>
      </c>
      <c r="D320">
        <v>1220</v>
      </c>
      <c r="E320" t="s">
        <v>46</v>
      </c>
      <c r="G320">
        <v>5</v>
      </c>
      <c r="H320">
        <v>3</v>
      </c>
      <c r="I320" t="s">
        <v>39</v>
      </c>
      <c r="J320" t="str">
        <f>WA_Fn_UseC__HR_Employee_Attrition[[#This Row],[EducationField]]&amp;"-"&amp;WA_Fn_UseC__HR_Employee_Attrition[[#This Row],[Department]]</f>
        <v>Life Sciences-Research &amp; Development</v>
      </c>
      <c r="K320">
        <v>1</v>
      </c>
      <c r="L320">
        <v>434</v>
      </c>
      <c r="M320">
        <v>3</v>
      </c>
      <c r="N320" t="s">
        <v>40</v>
      </c>
      <c r="O320">
        <v>85</v>
      </c>
      <c r="P320">
        <v>3</v>
      </c>
      <c r="Q320">
        <v>1</v>
      </c>
      <c r="R320" t="s">
        <v>48</v>
      </c>
      <c r="S320">
        <v>2</v>
      </c>
      <c r="T320" t="s">
        <v>42</v>
      </c>
      <c r="U320">
        <v>2478</v>
      </c>
      <c r="V320" t="str" cm="1">
        <f t="array" ref="V32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20">
        <v>20938</v>
      </c>
      <c r="X320">
        <v>1</v>
      </c>
      <c r="Y320" t="s">
        <v>43</v>
      </c>
      <c r="Z320" t="s">
        <v>36</v>
      </c>
      <c r="AA320">
        <v>12</v>
      </c>
      <c r="AB320">
        <v>3</v>
      </c>
      <c r="AC320">
        <v>2</v>
      </c>
      <c r="AD320">
        <v>80</v>
      </c>
      <c r="AE320">
        <v>0</v>
      </c>
      <c r="AF320">
        <v>4</v>
      </c>
      <c r="AG320">
        <v>2</v>
      </c>
      <c r="AH320">
        <v>2</v>
      </c>
      <c r="AI320">
        <v>4</v>
      </c>
      <c r="AJ320">
        <v>3</v>
      </c>
      <c r="AK320">
        <v>1</v>
      </c>
      <c r="AL320" t="str" cm="1">
        <f t="array" ref="AL32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20">
        <v>2</v>
      </c>
    </row>
    <row r="321" spans="1:39" x14ac:dyDescent="0.25">
      <c r="A321">
        <v>32</v>
      </c>
      <c r="B321" t="s">
        <v>44</v>
      </c>
      <c r="C321" t="s">
        <v>37</v>
      </c>
      <c r="D321">
        <v>588</v>
      </c>
      <c r="E321" t="s">
        <v>38</v>
      </c>
      <c r="G321">
        <v>8</v>
      </c>
      <c r="H321">
        <v>2</v>
      </c>
      <c r="I321" t="s">
        <v>61</v>
      </c>
      <c r="J321" t="str">
        <f>WA_Fn_UseC__HR_Employee_Attrition[[#This Row],[EducationField]]&amp;"-"&amp;WA_Fn_UseC__HR_Employee_Attrition[[#This Row],[Department]]</f>
        <v>Technical Degree-Sales</v>
      </c>
      <c r="K321">
        <v>1</v>
      </c>
      <c r="L321">
        <v>436</v>
      </c>
      <c r="M321">
        <v>3</v>
      </c>
      <c r="N321" t="s">
        <v>40</v>
      </c>
      <c r="O321">
        <v>65</v>
      </c>
      <c r="P321">
        <v>2</v>
      </c>
      <c r="Q321">
        <v>2</v>
      </c>
      <c r="R321" t="s">
        <v>41</v>
      </c>
      <c r="S321">
        <v>2</v>
      </c>
      <c r="T321" t="s">
        <v>49</v>
      </c>
      <c r="U321">
        <v>5228</v>
      </c>
      <c r="V321" t="str" cm="1">
        <f t="array" ref="V32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21">
        <v>24624</v>
      </c>
      <c r="X321">
        <v>1</v>
      </c>
      <c r="Y321" t="s">
        <v>43</v>
      </c>
      <c r="Z321" t="s">
        <v>36</v>
      </c>
      <c r="AA321">
        <v>11</v>
      </c>
      <c r="AB321">
        <v>3</v>
      </c>
      <c r="AC321">
        <v>4</v>
      </c>
      <c r="AD321">
        <v>80</v>
      </c>
      <c r="AE321">
        <v>0</v>
      </c>
      <c r="AF321">
        <v>13</v>
      </c>
      <c r="AG321">
        <v>2</v>
      </c>
      <c r="AH321">
        <v>3</v>
      </c>
      <c r="AI321">
        <v>13</v>
      </c>
      <c r="AJ321">
        <v>12</v>
      </c>
      <c r="AK321">
        <v>11</v>
      </c>
      <c r="AL321" t="str" cm="1">
        <f t="array" ref="AL32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21">
        <v>9</v>
      </c>
    </row>
    <row r="322" spans="1:39" x14ac:dyDescent="0.25">
      <c r="A322">
        <v>27</v>
      </c>
      <c r="B322" t="s">
        <v>44</v>
      </c>
      <c r="C322" t="s">
        <v>37</v>
      </c>
      <c r="D322">
        <v>1377</v>
      </c>
      <c r="E322" t="s">
        <v>38</v>
      </c>
      <c r="G322">
        <v>2</v>
      </c>
      <c r="H322">
        <v>3</v>
      </c>
      <c r="I322" t="s">
        <v>39</v>
      </c>
      <c r="J322" t="str">
        <f>WA_Fn_UseC__HR_Employee_Attrition[[#This Row],[EducationField]]&amp;"-"&amp;WA_Fn_UseC__HR_Employee_Attrition[[#This Row],[Department]]</f>
        <v>Life Sciences-Sales</v>
      </c>
      <c r="K322">
        <v>1</v>
      </c>
      <c r="L322">
        <v>437</v>
      </c>
      <c r="M322">
        <v>4</v>
      </c>
      <c r="N322" t="s">
        <v>47</v>
      </c>
      <c r="O322">
        <v>74</v>
      </c>
      <c r="P322">
        <v>3</v>
      </c>
      <c r="Q322">
        <v>2</v>
      </c>
      <c r="R322" t="s">
        <v>41</v>
      </c>
      <c r="S322">
        <v>3</v>
      </c>
      <c r="T322" t="s">
        <v>42</v>
      </c>
      <c r="U322">
        <v>4478</v>
      </c>
      <c r="V322" t="str" cm="1">
        <f t="array" ref="V32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22">
        <v>5242</v>
      </c>
      <c r="X322">
        <v>1</v>
      </c>
      <c r="Y322" t="s">
        <v>43</v>
      </c>
      <c r="Z322" t="s">
        <v>36</v>
      </c>
      <c r="AA322">
        <v>11</v>
      </c>
      <c r="AB322">
        <v>3</v>
      </c>
      <c r="AC322">
        <v>1</v>
      </c>
      <c r="AD322">
        <v>80</v>
      </c>
      <c r="AE322">
        <v>0</v>
      </c>
      <c r="AF322">
        <v>5</v>
      </c>
      <c r="AG322">
        <v>3</v>
      </c>
      <c r="AH322">
        <v>3</v>
      </c>
      <c r="AI322">
        <v>5</v>
      </c>
      <c r="AJ322">
        <v>4</v>
      </c>
      <c r="AK322">
        <v>0</v>
      </c>
      <c r="AL322" t="str" cm="1">
        <f t="array" ref="AL32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22">
        <v>4</v>
      </c>
    </row>
    <row r="323" spans="1:39" x14ac:dyDescent="0.25">
      <c r="A323">
        <v>31</v>
      </c>
      <c r="B323" t="s">
        <v>44</v>
      </c>
      <c r="C323" t="s">
        <v>37</v>
      </c>
      <c r="D323">
        <v>691</v>
      </c>
      <c r="E323" t="s">
        <v>38</v>
      </c>
      <c r="G323">
        <v>7</v>
      </c>
      <c r="H323">
        <v>3</v>
      </c>
      <c r="I323" t="s">
        <v>60</v>
      </c>
      <c r="J323" t="str">
        <f>WA_Fn_UseC__HR_Employee_Attrition[[#This Row],[EducationField]]&amp;"-"&amp;WA_Fn_UseC__HR_Employee_Attrition[[#This Row],[Department]]</f>
        <v>Marketing-Sales</v>
      </c>
      <c r="K323">
        <v>1</v>
      </c>
      <c r="L323">
        <v>438</v>
      </c>
      <c r="M323">
        <v>4</v>
      </c>
      <c r="N323" t="s">
        <v>47</v>
      </c>
      <c r="O323">
        <v>73</v>
      </c>
      <c r="P323">
        <v>3</v>
      </c>
      <c r="Q323">
        <v>2</v>
      </c>
      <c r="R323" t="s">
        <v>41</v>
      </c>
      <c r="S323">
        <v>4</v>
      </c>
      <c r="T323" t="s">
        <v>53</v>
      </c>
      <c r="U323">
        <v>7547</v>
      </c>
      <c r="V323" t="str" cm="1">
        <f t="array" ref="V32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23">
        <v>7143</v>
      </c>
      <c r="X323">
        <v>4</v>
      </c>
      <c r="Y323" t="s">
        <v>43</v>
      </c>
      <c r="Z323" t="s">
        <v>44</v>
      </c>
      <c r="AA323">
        <v>12</v>
      </c>
      <c r="AB323">
        <v>3</v>
      </c>
      <c r="AC323">
        <v>4</v>
      </c>
      <c r="AD323">
        <v>80</v>
      </c>
      <c r="AE323">
        <v>3</v>
      </c>
      <c r="AF323">
        <v>13</v>
      </c>
      <c r="AG323">
        <v>3</v>
      </c>
      <c r="AH323">
        <v>3</v>
      </c>
      <c r="AI323">
        <v>7</v>
      </c>
      <c r="AJ323">
        <v>7</v>
      </c>
      <c r="AK323">
        <v>1</v>
      </c>
      <c r="AL323" t="str" cm="1">
        <f t="array" ref="AL32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23">
        <v>7</v>
      </c>
    </row>
    <row r="324" spans="1:39" x14ac:dyDescent="0.25">
      <c r="A324">
        <v>32</v>
      </c>
      <c r="B324" t="s">
        <v>44</v>
      </c>
      <c r="C324" t="s">
        <v>37</v>
      </c>
      <c r="D324">
        <v>1018</v>
      </c>
      <c r="E324" t="s">
        <v>46</v>
      </c>
      <c r="G324">
        <v>2</v>
      </c>
      <c r="H324">
        <v>4</v>
      </c>
      <c r="I324" t="s">
        <v>52</v>
      </c>
      <c r="J324" t="str">
        <f>WA_Fn_UseC__HR_Employee_Attrition[[#This Row],[EducationField]]&amp;"-"&amp;WA_Fn_UseC__HR_Employee_Attrition[[#This Row],[Department]]</f>
        <v>Medical-Research &amp; Development</v>
      </c>
      <c r="K324">
        <v>1</v>
      </c>
      <c r="L324">
        <v>439</v>
      </c>
      <c r="M324">
        <v>1</v>
      </c>
      <c r="N324" t="s">
        <v>40</v>
      </c>
      <c r="O324">
        <v>74</v>
      </c>
      <c r="P324">
        <v>4</v>
      </c>
      <c r="Q324">
        <v>2</v>
      </c>
      <c r="R324" t="s">
        <v>48</v>
      </c>
      <c r="S324">
        <v>4</v>
      </c>
      <c r="T324" t="s">
        <v>42</v>
      </c>
      <c r="U324">
        <v>5055</v>
      </c>
      <c r="V324" t="str" cm="1">
        <f t="array" ref="V32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24">
        <v>10557</v>
      </c>
      <c r="X324">
        <v>7</v>
      </c>
      <c r="Y324" t="s">
        <v>43</v>
      </c>
      <c r="Z324" t="s">
        <v>44</v>
      </c>
      <c r="AA324">
        <v>16</v>
      </c>
      <c r="AB324">
        <v>3</v>
      </c>
      <c r="AC324">
        <v>3</v>
      </c>
      <c r="AD324">
        <v>80</v>
      </c>
      <c r="AE324">
        <v>0</v>
      </c>
      <c r="AF324">
        <v>10</v>
      </c>
      <c r="AG324">
        <v>0</v>
      </c>
      <c r="AH324">
        <v>2</v>
      </c>
      <c r="AI324">
        <v>7</v>
      </c>
      <c r="AJ324">
        <v>7</v>
      </c>
      <c r="AK324">
        <v>0</v>
      </c>
      <c r="AL324" t="str" cm="1">
        <f t="array" ref="AL32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24">
        <v>7</v>
      </c>
    </row>
    <row r="325" spans="1:39" x14ac:dyDescent="0.25">
      <c r="A325">
        <v>28</v>
      </c>
      <c r="B325" t="s">
        <v>36</v>
      </c>
      <c r="C325" t="s">
        <v>37</v>
      </c>
      <c r="D325">
        <v>1157</v>
      </c>
      <c r="E325" t="s">
        <v>46</v>
      </c>
      <c r="G325">
        <v>2</v>
      </c>
      <c r="H325">
        <v>4</v>
      </c>
      <c r="I325" t="s">
        <v>52</v>
      </c>
      <c r="J325" t="str">
        <f>WA_Fn_UseC__HR_Employee_Attrition[[#This Row],[EducationField]]&amp;"-"&amp;WA_Fn_UseC__HR_Employee_Attrition[[#This Row],[Department]]</f>
        <v>Medical-Research &amp; Development</v>
      </c>
      <c r="K325">
        <v>1</v>
      </c>
      <c r="L325">
        <v>440</v>
      </c>
      <c r="M325">
        <v>1</v>
      </c>
      <c r="N325" t="s">
        <v>47</v>
      </c>
      <c r="O325">
        <v>84</v>
      </c>
      <c r="P325">
        <v>1</v>
      </c>
      <c r="Q325">
        <v>1</v>
      </c>
      <c r="R325" t="s">
        <v>48</v>
      </c>
      <c r="S325">
        <v>4</v>
      </c>
      <c r="T325" t="s">
        <v>49</v>
      </c>
      <c r="U325">
        <v>3464</v>
      </c>
      <c r="V325" t="str" cm="1">
        <f t="array" ref="V32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25">
        <v>24737</v>
      </c>
      <c r="X325">
        <v>5</v>
      </c>
      <c r="Y325" t="s">
        <v>43</v>
      </c>
      <c r="Z325" t="s">
        <v>36</v>
      </c>
      <c r="AA325">
        <v>13</v>
      </c>
      <c r="AB325">
        <v>3</v>
      </c>
      <c r="AC325">
        <v>4</v>
      </c>
      <c r="AD325">
        <v>80</v>
      </c>
      <c r="AE325">
        <v>0</v>
      </c>
      <c r="AF325">
        <v>5</v>
      </c>
      <c r="AG325">
        <v>4</v>
      </c>
      <c r="AH325">
        <v>2</v>
      </c>
      <c r="AI325">
        <v>3</v>
      </c>
      <c r="AJ325">
        <v>2</v>
      </c>
      <c r="AK325">
        <v>2</v>
      </c>
      <c r="AL325" t="str" cm="1">
        <f t="array" ref="AL32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25">
        <v>2</v>
      </c>
    </row>
    <row r="326" spans="1:39" x14ac:dyDescent="0.25">
      <c r="A326">
        <v>30</v>
      </c>
      <c r="B326" t="s">
        <v>44</v>
      </c>
      <c r="C326" t="s">
        <v>37</v>
      </c>
      <c r="D326">
        <v>1275</v>
      </c>
      <c r="E326" t="s">
        <v>46</v>
      </c>
      <c r="G326">
        <v>28</v>
      </c>
      <c r="H326">
        <v>2</v>
      </c>
      <c r="I326" t="s">
        <v>52</v>
      </c>
      <c r="J326" t="str">
        <f>WA_Fn_UseC__HR_Employee_Attrition[[#This Row],[EducationField]]&amp;"-"&amp;WA_Fn_UseC__HR_Employee_Attrition[[#This Row],[Department]]</f>
        <v>Medical-Research &amp; Development</v>
      </c>
      <c r="K326">
        <v>1</v>
      </c>
      <c r="L326">
        <v>441</v>
      </c>
      <c r="M326">
        <v>4</v>
      </c>
      <c r="N326" t="s">
        <v>40</v>
      </c>
      <c r="O326">
        <v>64</v>
      </c>
      <c r="P326">
        <v>3</v>
      </c>
      <c r="Q326">
        <v>2</v>
      </c>
      <c r="R326" t="s">
        <v>48</v>
      </c>
      <c r="S326">
        <v>4</v>
      </c>
      <c r="T326" t="s">
        <v>49</v>
      </c>
      <c r="U326">
        <v>5775</v>
      </c>
      <c r="V326" t="str" cm="1">
        <f t="array" ref="V32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26">
        <v>11934</v>
      </c>
      <c r="X326">
        <v>1</v>
      </c>
      <c r="Y326" t="s">
        <v>43</v>
      </c>
      <c r="Z326" t="s">
        <v>44</v>
      </c>
      <c r="AA326">
        <v>13</v>
      </c>
      <c r="AB326">
        <v>3</v>
      </c>
      <c r="AC326">
        <v>4</v>
      </c>
      <c r="AD326">
        <v>80</v>
      </c>
      <c r="AE326">
        <v>2</v>
      </c>
      <c r="AF326">
        <v>11</v>
      </c>
      <c r="AG326">
        <v>2</v>
      </c>
      <c r="AH326">
        <v>3</v>
      </c>
      <c r="AI326">
        <v>10</v>
      </c>
      <c r="AJ326">
        <v>8</v>
      </c>
      <c r="AK326">
        <v>1</v>
      </c>
      <c r="AL326" t="str" cm="1">
        <f t="array" ref="AL32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26">
        <v>9</v>
      </c>
    </row>
    <row r="327" spans="1:39" x14ac:dyDescent="0.25">
      <c r="A327">
        <v>31</v>
      </c>
      <c r="B327" t="s">
        <v>44</v>
      </c>
      <c r="C327" t="s">
        <v>45</v>
      </c>
      <c r="D327">
        <v>798</v>
      </c>
      <c r="E327" t="s">
        <v>46</v>
      </c>
      <c r="G327">
        <v>7</v>
      </c>
      <c r="H327">
        <v>2</v>
      </c>
      <c r="I327" t="s">
        <v>39</v>
      </c>
      <c r="J327" t="str">
        <f>WA_Fn_UseC__HR_Employee_Attrition[[#This Row],[EducationField]]&amp;"-"&amp;WA_Fn_UseC__HR_Employee_Attrition[[#This Row],[Department]]</f>
        <v>Life Sciences-Research &amp; Development</v>
      </c>
      <c r="K327">
        <v>1</v>
      </c>
      <c r="L327">
        <v>442</v>
      </c>
      <c r="M327">
        <v>3</v>
      </c>
      <c r="N327" t="s">
        <v>40</v>
      </c>
      <c r="O327">
        <v>48</v>
      </c>
      <c r="P327">
        <v>2</v>
      </c>
      <c r="Q327">
        <v>3</v>
      </c>
      <c r="R327" t="s">
        <v>54</v>
      </c>
      <c r="S327">
        <v>3</v>
      </c>
      <c r="T327" t="s">
        <v>49</v>
      </c>
      <c r="U327">
        <v>8943</v>
      </c>
      <c r="V327" t="str" cm="1">
        <f t="array" ref="V32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27">
        <v>14034</v>
      </c>
      <c r="X327">
        <v>1</v>
      </c>
      <c r="Y327" t="s">
        <v>43</v>
      </c>
      <c r="Z327" t="s">
        <v>44</v>
      </c>
      <c r="AA327">
        <v>24</v>
      </c>
      <c r="AB327">
        <v>4</v>
      </c>
      <c r="AC327">
        <v>1</v>
      </c>
      <c r="AD327">
        <v>80</v>
      </c>
      <c r="AE327">
        <v>1</v>
      </c>
      <c r="AF327">
        <v>10</v>
      </c>
      <c r="AG327">
        <v>2</v>
      </c>
      <c r="AH327">
        <v>3</v>
      </c>
      <c r="AI327">
        <v>10</v>
      </c>
      <c r="AJ327">
        <v>9</v>
      </c>
      <c r="AK327">
        <v>8</v>
      </c>
      <c r="AL327" t="str" cm="1">
        <f t="array" ref="AL32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27">
        <v>9</v>
      </c>
    </row>
    <row r="328" spans="1:39" x14ac:dyDescent="0.25">
      <c r="A328">
        <v>39</v>
      </c>
      <c r="B328" t="s">
        <v>44</v>
      </c>
      <c r="C328" t="s">
        <v>45</v>
      </c>
      <c r="D328">
        <v>672</v>
      </c>
      <c r="E328" t="s">
        <v>46</v>
      </c>
      <c r="G328">
        <v>7</v>
      </c>
      <c r="H328">
        <v>2</v>
      </c>
      <c r="I328" t="s">
        <v>52</v>
      </c>
      <c r="J328" t="str">
        <f>WA_Fn_UseC__HR_Employee_Attrition[[#This Row],[EducationField]]&amp;"-"&amp;WA_Fn_UseC__HR_Employee_Attrition[[#This Row],[Department]]</f>
        <v>Medical-Research &amp; Development</v>
      </c>
      <c r="K328">
        <v>1</v>
      </c>
      <c r="L328">
        <v>444</v>
      </c>
      <c r="M328">
        <v>3</v>
      </c>
      <c r="N328" t="s">
        <v>47</v>
      </c>
      <c r="O328">
        <v>54</v>
      </c>
      <c r="P328">
        <v>2</v>
      </c>
      <c r="Q328">
        <v>5</v>
      </c>
      <c r="R328" t="s">
        <v>57</v>
      </c>
      <c r="S328">
        <v>4</v>
      </c>
      <c r="T328" t="s">
        <v>49</v>
      </c>
      <c r="U328">
        <v>19272</v>
      </c>
      <c r="V328" t="str" cm="1">
        <f t="array" ref="V32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28">
        <v>21141</v>
      </c>
      <c r="X328">
        <v>1</v>
      </c>
      <c r="Y328" t="s">
        <v>43</v>
      </c>
      <c r="Z328" t="s">
        <v>44</v>
      </c>
      <c r="AA328">
        <v>15</v>
      </c>
      <c r="AB328">
        <v>3</v>
      </c>
      <c r="AC328">
        <v>1</v>
      </c>
      <c r="AD328">
        <v>80</v>
      </c>
      <c r="AE328">
        <v>1</v>
      </c>
      <c r="AF328">
        <v>21</v>
      </c>
      <c r="AG328">
        <v>2</v>
      </c>
      <c r="AH328">
        <v>3</v>
      </c>
      <c r="AI328">
        <v>21</v>
      </c>
      <c r="AJ328">
        <v>9</v>
      </c>
      <c r="AK328">
        <v>13</v>
      </c>
      <c r="AL328" t="str" cm="1">
        <f t="array" ref="AL32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28">
        <v>3</v>
      </c>
    </row>
    <row r="329" spans="1:39" x14ac:dyDescent="0.25">
      <c r="A329">
        <v>39</v>
      </c>
      <c r="B329" t="s">
        <v>36</v>
      </c>
      <c r="C329" t="s">
        <v>37</v>
      </c>
      <c r="D329">
        <v>1162</v>
      </c>
      <c r="E329" t="s">
        <v>38</v>
      </c>
      <c r="G329">
        <v>3</v>
      </c>
      <c r="H329">
        <v>2</v>
      </c>
      <c r="I329" t="s">
        <v>52</v>
      </c>
      <c r="J329" t="str">
        <f>WA_Fn_UseC__HR_Employee_Attrition[[#This Row],[EducationField]]&amp;"-"&amp;WA_Fn_UseC__HR_Employee_Attrition[[#This Row],[Department]]</f>
        <v>Medical-Sales</v>
      </c>
      <c r="K329">
        <v>1</v>
      </c>
      <c r="L329">
        <v>445</v>
      </c>
      <c r="M329">
        <v>4</v>
      </c>
      <c r="N329" t="s">
        <v>40</v>
      </c>
      <c r="O329">
        <v>41</v>
      </c>
      <c r="P329">
        <v>3</v>
      </c>
      <c r="Q329">
        <v>2</v>
      </c>
      <c r="R329" t="s">
        <v>41</v>
      </c>
      <c r="S329">
        <v>3</v>
      </c>
      <c r="T329" t="s">
        <v>49</v>
      </c>
      <c r="U329">
        <v>5238</v>
      </c>
      <c r="V329" t="str" cm="1">
        <f t="array" ref="V32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29">
        <v>17778</v>
      </c>
      <c r="X329">
        <v>4</v>
      </c>
      <c r="Y329" t="s">
        <v>43</v>
      </c>
      <c r="Z329" t="s">
        <v>36</v>
      </c>
      <c r="AA329">
        <v>18</v>
      </c>
      <c r="AB329">
        <v>3</v>
      </c>
      <c r="AC329">
        <v>1</v>
      </c>
      <c r="AD329">
        <v>80</v>
      </c>
      <c r="AE329">
        <v>0</v>
      </c>
      <c r="AF329">
        <v>12</v>
      </c>
      <c r="AG329">
        <v>3</v>
      </c>
      <c r="AH329">
        <v>2</v>
      </c>
      <c r="AI329">
        <v>1</v>
      </c>
      <c r="AJ329">
        <v>0</v>
      </c>
      <c r="AK329">
        <v>0</v>
      </c>
      <c r="AL329" t="str" cm="1">
        <f t="array" ref="AL32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29">
        <v>0</v>
      </c>
    </row>
    <row r="330" spans="1:39" x14ac:dyDescent="0.25">
      <c r="A330">
        <v>33</v>
      </c>
      <c r="B330" t="s">
        <v>44</v>
      </c>
      <c r="C330" t="s">
        <v>45</v>
      </c>
      <c r="D330">
        <v>508</v>
      </c>
      <c r="E330" t="s">
        <v>38</v>
      </c>
      <c r="G330">
        <v>10</v>
      </c>
      <c r="H330">
        <v>3</v>
      </c>
      <c r="I330" t="s">
        <v>60</v>
      </c>
      <c r="J330" t="str">
        <f>WA_Fn_UseC__HR_Employee_Attrition[[#This Row],[EducationField]]&amp;"-"&amp;WA_Fn_UseC__HR_Employee_Attrition[[#This Row],[Department]]</f>
        <v>Marketing-Sales</v>
      </c>
      <c r="K330">
        <v>1</v>
      </c>
      <c r="L330">
        <v>446</v>
      </c>
      <c r="M330">
        <v>2</v>
      </c>
      <c r="N330" t="s">
        <v>47</v>
      </c>
      <c r="O330">
        <v>46</v>
      </c>
      <c r="P330">
        <v>2</v>
      </c>
      <c r="Q330">
        <v>2</v>
      </c>
      <c r="R330" t="s">
        <v>41</v>
      </c>
      <c r="S330">
        <v>4</v>
      </c>
      <c r="T330" t="s">
        <v>42</v>
      </c>
      <c r="U330">
        <v>4682</v>
      </c>
      <c r="V330" t="str" cm="1">
        <f t="array" ref="V33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30">
        <v>4317</v>
      </c>
      <c r="X330">
        <v>3</v>
      </c>
      <c r="Y330" t="s">
        <v>43</v>
      </c>
      <c r="Z330" t="s">
        <v>44</v>
      </c>
      <c r="AA330">
        <v>14</v>
      </c>
      <c r="AB330">
        <v>3</v>
      </c>
      <c r="AC330">
        <v>3</v>
      </c>
      <c r="AD330">
        <v>80</v>
      </c>
      <c r="AE330">
        <v>0</v>
      </c>
      <c r="AF330">
        <v>9</v>
      </c>
      <c r="AG330">
        <v>6</v>
      </c>
      <c r="AH330">
        <v>2</v>
      </c>
      <c r="AI330">
        <v>7</v>
      </c>
      <c r="AJ330">
        <v>7</v>
      </c>
      <c r="AK330">
        <v>0</v>
      </c>
      <c r="AL330" t="str" cm="1">
        <f t="array" ref="AL33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30">
        <v>1</v>
      </c>
    </row>
    <row r="331" spans="1:39" x14ac:dyDescent="0.25">
      <c r="A331">
        <v>47</v>
      </c>
      <c r="B331" t="s">
        <v>44</v>
      </c>
      <c r="C331" t="s">
        <v>37</v>
      </c>
      <c r="D331">
        <v>1482</v>
      </c>
      <c r="E331" t="s">
        <v>46</v>
      </c>
      <c r="G331">
        <v>5</v>
      </c>
      <c r="H331">
        <v>5</v>
      </c>
      <c r="I331" t="s">
        <v>39</v>
      </c>
      <c r="J331" t="str">
        <f>WA_Fn_UseC__HR_Employee_Attrition[[#This Row],[EducationField]]&amp;"-"&amp;WA_Fn_UseC__HR_Employee_Attrition[[#This Row],[Department]]</f>
        <v>Life Sciences-Research &amp; Development</v>
      </c>
      <c r="K331">
        <v>1</v>
      </c>
      <c r="L331">
        <v>447</v>
      </c>
      <c r="M331">
        <v>4</v>
      </c>
      <c r="N331" t="s">
        <v>47</v>
      </c>
      <c r="O331">
        <v>42</v>
      </c>
      <c r="P331">
        <v>3</v>
      </c>
      <c r="Q331">
        <v>5</v>
      </c>
      <c r="R331" t="s">
        <v>59</v>
      </c>
      <c r="S331">
        <v>3</v>
      </c>
      <c r="T331" t="s">
        <v>49</v>
      </c>
      <c r="U331">
        <v>18300</v>
      </c>
      <c r="V331" t="str" cm="1">
        <f t="array" ref="V33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31">
        <v>16375</v>
      </c>
      <c r="X331">
        <v>4</v>
      </c>
      <c r="Y331" t="s">
        <v>43</v>
      </c>
      <c r="Z331" t="s">
        <v>44</v>
      </c>
      <c r="AA331">
        <v>11</v>
      </c>
      <c r="AB331">
        <v>3</v>
      </c>
      <c r="AC331">
        <v>2</v>
      </c>
      <c r="AD331">
        <v>80</v>
      </c>
      <c r="AE331">
        <v>1</v>
      </c>
      <c r="AF331">
        <v>21</v>
      </c>
      <c r="AG331">
        <v>2</v>
      </c>
      <c r="AH331">
        <v>3</v>
      </c>
      <c r="AI331">
        <v>3</v>
      </c>
      <c r="AJ331">
        <v>2</v>
      </c>
      <c r="AK331">
        <v>1</v>
      </c>
      <c r="AL331" t="str" cm="1">
        <f t="array" ref="AL33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31">
        <v>1</v>
      </c>
    </row>
    <row r="332" spans="1:39" x14ac:dyDescent="0.25">
      <c r="A332">
        <v>43</v>
      </c>
      <c r="B332" t="s">
        <v>44</v>
      </c>
      <c r="C332" t="s">
        <v>45</v>
      </c>
      <c r="D332">
        <v>559</v>
      </c>
      <c r="E332" t="s">
        <v>46</v>
      </c>
      <c r="G332">
        <v>10</v>
      </c>
      <c r="H332">
        <v>4</v>
      </c>
      <c r="I332" t="s">
        <v>39</v>
      </c>
      <c r="J332" t="str">
        <f>WA_Fn_UseC__HR_Employee_Attrition[[#This Row],[EducationField]]&amp;"-"&amp;WA_Fn_UseC__HR_Employee_Attrition[[#This Row],[Department]]</f>
        <v>Life Sciences-Research &amp; Development</v>
      </c>
      <c r="K332">
        <v>1</v>
      </c>
      <c r="L332">
        <v>448</v>
      </c>
      <c r="M332">
        <v>3</v>
      </c>
      <c r="N332" t="s">
        <v>40</v>
      </c>
      <c r="O332">
        <v>82</v>
      </c>
      <c r="P332">
        <v>2</v>
      </c>
      <c r="Q332">
        <v>2</v>
      </c>
      <c r="R332" t="s">
        <v>51</v>
      </c>
      <c r="S332">
        <v>3</v>
      </c>
      <c r="T332" t="s">
        <v>53</v>
      </c>
      <c r="U332">
        <v>5257</v>
      </c>
      <c r="V332" t="str" cm="1">
        <f t="array" ref="V33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32">
        <v>6227</v>
      </c>
      <c r="X332">
        <v>1</v>
      </c>
      <c r="Y332" t="s">
        <v>43</v>
      </c>
      <c r="Z332" t="s">
        <v>44</v>
      </c>
      <c r="AA332">
        <v>11</v>
      </c>
      <c r="AB332">
        <v>3</v>
      </c>
      <c r="AC332">
        <v>2</v>
      </c>
      <c r="AD332">
        <v>80</v>
      </c>
      <c r="AE332">
        <v>1</v>
      </c>
      <c r="AF332">
        <v>9</v>
      </c>
      <c r="AG332">
        <v>3</v>
      </c>
      <c r="AH332">
        <v>4</v>
      </c>
      <c r="AI332">
        <v>9</v>
      </c>
      <c r="AJ332">
        <v>7</v>
      </c>
      <c r="AK332">
        <v>0</v>
      </c>
      <c r="AL332" t="str" cm="1">
        <f t="array" ref="AL33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32">
        <v>0</v>
      </c>
    </row>
    <row r="333" spans="1:39" x14ac:dyDescent="0.25">
      <c r="A333">
        <v>27</v>
      </c>
      <c r="B333" t="s">
        <v>44</v>
      </c>
      <c r="C333" t="s">
        <v>56</v>
      </c>
      <c r="D333">
        <v>210</v>
      </c>
      <c r="E333" t="s">
        <v>38</v>
      </c>
      <c r="G333">
        <v>1</v>
      </c>
      <c r="H333">
        <v>1</v>
      </c>
      <c r="I333" t="s">
        <v>60</v>
      </c>
      <c r="J333" t="str">
        <f>WA_Fn_UseC__HR_Employee_Attrition[[#This Row],[EducationField]]&amp;"-"&amp;WA_Fn_UseC__HR_Employee_Attrition[[#This Row],[Department]]</f>
        <v>Marketing-Sales</v>
      </c>
      <c r="K333">
        <v>1</v>
      </c>
      <c r="L333">
        <v>449</v>
      </c>
      <c r="M333">
        <v>3</v>
      </c>
      <c r="N333" t="s">
        <v>47</v>
      </c>
      <c r="O333">
        <v>73</v>
      </c>
      <c r="P333">
        <v>3</v>
      </c>
      <c r="Q333">
        <v>2</v>
      </c>
      <c r="R333" t="s">
        <v>41</v>
      </c>
      <c r="S333">
        <v>2</v>
      </c>
      <c r="T333" t="s">
        <v>49</v>
      </c>
      <c r="U333">
        <v>6349</v>
      </c>
      <c r="V333" t="str" cm="1">
        <f t="array" ref="V33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33">
        <v>22107</v>
      </c>
      <c r="X333">
        <v>0</v>
      </c>
      <c r="Y333" t="s">
        <v>43</v>
      </c>
      <c r="Z333" t="s">
        <v>36</v>
      </c>
      <c r="AA333">
        <v>13</v>
      </c>
      <c r="AB333">
        <v>3</v>
      </c>
      <c r="AC333">
        <v>4</v>
      </c>
      <c r="AD333">
        <v>80</v>
      </c>
      <c r="AE333">
        <v>1</v>
      </c>
      <c r="AF333">
        <v>6</v>
      </c>
      <c r="AG333">
        <v>0</v>
      </c>
      <c r="AH333">
        <v>3</v>
      </c>
      <c r="AI333">
        <v>5</v>
      </c>
      <c r="AJ333">
        <v>4</v>
      </c>
      <c r="AK333">
        <v>1</v>
      </c>
      <c r="AL333" t="str" cm="1">
        <f t="array" ref="AL33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33">
        <v>4</v>
      </c>
    </row>
    <row r="334" spans="1:39" x14ac:dyDescent="0.25">
      <c r="A334">
        <v>54</v>
      </c>
      <c r="B334" t="s">
        <v>44</v>
      </c>
      <c r="C334" t="s">
        <v>45</v>
      </c>
      <c r="D334">
        <v>928</v>
      </c>
      <c r="E334" t="s">
        <v>46</v>
      </c>
      <c r="G334">
        <v>20</v>
      </c>
      <c r="H334">
        <v>4</v>
      </c>
      <c r="I334" t="s">
        <v>39</v>
      </c>
      <c r="J334" t="str">
        <f>WA_Fn_UseC__HR_Employee_Attrition[[#This Row],[EducationField]]&amp;"-"&amp;WA_Fn_UseC__HR_Employee_Attrition[[#This Row],[Department]]</f>
        <v>Life Sciences-Research &amp; Development</v>
      </c>
      <c r="K334">
        <v>1</v>
      </c>
      <c r="L334">
        <v>450</v>
      </c>
      <c r="M334">
        <v>4</v>
      </c>
      <c r="N334" t="s">
        <v>40</v>
      </c>
      <c r="O334">
        <v>31</v>
      </c>
      <c r="P334">
        <v>3</v>
      </c>
      <c r="Q334">
        <v>2</v>
      </c>
      <c r="R334" t="s">
        <v>48</v>
      </c>
      <c r="S334">
        <v>3</v>
      </c>
      <c r="T334" t="s">
        <v>42</v>
      </c>
      <c r="U334">
        <v>4869</v>
      </c>
      <c r="V334" t="str" cm="1">
        <f t="array" ref="V33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34">
        <v>16885</v>
      </c>
      <c r="X334">
        <v>3</v>
      </c>
      <c r="Y334" t="s">
        <v>43</v>
      </c>
      <c r="Z334" t="s">
        <v>44</v>
      </c>
      <c r="AA334">
        <v>12</v>
      </c>
      <c r="AB334">
        <v>3</v>
      </c>
      <c r="AC334">
        <v>4</v>
      </c>
      <c r="AD334">
        <v>80</v>
      </c>
      <c r="AE334">
        <v>0</v>
      </c>
      <c r="AF334">
        <v>20</v>
      </c>
      <c r="AG334">
        <v>4</v>
      </c>
      <c r="AH334">
        <v>2</v>
      </c>
      <c r="AI334">
        <v>4</v>
      </c>
      <c r="AJ334">
        <v>3</v>
      </c>
      <c r="AK334">
        <v>0</v>
      </c>
      <c r="AL334" t="str" cm="1">
        <f t="array" ref="AL33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34">
        <v>3</v>
      </c>
    </row>
    <row r="335" spans="1:39" x14ac:dyDescent="0.25">
      <c r="A335">
        <v>43</v>
      </c>
      <c r="B335" t="s">
        <v>44</v>
      </c>
      <c r="C335" t="s">
        <v>37</v>
      </c>
      <c r="D335">
        <v>1001</v>
      </c>
      <c r="E335" t="s">
        <v>46</v>
      </c>
      <c r="G335">
        <v>7</v>
      </c>
      <c r="H335">
        <v>3</v>
      </c>
      <c r="I335" t="s">
        <v>39</v>
      </c>
      <c r="J335" t="str">
        <f>WA_Fn_UseC__HR_Employee_Attrition[[#This Row],[EducationField]]&amp;"-"&amp;WA_Fn_UseC__HR_Employee_Attrition[[#This Row],[Department]]</f>
        <v>Life Sciences-Research &amp; Development</v>
      </c>
      <c r="K335">
        <v>1</v>
      </c>
      <c r="L335">
        <v>451</v>
      </c>
      <c r="M335">
        <v>3</v>
      </c>
      <c r="N335" t="s">
        <v>40</v>
      </c>
      <c r="O335">
        <v>43</v>
      </c>
      <c r="P335">
        <v>3</v>
      </c>
      <c r="Q335">
        <v>3</v>
      </c>
      <c r="R335" t="s">
        <v>55</v>
      </c>
      <c r="S335">
        <v>1</v>
      </c>
      <c r="T335" t="s">
        <v>49</v>
      </c>
      <c r="U335">
        <v>9985</v>
      </c>
      <c r="V335" t="str" cm="1">
        <f t="array" ref="V33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35">
        <v>9262</v>
      </c>
      <c r="X335">
        <v>8</v>
      </c>
      <c r="Y335" t="s">
        <v>43</v>
      </c>
      <c r="Z335" t="s">
        <v>44</v>
      </c>
      <c r="AA335">
        <v>16</v>
      </c>
      <c r="AB335">
        <v>3</v>
      </c>
      <c r="AC335">
        <v>1</v>
      </c>
      <c r="AD335">
        <v>80</v>
      </c>
      <c r="AE335">
        <v>1</v>
      </c>
      <c r="AF335">
        <v>10</v>
      </c>
      <c r="AG335">
        <v>1</v>
      </c>
      <c r="AH335">
        <v>2</v>
      </c>
      <c r="AI335">
        <v>1</v>
      </c>
      <c r="AJ335">
        <v>0</v>
      </c>
      <c r="AK335">
        <v>0</v>
      </c>
      <c r="AL335" t="str" cm="1">
        <f t="array" ref="AL33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35">
        <v>0</v>
      </c>
    </row>
    <row r="336" spans="1:39" x14ac:dyDescent="0.25">
      <c r="A336">
        <v>45</v>
      </c>
      <c r="B336" t="s">
        <v>44</v>
      </c>
      <c r="C336" t="s">
        <v>37</v>
      </c>
      <c r="D336">
        <v>549</v>
      </c>
      <c r="E336" t="s">
        <v>46</v>
      </c>
      <c r="G336">
        <v>8</v>
      </c>
      <c r="H336">
        <v>4</v>
      </c>
      <c r="I336" t="s">
        <v>50</v>
      </c>
      <c r="J336" t="str">
        <f>WA_Fn_UseC__HR_Employee_Attrition[[#This Row],[EducationField]]&amp;"-"&amp;WA_Fn_UseC__HR_Employee_Attrition[[#This Row],[Department]]</f>
        <v>Other-Research &amp; Development</v>
      </c>
      <c r="K336">
        <v>1</v>
      </c>
      <c r="L336">
        <v>452</v>
      </c>
      <c r="M336">
        <v>4</v>
      </c>
      <c r="N336" t="s">
        <v>47</v>
      </c>
      <c r="O336">
        <v>75</v>
      </c>
      <c r="P336">
        <v>3</v>
      </c>
      <c r="Q336">
        <v>2</v>
      </c>
      <c r="R336" t="s">
        <v>48</v>
      </c>
      <c r="S336">
        <v>4</v>
      </c>
      <c r="T336" t="s">
        <v>49</v>
      </c>
      <c r="U336">
        <v>3697</v>
      </c>
      <c r="V336" t="str" cm="1">
        <f t="array" ref="V33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36">
        <v>9278</v>
      </c>
      <c r="X336">
        <v>9</v>
      </c>
      <c r="Y336" t="s">
        <v>43</v>
      </c>
      <c r="Z336" t="s">
        <v>44</v>
      </c>
      <c r="AA336">
        <v>14</v>
      </c>
      <c r="AB336">
        <v>3</v>
      </c>
      <c r="AC336">
        <v>1</v>
      </c>
      <c r="AD336">
        <v>80</v>
      </c>
      <c r="AE336">
        <v>2</v>
      </c>
      <c r="AF336">
        <v>12</v>
      </c>
      <c r="AG336">
        <v>3</v>
      </c>
      <c r="AH336">
        <v>3</v>
      </c>
      <c r="AI336">
        <v>10</v>
      </c>
      <c r="AJ336">
        <v>9</v>
      </c>
      <c r="AK336">
        <v>9</v>
      </c>
      <c r="AL336" t="str" cm="1">
        <f t="array" ref="AL33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36">
        <v>8</v>
      </c>
    </row>
    <row r="337" spans="1:39" x14ac:dyDescent="0.25">
      <c r="A337">
        <v>40</v>
      </c>
      <c r="B337" t="s">
        <v>44</v>
      </c>
      <c r="C337" t="s">
        <v>37</v>
      </c>
      <c r="D337">
        <v>1124</v>
      </c>
      <c r="E337" t="s">
        <v>38</v>
      </c>
      <c r="G337">
        <v>1</v>
      </c>
      <c r="H337">
        <v>2</v>
      </c>
      <c r="I337" t="s">
        <v>52</v>
      </c>
      <c r="J337" t="str">
        <f>WA_Fn_UseC__HR_Employee_Attrition[[#This Row],[EducationField]]&amp;"-"&amp;WA_Fn_UseC__HR_Employee_Attrition[[#This Row],[Department]]</f>
        <v>Medical-Sales</v>
      </c>
      <c r="K337">
        <v>1</v>
      </c>
      <c r="L337">
        <v>453</v>
      </c>
      <c r="M337">
        <v>2</v>
      </c>
      <c r="N337" t="s">
        <v>47</v>
      </c>
      <c r="O337">
        <v>57</v>
      </c>
      <c r="P337">
        <v>1</v>
      </c>
      <c r="Q337">
        <v>2</v>
      </c>
      <c r="R337" t="s">
        <v>41</v>
      </c>
      <c r="S337">
        <v>4</v>
      </c>
      <c r="T337" t="s">
        <v>49</v>
      </c>
      <c r="U337">
        <v>7457</v>
      </c>
      <c r="V337" t="str" cm="1">
        <f t="array" ref="V33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37">
        <v>13273</v>
      </c>
      <c r="X337">
        <v>2</v>
      </c>
      <c r="Y337" t="s">
        <v>43</v>
      </c>
      <c r="Z337" t="s">
        <v>36</v>
      </c>
      <c r="AA337">
        <v>22</v>
      </c>
      <c r="AB337">
        <v>4</v>
      </c>
      <c r="AC337">
        <v>3</v>
      </c>
      <c r="AD337">
        <v>80</v>
      </c>
      <c r="AE337">
        <v>3</v>
      </c>
      <c r="AF337">
        <v>6</v>
      </c>
      <c r="AG337">
        <v>2</v>
      </c>
      <c r="AH337">
        <v>2</v>
      </c>
      <c r="AI337">
        <v>4</v>
      </c>
      <c r="AJ337">
        <v>3</v>
      </c>
      <c r="AK337">
        <v>0</v>
      </c>
      <c r="AL337" t="str" cm="1">
        <f t="array" ref="AL33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37">
        <v>2</v>
      </c>
    </row>
    <row r="338" spans="1:39" x14ac:dyDescent="0.25">
      <c r="A338">
        <v>29</v>
      </c>
      <c r="B338" t="s">
        <v>36</v>
      </c>
      <c r="C338" t="s">
        <v>37</v>
      </c>
      <c r="D338">
        <v>318</v>
      </c>
      <c r="E338" t="s">
        <v>46</v>
      </c>
      <c r="G338">
        <v>8</v>
      </c>
      <c r="H338">
        <v>4</v>
      </c>
      <c r="I338" t="s">
        <v>50</v>
      </c>
      <c r="J338" t="str">
        <f>WA_Fn_UseC__HR_Employee_Attrition[[#This Row],[EducationField]]&amp;"-"&amp;WA_Fn_UseC__HR_Employee_Attrition[[#This Row],[Department]]</f>
        <v>Other-Research &amp; Development</v>
      </c>
      <c r="K338">
        <v>1</v>
      </c>
      <c r="L338">
        <v>454</v>
      </c>
      <c r="M338">
        <v>2</v>
      </c>
      <c r="N338" t="s">
        <v>47</v>
      </c>
      <c r="O338">
        <v>77</v>
      </c>
      <c r="P338">
        <v>1</v>
      </c>
      <c r="Q338">
        <v>1</v>
      </c>
      <c r="R338" t="s">
        <v>51</v>
      </c>
      <c r="S338">
        <v>1</v>
      </c>
      <c r="T338" t="s">
        <v>49</v>
      </c>
      <c r="U338">
        <v>2119</v>
      </c>
      <c r="V338" t="str" cm="1">
        <f t="array" ref="V33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38">
        <v>4759</v>
      </c>
      <c r="X338">
        <v>1</v>
      </c>
      <c r="Y338" t="s">
        <v>43</v>
      </c>
      <c r="Z338" t="s">
        <v>36</v>
      </c>
      <c r="AA338">
        <v>11</v>
      </c>
      <c r="AB338">
        <v>3</v>
      </c>
      <c r="AC338">
        <v>4</v>
      </c>
      <c r="AD338">
        <v>80</v>
      </c>
      <c r="AE338">
        <v>0</v>
      </c>
      <c r="AF338">
        <v>7</v>
      </c>
      <c r="AG338">
        <v>4</v>
      </c>
      <c r="AH338">
        <v>2</v>
      </c>
      <c r="AI338">
        <v>7</v>
      </c>
      <c r="AJ338">
        <v>7</v>
      </c>
      <c r="AK338">
        <v>0</v>
      </c>
      <c r="AL338" t="str" cm="1">
        <f t="array" ref="AL33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38">
        <v>7</v>
      </c>
    </row>
    <row r="339" spans="1:39" x14ac:dyDescent="0.25">
      <c r="A339">
        <v>29</v>
      </c>
      <c r="B339" t="s">
        <v>44</v>
      </c>
      <c r="C339" t="s">
        <v>37</v>
      </c>
      <c r="D339">
        <v>738</v>
      </c>
      <c r="E339" t="s">
        <v>46</v>
      </c>
      <c r="G339">
        <v>9</v>
      </c>
      <c r="H339">
        <v>5</v>
      </c>
      <c r="I339" t="s">
        <v>50</v>
      </c>
      <c r="J339" t="str">
        <f>WA_Fn_UseC__HR_Employee_Attrition[[#This Row],[EducationField]]&amp;"-"&amp;WA_Fn_UseC__HR_Employee_Attrition[[#This Row],[Department]]</f>
        <v>Other-Research &amp; Development</v>
      </c>
      <c r="K339">
        <v>1</v>
      </c>
      <c r="L339">
        <v>455</v>
      </c>
      <c r="M339">
        <v>2</v>
      </c>
      <c r="N339" t="s">
        <v>47</v>
      </c>
      <c r="O339">
        <v>30</v>
      </c>
      <c r="P339">
        <v>2</v>
      </c>
      <c r="Q339">
        <v>1</v>
      </c>
      <c r="R339" t="s">
        <v>51</v>
      </c>
      <c r="S339">
        <v>4</v>
      </c>
      <c r="T339" t="s">
        <v>42</v>
      </c>
      <c r="U339">
        <v>3983</v>
      </c>
      <c r="V339" t="str" cm="1">
        <f t="array" ref="V33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39">
        <v>7621</v>
      </c>
      <c r="X339">
        <v>0</v>
      </c>
      <c r="Y339" t="s">
        <v>43</v>
      </c>
      <c r="Z339" t="s">
        <v>44</v>
      </c>
      <c r="AA339">
        <v>17</v>
      </c>
      <c r="AB339">
        <v>3</v>
      </c>
      <c r="AC339">
        <v>3</v>
      </c>
      <c r="AD339">
        <v>80</v>
      </c>
      <c r="AE339">
        <v>0</v>
      </c>
      <c r="AF339">
        <v>4</v>
      </c>
      <c r="AG339">
        <v>2</v>
      </c>
      <c r="AH339">
        <v>3</v>
      </c>
      <c r="AI339">
        <v>3</v>
      </c>
      <c r="AJ339">
        <v>2</v>
      </c>
      <c r="AK339">
        <v>2</v>
      </c>
      <c r="AL339" t="str" cm="1">
        <f t="array" ref="AL33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39">
        <v>2</v>
      </c>
    </row>
    <row r="340" spans="1:39" x14ac:dyDescent="0.25">
      <c r="A340">
        <v>30</v>
      </c>
      <c r="B340" t="s">
        <v>44</v>
      </c>
      <c r="C340" t="s">
        <v>37</v>
      </c>
      <c r="D340">
        <v>570</v>
      </c>
      <c r="E340" t="s">
        <v>38</v>
      </c>
      <c r="G340">
        <v>5</v>
      </c>
      <c r="H340">
        <v>3</v>
      </c>
      <c r="I340" t="s">
        <v>60</v>
      </c>
      <c r="J340" t="str">
        <f>WA_Fn_UseC__HR_Employee_Attrition[[#This Row],[EducationField]]&amp;"-"&amp;WA_Fn_UseC__HR_Employee_Attrition[[#This Row],[Department]]</f>
        <v>Marketing-Sales</v>
      </c>
      <c r="K340">
        <v>1</v>
      </c>
      <c r="L340">
        <v>456</v>
      </c>
      <c r="M340">
        <v>4</v>
      </c>
      <c r="N340" t="s">
        <v>40</v>
      </c>
      <c r="O340">
        <v>30</v>
      </c>
      <c r="P340">
        <v>2</v>
      </c>
      <c r="Q340">
        <v>2</v>
      </c>
      <c r="R340" t="s">
        <v>41</v>
      </c>
      <c r="S340">
        <v>3</v>
      </c>
      <c r="T340" t="s">
        <v>53</v>
      </c>
      <c r="U340">
        <v>6118</v>
      </c>
      <c r="V340" t="str" cm="1">
        <f t="array" ref="V34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40">
        <v>5431</v>
      </c>
      <c r="X340">
        <v>1</v>
      </c>
      <c r="Y340" t="s">
        <v>43</v>
      </c>
      <c r="Z340" t="s">
        <v>44</v>
      </c>
      <c r="AA340">
        <v>13</v>
      </c>
      <c r="AB340">
        <v>3</v>
      </c>
      <c r="AC340">
        <v>3</v>
      </c>
      <c r="AD340">
        <v>80</v>
      </c>
      <c r="AE340">
        <v>3</v>
      </c>
      <c r="AF340">
        <v>10</v>
      </c>
      <c r="AG340">
        <v>2</v>
      </c>
      <c r="AH340">
        <v>3</v>
      </c>
      <c r="AI340">
        <v>10</v>
      </c>
      <c r="AJ340">
        <v>9</v>
      </c>
      <c r="AK340">
        <v>1</v>
      </c>
      <c r="AL340" t="str" cm="1">
        <f t="array" ref="AL34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40">
        <v>2</v>
      </c>
    </row>
    <row r="341" spans="1:39" x14ac:dyDescent="0.25">
      <c r="A341">
        <v>27</v>
      </c>
      <c r="B341" t="s">
        <v>44</v>
      </c>
      <c r="C341" t="s">
        <v>37</v>
      </c>
      <c r="D341">
        <v>1130</v>
      </c>
      <c r="E341" t="s">
        <v>38</v>
      </c>
      <c r="G341">
        <v>8</v>
      </c>
      <c r="H341">
        <v>4</v>
      </c>
      <c r="I341" t="s">
        <v>60</v>
      </c>
      <c r="J341" t="str">
        <f>WA_Fn_UseC__HR_Employee_Attrition[[#This Row],[EducationField]]&amp;"-"&amp;WA_Fn_UseC__HR_Employee_Attrition[[#This Row],[Department]]</f>
        <v>Marketing-Sales</v>
      </c>
      <c r="K341">
        <v>1</v>
      </c>
      <c r="L341">
        <v>458</v>
      </c>
      <c r="M341">
        <v>2</v>
      </c>
      <c r="N341" t="s">
        <v>40</v>
      </c>
      <c r="O341">
        <v>56</v>
      </c>
      <c r="P341">
        <v>3</v>
      </c>
      <c r="Q341">
        <v>2</v>
      </c>
      <c r="R341" t="s">
        <v>41</v>
      </c>
      <c r="S341">
        <v>2</v>
      </c>
      <c r="T341" t="s">
        <v>49</v>
      </c>
      <c r="U341">
        <v>6214</v>
      </c>
      <c r="V341" t="str" cm="1">
        <f t="array" ref="V34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41">
        <v>3415</v>
      </c>
      <c r="X341">
        <v>1</v>
      </c>
      <c r="Y341" t="s">
        <v>43</v>
      </c>
      <c r="Z341" t="s">
        <v>44</v>
      </c>
      <c r="AA341">
        <v>18</v>
      </c>
      <c r="AB341">
        <v>3</v>
      </c>
      <c r="AC341">
        <v>1</v>
      </c>
      <c r="AD341">
        <v>80</v>
      </c>
      <c r="AE341">
        <v>1</v>
      </c>
      <c r="AF341">
        <v>8</v>
      </c>
      <c r="AG341">
        <v>3</v>
      </c>
      <c r="AH341">
        <v>3</v>
      </c>
      <c r="AI341">
        <v>8</v>
      </c>
      <c r="AJ341">
        <v>7</v>
      </c>
      <c r="AK341">
        <v>0</v>
      </c>
      <c r="AL341" t="str" cm="1">
        <f t="array" ref="AL34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41">
        <v>7</v>
      </c>
    </row>
    <row r="342" spans="1:39" x14ac:dyDescent="0.25">
      <c r="A342">
        <v>37</v>
      </c>
      <c r="B342" t="s">
        <v>44</v>
      </c>
      <c r="C342" t="s">
        <v>37</v>
      </c>
      <c r="D342">
        <v>1192</v>
      </c>
      <c r="E342" t="s">
        <v>46</v>
      </c>
      <c r="G342">
        <v>5</v>
      </c>
      <c r="H342">
        <v>2</v>
      </c>
      <c r="I342" t="s">
        <v>52</v>
      </c>
      <c r="J342" t="str">
        <f>WA_Fn_UseC__HR_Employee_Attrition[[#This Row],[EducationField]]&amp;"-"&amp;WA_Fn_UseC__HR_Employee_Attrition[[#This Row],[Department]]</f>
        <v>Medical-Research &amp; Development</v>
      </c>
      <c r="K342">
        <v>1</v>
      </c>
      <c r="L342">
        <v>460</v>
      </c>
      <c r="M342">
        <v>4</v>
      </c>
      <c r="N342" t="s">
        <v>47</v>
      </c>
      <c r="O342">
        <v>61</v>
      </c>
      <c r="P342">
        <v>3</v>
      </c>
      <c r="Q342">
        <v>2</v>
      </c>
      <c r="R342" t="s">
        <v>54</v>
      </c>
      <c r="S342">
        <v>4</v>
      </c>
      <c r="T342" t="s">
        <v>53</v>
      </c>
      <c r="U342">
        <v>6347</v>
      </c>
      <c r="V342" t="str" cm="1">
        <f t="array" ref="V34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42">
        <v>23177</v>
      </c>
      <c r="X342">
        <v>7</v>
      </c>
      <c r="Y342" t="s">
        <v>43</v>
      </c>
      <c r="Z342" t="s">
        <v>44</v>
      </c>
      <c r="AA342">
        <v>16</v>
      </c>
      <c r="AB342">
        <v>3</v>
      </c>
      <c r="AC342">
        <v>3</v>
      </c>
      <c r="AD342">
        <v>80</v>
      </c>
      <c r="AE342">
        <v>2</v>
      </c>
      <c r="AF342">
        <v>8</v>
      </c>
      <c r="AG342">
        <v>2</v>
      </c>
      <c r="AH342">
        <v>2</v>
      </c>
      <c r="AI342">
        <v>6</v>
      </c>
      <c r="AJ342">
        <v>2</v>
      </c>
      <c r="AK342">
        <v>0</v>
      </c>
      <c r="AL342" t="str" cm="1">
        <f t="array" ref="AL34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42">
        <v>4</v>
      </c>
    </row>
    <row r="343" spans="1:39" x14ac:dyDescent="0.25">
      <c r="A343">
        <v>38</v>
      </c>
      <c r="B343" t="s">
        <v>44</v>
      </c>
      <c r="C343" t="s">
        <v>37</v>
      </c>
      <c r="D343">
        <v>343</v>
      </c>
      <c r="E343" t="s">
        <v>46</v>
      </c>
      <c r="G343">
        <v>15</v>
      </c>
      <c r="H343">
        <v>2</v>
      </c>
      <c r="I343" t="s">
        <v>39</v>
      </c>
      <c r="J343" t="str">
        <f>WA_Fn_UseC__HR_Employee_Attrition[[#This Row],[EducationField]]&amp;"-"&amp;WA_Fn_UseC__HR_Employee_Attrition[[#This Row],[Department]]</f>
        <v>Life Sciences-Research &amp; Development</v>
      </c>
      <c r="K343">
        <v>1</v>
      </c>
      <c r="L343">
        <v>461</v>
      </c>
      <c r="M343">
        <v>3</v>
      </c>
      <c r="N343" t="s">
        <v>47</v>
      </c>
      <c r="O343">
        <v>92</v>
      </c>
      <c r="P343">
        <v>2</v>
      </c>
      <c r="Q343">
        <v>3</v>
      </c>
      <c r="R343" t="s">
        <v>59</v>
      </c>
      <c r="S343">
        <v>4</v>
      </c>
      <c r="T343" t="s">
        <v>53</v>
      </c>
      <c r="U343">
        <v>11510</v>
      </c>
      <c r="V343" t="str" cm="1">
        <f t="array" ref="V34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43">
        <v>15682</v>
      </c>
      <c r="X343">
        <v>0</v>
      </c>
      <c r="Y343" t="s">
        <v>43</v>
      </c>
      <c r="Z343" t="s">
        <v>36</v>
      </c>
      <c r="AA343">
        <v>14</v>
      </c>
      <c r="AB343">
        <v>3</v>
      </c>
      <c r="AC343">
        <v>2</v>
      </c>
      <c r="AD343">
        <v>80</v>
      </c>
      <c r="AE343">
        <v>1</v>
      </c>
      <c r="AF343">
        <v>12</v>
      </c>
      <c r="AG343">
        <v>3</v>
      </c>
      <c r="AH343">
        <v>3</v>
      </c>
      <c r="AI343">
        <v>11</v>
      </c>
      <c r="AJ343">
        <v>10</v>
      </c>
      <c r="AK343">
        <v>2</v>
      </c>
      <c r="AL343" t="str" cm="1">
        <f t="array" ref="AL34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43">
        <v>9</v>
      </c>
    </row>
    <row r="344" spans="1:39" x14ac:dyDescent="0.25">
      <c r="A344">
        <v>31</v>
      </c>
      <c r="B344" t="s">
        <v>44</v>
      </c>
      <c r="C344" t="s">
        <v>37</v>
      </c>
      <c r="D344">
        <v>1232</v>
      </c>
      <c r="E344" t="s">
        <v>46</v>
      </c>
      <c r="G344">
        <v>7</v>
      </c>
      <c r="H344">
        <v>4</v>
      </c>
      <c r="I344" t="s">
        <v>52</v>
      </c>
      <c r="J344" t="str">
        <f>WA_Fn_UseC__HR_Employee_Attrition[[#This Row],[EducationField]]&amp;"-"&amp;WA_Fn_UseC__HR_Employee_Attrition[[#This Row],[Department]]</f>
        <v>Medical-Research &amp; Development</v>
      </c>
      <c r="K344">
        <v>1</v>
      </c>
      <c r="L344">
        <v>462</v>
      </c>
      <c r="M344">
        <v>3</v>
      </c>
      <c r="N344" t="s">
        <v>40</v>
      </c>
      <c r="O344">
        <v>39</v>
      </c>
      <c r="P344">
        <v>3</v>
      </c>
      <c r="Q344">
        <v>3</v>
      </c>
      <c r="R344" t="s">
        <v>54</v>
      </c>
      <c r="S344">
        <v>4</v>
      </c>
      <c r="T344" t="s">
        <v>42</v>
      </c>
      <c r="U344">
        <v>7143</v>
      </c>
      <c r="V344" t="str" cm="1">
        <f t="array" ref="V34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44">
        <v>25713</v>
      </c>
      <c r="X344">
        <v>1</v>
      </c>
      <c r="Y344" t="s">
        <v>43</v>
      </c>
      <c r="Z344" t="s">
        <v>36</v>
      </c>
      <c r="AA344">
        <v>14</v>
      </c>
      <c r="AB344">
        <v>3</v>
      </c>
      <c r="AC344">
        <v>3</v>
      </c>
      <c r="AD344">
        <v>80</v>
      </c>
      <c r="AE344">
        <v>0</v>
      </c>
      <c r="AF344">
        <v>11</v>
      </c>
      <c r="AG344">
        <v>2</v>
      </c>
      <c r="AH344">
        <v>2</v>
      </c>
      <c r="AI344">
        <v>11</v>
      </c>
      <c r="AJ344">
        <v>9</v>
      </c>
      <c r="AK344">
        <v>4</v>
      </c>
      <c r="AL344" t="str" cm="1">
        <f t="array" ref="AL34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44">
        <v>10</v>
      </c>
    </row>
    <row r="345" spans="1:39" x14ac:dyDescent="0.25">
      <c r="A345">
        <v>29</v>
      </c>
      <c r="B345" t="s">
        <v>44</v>
      </c>
      <c r="C345" t="s">
        <v>37</v>
      </c>
      <c r="D345">
        <v>144</v>
      </c>
      <c r="E345" t="s">
        <v>38</v>
      </c>
      <c r="G345">
        <v>10</v>
      </c>
      <c r="H345">
        <v>1</v>
      </c>
      <c r="I345" t="s">
        <v>60</v>
      </c>
      <c r="J345" t="str">
        <f>WA_Fn_UseC__HR_Employee_Attrition[[#This Row],[EducationField]]&amp;"-"&amp;WA_Fn_UseC__HR_Employee_Attrition[[#This Row],[Department]]</f>
        <v>Marketing-Sales</v>
      </c>
      <c r="K345">
        <v>1</v>
      </c>
      <c r="L345">
        <v>463</v>
      </c>
      <c r="M345">
        <v>4</v>
      </c>
      <c r="N345" t="s">
        <v>40</v>
      </c>
      <c r="O345">
        <v>39</v>
      </c>
      <c r="P345">
        <v>2</v>
      </c>
      <c r="Q345">
        <v>2</v>
      </c>
      <c r="R345" t="s">
        <v>41</v>
      </c>
      <c r="S345">
        <v>2</v>
      </c>
      <c r="T345" t="s">
        <v>53</v>
      </c>
      <c r="U345">
        <v>8268</v>
      </c>
      <c r="V345" t="str" cm="1">
        <f t="array" ref="V34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45">
        <v>11866</v>
      </c>
      <c r="X345">
        <v>1</v>
      </c>
      <c r="Y345" t="s">
        <v>43</v>
      </c>
      <c r="Z345" t="s">
        <v>36</v>
      </c>
      <c r="AA345">
        <v>14</v>
      </c>
      <c r="AB345">
        <v>3</v>
      </c>
      <c r="AC345">
        <v>1</v>
      </c>
      <c r="AD345">
        <v>80</v>
      </c>
      <c r="AE345">
        <v>2</v>
      </c>
      <c r="AF345">
        <v>7</v>
      </c>
      <c r="AG345">
        <v>2</v>
      </c>
      <c r="AH345">
        <v>3</v>
      </c>
      <c r="AI345">
        <v>7</v>
      </c>
      <c r="AJ345">
        <v>7</v>
      </c>
      <c r="AK345">
        <v>1</v>
      </c>
      <c r="AL345" t="str" cm="1">
        <f t="array" ref="AL34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45">
        <v>7</v>
      </c>
    </row>
    <row r="346" spans="1:39" x14ac:dyDescent="0.25">
      <c r="A346">
        <v>35</v>
      </c>
      <c r="B346" t="s">
        <v>44</v>
      </c>
      <c r="C346" t="s">
        <v>37</v>
      </c>
      <c r="D346">
        <v>1296</v>
      </c>
      <c r="E346" t="s">
        <v>46</v>
      </c>
      <c r="G346">
        <v>5</v>
      </c>
      <c r="H346">
        <v>4</v>
      </c>
      <c r="I346" t="s">
        <v>61</v>
      </c>
      <c r="J346" t="str">
        <f>WA_Fn_UseC__HR_Employee_Attrition[[#This Row],[EducationField]]&amp;"-"&amp;WA_Fn_UseC__HR_Employee_Attrition[[#This Row],[Department]]</f>
        <v>Technical Degree-Research &amp; Development</v>
      </c>
      <c r="K346">
        <v>1</v>
      </c>
      <c r="L346">
        <v>464</v>
      </c>
      <c r="M346">
        <v>3</v>
      </c>
      <c r="N346" t="s">
        <v>47</v>
      </c>
      <c r="O346">
        <v>62</v>
      </c>
      <c r="P346">
        <v>3</v>
      </c>
      <c r="Q346">
        <v>3</v>
      </c>
      <c r="R346" t="s">
        <v>54</v>
      </c>
      <c r="S346">
        <v>2</v>
      </c>
      <c r="T346" t="s">
        <v>42</v>
      </c>
      <c r="U346">
        <v>8095</v>
      </c>
      <c r="V346" t="str" cm="1">
        <f t="array" ref="V34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46">
        <v>18264</v>
      </c>
      <c r="X346">
        <v>0</v>
      </c>
      <c r="Y346" t="s">
        <v>43</v>
      </c>
      <c r="Z346" t="s">
        <v>44</v>
      </c>
      <c r="AA346">
        <v>13</v>
      </c>
      <c r="AB346">
        <v>3</v>
      </c>
      <c r="AC346">
        <v>4</v>
      </c>
      <c r="AD346">
        <v>80</v>
      </c>
      <c r="AE346">
        <v>0</v>
      </c>
      <c r="AF346">
        <v>17</v>
      </c>
      <c r="AG346">
        <v>5</v>
      </c>
      <c r="AH346">
        <v>3</v>
      </c>
      <c r="AI346">
        <v>16</v>
      </c>
      <c r="AJ346">
        <v>6</v>
      </c>
      <c r="AK346">
        <v>0</v>
      </c>
      <c r="AL346" t="str" cm="1">
        <f t="array" ref="AL34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46">
        <v>13</v>
      </c>
    </row>
    <row r="347" spans="1:39" x14ac:dyDescent="0.25">
      <c r="A347">
        <v>23</v>
      </c>
      <c r="B347" t="s">
        <v>44</v>
      </c>
      <c r="C347" t="s">
        <v>37</v>
      </c>
      <c r="D347">
        <v>1309</v>
      </c>
      <c r="E347" t="s">
        <v>46</v>
      </c>
      <c r="G347">
        <v>26</v>
      </c>
      <c r="H347">
        <v>1</v>
      </c>
      <c r="I347" t="s">
        <v>39</v>
      </c>
      <c r="J347" t="str">
        <f>WA_Fn_UseC__HR_Employee_Attrition[[#This Row],[EducationField]]&amp;"-"&amp;WA_Fn_UseC__HR_Employee_Attrition[[#This Row],[Department]]</f>
        <v>Life Sciences-Research &amp; Development</v>
      </c>
      <c r="K347">
        <v>1</v>
      </c>
      <c r="L347">
        <v>465</v>
      </c>
      <c r="M347">
        <v>3</v>
      </c>
      <c r="N347" t="s">
        <v>47</v>
      </c>
      <c r="O347">
        <v>83</v>
      </c>
      <c r="P347">
        <v>3</v>
      </c>
      <c r="Q347">
        <v>1</v>
      </c>
      <c r="R347" t="s">
        <v>48</v>
      </c>
      <c r="S347">
        <v>4</v>
      </c>
      <c r="T347" t="s">
        <v>53</v>
      </c>
      <c r="U347">
        <v>2904</v>
      </c>
      <c r="V347" t="str" cm="1">
        <f t="array" ref="V34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47">
        <v>16092</v>
      </c>
      <c r="X347">
        <v>1</v>
      </c>
      <c r="Y347" t="s">
        <v>43</v>
      </c>
      <c r="Z347" t="s">
        <v>44</v>
      </c>
      <c r="AA347">
        <v>12</v>
      </c>
      <c r="AB347">
        <v>3</v>
      </c>
      <c r="AC347">
        <v>3</v>
      </c>
      <c r="AD347">
        <v>80</v>
      </c>
      <c r="AE347">
        <v>2</v>
      </c>
      <c r="AF347">
        <v>4</v>
      </c>
      <c r="AG347">
        <v>2</v>
      </c>
      <c r="AH347">
        <v>2</v>
      </c>
      <c r="AI347">
        <v>4</v>
      </c>
      <c r="AJ347">
        <v>2</v>
      </c>
      <c r="AK347">
        <v>0</v>
      </c>
      <c r="AL347" t="str" cm="1">
        <f t="array" ref="AL34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47">
        <v>2</v>
      </c>
    </row>
    <row r="348" spans="1:39" x14ac:dyDescent="0.25">
      <c r="A348">
        <v>41</v>
      </c>
      <c r="B348" t="s">
        <v>44</v>
      </c>
      <c r="C348" t="s">
        <v>37</v>
      </c>
      <c r="D348">
        <v>483</v>
      </c>
      <c r="E348" t="s">
        <v>46</v>
      </c>
      <c r="G348">
        <v>6</v>
      </c>
      <c r="H348">
        <v>3</v>
      </c>
      <c r="I348" t="s">
        <v>52</v>
      </c>
      <c r="J348" t="str">
        <f>WA_Fn_UseC__HR_Employee_Attrition[[#This Row],[EducationField]]&amp;"-"&amp;WA_Fn_UseC__HR_Employee_Attrition[[#This Row],[Department]]</f>
        <v>Medical-Research &amp; Development</v>
      </c>
      <c r="K348">
        <v>1</v>
      </c>
      <c r="L348">
        <v>466</v>
      </c>
      <c r="M348">
        <v>4</v>
      </c>
      <c r="N348" t="s">
        <v>47</v>
      </c>
      <c r="O348">
        <v>95</v>
      </c>
      <c r="P348">
        <v>2</v>
      </c>
      <c r="Q348">
        <v>2</v>
      </c>
      <c r="R348" t="s">
        <v>54</v>
      </c>
      <c r="S348">
        <v>2</v>
      </c>
      <c r="T348" t="s">
        <v>42</v>
      </c>
      <c r="U348">
        <v>6032</v>
      </c>
      <c r="V348" t="str" cm="1">
        <f t="array" ref="V34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48">
        <v>10110</v>
      </c>
      <c r="X348">
        <v>6</v>
      </c>
      <c r="Y348" t="s">
        <v>43</v>
      </c>
      <c r="Z348" t="s">
        <v>36</v>
      </c>
      <c r="AA348">
        <v>15</v>
      </c>
      <c r="AB348">
        <v>3</v>
      </c>
      <c r="AC348">
        <v>4</v>
      </c>
      <c r="AD348">
        <v>80</v>
      </c>
      <c r="AE348">
        <v>0</v>
      </c>
      <c r="AF348">
        <v>8</v>
      </c>
      <c r="AG348">
        <v>3</v>
      </c>
      <c r="AH348">
        <v>3</v>
      </c>
      <c r="AI348">
        <v>5</v>
      </c>
      <c r="AJ348">
        <v>4</v>
      </c>
      <c r="AK348">
        <v>1</v>
      </c>
      <c r="AL348" t="str" cm="1">
        <f t="array" ref="AL34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48">
        <v>2</v>
      </c>
    </row>
    <row r="349" spans="1:39" x14ac:dyDescent="0.25">
      <c r="A349">
        <v>47</v>
      </c>
      <c r="B349" t="s">
        <v>44</v>
      </c>
      <c r="C349" t="s">
        <v>45</v>
      </c>
      <c r="D349">
        <v>1309</v>
      </c>
      <c r="E349" t="s">
        <v>38</v>
      </c>
      <c r="G349">
        <v>4</v>
      </c>
      <c r="H349">
        <v>1</v>
      </c>
      <c r="I349" t="s">
        <v>52</v>
      </c>
      <c r="J349" t="str">
        <f>WA_Fn_UseC__HR_Employee_Attrition[[#This Row],[EducationField]]&amp;"-"&amp;WA_Fn_UseC__HR_Employee_Attrition[[#This Row],[Department]]</f>
        <v>Medical-Sales</v>
      </c>
      <c r="K349">
        <v>1</v>
      </c>
      <c r="L349">
        <v>467</v>
      </c>
      <c r="M349">
        <v>2</v>
      </c>
      <c r="N349" t="s">
        <v>47</v>
      </c>
      <c r="O349">
        <v>99</v>
      </c>
      <c r="P349">
        <v>3</v>
      </c>
      <c r="Q349">
        <v>2</v>
      </c>
      <c r="R349" t="s">
        <v>58</v>
      </c>
      <c r="S349">
        <v>3</v>
      </c>
      <c r="T349" t="s">
        <v>42</v>
      </c>
      <c r="U349">
        <v>2976</v>
      </c>
      <c r="V349" t="str" cm="1">
        <f t="array" ref="V34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49">
        <v>25751</v>
      </c>
      <c r="X349">
        <v>3</v>
      </c>
      <c r="Y349" t="s">
        <v>43</v>
      </c>
      <c r="Z349" t="s">
        <v>44</v>
      </c>
      <c r="AA349">
        <v>19</v>
      </c>
      <c r="AB349">
        <v>3</v>
      </c>
      <c r="AC349">
        <v>1</v>
      </c>
      <c r="AD349">
        <v>80</v>
      </c>
      <c r="AE349">
        <v>0</v>
      </c>
      <c r="AF349">
        <v>5</v>
      </c>
      <c r="AG349">
        <v>3</v>
      </c>
      <c r="AH349">
        <v>3</v>
      </c>
      <c r="AI349">
        <v>0</v>
      </c>
      <c r="AJ349">
        <v>0</v>
      </c>
      <c r="AK349">
        <v>0</v>
      </c>
      <c r="AL349" t="str" cm="1">
        <f t="array" ref="AL34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49">
        <v>0</v>
      </c>
    </row>
    <row r="350" spans="1:39" x14ac:dyDescent="0.25">
      <c r="A350">
        <v>42</v>
      </c>
      <c r="B350" t="s">
        <v>44</v>
      </c>
      <c r="C350" t="s">
        <v>37</v>
      </c>
      <c r="D350">
        <v>810</v>
      </c>
      <c r="E350" t="s">
        <v>46</v>
      </c>
      <c r="G350">
        <v>23</v>
      </c>
      <c r="H350">
        <v>5</v>
      </c>
      <c r="I350" t="s">
        <v>39</v>
      </c>
      <c r="J350" t="str">
        <f>WA_Fn_UseC__HR_Employee_Attrition[[#This Row],[EducationField]]&amp;"-"&amp;WA_Fn_UseC__HR_Employee_Attrition[[#This Row],[Department]]</f>
        <v>Life Sciences-Research &amp; Development</v>
      </c>
      <c r="K350">
        <v>1</v>
      </c>
      <c r="L350">
        <v>468</v>
      </c>
      <c r="M350">
        <v>1</v>
      </c>
      <c r="N350" t="s">
        <v>40</v>
      </c>
      <c r="O350">
        <v>44</v>
      </c>
      <c r="P350">
        <v>3</v>
      </c>
      <c r="Q350">
        <v>4</v>
      </c>
      <c r="R350" t="s">
        <v>59</v>
      </c>
      <c r="S350">
        <v>4</v>
      </c>
      <c r="T350" t="s">
        <v>42</v>
      </c>
      <c r="U350">
        <v>15992</v>
      </c>
      <c r="V350" t="str" cm="1">
        <f t="array" ref="V35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50">
        <v>15901</v>
      </c>
      <c r="X350">
        <v>2</v>
      </c>
      <c r="Y350" t="s">
        <v>43</v>
      </c>
      <c r="Z350" t="s">
        <v>44</v>
      </c>
      <c r="AA350">
        <v>14</v>
      </c>
      <c r="AB350">
        <v>3</v>
      </c>
      <c r="AC350">
        <v>2</v>
      </c>
      <c r="AD350">
        <v>80</v>
      </c>
      <c r="AE350">
        <v>0</v>
      </c>
      <c r="AF350">
        <v>16</v>
      </c>
      <c r="AG350">
        <v>2</v>
      </c>
      <c r="AH350">
        <v>3</v>
      </c>
      <c r="AI350">
        <v>1</v>
      </c>
      <c r="AJ350">
        <v>0</v>
      </c>
      <c r="AK350">
        <v>0</v>
      </c>
      <c r="AL350" t="str" cm="1">
        <f t="array" ref="AL35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50">
        <v>0</v>
      </c>
    </row>
    <row r="351" spans="1:39" x14ac:dyDescent="0.25">
      <c r="A351">
        <v>29</v>
      </c>
      <c r="B351" t="s">
        <v>44</v>
      </c>
      <c r="C351" t="s">
        <v>56</v>
      </c>
      <c r="D351">
        <v>746</v>
      </c>
      <c r="E351" t="s">
        <v>38</v>
      </c>
      <c r="G351">
        <v>2</v>
      </c>
      <c r="H351">
        <v>3</v>
      </c>
      <c r="I351" t="s">
        <v>39</v>
      </c>
      <c r="J351" t="str">
        <f>WA_Fn_UseC__HR_Employee_Attrition[[#This Row],[EducationField]]&amp;"-"&amp;WA_Fn_UseC__HR_Employee_Attrition[[#This Row],[Department]]</f>
        <v>Life Sciences-Sales</v>
      </c>
      <c r="K351">
        <v>1</v>
      </c>
      <c r="L351">
        <v>469</v>
      </c>
      <c r="M351">
        <v>4</v>
      </c>
      <c r="N351" t="s">
        <v>47</v>
      </c>
      <c r="O351">
        <v>61</v>
      </c>
      <c r="P351">
        <v>3</v>
      </c>
      <c r="Q351">
        <v>2</v>
      </c>
      <c r="R351" t="s">
        <v>41</v>
      </c>
      <c r="S351">
        <v>3</v>
      </c>
      <c r="T351" t="s">
        <v>49</v>
      </c>
      <c r="U351">
        <v>4649</v>
      </c>
      <c r="V351" t="str" cm="1">
        <f t="array" ref="V35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51">
        <v>16928</v>
      </c>
      <c r="X351">
        <v>1</v>
      </c>
      <c r="Y351" t="s">
        <v>43</v>
      </c>
      <c r="Z351" t="s">
        <v>44</v>
      </c>
      <c r="AA351">
        <v>14</v>
      </c>
      <c r="AB351">
        <v>3</v>
      </c>
      <c r="AC351">
        <v>1</v>
      </c>
      <c r="AD351">
        <v>80</v>
      </c>
      <c r="AE351">
        <v>1</v>
      </c>
      <c r="AF351">
        <v>4</v>
      </c>
      <c r="AG351">
        <v>3</v>
      </c>
      <c r="AH351">
        <v>2</v>
      </c>
      <c r="AI351">
        <v>4</v>
      </c>
      <c r="AJ351">
        <v>3</v>
      </c>
      <c r="AK351">
        <v>0</v>
      </c>
      <c r="AL351" t="str" cm="1">
        <f t="array" ref="AL35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51">
        <v>2</v>
      </c>
    </row>
    <row r="352" spans="1:39" x14ac:dyDescent="0.25">
      <c r="A352">
        <v>42</v>
      </c>
      <c r="B352" t="s">
        <v>44</v>
      </c>
      <c r="C352" t="s">
        <v>37</v>
      </c>
      <c r="D352">
        <v>544</v>
      </c>
      <c r="E352" t="s">
        <v>62</v>
      </c>
      <c r="G352">
        <v>2</v>
      </c>
      <c r="H352">
        <v>1</v>
      </c>
      <c r="I352" t="s">
        <v>61</v>
      </c>
      <c r="J352" t="str">
        <f>WA_Fn_UseC__HR_Employee_Attrition[[#This Row],[EducationField]]&amp;"-"&amp;WA_Fn_UseC__HR_Employee_Attrition[[#This Row],[Department]]</f>
        <v>Technical Degree-Human Resources</v>
      </c>
      <c r="K352">
        <v>1</v>
      </c>
      <c r="L352">
        <v>470</v>
      </c>
      <c r="M352">
        <v>3</v>
      </c>
      <c r="N352" t="s">
        <v>47</v>
      </c>
      <c r="O352">
        <v>52</v>
      </c>
      <c r="P352">
        <v>3</v>
      </c>
      <c r="Q352">
        <v>1</v>
      </c>
      <c r="R352" t="s">
        <v>62</v>
      </c>
      <c r="S352">
        <v>3</v>
      </c>
      <c r="T352" t="s">
        <v>53</v>
      </c>
      <c r="U352">
        <v>2696</v>
      </c>
      <c r="V352" t="str" cm="1">
        <f t="array" ref="V35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52">
        <v>24017</v>
      </c>
      <c r="X352">
        <v>0</v>
      </c>
      <c r="Y352" t="s">
        <v>43</v>
      </c>
      <c r="Z352" t="s">
        <v>36</v>
      </c>
      <c r="AA352">
        <v>11</v>
      </c>
      <c r="AB352">
        <v>3</v>
      </c>
      <c r="AC352">
        <v>3</v>
      </c>
      <c r="AD352">
        <v>80</v>
      </c>
      <c r="AE352">
        <v>1</v>
      </c>
      <c r="AF352">
        <v>4</v>
      </c>
      <c r="AG352">
        <v>5</v>
      </c>
      <c r="AH352">
        <v>3</v>
      </c>
      <c r="AI352">
        <v>3</v>
      </c>
      <c r="AJ352">
        <v>2</v>
      </c>
      <c r="AK352">
        <v>1</v>
      </c>
      <c r="AL352" t="str" cm="1">
        <f t="array" ref="AL35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52">
        <v>0</v>
      </c>
    </row>
    <row r="353" spans="1:39" x14ac:dyDescent="0.25">
      <c r="A353">
        <v>32</v>
      </c>
      <c r="B353" t="s">
        <v>44</v>
      </c>
      <c r="C353" t="s">
        <v>37</v>
      </c>
      <c r="D353">
        <v>1062</v>
      </c>
      <c r="E353" t="s">
        <v>46</v>
      </c>
      <c r="G353">
        <v>2</v>
      </c>
      <c r="H353">
        <v>3</v>
      </c>
      <c r="I353" t="s">
        <v>52</v>
      </c>
      <c r="J353" t="str">
        <f>WA_Fn_UseC__HR_Employee_Attrition[[#This Row],[EducationField]]&amp;"-"&amp;WA_Fn_UseC__HR_Employee_Attrition[[#This Row],[Department]]</f>
        <v>Medical-Research &amp; Development</v>
      </c>
      <c r="K353">
        <v>1</v>
      </c>
      <c r="L353">
        <v>471</v>
      </c>
      <c r="M353">
        <v>3</v>
      </c>
      <c r="N353" t="s">
        <v>40</v>
      </c>
      <c r="O353">
        <v>75</v>
      </c>
      <c r="P353">
        <v>3</v>
      </c>
      <c r="Q353">
        <v>1</v>
      </c>
      <c r="R353" t="s">
        <v>51</v>
      </c>
      <c r="S353">
        <v>2</v>
      </c>
      <c r="T353" t="s">
        <v>49</v>
      </c>
      <c r="U353">
        <v>2370</v>
      </c>
      <c r="V353" t="str" cm="1">
        <f t="array" ref="V35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53">
        <v>3956</v>
      </c>
      <c r="X353">
        <v>1</v>
      </c>
      <c r="Y353" t="s">
        <v>43</v>
      </c>
      <c r="Z353" t="s">
        <v>44</v>
      </c>
      <c r="AA353">
        <v>13</v>
      </c>
      <c r="AB353">
        <v>3</v>
      </c>
      <c r="AC353">
        <v>3</v>
      </c>
      <c r="AD353">
        <v>80</v>
      </c>
      <c r="AE353">
        <v>1</v>
      </c>
      <c r="AF353">
        <v>8</v>
      </c>
      <c r="AG353">
        <v>4</v>
      </c>
      <c r="AH353">
        <v>3</v>
      </c>
      <c r="AI353">
        <v>8</v>
      </c>
      <c r="AJ353">
        <v>0</v>
      </c>
      <c r="AK353">
        <v>0</v>
      </c>
      <c r="AL353" t="str" cm="1">
        <f t="array" ref="AL35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53">
        <v>7</v>
      </c>
    </row>
    <row r="354" spans="1:39" x14ac:dyDescent="0.25">
      <c r="A354">
        <v>48</v>
      </c>
      <c r="B354" t="s">
        <v>44</v>
      </c>
      <c r="C354" t="s">
        <v>37</v>
      </c>
      <c r="D354">
        <v>530</v>
      </c>
      <c r="E354" t="s">
        <v>38</v>
      </c>
      <c r="G354">
        <v>29</v>
      </c>
      <c r="H354">
        <v>1</v>
      </c>
      <c r="I354" t="s">
        <v>52</v>
      </c>
      <c r="J354" t="str">
        <f>WA_Fn_UseC__HR_Employee_Attrition[[#This Row],[EducationField]]&amp;"-"&amp;WA_Fn_UseC__HR_Employee_Attrition[[#This Row],[Department]]</f>
        <v>Medical-Sales</v>
      </c>
      <c r="K354">
        <v>1</v>
      </c>
      <c r="L354">
        <v>473</v>
      </c>
      <c r="M354">
        <v>1</v>
      </c>
      <c r="N354" t="s">
        <v>40</v>
      </c>
      <c r="O354">
        <v>91</v>
      </c>
      <c r="P354">
        <v>3</v>
      </c>
      <c r="Q354">
        <v>3</v>
      </c>
      <c r="R354" t="s">
        <v>57</v>
      </c>
      <c r="S354">
        <v>3</v>
      </c>
      <c r="T354" t="s">
        <v>49</v>
      </c>
      <c r="U354">
        <v>12504</v>
      </c>
      <c r="V354" t="str" cm="1">
        <f t="array" ref="V35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54">
        <v>23978</v>
      </c>
      <c r="X354">
        <v>3</v>
      </c>
      <c r="Y354" t="s">
        <v>43</v>
      </c>
      <c r="Z354" t="s">
        <v>44</v>
      </c>
      <c r="AA354">
        <v>21</v>
      </c>
      <c r="AB354">
        <v>4</v>
      </c>
      <c r="AC354">
        <v>2</v>
      </c>
      <c r="AD354">
        <v>80</v>
      </c>
      <c r="AE354">
        <v>1</v>
      </c>
      <c r="AF354">
        <v>15</v>
      </c>
      <c r="AG354">
        <v>3</v>
      </c>
      <c r="AH354">
        <v>1</v>
      </c>
      <c r="AI354">
        <v>0</v>
      </c>
      <c r="AJ354">
        <v>0</v>
      </c>
      <c r="AK354">
        <v>0</v>
      </c>
      <c r="AL354" t="str" cm="1">
        <f t="array" ref="AL35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54">
        <v>0</v>
      </c>
    </row>
    <row r="355" spans="1:39" x14ac:dyDescent="0.25">
      <c r="A355">
        <v>37</v>
      </c>
      <c r="B355" t="s">
        <v>44</v>
      </c>
      <c r="C355" t="s">
        <v>37</v>
      </c>
      <c r="D355">
        <v>1319</v>
      </c>
      <c r="E355" t="s">
        <v>46</v>
      </c>
      <c r="G355">
        <v>6</v>
      </c>
      <c r="H355">
        <v>3</v>
      </c>
      <c r="I355" t="s">
        <v>52</v>
      </c>
      <c r="J355" t="str">
        <f>WA_Fn_UseC__HR_Employee_Attrition[[#This Row],[EducationField]]&amp;"-"&amp;WA_Fn_UseC__HR_Employee_Attrition[[#This Row],[Department]]</f>
        <v>Medical-Research &amp; Development</v>
      </c>
      <c r="K355">
        <v>1</v>
      </c>
      <c r="L355">
        <v>474</v>
      </c>
      <c r="M355">
        <v>3</v>
      </c>
      <c r="N355" t="s">
        <v>47</v>
      </c>
      <c r="O355">
        <v>51</v>
      </c>
      <c r="P355">
        <v>4</v>
      </c>
      <c r="Q355">
        <v>2</v>
      </c>
      <c r="R355" t="s">
        <v>48</v>
      </c>
      <c r="S355">
        <v>1</v>
      </c>
      <c r="T355" t="s">
        <v>53</v>
      </c>
      <c r="U355">
        <v>5974</v>
      </c>
      <c r="V355" t="str" cm="1">
        <f t="array" ref="V35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55">
        <v>17001</v>
      </c>
      <c r="X355">
        <v>4</v>
      </c>
      <c r="Y355" t="s">
        <v>43</v>
      </c>
      <c r="Z355" t="s">
        <v>36</v>
      </c>
      <c r="AA355">
        <v>13</v>
      </c>
      <c r="AB355">
        <v>3</v>
      </c>
      <c r="AC355">
        <v>1</v>
      </c>
      <c r="AD355">
        <v>80</v>
      </c>
      <c r="AE355">
        <v>2</v>
      </c>
      <c r="AF355">
        <v>13</v>
      </c>
      <c r="AG355">
        <v>2</v>
      </c>
      <c r="AH355">
        <v>3</v>
      </c>
      <c r="AI355">
        <v>7</v>
      </c>
      <c r="AJ355">
        <v>7</v>
      </c>
      <c r="AK355">
        <v>6</v>
      </c>
      <c r="AL355" t="str" cm="1">
        <f t="array" ref="AL35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55">
        <v>7</v>
      </c>
    </row>
    <row r="356" spans="1:39" x14ac:dyDescent="0.25">
      <c r="A356">
        <v>30</v>
      </c>
      <c r="B356" t="s">
        <v>44</v>
      </c>
      <c r="C356" t="s">
        <v>56</v>
      </c>
      <c r="D356">
        <v>641</v>
      </c>
      <c r="E356" t="s">
        <v>38</v>
      </c>
      <c r="G356">
        <v>25</v>
      </c>
      <c r="H356">
        <v>2</v>
      </c>
      <c r="I356" t="s">
        <v>61</v>
      </c>
      <c r="J356" t="str">
        <f>WA_Fn_UseC__HR_Employee_Attrition[[#This Row],[EducationField]]&amp;"-"&amp;WA_Fn_UseC__HR_Employee_Attrition[[#This Row],[Department]]</f>
        <v>Technical Degree-Sales</v>
      </c>
      <c r="K356">
        <v>1</v>
      </c>
      <c r="L356">
        <v>475</v>
      </c>
      <c r="M356">
        <v>4</v>
      </c>
      <c r="N356" t="s">
        <v>40</v>
      </c>
      <c r="O356">
        <v>85</v>
      </c>
      <c r="P356">
        <v>3</v>
      </c>
      <c r="Q356">
        <v>2</v>
      </c>
      <c r="R356" t="s">
        <v>41</v>
      </c>
      <c r="S356">
        <v>3</v>
      </c>
      <c r="T356" t="s">
        <v>49</v>
      </c>
      <c r="U356">
        <v>4736</v>
      </c>
      <c r="V356" t="str" cm="1">
        <f t="array" ref="V35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56">
        <v>6069</v>
      </c>
      <c r="X356">
        <v>7</v>
      </c>
      <c r="Y356" t="s">
        <v>43</v>
      </c>
      <c r="Z356" t="s">
        <v>36</v>
      </c>
      <c r="AA356">
        <v>12</v>
      </c>
      <c r="AB356">
        <v>3</v>
      </c>
      <c r="AC356">
        <v>2</v>
      </c>
      <c r="AD356">
        <v>80</v>
      </c>
      <c r="AE356">
        <v>1</v>
      </c>
      <c r="AF356">
        <v>4</v>
      </c>
      <c r="AG356">
        <v>2</v>
      </c>
      <c r="AH356">
        <v>4</v>
      </c>
      <c r="AI356">
        <v>2</v>
      </c>
      <c r="AJ356">
        <v>2</v>
      </c>
      <c r="AK356">
        <v>2</v>
      </c>
      <c r="AL356" t="str" cm="1">
        <f t="array" ref="AL35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56">
        <v>2</v>
      </c>
    </row>
    <row r="357" spans="1:39" x14ac:dyDescent="0.25">
      <c r="A357">
        <v>26</v>
      </c>
      <c r="B357" t="s">
        <v>44</v>
      </c>
      <c r="C357" t="s">
        <v>37</v>
      </c>
      <c r="D357">
        <v>933</v>
      </c>
      <c r="E357" t="s">
        <v>38</v>
      </c>
      <c r="G357">
        <v>1</v>
      </c>
      <c r="H357">
        <v>3</v>
      </c>
      <c r="I357" t="s">
        <v>39</v>
      </c>
      <c r="J357" t="str">
        <f>WA_Fn_UseC__HR_Employee_Attrition[[#This Row],[EducationField]]&amp;"-"&amp;WA_Fn_UseC__HR_Employee_Attrition[[#This Row],[Department]]</f>
        <v>Life Sciences-Sales</v>
      </c>
      <c r="K357">
        <v>1</v>
      </c>
      <c r="L357">
        <v>476</v>
      </c>
      <c r="M357">
        <v>3</v>
      </c>
      <c r="N357" t="s">
        <v>47</v>
      </c>
      <c r="O357">
        <v>57</v>
      </c>
      <c r="P357">
        <v>3</v>
      </c>
      <c r="Q357">
        <v>2</v>
      </c>
      <c r="R357" t="s">
        <v>41</v>
      </c>
      <c r="S357">
        <v>3</v>
      </c>
      <c r="T357" t="s">
        <v>49</v>
      </c>
      <c r="U357">
        <v>5296</v>
      </c>
      <c r="V357" t="str" cm="1">
        <f t="array" ref="V35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57">
        <v>20156</v>
      </c>
      <c r="X357">
        <v>1</v>
      </c>
      <c r="Y357" t="s">
        <v>43</v>
      </c>
      <c r="Z357" t="s">
        <v>44</v>
      </c>
      <c r="AA357">
        <v>17</v>
      </c>
      <c r="AB357">
        <v>3</v>
      </c>
      <c r="AC357">
        <v>2</v>
      </c>
      <c r="AD357">
        <v>80</v>
      </c>
      <c r="AE357">
        <v>1</v>
      </c>
      <c r="AF357">
        <v>8</v>
      </c>
      <c r="AG357">
        <v>3</v>
      </c>
      <c r="AH357">
        <v>3</v>
      </c>
      <c r="AI357">
        <v>8</v>
      </c>
      <c r="AJ357">
        <v>7</v>
      </c>
      <c r="AK357">
        <v>7</v>
      </c>
      <c r="AL357" t="str" cm="1">
        <f t="array" ref="AL35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57">
        <v>7</v>
      </c>
    </row>
    <row r="358" spans="1:39" x14ac:dyDescent="0.25">
      <c r="A358">
        <v>42</v>
      </c>
      <c r="B358" t="s">
        <v>44</v>
      </c>
      <c r="C358" t="s">
        <v>37</v>
      </c>
      <c r="D358">
        <v>1332</v>
      </c>
      <c r="E358" t="s">
        <v>46</v>
      </c>
      <c r="G358">
        <v>2</v>
      </c>
      <c r="H358">
        <v>4</v>
      </c>
      <c r="I358" t="s">
        <v>50</v>
      </c>
      <c r="J358" t="str">
        <f>WA_Fn_UseC__HR_Employee_Attrition[[#This Row],[EducationField]]&amp;"-"&amp;WA_Fn_UseC__HR_Employee_Attrition[[#This Row],[Department]]</f>
        <v>Other-Research &amp; Development</v>
      </c>
      <c r="K358">
        <v>1</v>
      </c>
      <c r="L358">
        <v>477</v>
      </c>
      <c r="M358">
        <v>1</v>
      </c>
      <c r="N358" t="s">
        <v>47</v>
      </c>
      <c r="O358">
        <v>98</v>
      </c>
      <c r="P358">
        <v>2</v>
      </c>
      <c r="Q358">
        <v>2</v>
      </c>
      <c r="R358" t="s">
        <v>55</v>
      </c>
      <c r="S358">
        <v>4</v>
      </c>
      <c r="T358" t="s">
        <v>42</v>
      </c>
      <c r="U358">
        <v>6781</v>
      </c>
      <c r="V358" t="str" cm="1">
        <f t="array" ref="V35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58">
        <v>17078</v>
      </c>
      <c r="X358">
        <v>3</v>
      </c>
      <c r="Y358" t="s">
        <v>43</v>
      </c>
      <c r="Z358" t="s">
        <v>44</v>
      </c>
      <c r="AA358">
        <v>23</v>
      </c>
      <c r="AB358">
        <v>4</v>
      </c>
      <c r="AC358">
        <v>2</v>
      </c>
      <c r="AD358">
        <v>80</v>
      </c>
      <c r="AE358">
        <v>0</v>
      </c>
      <c r="AF358">
        <v>14</v>
      </c>
      <c r="AG358">
        <v>6</v>
      </c>
      <c r="AH358">
        <v>3</v>
      </c>
      <c r="AI358">
        <v>1</v>
      </c>
      <c r="AJ358">
        <v>0</v>
      </c>
      <c r="AK358">
        <v>0</v>
      </c>
      <c r="AL358" t="str" cm="1">
        <f t="array" ref="AL35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58">
        <v>0</v>
      </c>
    </row>
    <row r="359" spans="1:39" x14ac:dyDescent="0.25">
      <c r="A359">
        <v>21</v>
      </c>
      <c r="B359" t="s">
        <v>36</v>
      </c>
      <c r="C359" t="s">
        <v>45</v>
      </c>
      <c r="D359">
        <v>756</v>
      </c>
      <c r="E359" t="s">
        <v>38</v>
      </c>
      <c r="G359">
        <v>1</v>
      </c>
      <c r="H359">
        <v>1</v>
      </c>
      <c r="I359" t="s">
        <v>61</v>
      </c>
      <c r="J359" t="str">
        <f>WA_Fn_UseC__HR_Employee_Attrition[[#This Row],[EducationField]]&amp;"-"&amp;WA_Fn_UseC__HR_Employee_Attrition[[#This Row],[Department]]</f>
        <v>Technical Degree-Sales</v>
      </c>
      <c r="K359">
        <v>1</v>
      </c>
      <c r="L359">
        <v>478</v>
      </c>
      <c r="M359">
        <v>1</v>
      </c>
      <c r="N359" t="s">
        <v>40</v>
      </c>
      <c r="O359">
        <v>99</v>
      </c>
      <c r="P359">
        <v>2</v>
      </c>
      <c r="Q359">
        <v>1</v>
      </c>
      <c r="R359" t="s">
        <v>58</v>
      </c>
      <c r="S359">
        <v>2</v>
      </c>
      <c r="T359" t="s">
        <v>42</v>
      </c>
      <c r="U359">
        <v>2174</v>
      </c>
      <c r="V359" t="str" cm="1">
        <f t="array" ref="V35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59">
        <v>9150</v>
      </c>
      <c r="X359">
        <v>1</v>
      </c>
      <c r="Y359" t="s">
        <v>43</v>
      </c>
      <c r="Z359" t="s">
        <v>36</v>
      </c>
      <c r="AA359">
        <v>11</v>
      </c>
      <c r="AB359">
        <v>3</v>
      </c>
      <c r="AC359">
        <v>3</v>
      </c>
      <c r="AD359">
        <v>80</v>
      </c>
      <c r="AE359">
        <v>0</v>
      </c>
      <c r="AF359">
        <v>3</v>
      </c>
      <c r="AG359">
        <v>3</v>
      </c>
      <c r="AH359">
        <v>3</v>
      </c>
      <c r="AI359">
        <v>3</v>
      </c>
      <c r="AJ359">
        <v>2</v>
      </c>
      <c r="AK359">
        <v>1</v>
      </c>
      <c r="AL359" t="str" cm="1">
        <f t="array" ref="AL35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59">
        <v>2</v>
      </c>
    </row>
    <row r="360" spans="1:39" x14ac:dyDescent="0.25">
      <c r="A360">
        <v>36</v>
      </c>
      <c r="B360" t="s">
        <v>44</v>
      </c>
      <c r="C360" t="s">
        <v>56</v>
      </c>
      <c r="D360">
        <v>845</v>
      </c>
      <c r="E360" t="s">
        <v>38</v>
      </c>
      <c r="G360">
        <v>1</v>
      </c>
      <c r="H360">
        <v>5</v>
      </c>
      <c r="I360" t="s">
        <v>52</v>
      </c>
      <c r="J360" t="str">
        <f>WA_Fn_UseC__HR_Employee_Attrition[[#This Row],[EducationField]]&amp;"-"&amp;WA_Fn_UseC__HR_Employee_Attrition[[#This Row],[Department]]</f>
        <v>Medical-Sales</v>
      </c>
      <c r="K360">
        <v>1</v>
      </c>
      <c r="L360">
        <v>479</v>
      </c>
      <c r="M360">
        <v>4</v>
      </c>
      <c r="N360" t="s">
        <v>40</v>
      </c>
      <c r="O360">
        <v>45</v>
      </c>
      <c r="P360">
        <v>3</v>
      </c>
      <c r="Q360">
        <v>2</v>
      </c>
      <c r="R360" t="s">
        <v>41</v>
      </c>
      <c r="S360">
        <v>4</v>
      </c>
      <c r="T360" t="s">
        <v>42</v>
      </c>
      <c r="U360">
        <v>6653</v>
      </c>
      <c r="V360" t="str" cm="1">
        <f t="array" ref="V36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60">
        <v>15276</v>
      </c>
      <c r="X360">
        <v>4</v>
      </c>
      <c r="Y360" t="s">
        <v>43</v>
      </c>
      <c r="Z360" t="s">
        <v>44</v>
      </c>
      <c r="AA360">
        <v>15</v>
      </c>
      <c r="AB360">
        <v>3</v>
      </c>
      <c r="AC360">
        <v>2</v>
      </c>
      <c r="AD360">
        <v>80</v>
      </c>
      <c r="AE360">
        <v>0</v>
      </c>
      <c r="AF360">
        <v>7</v>
      </c>
      <c r="AG360">
        <v>6</v>
      </c>
      <c r="AH360">
        <v>3</v>
      </c>
      <c r="AI360">
        <v>1</v>
      </c>
      <c r="AJ360">
        <v>0</v>
      </c>
      <c r="AK360">
        <v>0</v>
      </c>
      <c r="AL360" t="str" cm="1">
        <f t="array" ref="AL36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60">
        <v>0</v>
      </c>
    </row>
    <row r="361" spans="1:39" x14ac:dyDescent="0.25">
      <c r="A361">
        <v>36</v>
      </c>
      <c r="B361" t="s">
        <v>44</v>
      </c>
      <c r="C361" t="s">
        <v>45</v>
      </c>
      <c r="D361">
        <v>541</v>
      </c>
      <c r="E361" t="s">
        <v>38</v>
      </c>
      <c r="G361">
        <v>3</v>
      </c>
      <c r="H361">
        <v>4</v>
      </c>
      <c r="I361" t="s">
        <v>52</v>
      </c>
      <c r="J361" t="str">
        <f>WA_Fn_UseC__HR_Employee_Attrition[[#This Row],[EducationField]]&amp;"-"&amp;WA_Fn_UseC__HR_Employee_Attrition[[#This Row],[Department]]</f>
        <v>Medical-Sales</v>
      </c>
      <c r="K361">
        <v>1</v>
      </c>
      <c r="L361">
        <v>481</v>
      </c>
      <c r="M361">
        <v>1</v>
      </c>
      <c r="N361" t="s">
        <v>47</v>
      </c>
      <c r="O361">
        <v>48</v>
      </c>
      <c r="P361">
        <v>2</v>
      </c>
      <c r="Q361">
        <v>3</v>
      </c>
      <c r="R361" t="s">
        <v>41</v>
      </c>
      <c r="S361">
        <v>4</v>
      </c>
      <c r="T361" t="s">
        <v>49</v>
      </c>
      <c r="U361">
        <v>9699</v>
      </c>
      <c r="V361" t="str" cm="1">
        <f t="array" ref="V36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61">
        <v>7246</v>
      </c>
      <c r="X361">
        <v>4</v>
      </c>
      <c r="Y361" t="s">
        <v>43</v>
      </c>
      <c r="Z361" t="s">
        <v>44</v>
      </c>
      <c r="AA361">
        <v>11</v>
      </c>
      <c r="AB361">
        <v>3</v>
      </c>
      <c r="AC361">
        <v>1</v>
      </c>
      <c r="AD361">
        <v>80</v>
      </c>
      <c r="AE361">
        <v>1</v>
      </c>
      <c r="AF361">
        <v>16</v>
      </c>
      <c r="AG361">
        <v>2</v>
      </c>
      <c r="AH361">
        <v>3</v>
      </c>
      <c r="AI361">
        <v>13</v>
      </c>
      <c r="AJ361">
        <v>9</v>
      </c>
      <c r="AK361">
        <v>1</v>
      </c>
      <c r="AL361" t="str" cm="1">
        <f t="array" ref="AL36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61">
        <v>12</v>
      </c>
    </row>
    <row r="362" spans="1:39" x14ac:dyDescent="0.25">
      <c r="A362">
        <v>57</v>
      </c>
      <c r="B362" t="s">
        <v>44</v>
      </c>
      <c r="C362" t="s">
        <v>37</v>
      </c>
      <c r="D362">
        <v>593</v>
      </c>
      <c r="E362" t="s">
        <v>46</v>
      </c>
      <c r="G362">
        <v>1</v>
      </c>
      <c r="H362">
        <v>4</v>
      </c>
      <c r="I362" t="s">
        <v>52</v>
      </c>
      <c r="J362" t="str">
        <f>WA_Fn_UseC__HR_Employee_Attrition[[#This Row],[EducationField]]&amp;"-"&amp;WA_Fn_UseC__HR_Employee_Attrition[[#This Row],[Department]]</f>
        <v>Medical-Research &amp; Development</v>
      </c>
      <c r="K362">
        <v>1</v>
      </c>
      <c r="L362">
        <v>482</v>
      </c>
      <c r="M362">
        <v>4</v>
      </c>
      <c r="N362" t="s">
        <v>47</v>
      </c>
      <c r="O362">
        <v>88</v>
      </c>
      <c r="P362">
        <v>3</v>
      </c>
      <c r="Q362">
        <v>2</v>
      </c>
      <c r="R362" t="s">
        <v>55</v>
      </c>
      <c r="S362">
        <v>3</v>
      </c>
      <c r="T362" t="s">
        <v>49</v>
      </c>
      <c r="U362">
        <v>6755</v>
      </c>
      <c r="V362" t="str" cm="1">
        <f t="array" ref="V36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62">
        <v>2967</v>
      </c>
      <c r="X362">
        <v>2</v>
      </c>
      <c r="Y362" t="s">
        <v>43</v>
      </c>
      <c r="Z362" t="s">
        <v>44</v>
      </c>
      <c r="AA362">
        <v>11</v>
      </c>
      <c r="AB362">
        <v>3</v>
      </c>
      <c r="AC362">
        <v>3</v>
      </c>
      <c r="AD362">
        <v>80</v>
      </c>
      <c r="AE362">
        <v>0</v>
      </c>
      <c r="AF362">
        <v>15</v>
      </c>
      <c r="AG362">
        <v>2</v>
      </c>
      <c r="AH362">
        <v>3</v>
      </c>
      <c r="AI362">
        <v>3</v>
      </c>
      <c r="AJ362">
        <v>2</v>
      </c>
      <c r="AK362">
        <v>1</v>
      </c>
      <c r="AL362" t="str" cm="1">
        <f t="array" ref="AL36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62">
        <v>2</v>
      </c>
    </row>
    <row r="363" spans="1:39" x14ac:dyDescent="0.25">
      <c r="A363">
        <v>40</v>
      </c>
      <c r="B363" t="s">
        <v>44</v>
      </c>
      <c r="C363" t="s">
        <v>37</v>
      </c>
      <c r="D363">
        <v>1171</v>
      </c>
      <c r="E363" t="s">
        <v>46</v>
      </c>
      <c r="G363">
        <v>10</v>
      </c>
      <c r="H363">
        <v>4</v>
      </c>
      <c r="I363" t="s">
        <v>39</v>
      </c>
      <c r="J363" t="str">
        <f>WA_Fn_UseC__HR_Employee_Attrition[[#This Row],[EducationField]]&amp;"-"&amp;WA_Fn_UseC__HR_Employee_Attrition[[#This Row],[Department]]</f>
        <v>Life Sciences-Research &amp; Development</v>
      </c>
      <c r="K363">
        <v>1</v>
      </c>
      <c r="L363">
        <v>483</v>
      </c>
      <c r="M363">
        <v>4</v>
      </c>
      <c r="N363" t="s">
        <v>40</v>
      </c>
      <c r="O363">
        <v>46</v>
      </c>
      <c r="P363">
        <v>4</v>
      </c>
      <c r="Q363">
        <v>1</v>
      </c>
      <c r="R363" t="s">
        <v>51</v>
      </c>
      <c r="S363">
        <v>3</v>
      </c>
      <c r="T363" t="s">
        <v>49</v>
      </c>
      <c r="U363">
        <v>2213</v>
      </c>
      <c r="V363" t="str" cm="1">
        <f t="array" ref="V36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63">
        <v>22495</v>
      </c>
      <c r="X363">
        <v>3</v>
      </c>
      <c r="Y363" t="s">
        <v>43</v>
      </c>
      <c r="Z363" t="s">
        <v>36</v>
      </c>
      <c r="AA363">
        <v>13</v>
      </c>
      <c r="AB363">
        <v>3</v>
      </c>
      <c r="AC363">
        <v>3</v>
      </c>
      <c r="AD363">
        <v>80</v>
      </c>
      <c r="AE363">
        <v>1</v>
      </c>
      <c r="AF363">
        <v>10</v>
      </c>
      <c r="AG363">
        <v>3</v>
      </c>
      <c r="AH363">
        <v>3</v>
      </c>
      <c r="AI363">
        <v>7</v>
      </c>
      <c r="AJ363">
        <v>7</v>
      </c>
      <c r="AK363">
        <v>1</v>
      </c>
      <c r="AL363" t="str" cm="1">
        <f t="array" ref="AL36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63">
        <v>7</v>
      </c>
    </row>
    <row r="364" spans="1:39" x14ac:dyDescent="0.25">
      <c r="A364">
        <v>21</v>
      </c>
      <c r="B364" t="s">
        <v>44</v>
      </c>
      <c r="C364" t="s">
        <v>56</v>
      </c>
      <c r="D364">
        <v>895</v>
      </c>
      <c r="E364" t="s">
        <v>38</v>
      </c>
      <c r="G364">
        <v>9</v>
      </c>
      <c r="H364">
        <v>2</v>
      </c>
      <c r="I364" t="s">
        <v>52</v>
      </c>
      <c r="J364" t="str">
        <f>WA_Fn_UseC__HR_Employee_Attrition[[#This Row],[EducationField]]&amp;"-"&amp;WA_Fn_UseC__HR_Employee_Attrition[[#This Row],[Department]]</f>
        <v>Medical-Sales</v>
      </c>
      <c r="K364">
        <v>1</v>
      </c>
      <c r="L364">
        <v>484</v>
      </c>
      <c r="M364">
        <v>1</v>
      </c>
      <c r="N364" t="s">
        <v>47</v>
      </c>
      <c r="O364">
        <v>39</v>
      </c>
      <c r="P364">
        <v>3</v>
      </c>
      <c r="Q364">
        <v>1</v>
      </c>
      <c r="R364" t="s">
        <v>58</v>
      </c>
      <c r="S364">
        <v>4</v>
      </c>
      <c r="T364" t="s">
        <v>42</v>
      </c>
      <c r="U364">
        <v>2610</v>
      </c>
      <c r="V364" t="str" cm="1">
        <f t="array" ref="V36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64">
        <v>2851</v>
      </c>
      <c r="X364">
        <v>1</v>
      </c>
      <c r="Y364" t="s">
        <v>43</v>
      </c>
      <c r="Z364" t="s">
        <v>44</v>
      </c>
      <c r="AA364">
        <v>24</v>
      </c>
      <c r="AB364">
        <v>4</v>
      </c>
      <c r="AC364">
        <v>3</v>
      </c>
      <c r="AD364">
        <v>80</v>
      </c>
      <c r="AE364">
        <v>0</v>
      </c>
      <c r="AF364">
        <v>3</v>
      </c>
      <c r="AG364">
        <v>3</v>
      </c>
      <c r="AH364">
        <v>2</v>
      </c>
      <c r="AI364">
        <v>3</v>
      </c>
      <c r="AJ364">
        <v>2</v>
      </c>
      <c r="AK364">
        <v>2</v>
      </c>
      <c r="AL364" t="str" cm="1">
        <f t="array" ref="AL36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64">
        <v>2</v>
      </c>
    </row>
    <row r="365" spans="1:39" x14ac:dyDescent="0.25">
      <c r="A365">
        <v>33</v>
      </c>
      <c r="B365" t="s">
        <v>36</v>
      </c>
      <c r="C365" t="s">
        <v>37</v>
      </c>
      <c r="D365">
        <v>350</v>
      </c>
      <c r="E365" t="s">
        <v>38</v>
      </c>
      <c r="G365">
        <v>5</v>
      </c>
      <c r="H365">
        <v>3</v>
      </c>
      <c r="I365" t="s">
        <v>60</v>
      </c>
      <c r="J365" t="str">
        <f>WA_Fn_UseC__HR_Employee_Attrition[[#This Row],[EducationField]]&amp;"-"&amp;WA_Fn_UseC__HR_Employee_Attrition[[#This Row],[Department]]</f>
        <v>Marketing-Sales</v>
      </c>
      <c r="K365">
        <v>1</v>
      </c>
      <c r="L365">
        <v>485</v>
      </c>
      <c r="M365">
        <v>4</v>
      </c>
      <c r="N365" t="s">
        <v>40</v>
      </c>
      <c r="O365">
        <v>34</v>
      </c>
      <c r="P365">
        <v>3</v>
      </c>
      <c r="Q365">
        <v>1</v>
      </c>
      <c r="R365" t="s">
        <v>58</v>
      </c>
      <c r="S365">
        <v>3</v>
      </c>
      <c r="T365" t="s">
        <v>42</v>
      </c>
      <c r="U365">
        <v>2851</v>
      </c>
      <c r="V365" t="str" cm="1">
        <f t="array" ref="V36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65">
        <v>9150</v>
      </c>
      <c r="X365">
        <v>1</v>
      </c>
      <c r="Y365" t="s">
        <v>43</v>
      </c>
      <c r="Z365" t="s">
        <v>36</v>
      </c>
      <c r="AA365">
        <v>13</v>
      </c>
      <c r="AB365">
        <v>3</v>
      </c>
      <c r="AC365">
        <v>2</v>
      </c>
      <c r="AD365">
        <v>80</v>
      </c>
      <c r="AE365">
        <v>0</v>
      </c>
      <c r="AF365">
        <v>1</v>
      </c>
      <c r="AG365">
        <v>2</v>
      </c>
      <c r="AH365">
        <v>3</v>
      </c>
      <c r="AI365">
        <v>1</v>
      </c>
      <c r="AJ365">
        <v>0</v>
      </c>
      <c r="AK365">
        <v>0</v>
      </c>
      <c r="AL365" t="str" cm="1">
        <f t="array" ref="AL36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65">
        <v>0</v>
      </c>
    </row>
    <row r="366" spans="1:39" x14ac:dyDescent="0.25">
      <c r="A366">
        <v>37</v>
      </c>
      <c r="B366" t="s">
        <v>44</v>
      </c>
      <c r="C366" t="s">
        <v>37</v>
      </c>
      <c r="D366">
        <v>921</v>
      </c>
      <c r="E366" t="s">
        <v>46</v>
      </c>
      <c r="G366">
        <v>10</v>
      </c>
      <c r="H366">
        <v>3</v>
      </c>
      <c r="I366" t="s">
        <v>52</v>
      </c>
      <c r="J366" t="str">
        <f>WA_Fn_UseC__HR_Employee_Attrition[[#This Row],[EducationField]]&amp;"-"&amp;WA_Fn_UseC__HR_Employee_Attrition[[#This Row],[Department]]</f>
        <v>Medical-Research &amp; Development</v>
      </c>
      <c r="K366">
        <v>1</v>
      </c>
      <c r="L366">
        <v>486</v>
      </c>
      <c r="M366">
        <v>3</v>
      </c>
      <c r="N366" t="s">
        <v>40</v>
      </c>
      <c r="O366">
        <v>98</v>
      </c>
      <c r="P366">
        <v>3</v>
      </c>
      <c r="Q366">
        <v>1</v>
      </c>
      <c r="R366" t="s">
        <v>51</v>
      </c>
      <c r="S366">
        <v>1</v>
      </c>
      <c r="T366" t="s">
        <v>49</v>
      </c>
      <c r="U366">
        <v>3452</v>
      </c>
      <c r="V366" t="str" cm="1">
        <f t="array" ref="V36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66">
        <v>17663</v>
      </c>
      <c r="X366">
        <v>6</v>
      </c>
      <c r="Y366" t="s">
        <v>43</v>
      </c>
      <c r="Z366" t="s">
        <v>44</v>
      </c>
      <c r="AA366">
        <v>20</v>
      </c>
      <c r="AB366">
        <v>4</v>
      </c>
      <c r="AC366">
        <v>2</v>
      </c>
      <c r="AD366">
        <v>80</v>
      </c>
      <c r="AE366">
        <v>1</v>
      </c>
      <c r="AF366">
        <v>17</v>
      </c>
      <c r="AG366">
        <v>3</v>
      </c>
      <c r="AH366">
        <v>3</v>
      </c>
      <c r="AI366">
        <v>5</v>
      </c>
      <c r="AJ366">
        <v>4</v>
      </c>
      <c r="AK366">
        <v>0</v>
      </c>
      <c r="AL366" t="str" cm="1">
        <f t="array" ref="AL36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66">
        <v>3</v>
      </c>
    </row>
    <row r="367" spans="1:39" x14ac:dyDescent="0.25">
      <c r="A367">
        <v>46</v>
      </c>
      <c r="B367" t="s">
        <v>44</v>
      </c>
      <c r="C367" t="s">
        <v>56</v>
      </c>
      <c r="D367">
        <v>1144</v>
      </c>
      <c r="E367" t="s">
        <v>46</v>
      </c>
      <c r="G367">
        <v>7</v>
      </c>
      <c r="H367">
        <v>4</v>
      </c>
      <c r="I367" t="s">
        <v>52</v>
      </c>
      <c r="J367" t="str">
        <f>WA_Fn_UseC__HR_Employee_Attrition[[#This Row],[EducationField]]&amp;"-"&amp;WA_Fn_UseC__HR_Employee_Attrition[[#This Row],[Department]]</f>
        <v>Medical-Research &amp; Development</v>
      </c>
      <c r="K367">
        <v>1</v>
      </c>
      <c r="L367">
        <v>487</v>
      </c>
      <c r="M367">
        <v>3</v>
      </c>
      <c r="N367" t="s">
        <v>40</v>
      </c>
      <c r="O367">
        <v>30</v>
      </c>
      <c r="P367">
        <v>3</v>
      </c>
      <c r="Q367">
        <v>2</v>
      </c>
      <c r="R367" t="s">
        <v>54</v>
      </c>
      <c r="S367">
        <v>3</v>
      </c>
      <c r="T367" t="s">
        <v>49</v>
      </c>
      <c r="U367">
        <v>5258</v>
      </c>
      <c r="V367" t="str" cm="1">
        <f t="array" ref="V36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67">
        <v>16044</v>
      </c>
      <c r="X367">
        <v>2</v>
      </c>
      <c r="Y367" t="s">
        <v>43</v>
      </c>
      <c r="Z367" t="s">
        <v>44</v>
      </c>
      <c r="AA367">
        <v>14</v>
      </c>
      <c r="AB367">
        <v>3</v>
      </c>
      <c r="AC367">
        <v>3</v>
      </c>
      <c r="AD367">
        <v>80</v>
      </c>
      <c r="AE367">
        <v>0</v>
      </c>
      <c r="AF367">
        <v>7</v>
      </c>
      <c r="AG367">
        <v>2</v>
      </c>
      <c r="AH367">
        <v>4</v>
      </c>
      <c r="AI367">
        <v>1</v>
      </c>
      <c r="AJ367">
        <v>0</v>
      </c>
      <c r="AK367">
        <v>0</v>
      </c>
      <c r="AL367" t="str" cm="1">
        <f t="array" ref="AL36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67">
        <v>0</v>
      </c>
    </row>
    <row r="368" spans="1:39" x14ac:dyDescent="0.25">
      <c r="A368">
        <v>41</v>
      </c>
      <c r="B368" t="s">
        <v>36</v>
      </c>
      <c r="C368" t="s">
        <v>45</v>
      </c>
      <c r="D368">
        <v>143</v>
      </c>
      <c r="E368" t="s">
        <v>38</v>
      </c>
      <c r="G368">
        <v>4</v>
      </c>
      <c r="H368">
        <v>3</v>
      </c>
      <c r="I368" t="s">
        <v>60</v>
      </c>
      <c r="J368" t="str">
        <f>WA_Fn_UseC__HR_Employee_Attrition[[#This Row],[EducationField]]&amp;"-"&amp;WA_Fn_UseC__HR_Employee_Attrition[[#This Row],[Department]]</f>
        <v>Marketing-Sales</v>
      </c>
      <c r="K368">
        <v>1</v>
      </c>
      <c r="L368">
        <v>488</v>
      </c>
      <c r="M368">
        <v>1</v>
      </c>
      <c r="N368" t="s">
        <v>47</v>
      </c>
      <c r="O368">
        <v>56</v>
      </c>
      <c r="P368">
        <v>3</v>
      </c>
      <c r="Q368">
        <v>2</v>
      </c>
      <c r="R368" t="s">
        <v>41</v>
      </c>
      <c r="S368">
        <v>2</v>
      </c>
      <c r="T368" t="s">
        <v>42</v>
      </c>
      <c r="U368">
        <v>9355</v>
      </c>
      <c r="V368" t="str" cm="1">
        <f t="array" ref="V36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68">
        <v>9558</v>
      </c>
      <c r="X368">
        <v>1</v>
      </c>
      <c r="Y368" t="s">
        <v>43</v>
      </c>
      <c r="Z368" t="s">
        <v>44</v>
      </c>
      <c r="AA368">
        <v>18</v>
      </c>
      <c r="AB368">
        <v>3</v>
      </c>
      <c r="AC368">
        <v>3</v>
      </c>
      <c r="AD368">
        <v>80</v>
      </c>
      <c r="AE368">
        <v>0</v>
      </c>
      <c r="AF368">
        <v>8</v>
      </c>
      <c r="AG368">
        <v>5</v>
      </c>
      <c r="AH368">
        <v>3</v>
      </c>
      <c r="AI368">
        <v>8</v>
      </c>
      <c r="AJ368">
        <v>7</v>
      </c>
      <c r="AK368">
        <v>7</v>
      </c>
      <c r="AL368" t="str" cm="1">
        <f t="array" ref="AL36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68">
        <v>7</v>
      </c>
    </row>
    <row r="369" spans="1:39" x14ac:dyDescent="0.25">
      <c r="A369">
        <v>50</v>
      </c>
      <c r="B369" t="s">
        <v>44</v>
      </c>
      <c r="C369" t="s">
        <v>37</v>
      </c>
      <c r="D369">
        <v>1046</v>
      </c>
      <c r="E369" t="s">
        <v>46</v>
      </c>
      <c r="G369">
        <v>10</v>
      </c>
      <c r="H369">
        <v>3</v>
      </c>
      <c r="I369" t="s">
        <v>61</v>
      </c>
      <c r="J369" t="str">
        <f>WA_Fn_UseC__HR_Employee_Attrition[[#This Row],[EducationField]]&amp;"-"&amp;WA_Fn_UseC__HR_Employee_Attrition[[#This Row],[Department]]</f>
        <v>Technical Degree-Research &amp; Development</v>
      </c>
      <c r="K369">
        <v>1</v>
      </c>
      <c r="L369">
        <v>491</v>
      </c>
      <c r="M369">
        <v>4</v>
      </c>
      <c r="N369" t="s">
        <v>47</v>
      </c>
      <c r="O369">
        <v>100</v>
      </c>
      <c r="P369">
        <v>2</v>
      </c>
      <c r="Q369">
        <v>3</v>
      </c>
      <c r="R369" t="s">
        <v>55</v>
      </c>
      <c r="S369">
        <v>4</v>
      </c>
      <c r="T369" t="s">
        <v>42</v>
      </c>
      <c r="U369">
        <v>10496</v>
      </c>
      <c r="V369" t="str" cm="1">
        <f t="array" ref="V36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69">
        <v>2755</v>
      </c>
      <c r="X369">
        <v>6</v>
      </c>
      <c r="Y369" t="s">
        <v>43</v>
      </c>
      <c r="Z369" t="s">
        <v>44</v>
      </c>
      <c r="AA369">
        <v>15</v>
      </c>
      <c r="AB369">
        <v>3</v>
      </c>
      <c r="AC369">
        <v>4</v>
      </c>
      <c r="AD369">
        <v>80</v>
      </c>
      <c r="AE369">
        <v>0</v>
      </c>
      <c r="AF369">
        <v>20</v>
      </c>
      <c r="AG369">
        <v>2</v>
      </c>
      <c r="AH369">
        <v>3</v>
      </c>
      <c r="AI369">
        <v>4</v>
      </c>
      <c r="AJ369">
        <v>3</v>
      </c>
      <c r="AK369">
        <v>1</v>
      </c>
      <c r="AL369" t="str" cm="1">
        <f t="array" ref="AL36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69">
        <v>3</v>
      </c>
    </row>
    <row r="370" spans="1:39" x14ac:dyDescent="0.25">
      <c r="A370">
        <v>40</v>
      </c>
      <c r="B370" t="s">
        <v>36</v>
      </c>
      <c r="C370" t="s">
        <v>37</v>
      </c>
      <c r="D370">
        <v>575</v>
      </c>
      <c r="E370" t="s">
        <v>38</v>
      </c>
      <c r="G370">
        <v>22</v>
      </c>
      <c r="H370">
        <v>2</v>
      </c>
      <c r="I370" t="s">
        <v>60</v>
      </c>
      <c r="J370" t="str">
        <f>WA_Fn_UseC__HR_Employee_Attrition[[#This Row],[EducationField]]&amp;"-"&amp;WA_Fn_UseC__HR_Employee_Attrition[[#This Row],[Department]]</f>
        <v>Marketing-Sales</v>
      </c>
      <c r="K370">
        <v>1</v>
      </c>
      <c r="L370">
        <v>492</v>
      </c>
      <c r="M370">
        <v>3</v>
      </c>
      <c r="N370" t="s">
        <v>47</v>
      </c>
      <c r="O370">
        <v>68</v>
      </c>
      <c r="P370">
        <v>2</v>
      </c>
      <c r="Q370">
        <v>2</v>
      </c>
      <c r="R370" t="s">
        <v>41</v>
      </c>
      <c r="S370">
        <v>3</v>
      </c>
      <c r="T370" t="s">
        <v>49</v>
      </c>
      <c r="U370">
        <v>6380</v>
      </c>
      <c r="V370" t="str" cm="1">
        <f t="array" ref="V37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70">
        <v>6110</v>
      </c>
      <c r="X370">
        <v>2</v>
      </c>
      <c r="Y370" t="s">
        <v>43</v>
      </c>
      <c r="Z370" t="s">
        <v>36</v>
      </c>
      <c r="AA370">
        <v>12</v>
      </c>
      <c r="AB370">
        <v>3</v>
      </c>
      <c r="AC370">
        <v>1</v>
      </c>
      <c r="AD370">
        <v>80</v>
      </c>
      <c r="AE370">
        <v>2</v>
      </c>
      <c r="AF370">
        <v>8</v>
      </c>
      <c r="AG370">
        <v>6</v>
      </c>
      <c r="AH370">
        <v>3</v>
      </c>
      <c r="AI370">
        <v>6</v>
      </c>
      <c r="AJ370">
        <v>4</v>
      </c>
      <c r="AK370">
        <v>1</v>
      </c>
      <c r="AL370" t="str" cm="1">
        <f t="array" ref="AL37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70">
        <v>0</v>
      </c>
    </row>
    <row r="371" spans="1:39" x14ac:dyDescent="0.25">
      <c r="A371">
        <v>31</v>
      </c>
      <c r="B371" t="s">
        <v>44</v>
      </c>
      <c r="C371" t="s">
        <v>37</v>
      </c>
      <c r="D371">
        <v>408</v>
      </c>
      <c r="E371" t="s">
        <v>46</v>
      </c>
      <c r="G371">
        <v>9</v>
      </c>
      <c r="H371">
        <v>4</v>
      </c>
      <c r="I371" t="s">
        <v>39</v>
      </c>
      <c r="J371" t="str">
        <f>WA_Fn_UseC__HR_Employee_Attrition[[#This Row],[EducationField]]&amp;"-"&amp;WA_Fn_UseC__HR_Employee_Attrition[[#This Row],[Department]]</f>
        <v>Life Sciences-Research &amp; Development</v>
      </c>
      <c r="K371">
        <v>1</v>
      </c>
      <c r="L371">
        <v>493</v>
      </c>
      <c r="M371">
        <v>3</v>
      </c>
      <c r="N371" t="s">
        <v>47</v>
      </c>
      <c r="O371">
        <v>42</v>
      </c>
      <c r="P371">
        <v>2</v>
      </c>
      <c r="Q371">
        <v>1</v>
      </c>
      <c r="R371" t="s">
        <v>48</v>
      </c>
      <c r="S371">
        <v>2</v>
      </c>
      <c r="T371" t="s">
        <v>42</v>
      </c>
      <c r="U371">
        <v>2657</v>
      </c>
      <c r="V371" t="str" cm="1">
        <f t="array" ref="V37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71">
        <v>7551</v>
      </c>
      <c r="X371">
        <v>0</v>
      </c>
      <c r="Y371" t="s">
        <v>43</v>
      </c>
      <c r="Z371" t="s">
        <v>36</v>
      </c>
      <c r="AA371">
        <v>16</v>
      </c>
      <c r="AB371">
        <v>3</v>
      </c>
      <c r="AC371">
        <v>4</v>
      </c>
      <c r="AD371">
        <v>80</v>
      </c>
      <c r="AE371">
        <v>0</v>
      </c>
      <c r="AF371">
        <v>3</v>
      </c>
      <c r="AG371">
        <v>5</v>
      </c>
      <c r="AH371">
        <v>3</v>
      </c>
      <c r="AI371">
        <v>2</v>
      </c>
      <c r="AJ371">
        <v>2</v>
      </c>
      <c r="AK371">
        <v>2</v>
      </c>
      <c r="AL371" t="str" cm="1">
        <f t="array" ref="AL37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71">
        <v>2</v>
      </c>
    </row>
    <row r="372" spans="1:39" x14ac:dyDescent="0.25">
      <c r="A372">
        <v>21</v>
      </c>
      <c r="B372" t="s">
        <v>36</v>
      </c>
      <c r="C372" t="s">
        <v>37</v>
      </c>
      <c r="D372">
        <v>156</v>
      </c>
      <c r="E372" t="s">
        <v>38</v>
      </c>
      <c r="G372">
        <v>12</v>
      </c>
      <c r="H372">
        <v>3</v>
      </c>
      <c r="I372" t="s">
        <v>39</v>
      </c>
      <c r="J372" t="str">
        <f>WA_Fn_UseC__HR_Employee_Attrition[[#This Row],[EducationField]]&amp;"-"&amp;WA_Fn_UseC__HR_Employee_Attrition[[#This Row],[Department]]</f>
        <v>Life Sciences-Sales</v>
      </c>
      <c r="K372">
        <v>1</v>
      </c>
      <c r="L372">
        <v>494</v>
      </c>
      <c r="M372">
        <v>3</v>
      </c>
      <c r="N372" t="s">
        <v>40</v>
      </c>
      <c r="O372">
        <v>90</v>
      </c>
      <c r="P372">
        <v>4</v>
      </c>
      <c r="Q372">
        <v>1</v>
      </c>
      <c r="R372" t="s">
        <v>58</v>
      </c>
      <c r="S372">
        <v>2</v>
      </c>
      <c r="T372" t="s">
        <v>42</v>
      </c>
      <c r="U372">
        <v>2716</v>
      </c>
      <c r="V372" t="str" cm="1">
        <f t="array" ref="V37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72">
        <v>25422</v>
      </c>
      <c r="X372">
        <v>1</v>
      </c>
      <c r="Y372" t="s">
        <v>43</v>
      </c>
      <c r="Z372" t="s">
        <v>44</v>
      </c>
      <c r="AA372">
        <v>15</v>
      </c>
      <c r="AB372">
        <v>3</v>
      </c>
      <c r="AC372">
        <v>4</v>
      </c>
      <c r="AD372">
        <v>80</v>
      </c>
      <c r="AE372">
        <v>0</v>
      </c>
      <c r="AF372">
        <v>1</v>
      </c>
      <c r="AG372">
        <v>0</v>
      </c>
      <c r="AH372">
        <v>3</v>
      </c>
      <c r="AI372">
        <v>1</v>
      </c>
      <c r="AJ372">
        <v>0</v>
      </c>
      <c r="AK372">
        <v>0</v>
      </c>
      <c r="AL372" t="str" cm="1">
        <f t="array" ref="AL37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72">
        <v>0</v>
      </c>
    </row>
    <row r="373" spans="1:39" x14ac:dyDescent="0.25">
      <c r="A373">
        <v>29</v>
      </c>
      <c r="B373" t="s">
        <v>44</v>
      </c>
      <c r="C373" t="s">
        <v>37</v>
      </c>
      <c r="D373">
        <v>1283</v>
      </c>
      <c r="E373" t="s">
        <v>46</v>
      </c>
      <c r="G373">
        <v>23</v>
      </c>
      <c r="H373">
        <v>3</v>
      </c>
      <c r="I373" t="s">
        <v>39</v>
      </c>
      <c r="J373" t="str">
        <f>WA_Fn_UseC__HR_Employee_Attrition[[#This Row],[EducationField]]&amp;"-"&amp;WA_Fn_UseC__HR_Employee_Attrition[[#This Row],[Department]]</f>
        <v>Life Sciences-Research &amp; Development</v>
      </c>
      <c r="K373">
        <v>1</v>
      </c>
      <c r="L373">
        <v>495</v>
      </c>
      <c r="M373">
        <v>4</v>
      </c>
      <c r="N373" t="s">
        <v>47</v>
      </c>
      <c r="O373">
        <v>54</v>
      </c>
      <c r="P373">
        <v>3</v>
      </c>
      <c r="Q373">
        <v>1</v>
      </c>
      <c r="R373" t="s">
        <v>48</v>
      </c>
      <c r="S373">
        <v>4</v>
      </c>
      <c r="T373" t="s">
        <v>42</v>
      </c>
      <c r="U373">
        <v>2201</v>
      </c>
      <c r="V373" t="str" cm="1">
        <f t="array" ref="V37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73">
        <v>18168</v>
      </c>
      <c r="X373">
        <v>9</v>
      </c>
      <c r="Y373" t="s">
        <v>43</v>
      </c>
      <c r="Z373" t="s">
        <v>44</v>
      </c>
      <c r="AA373">
        <v>16</v>
      </c>
      <c r="AB373">
        <v>3</v>
      </c>
      <c r="AC373">
        <v>4</v>
      </c>
      <c r="AD373">
        <v>80</v>
      </c>
      <c r="AE373">
        <v>0</v>
      </c>
      <c r="AF373">
        <v>6</v>
      </c>
      <c r="AG373">
        <v>4</v>
      </c>
      <c r="AH373">
        <v>3</v>
      </c>
      <c r="AI373">
        <v>3</v>
      </c>
      <c r="AJ373">
        <v>2</v>
      </c>
      <c r="AK373">
        <v>1</v>
      </c>
      <c r="AL373" t="str" cm="1">
        <f t="array" ref="AL37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73">
        <v>2</v>
      </c>
    </row>
    <row r="374" spans="1:39" x14ac:dyDescent="0.25">
      <c r="A374">
        <v>35</v>
      </c>
      <c r="B374" t="s">
        <v>44</v>
      </c>
      <c r="C374" t="s">
        <v>37</v>
      </c>
      <c r="D374">
        <v>755</v>
      </c>
      <c r="E374" t="s">
        <v>46</v>
      </c>
      <c r="G374">
        <v>9</v>
      </c>
      <c r="H374">
        <v>4</v>
      </c>
      <c r="I374" t="s">
        <v>39</v>
      </c>
      <c r="J374" t="str">
        <f>WA_Fn_UseC__HR_Employee_Attrition[[#This Row],[EducationField]]&amp;"-"&amp;WA_Fn_UseC__HR_Employee_Attrition[[#This Row],[Department]]</f>
        <v>Life Sciences-Research &amp; Development</v>
      </c>
      <c r="K374">
        <v>1</v>
      </c>
      <c r="L374">
        <v>496</v>
      </c>
      <c r="M374">
        <v>3</v>
      </c>
      <c r="N374" t="s">
        <v>47</v>
      </c>
      <c r="O374">
        <v>97</v>
      </c>
      <c r="P374">
        <v>2</v>
      </c>
      <c r="Q374">
        <v>2</v>
      </c>
      <c r="R374" t="s">
        <v>55</v>
      </c>
      <c r="S374">
        <v>2</v>
      </c>
      <c r="T374" t="s">
        <v>42</v>
      </c>
      <c r="U374">
        <v>6540</v>
      </c>
      <c r="V374" t="str" cm="1">
        <f t="array" ref="V37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74">
        <v>19394</v>
      </c>
      <c r="X374">
        <v>9</v>
      </c>
      <c r="Y374" t="s">
        <v>43</v>
      </c>
      <c r="Z374" t="s">
        <v>44</v>
      </c>
      <c r="AA374">
        <v>19</v>
      </c>
      <c r="AB374">
        <v>3</v>
      </c>
      <c r="AC374">
        <v>3</v>
      </c>
      <c r="AD374">
        <v>80</v>
      </c>
      <c r="AE374">
        <v>0</v>
      </c>
      <c r="AF374">
        <v>10</v>
      </c>
      <c r="AG374">
        <v>5</v>
      </c>
      <c r="AH374">
        <v>3</v>
      </c>
      <c r="AI374">
        <v>1</v>
      </c>
      <c r="AJ374">
        <v>1</v>
      </c>
      <c r="AK374">
        <v>0</v>
      </c>
      <c r="AL374" t="str" cm="1">
        <f t="array" ref="AL37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74">
        <v>0</v>
      </c>
    </row>
    <row r="375" spans="1:39" x14ac:dyDescent="0.25">
      <c r="A375">
        <v>27</v>
      </c>
      <c r="B375" t="s">
        <v>44</v>
      </c>
      <c r="C375" t="s">
        <v>37</v>
      </c>
      <c r="D375">
        <v>1469</v>
      </c>
      <c r="E375" t="s">
        <v>46</v>
      </c>
      <c r="G375">
        <v>1</v>
      </c>
      <c r="H375">
        <v>2</v>
      </c>
      <c r="I375" t="s">
        <v>52</v>
      </c>
      <c r="J375" t="str">
        <f>WA_Fn_UseC__HR_Employee_Attrition[[#This Row],[EducationField]]&amp;"-"&amp;WA_Fn_UseC__HR_Employee_Attrition[[#This Row],[Department]]</f>
        <v>Medical-Research &amp; Development</v>
      </c>
      <c r="K375">
        <v>1</v>
      </c>
      <c r="L375">
        <v>497</v>
      </c>
      <c r="M375">
        <v>4</v>
      </c>
      <c r="N375" t="s">
        <v>47</v>
      </c>
      <c r="O375">
        <v>82</v>
      </c>
      <c r="P375">
        <v>3</v>
      </c>
      <c r="Q375">
        <v>1</v>
      </c>
      <c r="R375" t="s">
        <v>51</v>
      </c>
      <c r="S375">
        <v>2</v>
      </c>
      <c r="T375" t="s">
        <v>53</v>
      </c>
      <c r="U375">
        <v>3816</v>
      </c>
      <c r="V375" t="str" cm="1">
        <f t="array" ref="V37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75">
        <v>17881</v>
      </c>
      <c r="X375">
        <v>1</v>
      </c>
      <c r="Y375" t="s">
        <v>43</v>
      </c>
      <c r="Z375" t="s">
        <v>44</v>
      </c>
      <c r="AA375">
        <v>11</v>
      </c>
      <c r="AB375">
        <v>3</v>
      </c>
      <c r="AC375">
        <v>2</v>
      </c>
      <c r="AD375">
        <v>80</v>
      </c>
      <c r="AE375">
        <v>1</v>
      </c>
      <c r="AF375">
        <v>5</v>
      </c>
      <c r="AG375">
        <v>2</v>
      </c>
      <c r="AH375">
        <v>3</v>
      </c>
      <c r="AI375">
        <v>5</v>
      </c>
      <c r="AJ375">
        <v>2</v>
      </c>
      <c r="AK375">
        <v>0</v>
      </c>
      <c r="AL375" t="str" cm="1">
        <f t="array" ref="AL37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75">
        <v>4</v>
      </c>
    </row>
    <row r="376" spans="1:39" x14ac:dyDescent="0.25">
      <c r="A376">
        <v>28</v>
      </c>
      <c r="B376" t="s">
        <v>44</v>
      </c>
      <c r="C376" t="s">
        <v>37</v>
      </c>
      <c r="D376">
        <v>304</v>
      </c>
      <c r="E376" t="s">
        <v>38</v>
      </c>
      <c r="G376">
        <v>9</v>
      </c>
      <c r="H376">
        <v>4</v>
      </c>
      <c r="I376" t="s">
        <v>39</v>
      </c>
      <c r="J376" t="str">
        <f>WA_Fn_UseC__HR_Employee_Attrition[[#This Row],[EducationField]]&amp;"-"&amp;WA_Fn_UseC__HR_Employee_Attrition[[#This Row],[Department]]</f>
        <v>Life Sciences-Sales</v>
      </c>
      <c r="K376">
        <v>1</v>
      </c>
      <c r="L376">
        <v>498</v>
      </c>
      <c r="M376">
        <v>2</v>
      </c>
      <c r="N376" t="s">
        <v>47</v>
      </c>
      <c r="O376">
        <v>92</v>
      </c>
      <c r="P376">
        <v>3</v>
      </c>
      <c r="Q376">
        <v>2</v>
      </c>
      <c r="R376" t="s">
        <v>41</v>
      </c>
      <c r="S376">
        <v>4</v>
      </c>
      <c r="T376" t="s">
        <v>42</v>
      </c>
      <c r="U376">
        <v>5253</v>
      </c>
      <c r="V376" t="str" cm="1">
        <f t="array" ref="V37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76">
        <v>20750</v>
      </c>
      <c r="X376">
        <v>1</v>
      </c>
      <c r="Y376" t="s">
        <v>43</v>
      </c>
      <c r="Z376" t="s">
        <v>44</v>
      </c>
      <c r="AA376">
        <v>16</v>
      </c>
      <c r="AB376">
        <v>3</v>
      </c>
      <c r="AC376">
        <v>4</v>
      </c>
      <c r="AD376">
        <v>80</v>
      </c>
      <c r="AE376">
        <v>0</v>
      </c>
      <c r="AF376">
        <v>7</v>
      </c>
      <c r="AG376">
        <v>1</v>
      </c>
      <c r="AH376">
        <v>3</v>
      </c>
      <c r="AI376">
        <v>7</v>
      </c>
      <c r="AJ376">
        <v>5</v>
      </c>
      <c r="AK376">
        <v>0</v>
      </c>
      <c r="AL376" t="str" cm="1">
        <f t="array" ref="AL37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76">
        <v>7</v>
      </c>
    </row>
    <row r="377" spans="1:39" x14ac:dyDescent="0.25">
      <c r="A377">
        <v>49</v>
      </c>
      <c r="B377" t="s">
        <v>44</v>
      </c>
      <c r="C377" t="s">
        <v>37</v>
      </c>
      <c r="D377">
        <v>1261</v>
      </c>
      <c r="E377" t="s">
        <v>46</v>
      </c>
      <c r="G377">
        <v>7</v>
      </c>
      <c r="H377">
        <v>3</v>
      </c>
      <c r="I377" t="s">
        <v>50</v>
      </c>
      <c r="J377" t="str">
        <f>WA_Fn_UseC__HR_Employee_Attrition[[#This Row],[EducationField]]&amp;"-"&amp;WA_Fn_UseC__HR_Employee_Attrition[[#This Row],[Department]]</f>
        <v>Other-Research &amp; Development</v>
      </c>
      <c r="K377">
        <v>1</v>
      </c>
      <c r="L377">
        <v>499</v>
      </c>
      <c r="M377">
        <v>2</v>
      </c>
      <c r="N377" t="s">
        <v>47</v>
      </c>
      <c r="O377">
        <v>31</v>
      </c>
      <c r="P377">
        <v>2</v>
      </c>
      <c r="Q377">
        <v>3</v>
      </c>
      <c r="R377" t="s">
        <v>55</v>
      </c>
      <c r="S377">
        <v>3</v>
      </c>
      <c r="T377" t="s">
        <v>42</v>
      </c>
      <c r="U377">
        <v>10965</v>
      </c>
      <c r="V377" t="str" cm="1">
        <f t="array" ref="V37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77">
        <v>12066</v>
      </c>
      <c r="X377">
        <v>8</v>
      </c>
      <c r="Y377" t="s">
        <v>43</v>
      </c>
      <c r="Z377" t="s">
        <v>44</v>
      </c>
      <c r="AA377">
        <v>24</v>
      </c>
      <c r="AB377">
        <v>4</v>
      </c>
      <c r="AC377">
        <v>3</v>
      </c>
      <c r="AD377">
        <v>80</v>
      </c>
      <c r="AE377">
        <v>0</v>
      </c>
      <c r="AF377">
        <v>26</v>
      </c>
      <c r="AG377">
        <v>2</v>
      </c>
      <c r="AH377">
        <v>3</v>
      </c>
      <c r="AI377">
        <v>5</v>
      </c>
      <c r="AJ377">
        <v>2</v>
      </c>
      <c r="AK377">
        <v>0</v>
      </c>
      <c r="AL377" t="str" cm="1">
        <f t="array" ref="AL37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77">
        <v>0</v>
      </c>
    </row>
    <row r="378" spans="1:39" x14ac:dyDescent="0.25">
      <c r="A378">
        <v>51</v>
      </c>
      <c r="B378" t="s">
        <v>44</v>
      </c>
      <c r="C378" t="s">
        <v>37</v>
      </c>
      <c r="D378">
        <v>1178</v>
      </c>
      <c r="E378" t="s">
        <v>38</v>
      </c>
      <c r="G378">
        <v>14</v>
      </c>
      <c r="H378">
        <v>2</v>
      </c>
      <c r="I378" t="s">
        <v>39</v>
      </c>
      <c r="J378" t="str">
        <f>WA_Fn_UseC__HR_Employee_Attrition[[#This Row],[EducationField]]&amp;"-"&amp;WA_Fn_UseC__HR_Employee_Attrition[[#This Row],[Department]]</f>
        <v>Life Sciences-Sales</v>
      </c>
      <c r="K378">
        <v>1</v>
      </c>
      <c r="L378">
        <v>500</v>
      </c>
      <c r="M378">
        <v>3</v>
      </c>
      <c r="N378" t="s">
        <v>40</v>
      </c>
      <c r="O378">
        <v>87</v>
      </c>
      <c r="P378">
        <v>3</v>
      </c>
      <c r="Q378">
        <v>2</v>
      </c>
      <c r="R378" t="s">
        <v>41</v>
      </c>
      <c r="S378">
        <v>4</v>
      </c>
      <c r="T378" t="s">
        <v>49</v>
      </c>
      <c r="U378">
        <v>4936</v>
      </c>
      <c r="V378" t="str" cm="1">
        <f t="array" ref="V37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78">
        <v>14862</v>
      </c>
      <c r="X378">
        <v>4</v>
      </c>
      <c r="Y378" t="s">
        <v>43</v>
      </c>
      <c r="Z378" t="s">
        <v>44</v>
      </c>
      <c r="AA378">
        <v>11</v>
      </c>
      <c r="AB378">
        <v>3</v>
      </c>
      <c r="AC378">
        <v>3</v>
      </c>
      <c r="AD378">
        <v>80</v>
      </c>
      <c r="AE378">
        <v>1</v>
      </c>
      <c r="AF378">
        <v>18</v>
      </c>
      <c r="AG378">
        <v>2</v>
      </c>
      <c r="AH378">
        <v>2</v>
      </c>
      <c r="AI378">
        <v>7</v>
      </c>
      <c r="AJ378">
        <v>7</v>
      </c>
      <c r="AK378">
        <v>0</v>
      </c>
      <c r="AL378" t="str" cm="1">
        <f t="array" ref="AL37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78">
        <v>7</v>
      </c>
    </row>
    <row r="379" spans="1:39" x14ac:dyDescent="0.25">
      <c r="A379">
        <v>36</v>
      </c>
      <c r="B379" t="s">
        <v>44</v>
      </c>
      <c r="C379" t="s">
        <v>37</v>
      </c>
      <c r="D379">
        <v>329</v>
      </c>
      <c r="E379" t="s">
        <v>46</v>
      </c>
      <c r="G379">
        <v>2</v>
      </c>
      <c r="H379">
        <v>3</v>
      </c>
      <c r="I379" t="s">
        <v>39</v>
      </c>
      <c r="J379" t="str">
        <f>WA_Fn_UseC__HR_Employee_Attrition[[#This Row],[EducationField]]&amp;"-"&amp;WA_Fn_UseC__HR_Employee_Attrition[[#This Row],[Department]]</f>
        <v>Life Sciences-Research &amp; Development</v>
      </c>
      <c r="K379">
        <v>1</v>
      </c>
      <c r="L379">
        <v>501</v>
      </c>
      <c r="M379">
        <v>4</v>
      </c>
      <c r="N379" t="s">
        <v>40</v>
      </c>
      <c r="O379">
        <v>96</v>
      </c>
      <c r="P379">
        <v>3</v>
      </c>
      <c r="Q379">
        <v>1</v>
      </c>
      <c r="R379" t="s">
        <v>48</v>
      </c>
      <c r="S379">
        <v>3</v>
      </c>
      <c r="T379" t="s">
        <v>49</v>
      </c>
      <c r="U379">
        <v>2543</v>
      </c>
      <c r="V379" t="str" cm="1">
        <f t="array" ref="V37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79">
        <v>11868</v>
      </c>
      <c r="X379">
        <v>4</v>
      </c>
      <c r="Y379" t="s">
        <v>43</v>
      </c>
      <c r="Z379" t="s">
        <v>44</v>
      </c>
      <c r="AA379">
        <v>13</v>
      </c>
      <c r="AB379">
        <v>3</v>
      </c>
      <c r="AC379">
        <v>2</v>
      </c>
      <c r="AD379">
        <v>80</v>
      </c>
      <c r="AE379">
        <v>1</v>
      </c>
      <c r="AF379">
        <v>6</v>
      </c>
      <c r="AG379">
        <v>3</v>
      </c>
      <c r="AH379">
        <v>3</v>
      </c>
      <c r="AI379">
        <v>2</v>
      </c>
      <c r="AJ379">
        <v>2</v>
      </c>
      <c r="AK379">
        <v>2</v>
      </c>
      <c r="AL379" t="str" cm="1">
        <f t="array" ref="AL37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79">
        <v>2</v>
      </c>
    </row>
    <row r="380" spans="1:39" x14ac:dyDescent="0.25">
      <c r="A380">
        <v>34</v>
      </c>
      <c r="B380" t="s">
        <v>36</v>
      </c>
      <c r="C380" t="s">
        <v>56</v>
      </c>
      <c r="D380">
        <v>1362</v>
      </c>
      <c r="E380" t="s">
        <v>38</v>
      </c>
      <c r="G380">
        <v>19</v>
      </c>
      <c r="H380">
        <v>3</v>
      </c>
      <c r="I380" t="s">
        <v>60</v>
      </c>
      <c r="J380" t="str">
        <f>WA_Fn_UseC__HR_Employee_Attrition[[#This Row],[EducationField]]&amp;"-"&amp;WA_Fn_UseC__HR_Employee_Attrition[[#This Row],[Department]]</f>
        <v>Marketing-Sales</v>
      </c>
      <c r="K380">
        <v>1</v>
      </c>
      <c r="L380">
        <v>502</v>
      </c>
      <c r="M380">
        <v>1</v>
      </c>
      <c r="N380" t="s">
        <v>47</v>
      </c>
      <c r="O380">
        <v>67</v>
      </c>
      <c r="P380">
        <v>4</v>
      </c>
      <c r="Q380">
        <v>2</v>
      </c>
      <c r="R380" t="s">
        <v>41</v>
      </c>
      <c r="S380">
        <v>4</v>
      </c>
      <c r="T380" t="s">
        <v>42</v>
      </c>
      <c r="U380">
        <v>5304</v>
      </c>
      <c r="V380" t="str" cm="1">
        <f t="array" ref="V38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80">
        <v>4652</v>
      </c>
      <c r="X380">
        <v>8</v>
      </c>
      <c r="Y380" t="s">
        <v>43</v>
      </c>
      <c r="Z380" t="s">
        <v>36</v>
      </c>
      <c r="AA380">
        <v>13</v>
      </c>
      <c r="AB380">
        <v>3</v>
      </c>
      <c r="AC380">
        <v>2</v>
      </c>
      <c r="AD380">
        <v>80</v>
      </c>
      <c r="AE380">
        <v>0</v>
      </c>
      <c r="AF380">
        <v>9</v>
      </c>
      <c r="AG380">
        <v>3</v>
      </c>
      <c r="AH380">
        <v>2</v>
      </c>
      <c r="AI380">
        <v>5</v>
      </c>
      <c r="AJ380">
        <v>2</v>
      </c>
      <c r="AK380">
        <v>0</v>
      </c>
      <c r="AL380" t="str" cm="1">
        <f t="array" ref="AL38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80">
        <v>4</v>
      </c>
    </row>
    <row r="381" spans="1:39" x14ac:dyDescent="0.25">
      <c r="A381">
        <v>55</v>
      </c>
      <c r="B381" t="s">
        <v>44</v>
      </c>
      <c r="C381" t="s">
        <v>37</v>
      </c>
      <c r="D381">
        <v>1311</v>
      </c>
      <c r="E381" t="s">
        <v>46</v>
      </c>
      <c r="G381">
        <v>2</v>
      </c>
      <c r="H381">
        <v>3</v>
      </c>
      <c r="I381" t="s">
        <v>39</v>
      </c>
      <c r="J381" t="str">
        <f>WA_Fn_UseC__HR_Employee_Attrition[[#This Row],[EducationField]]&amp;"-"&amp;WA_Fn_UseC__HR_Employee_Attrition[[#This Row],[Department]]</f>
        <v>Life Sciences-Research &amp; Development</v>
      </c>
      <c r="K381">
        <v>1</v>
      </c>
      <c r="L381">
        <v>505</v>
      </c>
      <c r="M381">
        <v>3</v>
      </c>
      <c r="N381" t="s">
        <v>40</v>
      </c>
      <c r="O381">
        <v>97</v>
      </c>
      <c r="P381">
        <v>3</v>
      </c>
      <c r="Q381">
        <v>4</v>
      </c>
      <c r="R381" t="s">
        <v>57</v>
      </c>
      <c r="S381">
        <v>4</v>
      </c>
      <c r="T381" t="s">
        <v>42</v>
      </c>
      <c r="U381">
        <v>16659</v>
      </c>
      <c r="V381" t="str" cm="1">
        <f t="array" ref="V38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81">
        <v>23258</v>
      </c>
      <c r="X381">
        <v>2</v>
      </c>
      <c r="Y381" t="s">
        <v>43</v>
      </c>
      <c r="Z381" t="s">
        <v>36</v>
      </c>
      <c r="AA381">
        <v>13</v>
      </c>
      <c r="AB381">
        <v>3</v>
      </c>
      <c r="AC381">
        <v>3</v>
      </c>
      <c r="AD381">
        <v>80</v>
      </c>
      <c r="AE381">
        <v>0</v>
      </c>
      <c r="AF381">
        <v>30</v>
      </c>
      <c r="AG381">
        <v>2</v>
      </c>
      <c r="AH381">
        <v>3</v>
      </c>
      <c r="AI381">
        <v>5</v>
      </c>
      <c r="AJ381">
        <v>4</v>
      </c>
      <c r="AK381">
        <v>1</v>
      </c>
      <c r="AL381" t="str" cm="1">
        <f t="array" ref="AL38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81">
        <v>2</v>
      </c>
    </row>
    <row r="382" spans="1:39" x14ac:dyDescent="0.25">
      <c r="A382">
        <v>24</v>
      </c>
      <c r="B382" t="s">
        <v>44</v>
      </c>
      <c r="C382" t="s">
        <v>37</v>
      </c>
      <c r="D382">
        <v>1371</v>
      </c>
      <c r="E382" t="s">
        <v>38</v>
      </c>
      <c r="G382">
        <v>10</v>
      </c>
      <c r="H382">
        <v>4</v>
      </c>
      <c r="I382" t="s">
        <v>60</v>
      </c>
      <c r="J382" t="str">
        <f>WA_Fn_UseC__HR_Employee_Attrition[[#This Row],[EducationField]]&amp;"-"&amp;WA_Fn_UseC__HR_Employee_Attrition[[#This Row],[Department]]</f>
        <v>Marketing-Sales</v>
      </c>
      <c r="K382">
        <v>1</v>
      </c>
      <c r="L382">
        <v>507</v>
      </c>
      <c r="M382">
        <v>4</v>
      </c>
      <c r="N382" t="s">
        <v>40</v>
      </c>
      <c r="O382">
        <v>77</v>
      </c>
      <c r="P382">
        <v>3</v>
      </c>
      <c r="Q382">
        <v>2</v>
      </c>
      <c r="R382" t="s">
        <v>41</v>
      </c>
      <c r="S382">
        <v>3</v>
      </c>
      <c r="T382" t="s">
        <v>53</v>
      </c>
      <c r="U382">
        <v>4260</v>
      </c>
      <c r="V382" t="str" cm="1">
        <f t="array" ref="V38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82">
        <v>5915</v>
      </c>
      <c r="X382">
        <v>1</v>
      </c>
      <c r="Y382" t="s">
        <v>43</v>
      </c>
      <c r="Z382" t="s">
        <v>36</v>
      </c>
      <c r="AA382">
        <v>12</v>
      </c>
      <c r="AB382">
        <v>3</v>
      </c>
      <c r="AC382">
        <v>4</v>
      </c>
      <c r="AD382">
        <v>80</v>
      </c>
      <c r="AE382">
        <v>1</v>
      </c>
      <c r="AF382">
        <v>5</v>
      </c>
      <c r="AG382">
        <v>2</v>
      </c>
      <c r="AH382">
        <v>4</v>
      </c>
      <c r="AI382">
        <v>5</v>
      </c>
      <c r="AJ382">
        <v>2</v>
      </c>
      <c r="AK382">
        <v>0</v>
      </c>
      <c r="AL382" t="str" cm="1">
        <f t="array" ref="AL38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82">
        <v>3</v>
      </c>
    </row>
    <row r="383" spans="1:39" x14ac:dyDescent="0.25">
      <c r="A383">
        <v>30</v>
      </c>
      <c r="B383" t="s">
        <v>44</v>
      </c>
      <c r="C383" t="s">
        <v>37</v>
      </c>
      <c r="D383">
        <v>202</v>
      </c>
      <c r="E383" t="s">
        <v>38</v>
      </c>
      <c r="G383">
        <v>2</v>
      </c>
      <c r="H383">
        <v>1</v>
      </c>
      <c r="I383" t="s">
        <v>61</v>
      </c>
      <c r="J383" t="str">
        <f>WA_Fn_UseC__HR_Employee_Attrition[[#This Row],[EducationField]]&amp;"-"&amp;WA_Fn_UseC__HR_Employee_Attrition[[#This Row],[Department]]</f>
        <v>Technical Degree-Sales</v>
      </c>
      <c r="K383">
        <v>1</v>
      </c>
      <c r="L383">
        <v>508</v>
      </c>
      <c r="M383">
        <v>3</v>
      </c>
      <c r="N383" t="s">
        <v>47</v>
      </c>
      <c r="O383">
        <v>72</v>
      </c>
      <c r="P383">
        <v>3</v>
      </c>
      <c r="Q383">
        <v>1</v>
      </c>
      <c r="R383" t="s">
        <v>58</v>
      </c>
      <c r="S383">
        <v>2</v>
      </c>
      <c r="T383" t="s">
        <v>49</v>
      </c>
      <c r="U383">
        <v>2476</v>
      </c>
      <c r="V383" t="str" cm="1">
        <f t="array" ref="V38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83">
        <v>17434</v>
      </c>
      <c r="X383">
        <v>1</v>
      </c>
      <c r="Y383" t="s">
        <v>43</v>
      </c>
      <c r="Z383" t="s">
        <v>44</v>
      </c>
      <c r="AA383">
        <v>18</v>
      </c>
      <c r="AB383">
        <v>3</v>
      </c>
      <c r="AC383">
        <v>1</v>
      </c>
      <c r="AD383">
        <v>80</v>
      </c>
      <c r="AE383">
        <v>1</v>
      </c>
      <c r="AF383">
        <v>1</v>
      </c>
      <c r="AG383">
        <v>3</v>
      </c>
      <c r="AH383">
        <v>3</v>
      </c>
      <c r="AI383">
        <v>1</v>
      </c>
      <c r="AJ383">
        <v>0</v>
      </c>
      <c r="AK383">
        <v>0</v>
      </c>
      <c r="AL383" t="str" cm="1">
        <f t="array" ref="AL38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83">
        <v>0</v>
      </c>
    </row>
    <row r="384" spans="1:39" x14ac:dyDescent="0.25">
      <c r="A384">
        <v>26</v>
      </c>
      <c r="B384" t="s">
        <v>36</v>
      </c>
      <c r="C384" t="s">
        <v>45</v>
      </c>
      <c r="D384">
        <v>575</v>
      </c>
      <c r="E384" t="s">
        <v>46</v>
      </c>
      <c r="G384">
        <v>3</v>
      </c>
      <c r="H384">
        <v>1</v>
      </c>
      <c r="I384" t="s">
        <v>61</v>
      </c>
      <c r="J384" t="str">
        <f>WA_Fn_UseC__HR_Employee_Attrition[[#This Row],[EducationField]]&amp;"-"&amp;WA_Fn_UseC__HR_Employee_Attrition[[#This Row],[Department]]</f>
        <v>Technical Degree-Research &amp; Development</v>
      </c>
      <c r="K384">
        <v>1</v>
      </c>
      <c r="L384">
        <v>510</v>
      </c>
      <c r="M384">
        <v>3</v>
      </c>
      <c r="N384" t="s">
        <v>47</v>
      </c>
      <c r="O384">
        <v>73</v>
      </c>
      <c r="P384">
        <v>3</v>
      </c>
      <c r="Q384">
        <v>1</v>
      </c>
      <c r="R384" t="s">
        <v>48</v>
      </c>
      <c r="S384">
        <v>1</v>
      </c>
      <c r="T384" t="s">
        <v>42</v>
      </c>
      <c r="U384">
        <v>3102</v>
      </c>
      <c r="V384" t="str" cm="1">
        <f t="array" ref="V38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84">
        <v>6582</v>
      </c>
      <c r="X384">
        <v>0</v>
      </c>
      <c r="Y384" t="s">
        <v>43</v>
      </c>
      <c r="Z384" t="s">
        <v>44</v>
      </c>
      <c r="AA384">
        <v>22</v>
      </c>
      <c r="AB384">
        <v>4</v>
      </c>
      <c r="AC384">
        <v>3</v>
      </c>
      <c r="AD384">
        <v>80</v>
      </c>
      <c r="AE384">
        <v>0</v>
      </c>
      <c r="AF384">
        <v>7</v>
      </c>
      <c r="AG384">
        <v>2</v>
      </c>
      <c r="AH384">
        <v>3</v>
      </c>
      <c r="AI384">
        <v>6</v>
      </c>
      <c r="AJ384">
        <v>4</v>
      </c>
      <c r="AK384">
        <v>0</v>
      </c>
      <c r="AL384" t="str" cm="1">
        <f t="array" ref="AL38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84">
        <v>4</v>
      </c>
    </row>
    <row r="385" spans="1:39" x14ac:dyDescent="0.25">
      <c r="A385">
        <v>22</v>
      </c>
      <c r="B385" t="s">
        <v>44</v>
      </c>
      <c r="C385" t="s">
        <v>37</v>
      </c>
      <c r="D385">
        <v>253</v>
      </c>
      <c r="E385" t="s">
        <v>46</v>
      </c>
      <c r="G385">
        <v>11</v>
      </c>
      <c r="H385">
        <v>3</v>
      </c>
      <c r="I385" t="s">
        <v>52</v>
      </c>
      <c r="J385" t="str">
        <f>WA_Fn_UseC__HR_Employee_Attrition[[#This Row],[EducationField]]&amp;"-"&amp;WA_Fn_UseC__HR_Employee_Attrition[[#This Row],[Department]]</f>
        <v>Medical-Research &amp; Development</v>
      </c>
      <c r="K385">
        <v>1</v>
      </c>
      <c r="L385">
        <v>511</v>
      </c>
      <c r="M385">
        <v>1</v>
      </c>
      <c r="N385" t="s">
        <v>40</v>
      </c>
      <c r="O385">
        <v>43</v>
      </c>
      <c r="P385">
        <v>3</v>
      </c>
      <c r="Q385">
        <v>1</v>
      </c>
      <c r="R385" t="s">
        <v>48</v>
      </c>
      <c r="S385">
        <v>2</v>
      </c>
      <c r="T385" t="s">
        <v>49</v>
      </c>
      <c r="U385">
        <v>2244</v>
      </c>
      <c r="V385" t="str" cm="1">
        <f t="array" ref="V38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85">
        <v>24440</v>
      </c>
      <c r="X385">
        <v>1</v>
      </c>
      <c r="Y385" t="s">
        <v>43</v>
      </c>
      <c r="Z385" t="s">
        <v>44</v>
      </c>
      <c r="AA385">
        <v>13</v>
      </c>
      <c r="AB385">
        <v>3</v>
      </c>
      <c r="AC385">
        <v>4</v>
      </c>
      <c r="AD385">
        <v>80</v>
      </c>
      <c r="AE385">
        <v>1</v>
      </c>
      <c r="AF385">
        <v>2</v>
      </c>
      <c r="AG385">
        <v>1</v>
      </c>
      <c r="AH385">
        <v>3</v>
      </c>
      <c r="AI385">
        <v>2</v>
      </c>
      <c r="AJ385">
        <v>1</v>
      </c>
      <c r="AK385">
        <v>1</v>
      </c>
      <c r="AL385" t="str" cm="1">
        <f t="array" ref="AL38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85">
        <v>2</v>
      </c>
    </row>
    <row r="386" spans="1:39" x14ac:dyDescent="0.25">
      <c r="A386">
        <v>36</v>
      </c>
      <c r="B386" t="s">
        <v>44</v>
      </c>
      <c r="C386" t="s">
        <v>37</v>
      </c>
      <c r="D386">
        <v>164</v>
      </c>
      <c r="E386" t="s">
        <v>38</v>
      </c>
      <c r="G386">
        <v>2</v>
      </c>
      <c r="H386">
        <v>2</v>
      </c>
      <c r="I386" t="s">
        <v>52</v>
      </c>
      <c r="J386" t="str">
        <f>WA_Fn_UseC__HR_Employee_Attrition[[#This Row],[EducationField]]&amp;"-"&amp;WA_Fn_UseC__HR_Employee_Attrition[[#This Row],[Department]]</f>
        <v>Medical-Sales</v>
      </c>
      <c r="K386">
        <v>1</v>
      </c>
      <c r="L386">
        <v>513</v>
      </c>
      <c r="M386">
        <v>2</v>
      </c>
      <c r="N386" t="s">
        <v>47</v>
      </c>
      <c r="O386">
        <v>61</v>
      </c>
      <c r="P386">
        <v>2</v>
      </c>
      <c r="Q386">
        <v>3</v>
      </c>
      <c r="R386" t="s">
        <v>41</v>
      </c>
      <c r="S386">
        <v>3</v>
      </c>
      <c r="T386" t="s">
        <v>49</v>
      </c>
      <c r="U386">
        <v>7596</v>
      </c>
      <c r="V386" t="str" cm="1">
        <f t="array" ref="V38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86">
        <v>3809</v>
      </c>
      <c r="X386">
        <v>1</v>
      </c>
      <c r="Y386" t="s">
        <v>43</v>
      </c>
      <c r="Z386" t="s">
        <v>44</v>
      </c>
      <c r="AA386">
        <v>13</v>
      </c>
      <c r="AB386">
        <v>3</v>
      </c>
      <c r="AC386">
        <v>2</v>
      </c>
      <c r="AD386">
        <v>80</v>
      </c>
      <c r="AE386">
        <v>2</v>
      </c>
      <c r="AF386">
        <v>10</v>
      </c>
      <c r="AG386">
        <v>2</v>
      </c>
      <c r="AH386">
        <v>3</v>
      </c>
      <c r="AI386">
        <v>10</v>
      </c>
      <c r="AJ386">
        <v>9</v>
      </c>
      <c r="AK386">
        <v>9</v>
      </c>
      <c r="AL386" t="str" cm="1">
        <f t="array" ref="AL38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86">
        <v>0</v>
      </c>
    </row>
    <row r="387" spans="1:39" x14ac:dyDescent="0.25">
      <c r="A387">
        <v>30</v>
      </c>
      <c r="B387" t="s">
        <v>36</v>
      </c>
      <c r="C387" t="s">
        <v>45</v>
      </c>
      <c r="D387">
        <v>464</v>
      </c>
      <c r="E387" t="s">
        <v>46</v>
      </c>
      <c r="G387">
        <v>4</v>
      </c>
      <c r="H387">
        <v>3</v>
      </c>
      <c r="I387" t="s">
        <v>61</v>
      </c>
      <c r="J387" t="str">
        <f>WA_Fn_UseC__HR_Employee_Attrition[[#This Row],[EducationField]]&amp;"-"&amp;WA_Fn_UseC__HR_Employee_Attrition[[#This Row],[Department]]</f>
        <v>Technical Degree-Research &amp; Development</v>
      </c>
      <c r="K387">
        <v>1</v>
      </c>
      <c r="L387">
        <v>514</v>
      </c>
      <c r="M387">
        <v>3</v>
      </c>
      <c r="N387" t="s">
        <v>47</v>
      </c>
      <c r="O387">
        <v>40</v>
      </c>
      <c r="P387">
        <v>3</v>
      </c>
      <c r="Q387">
        <v>1</v>
      </c>
      <c r="R387" t="s">
        <v>48</v>
      </c>
      <c r="S387">
        <v>4</v>
      </c>
      <c r="T387" t="s">
        <v>42</v>
      </c>
      <c r="U387">
        <v>2285</v>
      </c>
      <c r="V387" t="str" cm="1">
        <f t="array" ref="V38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87">
        <v>3427</v>
      </c>
      <c r="X387">
        <v>9</v>
      </c>
      <c r="Y387" t="s">
        <v>43</v>
      </c>
      <c r="Z387" t="s">
        <v>36</v>
      </c>
      <c r="AA387">
        <v>23</v>
      </c>
      <c r="AB387">
        <v>4</v>
      </c>
      <c r="AC387">
        <v>3</v>
      </c>
      <c r="AD387">
        <v>80</v>
      </c>
      <c r="AE387">
        <v>0</v>
      </c>
      <c r="AF387">
        <v>3</v>
      </c>
      <c r="AG387">
        <v>4</v>
      </c>
      <c r="AH387">
        <v>3</v>
      </c>
      <c r="AI387">
        <v>1</v>
      </c>
      <c r="AJ387">
        <v>0</v>
      </c>
      <c r="AK387">
        <v>0</v>
      </c>
      <c r="AL387" t="str" cm="1">
        <f t="array" ref="AL38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87">
        <v>0</v>
      </c>
    </row>
    <row r="388" spans="1:39" x14ac:dyDescent="0.25">
      <c r="A388">
        <v>37</v>
      </c>
      <c r="B388" t="s">
        <v>44</v>
      </c>
      <c r="C388" t="s">
        <v>37</v>
      </c>
      <c r="D388">
        <v>1107</v>
      </c>
      <c r="E388" t="s">
        <v>46</v>
      </c>
      <c r="G388">
        <v>14</v>
      </c>
      <c r="H388">
        <v>3</v>
      </c>
      <c r="I388" t="s">
        <v>39</v>
      </c>
      <c r="J388" t="str">
        <f>WA_Fn_UseC__HR_Employee_Attrition[[#This Row],[EducationField]]&amp;"-"&amp;WA_Fn_UseC__HR_Employee_Attrition[[#This Row],[Department]]</f>
        <v>Life Sciences-Research &amp; Development</v>
      </c>
      <c r="K388">
        <v>1</v>
      </c>
      <c r="L388">
        <v>515</v>
      </c>
      <c r="M388">
        <v>4</v>
      </c>
      <c r="N388" t="s">
        <v>40</v>
      </c>
      <c r="O388">
        <v>95</v>
      </c>
      <c r="P388">
        <v>3</v>
      </c>
      <c r="Q388">
        <v>1</v>
      </c>
      <c r="R388" t="s">
        <v>51</v>
      </c>
      <c r="S388">
        <v>1</v>
      </c>
      <c r="T388" t="s">
        <v>53</v>
      </c>
      <c r="U388">
        <v>3034</v>
      </c>
      <c r="V388" t="str" cm="1">
        <f t="array" ref="V38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88">
        <v>26914</v>
      </c>
      <c r="X388">
        <v>1</v>
      </c>
      <c r="Y388" t="s">
        <v>43</v>
      </c>
      <c r="Z388" t="s">
        <v>44</v>
      </c>
      <c r="AA388">
        <v>12</v>
      </c>
      <c r="AB388">
        <v>3</v>
      </c>
      <c r="AC388">
        <v>3</v>
      </c>
      <c r="AD388">
        <v>80</v>
      </c>
      <c r="AE388">
        <v>1</v>
      </c>
      <c r="AF388">
        <v>18</v>
      </c>
      <c r="AG388">
        <v>2</v>
      </c>
      <c r="AH388">
        <v>2</v>
      </c>
      <c r="AI388">
        <v>18</v>
      </c>
      <c r="AJ388">
        <v>7</v>
      </c>
      <c r="AK388">
        <v>12</v>
      </c>
      <c r="AL388" t="str" cm="1">
        <f t="array" ref="AL38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88">
        <v>17</v>
      </c>
    </row>
    <row r="389" spans="1:39" x14ac:dyDescent="0.25">
      <c r="A389">
        <v>40</v>
      </c>
      <c r="B389" t="s">
        <v>44</v>
      </c>
      <c r="C389" t="s">
        <v>37</v>
      </c>
      <c r="D389">
        <v>759</v>
      </c>
      <c r="E389" t="s">
        <v>38</v>
      </c>
      <c r="G389">
        <v>2</v>
      </c>
      <c r="H389">
        <v>2</v>
      </c>
      <c r="I389" t="s">
        <v>60</v>
      </c>
      <c r="J389" t="str">
        <f>WA_Fn_UseC__HR_Employee_Attrition[[#This Row],[EducationField]]&amp;"-"&amp;WA_Fn_UseC__HR_Employee_Attrition[[#This Row],[Department]]</f>
        <v>Marketing-Sales</v>
      </c>
      <c r="K389">
        <v>1</v>
      </c>
      <c r="L389">
        <v>516</v>
      </c>
      <c r="M389">
        <v>4</v>
      </c>
      <c r="N389" t="s">
        <v>40</v>
      </c>
      <c r="O389">
        <v>46</v>
      </c>
      <c r="P389">
        <v>3</v>
      </c>
      <c r="Q389">
        <v>2</v>
      </c>
      <c r="R389" t="s">
        <v>41</v>
      </c>
      <c r="S389">
        <v>2</v>
      </c>
      <c r="T389" t="s">
        <v>53</v>
      </c>
      <c r="U389">
        <v>5715</v>
      </c>
      <c r="V389" t="str" cm="1">
        <f t="array" ref="V38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89">
        <v>22553</v>
      </c>
      <c r="X389">
        <v>7</v>
      </c>
      <c r="Y389" t="s">
        <v>43</v>
      </c>
      <c r="Z389" t="s">
        <v>44</v>
      </c>
      <c r="AA389">
        <v>12</v>
      </c>
      <c r="AB389">
        <v>3</v>
      </c>
      <c r="AC389">
        <v>3</v>
      </c>
      <c r="AD389">
        <v>80</v>
      </c>
      <c r="AE389">
        <v>2</v>
      </c>
      <c r="AF389">
        <v>8</v>
      </c>
      <c r="AG389">
        <v>5</v>
      </c>
      <c r="AH389">
        <v>3</v>
      </c>
      <c r="AI389">
        <v>5</v>
      </c>
      <c r="AJ389">
        <v>4</v>
      </c>
      <c r="AK389">
        <v>1</v>
      </c>
      <c r="AL389" t="str" cm="1">
        <f t="array" ref="AL38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89">
        <v>3</v>
      </c>
    </row>
    <row r="390" spans="1:39" x14ac:dyDescent="0.25">
      <c r="A390">
        <v>42</v>
      </c>
      <c r="B390" t="s">
        <v>44</v>
      </c>
      <c r="C390" t="s">
        <v>37</v>
      </c>
      <c r="D390">
        <v>201</v>
      </c>
      <c r="E390" t="s">
        <v>46</v>
      </c>
      <c r="G390">
        <v>1</v>
      </c>
      <c r="H390">
        <v>4</v>
      </c>
      <c r="I390" t="s">
        <v>39</v>
      </c>
      <c r="J390" t="str">
        <f>WA_Fn_UseC__HR_Employee_Attrition[[#This Row],[EducationField]]&amp;"-"&amp;WA_Fn_UseC__HR_Employee_Attrition[[#This Row],[Department]]</f>
        <v>Life Sciences-Research &amp; Development</v>
      </c>
      <c r="K390">
        <v>1</v>
      </c>
      <c r="L390">
        <v>517</v>
      </c>
      <c r="M390">
        <v>2</v>
      </c>
      <c r="N390" t="s">
        <v>40</v>
      </c>
      <c r="O390">
        <v>95</v>
      </c>
      <c r="P390">
        <v>3</v>
      </c>
      <c r="Q390">
        <v>1</v>
      </c>
      <c r="R390" t="s">
        <v>51</v>
      </c>
      <c r="S390">
        <v>1</v>
      </c>
      <c r="T390" t="s">
        <v>53</v>
      </c>
      <c r="U390">
        <v>2576</v>
      </c>
      <c r="V390" t="str" cm="1">
        <f t="array" ref="V39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90">
        <v>20490</v>
      </c>
      <c r="X390">
        <v>3</v>
      </c>
      <c r="Y390" t="s">
        <v>43</v>
      </c>
      <c r="Z390" t="s">
        <v>44</v>
      </c>
      <c r="AA390">
        <v>16</v>
      </c>
      <c r="AB390">
        <v>3</v>
      </c>
      <c r="AC390">
        <v>2</v>
      </c>
      <c r="AD390">
        <v>80</v>
      </c>
      <c r="AE390">
        <v>1</v>
      </c>
      <c r="AF390">
        <v>8</v>
      </c>
      <c r="AG390">
        <v>5</v>
      </c>
      <c r="AH390">
        <v>3</v>
      </c>
      <c r="AI390">
        <v>5</v>
      </c>
      <c r="AJ390">
        <v>2</v>
      </c>
      <c r="AK390">
        <v>1</v>
      </c>
      <c r="AL390" t="str" cm="1">
        <f t="array" ref="AL39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90">
        <v>2</v>
      </c>
    </row>
    <row r="391" spans="1:39" x14ac:dyDescent="0.25">
      <c r="A391">
        <v>37</v>
      </c>
      <c r="B391" t="s">
        <v>44</v>
      </c>
      <c r="C391" t="s">
        <v>37</v>
      </c>
      <c r="D391">
        <v>1305</v>
      </c>
      <c r="E391" t="s">
        <v>46</v>
      </c>
      <c r="G391">
        <v>10</v>
      </c>
      <c r="H391">
        <v>4</v>
      </c>
      <c r="I391" t="s">
        <v>39</v>
      </c>
      <c r="J391" t="str">
        <f>WA_Fn_UseC__HR_Employee_Attrition[[#This Row],[EducationField]]&amp;"-"&amp;WA_Fn_UseC__HR_Employee_Attrition[[#This Row],[Department]]</f>
        <v>Life Sciences-Research &amp; Development</v>
      </c>
      <c r="K391">
        <v>1</v>
      </c>
      <c r="L391">
        <v>518</v>
      </c>
      <c r="M391">
        <v>3</v>
      </c>
      <c r="N391" t="s">
        <v>47</v>
      </c>
      <c r="O391">
        <v>49</v>
      </c>
      <c r="P391">
        <v>3</v>
      </c>
      <c r="Q391">
        <v>2</v>
      </c>
      <c r="R391" t="s">
        <v>54</v>
      </c>
      <c r="S391">
        <v>2</v>
      </c>
      <c r="T391" t="s">
        <v>42</v>
      </c>
      <c r="U391">
        <v>4197</v>
      </c>
      <c r="V391" t="str" cm="1">
        <f t="array" ref="V39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91">
        <v>21123</v>
      </c>
      <c r="X391">
        <v>2</v>
      </c>
      <c r="Y391" t="s">
        <v>43</v>
      </c>
      <c r="Z391" t="s">
        <v>36</v>
      </c>
      <c r="AA391">
        <v>12</v>
      </c>
      <c r="AB391">
        <v>3</v>
      </c>
      <c r="AC391">
        <v>4</v>
      </c>
      <c r="AD391">
        <v>80</v>
      </c>
      <c r="AE391">
        <v>0</v>
      </c>
      <c r="AF391">
        <v>18</v>
      </c>
      <c r="AG391">
        <v>2</v>
      </c>
      <c r="AH391">
        <v>2</v>
      </c>
      <c r="AI391">
        <v>1</v>
      </c>
      <c r="AJ391">
        <v>0</v>
      </c>
      <c r="AK391">
        <v>0</v>
      </c>
      <c r="AL391" t="str" cm="1">
        <f t="array" ref="AL39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91">
        <v>1</v>
      </c>
    </row>
    <row r="392" spans="1:39" x14ac:dyDescent="0.25">
      <c r="A392">
        <v>43</v>
      </c>
      <c r="B392" t="s">
        <v>44</v>
      </c>
      <c r="C392" t="s">
        <v>37</v>
      </c>
      <c r="D392">
        <v>982</v>
      </c>
      <c r="E392" t="s">
        <v>46</v>
      </c>
      <c r="G392">
        <v>12</v>
      </c>
      <c r="H392">
        <v>3</v>
      </c>
      <c r="I392" t="s">
        <v>39</v>
      </c>
      <c r="J392" t="str">
        <f>WA_Fn_UseC__HR_Employee_Attrition[[#This Row],[EducationField]]&amp;"-"&amp;WA_Fn_UseC__HR_Employee_Attrition[[#This Row],[Department]]</f>
        <v>Life Sciences-Research &amp; Development</v>
      </c>
      <c r="K392">
        <v>1</v>
      </c>
      <c r="L392">
        <v>520</v>
      </c>
      <c r="M392">
        <v>1</v>
      </c>
      <c r="N392" t="s">
        <v>47</v>
      </c>
      <c r="O392">
        <v>59</v>
      </c>
      <c r="P392">
        <v>2</v>
      </c>
      <c r="Q392">
        <v>4</v>
      </c>
      <c r="R392" t="s">
        <v>59</v>
      </c>
      <c r="S392">
        <v>2</v>
      </c>
      <c r="T392" t="s">
        <v>53</v>
      </c>
      <c r="U392">
        <v>14336</v>
      </c>
      <c r="V392" t="str" cm="1">
        <f t="array" ref="V39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92">
        <v>4345</v>
      </c>
      <c r="X392">
        <v>1</v>
      </c>
      <c r="Y392" t="s">
        <v>43</v>
      </c>
      <c r="Z392" t="s">
        <v>44</v>
      </c>
      <c r="AA392">
        <v>11</v>
      </c>
      <c r="AB392">
        <v>3</v>
      </c>
      <c r="AC392">
        <v>3</v>
      </c>
      <c r="AD392">
        <v>80</v>
      </c>
      <c r="AE392">
        <v>1</v>
      </c>
      <c r="AF392">
        <v>25</v>
      </c>
      <c r="AG392">
        <v>3</v>
      </c>
      <c r="AH392">
        <v>3</v>
      </c>
      <c r="AI392">
        <v>25</v>
      </c>
      <c r="AJ392">
        <v>10</v>
      </c>
      <c r="AK392">
        <v>3</v>
      </c>
      <c r="AL392" t="str" cm="1">
        <f t="array" ref="AL39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92">
        <v>9</v>
      </c>
    </row>
    <row r="393" spans="1:39" x14ac:dyDescent="0.25">
      <c r="A393">
        <v>40</v>
      </c>
      <c r="B393" t="s">
        <v>44</v>
      </c>
      <c r="C393" t="s">
        <v>37</v>
      </c>
      <c r="D393">
        <v>555</v>
      </c>
      <c r="E393" t="s">
        <v>46</v>
      </c>
      <c r="G393">
        <v>2</v>
      </c>
      <c r="H393">
        <v>3</v>
      </c>
      <c r="I393" t="s">
        <v>52</v>
      </c>
      <c r="J393" t="str">
        <f>WA_Fn_UseC__HR_Employee_Attrition[[#This Row],[EducationField]]&amp;"-"&amp;WA_Fn_UseC__HR_Employee_Attrition[[#This Row],[Department]]</f>
        <v>Medical-Research &amp; Development</v>
      </c>
      <c r="K393">
        <v>1</v>
      </c>
      <c r="L393">
        <v>521</v>
      </c>
      <c r="M393">
        <v>2</v>
      </c>
      <c r="N393" t="s">
        <v>40</v>
      </c>
      <c r="O393">
        <v>78</v>
      </c>
      <c r="P393">
        <v>2</v>
      </c>
      <c r="Q393">
        <v>2</v>
      </c>
      <c r="R393" t="s">
        <v>51</v>
      </c>
      <c r="S393">
        <v>3</v>
      </c>
      <c r="T393" t="s">
        <v>49</v>
      </c>
      <c r="U393">
        <v>3448</v>
      </c>
      <c r="V393" t="str" cm="1">
        <f t="array" ref="V39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93">
        <v>13436</v>
      </c>
      <c r="X393">
        <v>6</v>
      </c>
      <c r="Y393" t="s">
        <v>43</v>
      </c>
      <c r="Z393" t="s">
        <v>44</v>
      </c>
      <c r="AA393">
        <v>22</v>
      </c>
      <c r="AB393">
        <v>4</v>
      </c>
      <c r="AC393">
        <v>2</v>
      </c>
      <c r="AD393">
        <v>80</v>
      </c>
      <c r="AE393">
        <v>1</v>
      </c>
      <c r="AF393">
        <v>20</v>
      </c>
      <c r="AG393">
        <v>3</v>
      </c>
      <c r="AH393">
        <v>3</v>
      </c>
      <c r="AI393">
        <v>1</v>
      </c>
      <c r="AJ393">
        <v>0</v>
      </c>
      <c r="AK393">
        <v>0</v>
      </c>
      <c r="AL393" t="str" cm="1">
        <f t="array" ref="AL39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93">
        <v>0</v>
      </c>
    </row>
    <row r="394" spans="1:39" x14ac:dyDescent="0.25">
      <c r="A394">
        <v>54</v>
      </c>
      <c r="B394" t="s">
        <v>44</v>
      </c>
      <c r="C394" t="s">
        <v>37</v>
      </c>
      <c r="D394">
        <v>821</v>
      </c>
      <c r="E394" t="s">
        <v>46</v>
      </c>
      <c r="G394">
        <v>5</v>
      </c>
      <c r="H394">
        <v>2</v>
      </c>
      <c r="I394" t="s">
        <v>52</v>
      </c>
      <c r="J394" t="str">
        <f>WA_Fn_UseC__HR_Employee_Attrition[[#This Row],[EducationField]]&amp;"-"&amp;WA_Fn_UseC__HR_Employee_Attrition[[#This Row],[Department]]</f>
        <v>Medical-Research &amp; Development</v>
      </c>
      <c r="K394">
        <v>1</v>
      </c>
      <c r="L394">
        <v>522</v>
      </c>
      <c r="M394">
        <v>1</v>
      </c>
      <c r="N394" t="s">
        <v>47</v>
      </c>
      <c r="O394">
        <v>86</v>
      </c>
      <c r="P394">
        <v>3</v>
      </c>
      <c r="Q394">
        <v>5</v>
      </c>
      <c r="R394" t="s">
        <v>59</v>
      </c>
      <c r="S394">
        <v>1</v>
      </c>
      <c r="T394" t="s">
        <v>49</v>
      </c>
      <c r="U394">
        <v>19406</v>
      </c>
      <c r="V394" t="str" cm="1">
        <f t="array" ref="V39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94">
        <v>8509</v>
      </c>
      <c r="X394">
        <v>4</v>
      </c>
      <c r="Y394" t="s">
        <v>43</v>
      </c>
      <c r="Z394" t="s">
        <v>44</v>
      </c>
      <c r="AA394">
        <v>11</v>
      </c>
      <c r="AB394">
        <v>3</v>
      </c>
      <c r="AC394">
        <v>3</v>
      </c>
      <c r="AD394">
        <v>80</v>
      </c>
      <c r="AE394">
        <v>1</v>
      </c>
      <c r="AF394">
        <v>24</v>
      </c>
      <c r="AG394">
        <v>4</v>
      </c>
      <c r="AH394">
        <v>2</v>
      </c>
      <c r="AI394">
        <v>4</v>
      </c>
      <c r="AJ394">
        <v>2</v>
      </c>
      <c r="AK394">
        <v>1</v>
      </c>
      <c r="AL394" t="str" cm="1">
        <f t="array" ref="AL39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94">
        <v>2</v>
      </c>
    </row>
    <row r="395" spans="1:39" x14ac:dyDescent="0.25">
      <c r="A395">
        <v>34</v>
      </c>
      <c r="B395" t="s">
        <v>44</v>
      </c>
      <c r="C395" t="s">
        <v>56</v>
      </c>
      <c r="D395">
        <v>1381</v>
      </c>
      <c r="E395" t="s">
        <v>38</v>
      </c>
      <c r="G395">
        <v>4</v>
      </c>
      <c r="H395">
        <v>4</v>
      </c>
      <c r="I395" t="s">
        <v>60</v>
      </c>
      <c r="J395" t="str">
        <f>WA_Fn_UseC__HR_Employee_Attrition[[#This Row],[EducationField]]&amp;"-"&amp;WA_Fn_UseC__HR_Employee_Attrition[[#This Row],[Department]]</f>
        <v>Marketing-Sales</v>
      </c>
      <c r="K395">
        <v>1</v>
      </c>
      <c r="L395">
        <v>523</v>
      </c>
      <c r="M395">
        <v>3</v>
      </c>
      <c r="N395" t="s">
        <v>40</v>
      </c>
      <c r="O395">
        <v>72</v>
      </c>
      <c r="P395">
        <v>3</v>
      </c>
      <c r="Q395">
        <v>2</v>
      </c>
      <c r="R395" t="s">
        <v>41</v>
      </c>
      <c r="S395">
        <v>3</v>
      </c>
      <c r="T395" t="s">
        <v>49</v>
      </c>
      <c r="U395">
        <v>6538</v>
      </c>
      <c r="V395" t="str" cm="1">
        <f t="array" ref="V39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395">
        <v>12740</v>
      </c>
      <c r="X395">
        <v>9</v>
      </c>
      <c r="Y395" t="s">
        <v>43</v>
      </c>
      <c r="Z395" t="s">
        <v>44</v>
      </c>
      <c r="AA395">
        <v>15</v>
      </c>
      <c r="AB395">
        <v>3</v>
      </c>
      <c r="AC395">
        <v>1</v>
      </c>
      <c r="AD395">
        <v>80</v>
      </c>
      <c r="AE395">
        <v>1</v>
      </c>
      <c r="AF395">
        <v>6</v>
      </c>
      <c r="AG395">
        <v>3</v>
      </c>
      <c r="AH395">
        <v>3</v>
      </c>
      <c r="AI395">
        <v>3</v>
      </c>
      <c r="AJ395">
        <v>2</v>
      </c>
      <c r="AK395">
        <v>1</v>
      </c>
      <c r="AL395" t="str" cm="1">
        <f t="array" ref="AL39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395">
        <v>2</v>
      </c>
    </row>
    <row r="396" spans="1:39" x14ac:dyDescent="0.25">
      <c r="A396">
        <v>31</v>
      </c>
      <c r="B396" t="s">
        <v>44</v>
      </c>
      <c r="C396" t="s">
        <v>37</v>
      </c>
      <c r="D396">
        <v>480</v>
      </c>
      <c r="E396" t="s">
        <v>46</v>
      </c>
      <c r="G396">
        <v>7</v>
      </c>
      <c r="H396">
        <v>2</v>
      </c>
      <c r="I396" t="s">
        <v>52</v>
      </c>
      <c r="J396" t="str">
        <f>WA_Fn_UseC__HR_Employee_Attrition[[#This Row],[EducationField]]&amp;"-"&amp;WA_Fn_UseC__HR_Employee_Attrition[[#This Row],[Department]]</f>
        <v>Medical-Research &amp; Development</v>
      </c>
      <c r="K396">
        <v>1</v>
      </c>
      <c r="L396">
        <v>524</v>
      </c>
      <c r="M396">
        <v>2</v>
      </c>
      <c r="N396" t="s">
        <v>40</v>
      </c>
      <c r="O396">
        <v>31</v>
      </c>
      <c r="P396">
        <v>3</v>
      </c>
      <c r="Q396">
        <v>2</v>
      </c>
      <c r="R396" t="s">
        <v>54</v>
      </c>
      <c r="S396">
        <v>1</v>
      </c>
      <c r="T396" t="s">
        <v>49</v>
      </c>
      <c r="U396">
        <v>4306</v>
      </c>
      <c r="V396" t="str" cm="1">
        <f t="array" ref="V39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96">
        <v>4156</v>
      </c>
      <c r="X396">
        <v>1</v>
      </c>
      <c r="Y396" t="s">
        <v>43</v>
      </c>
      <c r="Z396" t="s">
        <v>44</v>
      </c>
      <c r="AA396">
        <v>12</v>
      </c>
      <c r="AB396">
        <v>3</v>
      </c>
      <c r="AC396">
        <v>2</v>
      </c>
      <c r="AD396">
        <v>80</v>
      </c>
      <c r="AE396">
        <v>1</v>
      </c>
      <c r="AF396">
        <v>13</v>
      </c>
      <c r="AG396">
        <v>5</v>
      </c>
      <c r="AH396">
        <v>1</v>
      </c>
      <c r="AI396">
        <v>13</v>
      </c>
      <c r="AJ396">
        <v>10</v>
      </c>
      <c r="AK396">
        <v>3</v>
      </c>
      <c r="AL396" t="str" cm="1">
        <f t="array" ref="AL39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96">
        <v>12</v>
      </c>
    </row>
    <row r="397" spans="1:39" x14ac:dyDescent="0.25">
      <c r="A397">
        <v>43</v>
      </c>
      <c r="B397" t="s">
        <v>44</v>
      </c>
      <c r="C397" t="s">
        <v>45</v>
      </c>
      <c r="D397">
        <v>313</v>
      </c>
      <c r="E397" t="s">
        <v>46</v>
      </c>
      <c r="G397">
        <v>21</v>
      </c>
      <c r="H397">
        <v>3</v>
      </c>
      <c r="I397" t="s">
        <v>52</v>
      </c>
      <c r="J397" t="str">
        <f>WA_Fn_UseC__HR_Employee_Attrition[[#This Row],[EducationField]]&amp;"-"&amp;WA_Fn_UseC__HR_Employee_Attrition[[#This Row],[Department]]</f>
        <v>Medical-Research &amp; Development</v>
      </c>
      <c r="K397">
        <v>1</v>
      </c>
      <c r="L397">
        <v>525</v>
      </c>
      <c r="M397">
        <v>4</v>
      </c>
      <c r="N397" t="s">
        <v>47</v>
      </c>
      <c r="O397">
        <v>61</v>
      </c>
      <c r="P397">
        <v>3</v>
      </c>
      <c r="Q397">
        <v>1</v>
      </c>
      <c r="R397" t="s">
        <v>51</v>
      </c>
      <c r="S397">
        <v>4</v>
      </c>
      <c r="T397" t="s">
        <v>49</v>
      </c>
      <c r="U397">
        <v>2258</v>
      </c>
      <c r="V397" t="str" cm="1">
        <f t="array" ref="V39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397">
        <v>15238</v>
      </c>
      <c r="X397">
        <v>7</v>
      </c>
      <c r="Y397" t="s">
        <v>43</v>
      </c>
      <c r="Z397" t="s">
        <v>44</v>
      </c>
      <c r="AA397">
        <v>20</v>
      </c>
      <c r="AB397">
        <v>4</v>
      </c>
      <c r="AC397">
        <v>1</v>
      </c>
      <c r="AD397">
        <v>80</v>
      </c>
      <c r="AE397">
        <v>1</v>
      </c>
      <c r="AF397">
        <v>8</v>
      </c>
      <c r="AG397">
        <v>1</v>
      </c>
      <c r="AH397">
        <v>3</v>
      </c>
      <c r="AI397">
        <v>3</v>
      </c>
      <c r="AJ397">
        <v>2</v>
      </c>
      <c r="AK397">
        <v>1</v>
      </c>
      <c r="AL397" t="str" cm="1">
        <f t="array" ref="AL39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397">
        <v>2</v>
      </c>
    </row>
    <row r="398" spans="1:39" x14ac:dyDescent="0.25">
      <c r="A398">
        <v>43</v>
      </c>
      <c r="B398" t="s">
        <v>44</v>
      </c>
      <c r="C398" t="s">
        <v>37</v>
      </c>
      <c r="D398">
        <v>1473</v>
      </c>
      <c r="E398" t="s">
        <v>46</v>
      </c>
      <c r="G398">
        <v>8</v>
      </c>
      <c r="H398">
        <v>4</v>
      </c>
      <c r="I398" t="s">
        <v>50</v>
      </c>
      <c r="J398" t="str">
        <f>WA_Fn_UseC__HR_Employee_Attrition[[#This Row],[EducationField]]&amp;"-"&amp;WA_Fn_UseC__HR_Employee_Attrition[[#This Row],[Department]]</f>
        <v>Other-Research &amp; Development</v>
      </c>
      <c r="K398">
        <v>1</v>
      </c>
      <c r="L398">
        <v>526</v>
      </c>
      <c r="M398">
        <v>3</v>
      </c>
      <c r="N398" t="s">
        <v>40</v>
      </c>
      <c r="O398">
        <v>74</v>
      </c>
      <c r="P398">
        <v>3</v>
      </c>
      <c r="Q398">
        <v>2</v>
      </c>
      <c r="R398" t="s">
        <v>55</v>
      </c>
      <c r="S398">
        <v>3</v>
      </c>
      <c r="T398" t="s">
        <v>53</v>
      </c>
      <c r="U398">
        <v>4522</v>
      </c>
      <c r="V398" t="str" cm="1">
        <f t="array" ref="V39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98">
        <v>2227</v>
      </c>
      <c r="X398">
        <v>4</v>
      </c>
      <c r="Y398" t="s">
        <v>43</v>
      </c>
      <c r="Z398" t="s">
        <v>36</v>
      </c>
      <c r="AA398">
        <v>14</v>
      </c>
      <c r="AB398">
        <v>3</v>
      </c>
      <c r="AC398">
        <v>4</v>
      </c>
      <c r="AD398">
        <v>80</v>
      </c>
      <c r="AE398">
        <v>0</v>
      </c>
      <c r="AF398">
        <v>8</v>
      </c>
      <c r="AG398">
        <v>3</v>
      </c>
      <c r="AH398">
        <v>3</v>
      </c>
      <c r="AI398">
        <v>5</v>
      </c>
      <c r="AJ398">
        <v>2</v>
      </c>
      <c r="AK398">
        <v>0</v>
      </c>
      <c r="AL398" t="str" cm="1">
        <f t="array" ref="AL39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98">
        <v>2</v>
      </c>
    </row>
    <row r="399" spans="1:39" x14ac:dyDescent="0.25">
      <c r="A399">
        <v>25</v>
      </c>
      <c r="B399" t="s">
        <v>44</v>
      </c>
      <c r="C399" t="s">
        <v>37</v>
      </c>
      <c r="D399">
        <v>891</v>
      </c>
      <c r="E399" t="s">
        <v>38</v>
      </c>
      <c r="G399">
        <v>4</v>
      </c>
      <c r="H399">
        <v>2</v>
      </c>
      <c r="I399" t="s">
        <v>39</v>
      </c>
      <c r="J399" t="str">
        <f>WA_Fn_UseC__HR_Employee_Attrition[[#This Row],[EducationField]]&amp;"-"&amp;WA_Fn_UseC__HR_Employee_Attrition[[#This Row],[Department]]</f>
        <v>Life Sciences-Sales</v>
      </c>
      <c r="K399">
        <v>1</v>
      </c>
      <c r="L399">
        <v>527</v>
      </c>
      <c r="M399">
        <v>2</v>
      </c>
      <c r="N399" t="s">
        <v>40</v>
      </c>
      <c r="O399">
        <v>99</v>
      </c>
      <c r="P399">
        <v>2</v>
      </c>
      <c r="Q399">
        <v>2</v>
      </c>
      <c r="R399" t="s">
        <v>41</v>
      </c>
      <c r="S399">
        <v>4</v>
      </c>
      <c r="T399" t="s">
        <v>42</v>
      </c>
      <c r="U399">
        <v>4487</v>
      </c>
      <c r="V399" t="str" cm="1">
        <f t="array" ref="V39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399">
        <v>12090</v>
      </c>
      <c r="X399">
        <v>1</v>
      </c>
      <c r="Y399" t="s">
        <v>43</v>
      </c>
      <c r="Z399" t="s">
        <v>36</v>
      </c>
      <c r="AA399">
        <v>11</v>
      </c>
      <c r="AB399">
        <v>3</v>
      </c>
      <c r="AC399">
        <v>2</v>
      </c>
      <c r="AD399">
        <v>80</v>
      </c>
      <c r="AE399">
        <v>0</v>
      </c>
      <c r="AF399">
        <v>5</v>
      </c>
      <c r="AG399">
        <v>3</v>
      </c>
      <c r="AH399">
        <v>3</v>
      </c>
      <c r="AI399">
        <v>5</v>
      </c>
      <c r="AJ399">
        <v>4</v>
      </c>
      <c r="AK399">
        <v>1</v>
      </c>
      <c r="AL399" t="str" cm="1">
        <f t="array" ref="AL39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399">
        <v>3</v>
      </c>
    </row>
    <row r="400" spans="1:39" x14ac:dyDescent="0.25">
      <c r="A400">
        <v>37</v>
      </c>
      <c r="B400" t="s">
        <v>44</v>
      </c>
      <c r="C400" t="s">
        <v>56</v>
      </c>
      <c r="D400">
        <v>1063</v>
      </c>
      <c r="E400" t="s">
        <v>46</v>
      </c>
      <c r="G400">
        <v>25</v>
      </c>
      <c r="H400">
        <v>5</v>
      </c>
      <c r="I400" t="s">
        <v>52</v>
      </c>
      <c r="J400" t="str">
        <f>WA_Fn_UseC__HR_Employee_Attrition[[#This Row],[EducationField]]&amp;"-"&amp;WA_Fn_UseC__HR_Employee_Attrition[[#This Row],[Department]]</f>
        <v>Medical-Research &amp; Development</v>
      </c>
      <c r="K400">
        <v>1</v>
      </c>
      <c r="L400">
        <v>529</v>
      </c>
      <c r="M400">
        <v>2</v>
      </c>
      <c r="N400" t="s">
        <v>40</v>
      </c>
      <c r="O400">
        <v>72</v>
      </c>
      <c r="P400">
        <v>3</v>
      </c>
      <c r="Q400">
        <v>2</v>
      </c>
      <c r="R400" t="s">
        <v>48</v>
      </c>
      <c r="S400">
        <v>3</v>
      </c>
      <c r="T400" t="s">
        <v>49</v>
      </c>
      <c r="U400">
        <v>4449</v>
      </c>
      <c r="V400" t="str" cm="1">
        <f t="array" ref="V40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00">
        <v>23866</v>
      </c>
      <c r="X400">
        <v>3</v>
      </c>
      <c r="Y400" t="s">
        <v>43</v>
      </c>
      <c r="Z400" t="s">
        <v>36</v>
      </c>
      <c r="AA400">
        <v>15</v>
      </c>
      <c r="AB400">
        <v>3</v>
      </c>
      <c r="AC400">
        <v>1</v>
      </c>
      <c r="AD400">
        <v>80</v>
      </c>
      <c r="AE400">
        <v>2</v>
      </c>
      <c r="AF400">
        <v>15</v>
      </c>
      <c r="AG400">
        <v>2</v>
      </c>
      <c r="AH400">
        <v>3</v>
      </c>
      <c r="AI400">
        <v>13</v>
      </c>
      <c r="AJ400">
        <v>11</v>
      </c>
      <c r="AK400">
        <v>10</v>
      </c>
      <c r="AL400" t="str" cm="1">
        <f t="array" ref="AL40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00">
        <v>7</v>
      </c>
    </row>
    <row r="401" spans="1:39" x14ac:dyDescent="0.25">
      <c r="A401">
        <v>31</v>
      </c>
      <c r="B401" t="s">
        <v>44</v>
      </c>
      <c r="C401" t="s">
        <v>37</v>
      </c>
      <c r="D401">
        <v>329</v>
      </c>
      <c r="E401" t="s">
        <v>46</v>
      </c>
      <c r="G401">
        <v>1</v>
      </c>
      <c r="H401">
        <v>2</v>
      </c>
      <c r="I401" t="s">
        <v>39</v>
      </c>
      <c r="J401" t="str">
        <f>WA_Fn_UseC__HR_Employee_Attrition[[#This Row],[EducationField]]&amp;"-"&amp;WA_Fn_UseC__HR_Employee_Attrition[[#This Row],[Department]]</f>
        <v>Life Sciences-Research &amp; Development</v>
      </c>
      <c r="K401">
        <v>1</v>
      </c>
      <c r="L401">
        <v>530</v>
      </c>
      <c r="M401">
        <v>4</v>
      </c>
      <c r="N401" t="s">
        <v>47</v>
      </c>
      <c r="O401">
        <v>98</v>
      </c>
      <c r="P401">
        <v>2</v>
      </c>
      <c r="Q401">
        <v>1</v>
      </c>
      <c r="R401" t="s">
        <v>51</v>
      </c>
      <c r="S401">
        <v>1</v>
      </c>
      <c r="T401" t="s">
        <v>49</v>
      </c>
      <c r="U401">
        <v>2218</v>
      </c>
      <c r="V401" t="str" cm="1">
        <f t="array" ref="V40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01">
        <v>16193</v>
      </c>
      <c r="X401">
        <v>1</v>
      </c>
      <c r="Y401" t="s">
        <v>43</v>
      </c>
      <c r="Z401" t="s">
        <v>44</v>
      </c>
      <c r="AA401">
        <v>12</v>
      </c>
      <c r="AB401">
        <v>3</v>
      </c>
      <c r="AC401">
        <v>3</v>
      </c>
      <c r="AD401">
        <v>80</v>
      </c>
      <c r="AE401">
        <v>1</v>
      </c>
      <c r="AF401">
        <v>4</v>
      </c>
      <c r="AG401">
        <v>3</v>
      </c>
      <c r="AH401">
        <v>3</v>
      </c>
      <c r="AI401">
        <v>4</v>
      </c>
      <c r="AJ401">
        <v>2</v>
      </c>
      <c r="AK401">
        <v>3</v>
      </c>
      <c r="AL401" t="str" cm="1">
        <f t="array" ref="AL40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01">
        <v>2</v>
      </c>
    </row>
    <row r="402" spans="1:39" x14ac:dyDescent="0.25">
      <c r="A402">
        <v>39</v>
      </c>
      <c r="B402" t="s">
        <v>44</v>
      </c>
      <c r="C402" t="s">
        <v>45</v>
      </c>
      <c r="D402">
        <v>1218</v>
      </c>
      <c r="E402" t="s">
        <v>46</v>
      </c>
      <c r="G402">
        <v>1</v>
      </c>
      <c r="H402">
        <v>1</v>
      </c>
      <c r="I402" t="s">
        <v>39</v>
      </c>
      <c r="J402" t="str">
        <f>WA_Fn_UseC__HR_Employee_Attrition[[#This Row],[EducationField]]&amp;"-"&amp;WA_Fn_UseC__HR_Employee_Attrition[[#This Row],[Department]]</f>
        <v>Life Sciences-Research &amp; Development</v>
      </c>
      <c r="K402">
        <v>1</v>
      </c>
      <c r="L402">
        <v>531</v>
      </c>
      <c r="M402">
        <v>2</v>
      </c>
      <c r="N402" t="s">
        <v>47</v>
      </c>
      <c r="O402">
        <v>52</v>
      </c>
      <c r="P402">
        <v>3</v>
      </c>
      <c r="Q402">
        <v>5</v>
      </c>
      <c r="R402" t="s">
        <v>57</v>
      </c>
      <c r="S402">
        <v>3</v>
      </c>
      <c r="T402" t="s">
        <v>53</v>
      </c>
      <c r="U402">
        <v>19197</v>
      </c>
      <c r="V402" t="str" cm="1">
        <f t="array" ref="V40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02">
        <v>8213</v>
      </c>
      <c r="X402">
        <v>1</v>
      </c>
      <c r="Y402" t="s">
        <v>43</v>
      </c>
      <c r="Z402" t="s">
        <v>36</v>
      </c>
      <c r="AA402">
        <v>14</v>
      </c>
      <c r="AB402">
        <v>3</v>
      </c>
      <c r="AC402">
        <v>3</v>
      </c>
      <c r="AD402">
        <v>80</v>
      </c>
      <c r="AE402">
        <v>1</v>
      </c>
      <c r="AF402">
        <v>21</v>
      </c>
      <c r="AG402">
        <v>3</v>
      </c>
      <c r="AH402">
        <v>3</v>
      </c>
      <c r="AI402">
        <v>21</v>
      </c>
      <c r="AJ402">
        <v>8</v>
      </c>
      <c r="AK402">
        <v>1</v>
      </c>
      <c r="AL402" t="str" cm="1">
        <f t="array" ref="AL40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02">
        <v>6</v>
      </c>
    </row>
    <row r="403" spans="1:39" x14ac:dyDescent="0.25">
      <c r="A403">
        <v>56</v>
      </c>
      <c r="B403" t="s">
        <v>44</v>
      </c>
      <c r="C403" t="s">
        <v>45</v>
      </c>
      <c r="D403">
        <v>906</v>
      </c>
      <c r="E403" t="s">
        <v>38</v>
      </c>
      <c r="G403">
        <v>6</v>
      </c>
      <c r="H403">
        <v>3</v>
      </c>
      <c r="I403" t="s">
        <v>39</v>
      </c>
      <c r="J403" t="str">
        <f>WA_Fn_UseC__HR_Employee_Attrition[[#This Row],[EducationField]]&amp;"-"&amp;WA_Fn_UseC__HR_Employee_Attrition[[#This Row],[Department]]</f>
        <v>Life Sciences-Sales</v>
      </c>
      <c r="K403">
        <v>1</v>
      </c>
      <c r="L403">
        <v>532</v>
      </c>
      <c r="M403">
        <v>3</v>
      </c>
      <c r="N403" t="s">
        <v>40</v>
      </c>
      <c r="O403">
        <v>86</v>
      </c>
      <c r="P403">
        <v>4</v>
      </c>
      <c r="Q403">
        <v>4</v>
      </c>
      <c r="R403" t="s">
        <v>41</v>
      </c>
      <c r="S403">
        <v>1</v>
      </c>
      <c r="T403" t="s">
        <v>49</v>
      </c>
      <c r="U403">
        <v>13212</v>
      </c>
      <c r="V403" t="str" cm="1">
        <f t="array" ref="V40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03">
        <v>18256</v>
      </c>
      <c r="X403">
        <v>9</v>
      </c>
      <c r="Y403" t="s">
        <v>43</v>
      </c>
      <c r="Z403" t="s">
        <v>44</v>
      </c>
      <c r="AA403">
        <v>11</v>
      </c>
      <c r="AB403">
        <v>3</v>
      </c>
      <c r="AC403">
        <v>4</v>
      </c>
      <c r="AD403">
        <v>80</v>
      </c>
      <c r="AE403">
        <v>3</v>
      </c>
      <c r="AF403">
        <v>36</v>
      </c>
      <c r="AG403">
        <v>0</v>
      </c>
      <c r="AH403">
        <v>2</v>
      </c>
      <c r="AI403">
        <v>7</v>
      </c>
      <c r="AJ403">
        <v>7</v>
      </c>
      <c r="AK403">
        <v>7</v>
      </c>
      <c r="AL403" t="str" cm="1">
        <f t="array" ref="AL40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03">
        <v>7</v>
      </c>
    </row>
    <row r="404" spans="1:39" x14ac:dyDescent="0.25">
      <c r="A404">
        <v>30</v>
      </c>
      <c r="B404" t="s">
        <v>44</v>
      </c>
      <c r="C404" t="s">
        <v>37</v>
      </c>
      <c r="D404">
        <v>1082</v>
      </c>
      <c r="E404" t="s">
        <v>38</v>
      </c>
      <c r="G404">
        <v>12</v>
      </c>
      <c r="H404">
        <v>3</v>
      </c>
      <c r="I404" t="s">
        <v>61</v>
      </c>
      <c r="J404" t="str">
        <f>WA_Fn_UseC__HR_Employee_Attrition[[#This Row],[EducationField]]&amp;"-"&amp;WA_Fn_UseC__HR_Employee_Attrition[[#This Row],[Department]]</f>
        <v>Technical Degree-Sales</v>
      </c>
      <c r="K404">
        <v>1</v>
      </c>
      <c r="L404">
        <v>533</v>
      </c>
      <c r="M404">
        <v>2</v>
      </c>
      <c r="N404" t="s">
        <v>40</v>
      </c>
      <c r="O404">
        <v>83</v>
      </c>
      <c r="P404">
        <v>3</v>
      </c>
      <c r="Q404">
        <v>2</v>
      </c>
      <c r="R404" t="s">
        <v>41</v>
      </c>
      <c r="S404">
        <v>3</v>
      </c>
      <c r="T404" t="s">
        <v>42</v>
      </c>
      <c r="U404">
        <v>6577</v>
      </c>
      <c r="V404" t="str" cm="1">
        <f t="array" ref="V40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04">
        <v>19558</v>
      </c>
      <c r="X404">
        <v>0</v>
      </c>
      <c r="Y404" t="s">
        <v>43</v>
      </c>
      <c r="Z404" t="s">
        <v>44</v>
      </c>
      <c r="AA404">
        <v>11</v>
      </c>
      <c r="AB404">
        <v>3</v>
      </c>
      <c r="AC404">
        <v>2</v>
      </c>
      <c r="AD404">
        <v>80</v>
      </c>
      <c r="AE404">
        <v>0</v>
      </c>
      <c r="AF404">
        <v>6</v>
      </c>
      <c r="AG404">
        <v>6</v>
      </c>
      <c r="AH404">
        <v>3</v>
      </c>
      <c r="AI404">
        <v>5</v>
      </c>
      <c r="AJ404">
        <v>4</v>
      </c>
      <c r="AK404">
        <v>4</v>
      </c>
      <c r="AL404" t="str" cm="1">
        <f t="array" ref="AL40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04">
        <v>4</v>
      </c>
    </row>
    <row r="405" spans="1:39" x14ac:dyDescent="0.25">
      <c r="A405">
        <v>41</v>
      </c>
      <c r="B405" t="s">
        <v>44</v>
      </c>
      <c r="C405" t="s">
        <v>37</v>
      </c>
      <c r="D405">
        <v>645</v>
      </c>
      <c r="E405" t="s">
        <v>38</v>
      </c>
      <c r="G405">
        <v>1</v>
      </c>
      <c r="H405">
        <v>3</v>
      </c>
      <c r="I405" t="s">
        <v>60</v>
      </c>
      <c r="J405" t="str">
        <f>WA_Fn_UseC__HR_Employee_Attrition[[#This Row],[EducationField]]&amp;"-"&amp;WA_Fn_UseC__HR_Employee_Attrition[[#This Row],[Department]]</f>
        <v>Marketing-Sales</v>
      </c>
      <c r="K405">
        <v>1</v>
      </c>
      <c r="L405">
        <v>534</v>
      </c>
      <c r="M405">
        <v>2</v>
      </c>
      <c r="N405" t="s">
        <v>47</v>
      </c>
      <c r="O405">
        <v>49</v>
      </c>
      <c r="P405">
        <v>4</v>
      </c>
      <c r="Q405">
        <v>3</v>
      </c>
      <c r="R405" t="s">
        <v>41</v>
      </c>
      <c r="S405">
        <v>1</v>
      </c>
      <c r="T405" t="s">
        <v>49</v>
      </c>
      <c r="U405">
        <v>8392</v>
      </c>
      <c r="V405" t="str" cm="1">
        <f t="array" ref="V40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05">
        <v>19566</v>
      </c>
      <c r="X405">
        <v>1</v>
      </c>
      <c r="Y405" t="s">
        <v>43</v>
      </c>
      <c r="Z405" t="s">
        <v>44</v>
      </c>
      <c r="AA405">
        <v>16</v>
      </c>
      <c r="AB405">
        <v>3</v>
      </c>
      <c r="AC405">
        <v>3</v>
      </c>
      <c r="AD405">
        <v>80</v>
      </c>
      <c r="AE405">
        <v>1</v>
      </c>
      <c r="AF405">
        <v>10</v>
      </c>
      <c r="AG405">
        <v>2</v>
      </c>
      <c r="AH405">
        <v>3</v>
      </c>
      <c r="AI405">
        <v>10</v>
      </c>
      <c r="AJ405">
        <v>7</v>
      </c>
      <c r="AK405">
        <v>0</v>
      </c>
      <c r="AL405" t="str" cm="1">
        <f t="array" ref="AL40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05">
        <v>7</v>
      </c>
    </row>
    <row r="406" spans="1:39" x14ac:dyDescent="0.25">
      <c r="A406">
        <v>28</v>
      </c>
      <c r="B406" t="s">
        <v>44</v>
      </c>
      <c r="C406" t="s">
        <v>37</v>
      </c>
      <c r="D406">
        <v>1300</v>
      </c>
      <c r="E406" t="s">
        <v>46</v>
      </c>
      <c r="G406">
        <v>17</v>
      </c>
      <c r="H406">
        <v>2</v>
      </c>
      <c r="I406" t="s">
        <v>52</v>
      </c>
      <c r="J406" t="str">
        <f>WA_Fn_UseC__HR_Employee_Attrition[[#This Row],[EducationField]]&amp;"-"&amp;WA_Fn_UseC__HR_Employee_Attrition[[#This Row],[Department]]</f>
        <v>Medical-Research &amp; Development</v>
      </c>
      <c r="K406">
        <v>1</v>
      </c>
      <c r="L406">
        <v>536</v>
      </c>
      <c r="M406">
        <v>3</v>
      </c>
      <c r="N406" t="s">
        <v>47</v>
      </c>
      <c r="O406">
        <v>79</v>
      </c>
      <c r="P406">
        <v>3</v>
      </c>
      <c r="Q406">
        <v>2</v>
      </c>
      <c r="R406" t="s">
        <v>51</v>
      </c>
      <c r="S406">
        <v>1</v>
      </c>
      <c r="T406" t="s">
        <v>53</v>
      </c>
      <c r="U406">
        <v>4558</v>
      </c>
      <c r="V406" t="str" cm="1">
        <f t="array" ref="V40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06">
        <v>13535</v>
      </c>
      <c r="X406">
        <v>1</v>
      </c>
      <c r="Y406" t="s">
        <v>43</v>
      </c>
      <c r="Z406" t="s">
        <v>44</v>
      </c>
      <c r="AA406">
        <v>12</v>
      </c>
      <c r="AB406">
        <v>3</v>
      </c>
      <c r="AC406">
        <v>4</v>
      </c>
      <c r="AD406">
        <v>80</v>
      </c>
      <c r="AE406">
        <v>1</v>
      </c>
      <c r="AF406">
        <v>10</v>
      </c>
      <c r="AG406">
        <v>2</v>
      </c>
      <c r="AH406">
        <v>3</v>
      </c>
      <c r="AI406">
        <v>10</v>
      </c>
      <c r="AJ406">
        <v>0</v>
      </c>
      <c r="AK406">
        <v>1</v>
      </c>
      <c r="AL406" t="str" cm="1">
        <f t="array" ref="AL40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06">
        <v>8</v>
      </c>
    </row>
    <row r="407" spans="1:39" x14ac:dyDescent="0.25">
      <c r="A407">
        <v>25</v>
      </c>
      <c r="B407" t="s">
        <v>36</v>
      </c>
      <c r="C407" t="s">
        <v>37</v>
      </c>
      <c r="D407">
        <v>688</v>
      </c>
      <c r="E407" t="s">
        <v>46</v>
      </c>
      <c r="G407">
        <v>3</v>
      </c>
      <c r="H407">
        <v>3</v>
      </c>
      <c r="I407" t="s">
        <v>52</v>
      </c>
      <c r="J407" t="str">
        <f>WA_Fn_UseC__HR_Employee_Attrition[[#This Row],[EducationField]]&amp;"-"&amp;WA_Fn_UseC__HR_Employee_Attrition[[#This Row],[Department]]</f>
        <v>Medical-Research &amp; Development</v>
      </c>
      <c r="K407">
        <v>1</v>
      </c>
      <c r="L407">
        <v>538</v>
      </c>
      <c r="M407">
        <v>1</v>
      </c>
      <c r="N407" t="s">
        <v>47</v>
      </c>
      <c r="O407">
        <v>91</v>
      </c>
      <c r="P407">
        <v>3</v>
      </c>
      <c r="Q407">
        <v>1</v>
      </c>
      <c r="R407" t="s">
        <v>51</v>
      </c>
      <c r="S407">
        <v>1</v>
      </c>
      <c r="T407" t="s">
        <v>49</v>
      </c>
      <c r="U407">
        <v>4031</v>
      </c>
      <c r="V407" t="str" cm="1">
        <f t="array" ref="V40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07">
        <v>9396</v>
      </c>
      <c r="X407">
        <v>5</v>
      </c>
      <c r="Y407" t="s">
        <v>43</v>
      </c>
      <c r="Z407" t="s">
        <v>44</v>
      </c>
      <c r="AA407">
        <v>13</v>
      </c>
      <c r="AB407">
        <v>3</v>
      </c>
      <c r="AC407">
        <v>3</v>
      </c>
      <c r="AD407">
        <v>80</v>
      </c>
      <c r="AE407">
        <v>1</v>
      </c>
      <c r="AF407">
        <v>6</v>
      </c>
      <c r="AG407">
        <v>5</v>
      </c>
      <c r="AH407">
        <v>3</v>
      </c>
      <c r="AI407">
        <v>2</v>
      </c>
      <c r="AJ407">
        <v>2</v>
      </c>
      <c r="AK407">
        <v>0</v>
      </c>
      <c r="AL407" t="str" cm="1">
        <f t="array" ref="AL40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07">
        <v>2</v>
      </c>
    </row>
    <row r="408" spans="1:39" x14ac:dyDescent="0.25">
      <c r="A408">
        <v>52</v>
      </c>
      <c r="B408" t="s">
        <v>44</v>
      </c>
      <c r="C408" t="s">
        <v>37</v>
      </c>
      <c r="D408">
        <v>319</v>
      </c>
      <c r="E408" t="s">
        <v>46</v>
      </c>
      <c r="G408">
        <v>3</v>
      </c>
      <c r="H408">
        <v>3</v>
      </c>
      <c r="I408" t="s">
        <v>52</v>
      </c>
      <c r="J408" t="str">
        <f>WA_Fn_UseC__HR_Employee_Attrition[[#This Row],[EducationField]]&amp;"-"&amp;WA_Fn_UseC__HR_Employee_Attrition[[#This Row],[Department]]</f>
        <v>Medical-Research &amp; Development</v>
      </c>
      <c r="K408">
        <v>1</v>
      </c>
      <c r="L408">
        <v>543</v>
      </c>
      <c r="M408">
        <v>4</v>
      </c>
      <c r="N408" t="s">
        <v>47</v>
      </c>
      <c r="O408">
        <v>39</v>
      </c>
      <c r="P408">
        <v>2</v>
      </c>
      <c r="Q408">
        <v>3</v>
      </c>
      <c r="R408" t="s">
        <v>54</v>
      </c>
      <c r="S408">
        <v>3</v>
      </c>
      <c r="T408" t="s">
        <v>49</v>
      </c>
      <c r="U408">
        <v>7969</v>
      </c>
      <c r="V408" t="str" cm="1">
        <f t="array" ref="V40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08">
        <v>19609</v>
      </c>
      <c r="X408">
        <v>2</v>
      </c>
      <c r="Y408" t="s">
        <v>43</v>
      </c>
      <c r="Z408" t="s">
        <v>36</v>
      </c>
      <c r="AA408">
        <v>14</v>
      </c>
      <c r="AB408">
        <v>3</v>
      </c>
      <c r="AC408">
        <v>3</v>
      </c>
      <c r="AD408">
        <v>80</v>
      </c>
      <c r="AE408">
        <v>0</v>
      </c>
      <c r="AF408">
        <v>28</v>
      </c>
      <c r="AG408">
        <v>4</v>
      </c>
      <c r="AH408">
        <v>3</v>
      </c>
      <c r="AI408">
        <v>5</v>
      </c>
      <c r="AJ408">
        <v>4</v>
      </c>
      <c r="AK408">
        <v>0</v>
      </c>
      <c r="AL408" t="str" cm="1">
        <f t="array" ref="AL40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08">
        <v>4</v>
      </c>
    </row>
    <row r="409" spans="1:39" x14ac:dyDescent="0.25">
      <c r="A409">
        <v>45</v>
      </c>
      <c r="B409" t="s">
        <v>44</v>
      </c>
      <c r="C409" t="s">
        <v>37</v>
      </c>
      <c r="D409">
        <v>192</v>
      </c>
      <c r="E409" t="s">
        <v>46</v>
      </c>
      <c r="G409">
        <v>10</v>
      </c>
      <c r="H409">
        <v>2</v>
      </c>
      <c r="I409" t="s">
        <v>39</v>
      </c>
      <c r="J409" t="str">
        <f>WA_Fn_UseC__HR_Employee_Attrition[[#This Row],[EducationField]]&amp;"-"&amp;WA_Fn_UseC__HR_Employee_Attrition[[#This Row],[Department]]</f>
        <v>Life Sciences-Research &amp; Development</v>
      </c>
      <c r="K409">
        <v>1</v>
      </c>
      <c r="L409">
        <v>544</v>
      </c>
      <c r="M409">
        <v>1</v>
      </c>
      <c r="N409" t="s">
        <v>47</v>
      </c>
      <c r="O409">
        <v>69</v>
      </c>
      <c r="P409">
        <v>3</v>
      </c>
      <c r="Q409">
        <v>1</v>
      </c>
      <c r="R409" t="s">
        <v>48</v>
      </c>
      <c r="S409">
        <v>4</v>
      </c>
      <c r="T409" t="s">
        <v>49</v>
      </c>
      <c r="U409">
        <v>2654</v>
      </c>
      <c r="V409" t="str" cm="1">
        <f t="array" ref="V40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09">
        <v>9655</v>
      </c>
      <c r="X409">
        <v>3</v>
      </c>
      <c r="Y409" t="s">
        <v>43</v>
      </c>
      <c r="Z409" t="s">
        <v>44</v>
      </c>
      <c r="AA409">
        <v>21</v>
      </c>
      <c r="AB409">
        <v>4</v>
      </c>
      <c r="AC409">
        <v>4</v>
      </c>
      <c r="AD409">
        <v>80</v>
      </c>
      <c r="AE409">
        <v>2</v>
      </c>
      <c r="AF409">
        <v>8</v>
      </c>
      <c r="AG409">
        <v>3</v>
      </c>
      <c r="AH409">
        <v>2</v>
      </c>
      <c r="AI409">
        <v>2</v>
      </c>
      <c r="AJ409">
        <v>2</v>
      </c>
      <c r="AK409">
        <v>0</v>
      </c>
      <c r="AL409" t="str" cm="1">
        <f t="array" ref="AL40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09">
        <v>2</v>
      </c>
    </row>
    <row r="410" spans="1:39" x14ac:dyDescent="0.25">
      <c r="A410">
        <v>52</v>
      </c>
      <c r="B410" t="s">
        <v>44</v>
      </c>
      <c r="C410" t="s">
        <v>37</v>
      </c>
      <c r="D410">
        <v>1490</v>
      </c>
      <c r="E410" t="s">
        <v>46</v>
      </c>
      <c r="G410">
        <v>4</v>
      </c>
      <c r="H410">
        <v>2</v>
      </c>
      <c r="I410" t="s">
        <v>39</v>
      </c>
      <c r="J410" t="str">
        <f>WA_Fn_UseC__HR_Employee_Attrition[[#This Row],[EducationField]]&amp;"-"&amp;WA_Fn_UseC__HR_Employee_Attrition[[#This Row],[Department]]</f>
        <v>Life Sciences-Research &amp; Development</v>
      </c>
      <c r="K410">
        <v>1</v>
      </c>
      <c r="L410">
        <v>546</v>
      </c>
      <c r="M410">
        <v>4</v>
      </c>
      <c r="N410" t="s">
        <v>40</v>
      </c>
      <c r="O410">
        <v>30</v>
      </c>
      <c r="P410">
        <v>3</v>
      </c>
      <c r="Q410">
        <v>4</v>
      </c>
      <c r="R410" t="s">
        <v>57</v>
      </c>
      <c r="S410">
        <v>4</v>
      </c>
      <c r="T410" t="s">
        <v>49</v>
      </c>
      <c r="U410">
        <v>16555</v>
      </c>
      <c r="V410" t="str" cm="1">
        <f t="array" ref="V41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10">
        <v>10310</v>
      </c>
      <c r="X410">
        <v>2</v>
      </c>
      <c r="Y410" t="s">
        <v>43</v>
      </c>
      <c r="Z410" t="s">
        <v>44</v>
      </c>
      <c r="AA410">
        <v>13</v>
      </c>
      <c r="AB410">
        <v>3</v>
      </c>
      <c r="AC410">
        <v>4</v>
      </c>
      <c r="AD410">
        <v>80</v>
      </c>
      <c r="AE410">
        <v>0</v>
      </c>
      <c r="AF410">
        <v>31</v>
      </c>
      <c r="AG410">
        <v>2</v>
      </c>
      <c r="AH410">
        <v>1</v>
      </c>
      <c r="AI410">
        <v>5</v>
      </c>
      <c r="AJ410">
        <v>2</v>
      </c>
      <c r="AK410">
        <v>1</v>
      </c>
      <c r="AL410" t="str" cm="1">
        <f t="array" ref="AL41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10">
        <v>4</v>
      </c>
    </row>
    <row r="411" spans="1:39" x14ac:dyDescent="0.25">
      <c r="A411">
        <v>42</v>
      </c>
      <c r="B411" t="s">
        <v>44</v>
      </c>
      <c r="C411" t="s">
        <v>45</v>
      </c>
      <c r="D411">
        <v>532</v>
      </c>
      <c r="E411" t="s">
        <v>46</v>
      </c>
      <c r="G411">
        <v>29</v>
      </c>
      <c r="H411">
        <v>2</v>
      </c>
      <c r="I411" t="s">
        <v>39</v>
      </c>
      <c r="J411" t="str">
        <f>WA_Fn_UseC__HR_Employee_Attrition[[#This Row],[EducationField]]&amp;"-"&amp;WA_Fn_UseC__HR_Employee_Attrition[[#This Row],[Department]]</f>
        <v>Life Sciences-Research &amp; Development</v>
      </c>
      <c r="K411">
        <v>1</v>
      </c>
      <c r="L411">
        <v>547</v>
      </c>
      <c r="M411">
        <v>1</v>
      </c>
      <c r="N411" t="s">
        <v>40</v>
      </c>
      <c r="O411">
        <v>92</v>
      </c>
      <c r="P411">
        <v>3</v>
      </c>
      <c r="Q411">
        <v>2</v>
      </c>
      <c r="R411" t="s">
        <v>48</v>
      </c>
      <c r="S411">
        <v>3</v>
      </c>
      <c r="T411" t="s">
        <v>53</v>
      </c>
      <c r="U411">
        <v>4556</v>
      </c>
      <c r="V411" t="str" cm="1">
        <f t="array" ref="V41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11">
        <v>12932</v>
      </c>
      <c r="X411">
        <v>2</v>
      </c>
      <c r="Y411" t="s">
        <v>43</v>
      </c>
      <c r="Z411" t="s">
        <v>44</v>
      </c>
      <c r="AA411">
        <v>11</v>
      </c>
      <c r="AB411">
        <v>3</v>
      </c>
      <c r="AC411">
        <v>2</v>
      </c>
      <c r="AD411">
        <v>80</v>
      </c>
      <c r="AE411">
        <v>1</v>
      </c>
      <c r="AF411">
        <v>19</v>
      </c>
      <c r="AG411">
        <v>3</v>
      </c>
      <c r="AH411">
        <v>3</v>
      </c>
      <c r="AI411">
        <v>5</v>
      </c>
      <c r="AJ411">
        <v>4</v>
      </c>
      <c r="AK411">
        <v>0</v>
      </c>
      <c r="AL411" t="str" cm="1">
        <f t="array" ref="AL41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11">
        <v>2</v>
      </c>
    </row>
    <row r="412" spans="1:39" x14ac:dyDescent="0.25">
      <c r="A412">
        <v>30</v>
      </c>
      <c r="B412" t="s">
        <v>44</v>
      </c>
      <c r="C412" t="s">
        <v>37</v>
      </c>
      <c r="D412">
        <v>317</v>
      </c>
      <c r="E412" t="s">
        <v>46</v>
      </c>
      <c r="G412">
        <v>2</v>
      </c>
      <c r="H412">
        <v>3</v>
      </c>
      <c r="I412" t="s">
        <v>39</v>
      </c>
      <c r="J412" t="str">
        <f>WA_Fn_UseC__HR_Employee_Attrition[[#This Row],[EducationField]]&amp;"-"&amp;WA_Fn_UseC__HR_Employee_Attrition[[#This Row],[Department]]</f>
        <v>Life Sciences-Research &amp; Development</v>
      </c>
      <c r="K412">
        <v>1</v>
      </c>
      <c r="L412">
        <v>548</v>
      </c>
      <c r="M412">
        <v>3</v>
      </c>
      <c r="N412" t="s">
        <v>40</v>
      </c>
      <c r="O412">
        <v>43</v>
      </c>
      <c r="P412">
        <v>1</v>
      </c>
      <c r="Q412">
        <v>2</v>
      </c>
      <c r="R412" t="s">
        <v>54</v>
      </c>
      <c r="S412">
        <v>4</v>
      </c>
      <c r="T412" t="s">
        <v>42</v>
      </c>
      <c r="U412">
        <v>6091</v>
      </c>
      <c r="V412" t="str" cm="1">
        <f t="array" ref="V41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12">
        <v>24793</v>
      </c>
      <c r="X412">
        <v>2</v>
      </c>
      <c r="Y412" t="s">
        <v>43</v>
      </c>
      <c r="Z412" t="s">
        <v>44</v>
      </c>
      <c r="AA412">
        <v>20</v>
      </c>
      <c r="AB412">
        <v>4</v>
      </c>
      <c r="AC412">
        <v>3</v>
      </c>
      <c r="AD412">
        <v>80</v>
      </c>
      <c r="AE412">
        <v>0</v>
      </c>
      <c r="AF412">
        <v>11</v>
      </c>
      <c r="AG412">
        <v>2</v>
      </c>
      <c r="AH412">
        <v>3</v>
      </c>
      <c r="AI412">
        <v>5</v>
      </c>
      <c r="AJ412">
        <v>4</v>
      </c>
      <c r="AK412">
        <v>0</v>
      </c>
      <c r="AL412" t="str" cm="1">
        <f t="array" ref="AL41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12">
        <v>2</v>
      </c>
    </row>
    <row r="413" spans="1:39" x14ac:dyDescent="0.25">
      <c r="A413">
        <v>60</v>
      </c>
      <c r="B413" t="s">
        <v>44</v>
      </c>
      <c r="C413" t="s">
        <v>37</v>
      </c>
      <c r="D413">
        <v>422</v>
      </c>
      <c r="E413" t="s">
        <v>46</v>
      </c>
      <c r="G413">
        <v>7</v>
      </c>
      <c r="H413">
        <v>3</v>
      </c>
      <c r="I413" t="s">
        <v>39</v>
      </c>
      <c r="J413" t="str">
        <f>WA_Fn_UseC__HR_Employee_Attrition[[#This Row],[EducationField]]&amp;"-"&amp;WA_Fn_UseC__HR_Employee_Attrition[[#This Row],[Department]]</f>
        <v>Life Sciences-Research &amp; Development</v>
      </c>
      <c r="K413">
        <v>1</v>
      </c>
      <c r="L413">
        <v>549</v>
      </c>
      <c r="M413">
        <v>1</v>
      </c>
      <c r="N413" t="s">
        <v>40</v>
      </c>
      <c r="O413">
        <v>41</v>
      </c>
      <c r="P413">
        <v>3</v>
      </c>
      <c r="Q413">
        <v>5</v>
      </c>
      <c r="R413" t="s">
        <v>57</v>
      </c>
      <c r="S413">
        <v>1</v>
      </c>
      <c r="T413" t="s">
        <v>49</v>
      </c>
      <c r="U413">
        <v>19566</v>
      </c>
      <c r="V413" t="str" cm="1">
        <f t="array" ref="V41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13">
        <v>3854</v>
      </c>
      <c r="X413">
        <v>5</v>
      </c>
      <c r="Y413" t="s">
        <v>43</v>
      </c>
      <c r="Z413" t="s">
        <v>44</v>
      </c>
      <c r="AA413">
        <v>11</v>
      </c>
      <c r="AB413">
        <v>3</v>
      </c>
      <c r="AC413">
        <v>4</v>
      </c>
      <c r="AD413">
        <v>80</v>
      </c>
      <c r="AE413">
        <v>0</v>
      </c>
      <c r="AF413">
        <v>33</v>
      </c>
      <c r="AG413">
        <v>5</v>
      </c>
      <c r="AH413">
        <v>1</v>
      </c>
      <c r="AI413">
        <v>29</v>
      </c>
      <c r="AJ413">
        <v>8</v>
      </c>
      <c r="AK413">
        <v>11</v>
      </c>
      <c r="AL413" t="str" cm="1">
        <f t="array" ref="AL41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13">
        <v>10</v>
      </c>
    </row>
    <row r="414" spans="1:39" x14ac:dyDescent="0.25">
      <c r="A414">
        <v>46</v>
      </c>
      <c r="B414" t="s">
        <v>44</v>
      </c>
      <c r="C414" t="s">
        <v>37</v>
      </c>
      <c r="D414">
        <v>1485</v>
      </c>
      <c r="E414" t="s">
        <v>46</v>
      </c>
      <c r="G414">
        <v>18</v>
      </c>
      <c r="H414">
        <v>3</v>
      </c>
      <c r="I414" t="s">
        <v>52</v>
      </c>
      <c r="J414" t="str">
        <f>WA_Fn_UseC__HR_Employee_Attrition[[#This Row],[EducationField]]&amp;"-"&amp;WA_Fn_UseC__HR_Employee_Attrition[[#This Row],[Department]]</f>
        <v>Medical-Research &amp; Development</v>
      </c>
      <c r="K414">
        <v>1</v>
      </c>
      <c r="L414">
        <v>550</v>
      </c>
      <c r="M414">
        <v>3</v>
      </c>
      <c r="N414" t="s">
        <v>40</v>
      </c>
      <c r="O414">
        <v>87</v>
      </c>
      <c r="P414">
        <v>3</v>
      </c>
      <c r="Q414">
        <v>2</v>
      </c>
      <c r="R414" t="s">
        <v>54</v>
      </c>
      <c r="S414">
        <v>3</v>
      </c>
      <c r="T414" t="s">
        <v>53</v>
      </c>
      <c r="U414">
        <v>4810</v>
      </c>
      <c r="V414" t="str" cm="1">
        <f t="array" ref="V41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14">
        <v>26314</v>
      </c>
      <c r="X414">
        <v>2</v>
      </c>
      <c r="Y414" t="s">
        <v>43</v>
      </c>
      <c r="Z414" t="s">
        <v>44</v>
      </c>
      <c r="AA414">
        <v>14</v>
      </c>
      <c r="AB414">
        <v>3</v>
      </c>
      <c r="AC414">
        <v>3</v>
      </c>
      <c r="AD414">
        <v>80</v>
      </c>
      <c r="AE414">
        <v>1</v>
      </c>
      <c r="AF414">
        <v>19</v>
      </c>
      <c r="AG414">
        <v>5</v>
      </c>
      <c r="AH414">
        <v>2</v>
      </c>
      <c r="AI414">
        <v>10</v>
      </c>
      <c r="AJ414">
        <v>7</v>
      </c>
      <c r="AK414">
        <v>0</v>
      </c>
      <c r="AL414" t="str" cm="1">
        <f t="array" ref="AL41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14">
        <v>8</v>
      </c>
    </row>
    <row r="415" spans="1:39" x14ac:dyDescent="0.25">
      <c r="A415">
        <v>42</v>
      </c>
      <c r="B415" t="s">
        <v>44</v>
      </c>
      <c r="C415" t="s">
        <v>45</v>
      </c>
      <c r="D415">
        <v>1368</v>
      </c>
      <c r="E415" t="s">
        <v>46</v>
      </c>
      <c r="G415">
        <v>28</v>
      </c>
      <c r="H415">
        <v>4</v>
      </c>
      <c r="I415" t="s">
        <v>61</v>
      </c>
      <c r="J415" t="str">
        <f>WA_Fn_UseC__HR_Employee_Attrition[[#This Row],[EducationField]]&amp;"-"&amp;WA_Fn_UseC__HR_Employee_Attrition[[#This Row],[Department]]</f>
        <v>Technical Degree-Research &amp; Development</v>
      </c>
      <c r="K415">
        <v>1</v>
      </c>
      <c r="L415">
        <v>551</v>
      </c>
      <c r="M415">
        <v>4</v>
      </c>
      <c r="N415" t="s">
        <v>40</v>
      </c>
      <c r="O415">
        <v>88</v>
      </c>
      <c r="P415">
        <v>2</v>
      </c>
      <c r="Q415">
        <v>2</v>
      </c>
      <c r="R415" t="s">
        <v>55</v>
      </c>
      <c r="S415">
        <v>4</v>
      </c>
      <c r="T415" t="s">
        <v>49</v>
      </c>
      <c r="U415">
        <v>4523</v>
      </c>
      <c r="V415" t="str" cm="1">
        <f t="array" ref="V41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15">
        <v>4386</v>
      </c>
      <c r="X415">
        <v>0</v>
      </c>
      <c r="Y415" t="s">
        <v>43</v>
      </c>
      <c r="Z415" t="s">
        <v>44</v>
      </c>
      <c r="AA415">
        <v>11</v>
      </c>
      <c r="AB415">
        <v>3</v>
      </c>
      <c r="AC415">
        <v>4</v>
      </c>
      <c r="AD415">
        <v>80</v>
      </c>
      <c r="AE415">
        <v>3</v>
      </c>
      <c r="AF415">
        <v>7</v>
      </c>
      <c r="AG415">
        <v>4</v>
      </c>
      <c r="AH415">
        <v>4</v>
      </c>
      <c r="AI415">
        <v>6</v>
      </c>
      <c r="AJ415">
        <v>5</v>
      </c>
      <c r="AK415">
        <v>0</v>
      </c>
      <c r="AL415" t="str" cm="1">
        <f t="array" ref="AL41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15">
        <v>4</v>
      </c>
    </row>
    <row r="416" spans="1:39" x14ac:dyDescent="0.25">
      <c r="A416">
        <v>24</v>
      </c>
      <c r="B416" t="s">
        <v>36</v>
      </c>
      <c r="C416" t="s">
        <v>37</v>
      </c>
      <c r="D416">
        <v>1448</v>
      </c>
      <c r="E416" t="s">
        <v>38</v>
      </c>
      <c r="G416">
        <v>1</v>
      </c>
      <c r="H416">
        <v>1</v>
      </c>
      <c r="I416" t="s">
        <v>61</v>
      </c>
      <c r="J416" t="str">
        <f>WA_Fn_UseC__HR_Employee_Attrition[[#This Row],[EducationField]]&amp;"-"&amp;WA_Fn_UseC__HR_Employee_Attrition[[#This Row],[Department]]</f>
        <v>Technical Degree-Sales</v>
      </c>
      <c r="K416">
        <v>1</v>
      </c>
      <c r="L416">
        <v>554</v>
      </c>
      <c r="M416">
        <v>1</v>
      </c>
      <c r="N416" t="s">
        <v>40</v>
      </c>
      <c r="O416">
        <v>62</v>
      </c>
      <c r="P416">
        <v>3</v>
      </c>
      <c r="Q416">
        <v>1</v>
      </c>
      <c r="R416" t="s">
        <v>58</v>
      </c>
      <c r="S416">
        <v>2</v>
      </c>
      <c r="T416" t="s">
        <v>42</v>
      </c>
      <c r="U416">
        <v>3202</v>
      </c>
      <c r="V416" t="str" cm="1">
        <f t="array" ref="V41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16">
        <v>21972</v>
      </c>
      <c r="X416">
        <v>1</v>
      </c>
      <c r="Y416" t="s">
        <v>43</v>
      </c>
      <c r="Z416" t="s">
        <v>36</v>
      </c>
      <c r="AA416">
        <v>16</v>
      </c>
      <c r="AB416">
        <v>3</v>
      </c>
      <c r="AC416">
        <v>2</v>
      </c>
      <c r="AD416">
        <v>80</v>
      </c>
      <c r="AE416">
        <v>0</v>
      </c>
      <c r="AF416">
        <v>6</v>
      </c>
      <c r="AG416">
        <v>4</v>
      </c>
      <c r="AH416">
        <v>3</v>
      </c>
      <c r="AI416">
        <v>5</v>
      </c>
      <c r="AJ416">
        <v>3</v>
      </c>
      <c r="AK416">
        <v>1</v>
      </c>
      <c r="AL416" t="str" cm="1">
        <f t="array" ref="AL41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16">
        <v>4</v>
      </c>
    </row>
    <row r="417" spans="1:39" x14ac:dyDescent="0.25">
      <c r="A417">
        <v>34</v>
      </c>
      <c r="B417" t="s">
        <v>36</v>
      </c>
      <c r="C417" t="s">
        <v>45</v>
      </c>
      <c r="D417">
        <v>296</v>
      </c>
      <c r="E417" t="s">
        <v>38</v>
      </c>
      <c r="G417">
        <v>6</v>
      </c>
      <c r="H417">
        <v>2</v>
      </c>
      <c r="I417" t="s">
        <v>60</v>
      </c>
      <c r="J417" t="str">
        <f>WA_Fn_UseC__HR_Employee_Attrition[[#This Row],[EducationField]]&amp;"-"&amp;WA_Fn_UseC__HR_Employee_Attrition[[#This Row],[Department]]</f>
        <v>Marketing-Sales</v>
      </c>
      <c r="K417">
        <v>1</v>
      </c>
      <c r="L417">
        <v>555</v>
      </c>
      <c r="M417">
        <v>4</v>
      </c>
      <c r="N417" t="s">
        <v>40</v>
      </c>
      <c r="O417">
        <v>33</v>
      </c>
      <c r="P417">
        <v>1</v>
      </c>
      <c r="Q417">
        <v>1</v>
      </c>
      <c r="R417" t="s">
        <v>58</v>
      </c>
      <c r="S417">
        <v>3</v>
      </c>
      <c r="T417" t="s">
        <v>53</v>
      </c>
      <c r="U417">
        <v>2351</v>
      </c>
      <c r="V417" t="str" cm="1">
        <f t="array" ref="V41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17">
        <v>12253</v>
      </c>
      <c r="X417">
        <v>0</v>
      </c>
      <c r="Y417" t="s">
        <v>43</v>
      </c>
      <c r="Z417" t="s">
        <v>44</v>
      </c>
      <c r="AA417">
        <v>16</v>
      </c>
      <c r="AB417">
        <v>3</v>
      </c>
      <c r="AC417">
        <v>4</v>
      </c>
      <c r="AD417">
        <v>80</v>
      </c>
      <c r="AE417">
        <v>1</v>
      </c>
      <c r="AF417">
        <v>3</v>
      </c>
      <c r="AG417">
        <v>3</v>
      </c>
      <c r="AH417">
        <v>2</v>
      </c>
      <c r="AI417">
        <v>2</v>
      </c>
      <c r="AJ417">
        <v>2</v>
      </c>
      <c r="AK417">
        <v>1</v>
      </c>
      <c r="AL417" t="str" cm="1">
        <f t="array" ref="AL41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17">
        <v>0</v>
      </c>
    </row>
    <row r="418" spans="1:39" x14ac:dyDescent="0.25">
      <c r="A418">
        <v>38</v>
      </c>
      <c r="B418" t="s">
        <v>44</v>
      </c>
      <c r="C418" t="s">
        <v>45</v>
      </c>
      <c r="D418">
        <v>1490</v>
      </c>
      <c r="E418" t="s">
        <v>46</v>
      </c>
      <c r="G418">
        <v>2</v>
      </c>
      <c r="H418">
        <v>2</v>
      </c>
      <c r="I418" t="s">
        <v>39</v>
      </c>
      <c r="J418" t="str">
        <f>WA_Fn_UseC__HR_Employee_Attrition[[#This Row],[EducationField]]&amp;"-"&amp;WA_Fn_UseC__HR_Employee_Attrition[[#This Row],[Department]]</f>
        <v>Life Sciences-Research &amp; Development</v>
      </c>
      <c r="K418">
        <v>1</v>
      </c>
      <c r="L418">
        <v>556</v>
      </c>
      <c r="M418">
        <v>4</v>
      </c>
      <c r="N418" t="s">
        <v>47</v>
      </c>
      <c r="O418">
        <v>42</v>
      </c>
      <c r="P418">
        <v>3</v>
      </c>
      <c r="Q418">
        <v>1</v>
      </c>
      <c r="R418" t="s">
        <v>51</v>
      </c>
      <c r="S418">
        <v>4</v>
      </c>
      <c r="T418" t="s">
        <v>49</v>
      </c>
      <c r="U418">
        <v>1702</v>
      </c>
      <c r="V418" t="str" cm="1">
        <f t="array" ref="V41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18">
        <v>12106</v>
      </c>
      <c r="X418">
        <v>1</v>
      </c>
      <c r="Y418" t="s">
        <v>43</v>
      </c>
      <c r="Z418" t="s">
        <v>36</v>
      </c>
      <c r="AA418">
        <v>23</v>
      </c>
      <c r="AB418">
        <v>4</v>
      </c>
      <c r="AC418">
        <v>3</v>
      </c>
      <c r="AD418">
        <v>80</v>
      </c>
      <c r="AE418">
        <v>1</v>
      </c>
      <c r="AF418">
        <v>1</v>
      </c>
      <c r="AG418">
        <v>3</v>
      </c>
      <c r="AH418">
        <v>3</v>
      </c>
      <c r="AI418">
        <v>1</v>
      </c>
      <c r="AJ418">
        <v>0</v>
      </c>
      <c r="AK418">
        <v>0</v>
      </c>
      <c r="AL418" t="str" cm="1">
        <f t="array" ref="AL41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18">
        <v>0</v>
      </c>
    </row>
    <row r="419" spans="1:39" x14ac:dyDescent="0.25">
      <c r="A419">
        <v>40</v>
      </c>
      <c r="B419" t="s">
        <v>44</v>
      </c>
      <c r="C419" t="s">
        <v>37</v>
      </c>
      <c r="D419">
        <v>1398</v>
      </c>
      <c r="E419" t="s">
        <v>38</v>
      </c>
      <c r="G419">
        <v>2</v>
      </c>
      <c r="H419">
        <v>4</v>
      </c>
      <c r="I419" t="s">
        <v>39</v>
      </c>
      <c r="J419" t="str">
        <f>WA_Fn_UseC__HR_Employee_Attrition[[#This Row],[EducationField]]&amp;"-"&amp;WA_Fn_UseC__HR_Employee_Attrition[[#This Row],[Department]]</f>
        <v>Life Sciences-Sales</v>
      </c>
      <c r="K419">
        <v>1</v>
      </c>
      <c r="L419">
        <v>558</v>
      </c>
      <c r="M419">
        <v>3</v>
      </c>
      <c r="N419" t="s">
        <v>40</v>
      </c>
      <c r="O419">
        <v>79</v>
      </c>
      <c r="P419">
        <v>3</v>
      </c>
      <c r="Q419">
        <v>5</v>
      </c>
      <c r="R419" t="s">
        <v>57</v>
      </c>
      <c r="S419">
        <v>3</v>
      </c>
      <c r="T419" t="s">
        <v>49</v>
      </c>
      <c r="U419">
        <v>18041</v>
      </c>
      <c r="V419" t="str" cm="1">
        <f t="array" ref="V41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19">
        <v>13022</v>
      </c>
      <c r="X419">
        <v>0</v>
      </c>
      <c r="Y419" t="s">
        <v>43</v>
      </c>
      <c r="Z419" t="s">
        <v>44</v>
      </c>
      <c r="AA419">
        <v>14</v>
      </c>
      <c r="AB419">
        <v>3</v>
      </c>
      <c r="AC419">
        <v>4</v>
      </c>
      <c r="AD419">
        <v>80</v>
      </c>
      <c r="AE419">
        <v>0</v>
      </c>
      <c r="AF419">
        <v>21</v>
      </c>
      <c r="AG419">
        <v>2</v>
      </c>
      <c r="AH419">
        <v>3</v>
      </c>
      <c r="AI419">
        <v>20</v>
      </c>
      <c r="AJ419">
        <v>15</v>
      </c>
      <c r="AK419">
        <v>1</v>
      </c>
      <c r="AL419" t="str" cm="1">
        <f t="array" ref="AL41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19">
        <v>12</v>
      </c>
    </row>
    <row r="420" spans="1:39" x14ac:dyDescent="0.25">
      <c r="A420">
        <v>26</v>
      </c>
      <c r="B420" t="s">
        <v>44</v>
      </c>
      <c r="C420" t="s">
        <v>37</v>
      </c>
      <c r="D420">
        <v>1349</v>
      </c>
      <c r="E420" t="s">
        <v>46</v>
      </c>
      <c r="G420">
        <v>23</v>
      </c>
      <c r="H420">
        <v>3</v>
      </c>
      <c r="I420" t="s">
        <v>39</v>
      </c>
      <c r="J420" t="str">
        <f>WA_Fn_UseC__HR_Employee_Attrition[[#This Row],[EducationField]]&amp;"-"&amp;WA_Fn_UseC__HR_Employee_Attrition[[#This Row],[Department]]</f>
        <v>Life Sciences-Research &amp; Development</v>
      </c>
      <c r="K420">
        <v>1</v>
      </c>
      <c r="L420">
        <v>560</v>
      </c>
      <c r="M420">
        <v>1</v>
      </c>
      <c r="N420" t="s">
        <v>40</v>
      </c>
      <c r="O420">
        <v>90</v>
      </c>
      <c r="P420">
        <v>3</v>
      </c>
      <c r="Q420">
        <v>1</v>
      </c>
      <c r="R420" t="s">
        <v>48</v>
      </c>
      <c r="S420">
        <v>4</v>
      </c>
      <c r="T420" t="s">
        <v>53</v>
      </c>
      <c r="U420">
        <v>2886</v>
      </c>
      <c r="V420" t="str" cm="1">
        <f t="array" ref="V42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20">
        <v>3032</v>
      </c>
      <c r="X420">
        <v>1</v>
      </c>
      <c r="Y420" t="s">
        <v>43</v>
      </c>
      <c r="Z420" t="s">
        <v>44</v>
      </c>
      <c r="AA420">
        <v>22</v>
      </c>
      <c r="AB420">
        <v>4</v>
      </c>
      <c r="AC420">
        <v>2</v>
      </c>
      <c r="AD420">
        <v>80</v>
      </c>
      <c r="AE420">
        <v>2</v>
      </c>
      <c r="AF420">
        <v>3</v>
      </c>
      <c r="AG420">
        <v>3</v>
      </c>
      <c r="AH420">
        <v>1</v>
      </c>
      <c r="AI420">
        <v>3</v>
      </c>
      <c r="AJ420">
        <v>2</v>
      </c>
      <c r="AK420">
        <v>0</v>
      </c>
      <c r="AL420" t="str" cm="1">
        <f t="array" ref="AL42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20">
        <v>2</v>
      </c>
    </row>
    <row r="421" spans="1:39" x14ac:dyDescent="0.25">
      <c r="A421">
        <v>30</v>
      </c>
      <c r="B421" t="s">
        <v>44</v>
      </c>
      <c r="C421" t="s">
        <v>56</v>
      </c>
      <c r="D421">
        <v>1400</v>
      </c>
      <c r="E421" t="s">
        <v>46</v>
      </c>
      <c r="G421">
        <v>3</v>
      </c>
      <c r="H421">
        <v>3</v>
      </c>
      <c r="I421" t="s">
        <v>39</v>
      </c>
      <c r="J421" t="str">
        <f>WA_Fn_UseC__HR_Employee_Attrition[[#This Row],[EducationField]]&amp;"-"&amp;WA_Fn_UseC__HR_Employee_Attrition[[#This Row],[Department]]</f>
        <v>Life Sciences-Research &amp; Development</v>
      </c>
      <c r="K421">
        <v>1</v>
      </c>
      <c r="L421">
        <v>562</v>
      </c>
      <c r="M421">
        <v>3</v>
      </c>
      <c r="N421" t="s">
        <v>47</v>
      </c>
      <c r="O421">
        <v>53</v>
      </c>
      <c r="P421">
        <v>3</v>
      </c>
      <c r="Q421">
        <v>1</v>
      </c>
      <c r="R421" t="s">
        <v>51</v>
      </c>
      <c r="S421">
        <v>4</v>
      </c>
      <c r="T421" t="s">
        <v>49</v>
      </c>
      <c r="U421">
        <v>2097</v>
      </c>
      <c r="V421" t="str" cm="1">
        <f t="array" ref="V42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21">
        <v>16734</v>
      </c>
      <c r="X421">
        <v>4</v>
      </c>
      <c r="Y421" t="s">
        <v>43</v>
      </c>
      <c r="Z421" t="s">
        <v>44</v>
      </c>
      <c r="AA421">
        <v>15</v>
      </c>
      <c r="AB421">
        <v>3</v>
      </c>
      <c r="AC421">
        <v>3</v>
      </c>
      <c r="AD421">
        <v>80</v>
      </c>
      <c r="AE421">
        <v>1</v>
      </c>
      <c r="AF421">
        <v>9</v>
      </c>
      <c r="AG421">
        <v>3</v>
      </c>
      <c r="AH421">
        <v>1</v>
      </c>
      <c r="AI421">
        <v>5</v>
      </c>
      <c r="AJ421">
        <v>3</v>
      </c>
      <c r="AK421">
        <v>1</v>
      </c>
      <c r="AL421" t="str" cm="1">
        <f t="array" ref="AL42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21">
        <v>4</v>
      </c>
    </row>
    <row r="422" spans="1:39" x14ac:dyDescent="0.25">
      <c r="A422">
        <v>29</v>
      </c>
      <c r="B422" t="s">
        <v>44</v>
      </c>
      <c r="C422" t="s">
        <v>37</v>
      </c>
      <c r="D422">
        <v>986</v>
      </c>
      <c r="E422" t="s">
        <v>46</v>
      </c>
      <c r="G422">
        <v>3</v>
      </c>
      <c r="H422">
        <v>4</v>
      </c>
      <c r="I422" t="s">
        <v>52</v>
      </c>
      <c r="J422" t="str">
        <f>WA_Fn_UseC__HR_Employee_Attrition[[#This Row],[EducationField]]&amp;"-"&amp;WA_Fn_UseC__HR_Employee_Attrition[[#This Row],[Department]]</f>
        <v>Medical-Research &amp; Development</v>
      </c>
      <c r="K422">
        <v>1</v>
      </c>
      <c r="L422">
        <v>564</v>
      </c>
      <c r="M422">
        <v>2</v>
      </c>
      <c r="N422" t="s">
        <v>47</v>
      </c>
      <c r="O422">
        <v>93</v>
      </c>
      <c r="P422">
        <v>2</v>
      </c>
      <c r="Q422">
        <v>3</v>
      </c>
      <c r="R422" t="s">
        <v>59</v>
      </c>
      <c r="S422">
        <v>3</v>
      </c>
      <c r="T422" t="s">
        <v>49</v>
      </c>
      <c r="U422">
        <v>11935</v>
      </c>
      <c r="V422" t="str" cm="1">
        <f t="array" ref="V42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22">
        <v>21526</v>
      </c>
      <c r="X422">
        <v>1</v>
      </c>
      <c r="Y422" t="s">
        <v>43</v>
      </c>
      <c r="Z422" t="s">
        <v>44</v>
      </c>
      <c r="AA422">
        <v>18</v>
      </c>
      <c r="AB422">
        <v>3</v>
      </c>
      <c r="AC422">
        <v>3</v>
      </c>
      <c r="AD422">
        <v>80</v>
      </c>
      <c r="AE422">
        <v>0</v>
      </c>
      <c r="AF422">
        <v>10</v>
      </c>
      <c r="AG422">
        <v>2</v>
      </c>
      <c r="AH422">
        <v>3</v>
      </c>
      <c r="AI422">
        <v>10</v>
      </c>
      <c r="AJ422">
        <v>2</v>
      </c>
      <c r="AK422">
        <v>0</v>
      </c>
      <c r="AL422" t="str" cm="1">
        <f t="array" ref="AL42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22">
        <v>7</v>
      </c>
    </row>
    <row r="423" spans="1:39" x14ac:dyDescent="0.25">
      <c r="A423">
        <v>29</v>
      </c>
      <c r="B423" t="s">
        <v>36</v>
      </c>
      <c r="C423" t="s">
        <v>37</v>
      </c>
      <c r="D423">
        <v>408</v>
      </c>
      <c r="E423" t="s">
        <v>46</v>
      </c>
      <c r="G423">
        <v>25</v>
      </c>
      <c r="H423">
        <v>5</v>
      </c>
      <c r="I423" t="s">
        <v>61</v>
      </c>
      <c r="J423" t="str">
        <f>WA_Fn_UseC__HR_Employee_Attrition[[#This Row],[EducationField]]&amp;"-"&amp;WA_Fn_UseC__HR_Employee_Attrition[[#This Row],[Department]]</f>
        <v>Technical Degree-Research &amp; Development</v>
      </c>
      <c r="K423">
        <v>1</v>
      </c>
      <c r="L423">
        <v>565</v>
      </c>
      <c r="M423">
        <v>3</v>
      </c>
      <c r="N423" t="s">
        <v>40</v>
      </c>
      <c r="O423">
        <v>71</v>
      </c>
      <c r="P423">
        <v>2</v>
      </c>
      <c r="Q423">
        <v>1</v>
      </c>
      <c r="R423" t="s">
        <v>48</v>
      </c>
      <c r="S423">
        <v>2</v>
      </c>
      <c r="T423" t="s">
        <v>49</v>
      </c>
      <c r="U423">
        <v>2546</v>
      </c>
      <c r="V423" t="str" cm="1">
        <f t="array" ref="V42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23">
        <v>18300</v>
      </c>
      <c r="X423">
        <v>5</v>
      </c>
      <c r="Y423" t="s">
        <v>43</v>
      </c>
      <c r="Z423" t="s">
        <v>44</v>
      </c>
      <c r="AA423">
        <v>16</v>
      </c>
      <c r="AB423">
        <v>3</v>
      </c>
      <c r="AC423">
        <v>2</v>
      </c>
      <c r="AD423">
        <v>80</v>
      </c>
      <c r="AE423">
        <v>0</v>
      </c>
      <c r="AF423">
        <v>6</v>
      </c>
      <c r="AG423">
        <v>2</v>
      </c>
      <c r="AH423">
        <v>4</v>
      </c>
      <c r="AI423">
        <v>2</v>
      </c>
      <c r="AJ423">
        <v>2</v>
      </c>
      <c r="AK423">
        <v>1</v>
      </c>
      <c r="AL423" t="str" cm="1">
        <f t="array" ref="AL42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23">
        <v>1</v>
      </c>
    </row>
    <row r="424" spans="1:39" x14ac:dyDescent="0.25">
      <c r="A424">
        <v>19</v>
      </c>
      <c r="B424" t="s">
        <v>36</v>
      </c>
      <c r="C424" t="s">
        <v>37</v>
      </c>
      <c r="D424">
        <v>489</v>
      </c>
      <c r="E424" t="s">
        <v>62</v>
      </c>
      <c r="G424">
        <v>2</v>
      </c>
      <c r="H424">
        <v>2</v>
      </c>
      <c r="I424" t="s">
        <v>61</v>
      </c>
      <c r="J424" t="str">
        <f>WA_Fn_UseC__HR_Employee_Attrition[[#This Row],[EducationField]]&amp;"-"&amp;WA_Fn_UseC__HR_Employee_Attrition[[#This Row],[Department]]</f>
        <v>Technical Degree-Human Resources</v>
      </c>
      <c r="K424">
        <v>1</v>
      </c>
      <c r="L424">
        <v>566</v>
      </c>
      <c r="M424">
        <v>1</v>
      </c>
      <c r="N424" t="s">
        <v>47</v>
      </c>
      <c r="O424">
        <v>52</v>
      </c>
      <c r="P424">
        <v>2</v>
      </c>
      <c r="Q424">
        <v>1</v>
      </c>
      <c r="R424" t="s">
        <v>62</v>
      </c>
      <c r="S424">
        <v>4</v>
      </c>
      <c r="T424" t="s">
        <v>42</v>
      </c>
      <c r="U424">
        <v>2564</v>
      </c>
      <c r="V424" t="str" cm="1">
        <f t="array" ref="V42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24">
        <v>18437</v>
      </c>
      <c r="X424">
        <v>1</v>
      </c>
      <c r="Y424" t="s">
        <v>43</v>
      </c>
      <c r="Z424" t="s">
        <v>44</v>
      </c>
      <c r="AA424">
        <v>12</v>
      </c>
      <c r="AB424">
        <v>3</v>
      </c>
      <c r="AC424">
        <v>3</v>
      </c>
      <c r="AD424">
        <v>80</v>
      </c>
      <c r="AE424">
        <v>0</v>
      </c>
      <c r="AF424">
        <v>1</v>
      </c>
      <c r="AG424">
        <v>3</v>
      </c>
      <c r="AH424">
        <v>4</v>
      </c>
      <c r="AI424">
        <v>1</v>
      </c>
      <c r="AJ424">
        <v>0</v>
      </c>
      <c r="AK424">
        <v>0</v>
      </c>
      <c r="AL424" t="str" cm="1">
        <f t="array" ref="AL42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24">
        <v>0</v>
      </c>
    </row>
    <row r="425" spans="1:39" x14ac:dyDescent="0.25">
      <c r="A425">
        <v>30</v>
      </c>
      <c r="B425" t="s">
        <v>44</v>
      </c>
      <c r="C425" t="s">
        <v>56</v>
      </c>
      <c r="D425">
        <v>1398</v>
      </c>
      <c r="E425" t="s">
        <v>38</v>
      </c>
      <c r="G425">
        <v>22</v>
      </c>
      <c r="H425">
        <v>4</v>
      </c>
      <c r="I425" t="s">
        <v>50</v>
      </c>
      <c r="J425" t="str">
        <f>WA_Fn_UseC__HR_Employee_Attrition[[#This Row],[EducationField]]&amp;"-"&amp;WA_Fn_UseC__HR_Employee_Attrition[[#This Row],[Department]]</f>
        <v>Other-Sales</v>
      </c>
      <c r="K425">
        <v>1</v>
      </c>
      <c r="L425">
        <v>567</v>
      </c>
      <c r="M425">
        <v>3</v>
      </c>
      <c r="N425" t="s">
        <v>40</v>
      </c>
      <c r="O425">
        <v>69</v>
      </c>
      <c r="P425">
        <v>3</v>
      </c>
      <c r="Q425">
        <v>3</v>
      </c>
      <c r="R425" t="s">
        <v>41</v>
      </c>
      <c r="S425">
        <v>1</v>
      </c>
      <c r="T425" t="s">
        <v>49</v>
      </c>
      <c r="U425">
        <v>8412</v>
      </c>
      <c r="V425" t="str" cm="1">
        <f t="array" ref="V42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25">
        <v>2890</v>
      </c>
      <c r="X425">
        <v>0</v>
      </c>
      <c r="Y425" t="s">
        <v>43</v>
      </c>
      <c r="Z425" t="s">
        <v>44</v>
      </c>
      <c r="AA425">
        <v>11</v>
      </c>
      <c r="AB425">
        <v>3</v>
      </c>
      <c r="AC425">
        <v>3</v>
      </c>
      <c r="AD425">
        <v>80</v>
      </c>
      <c r="AE425">
        <v>0</v>
      </c>
      <c r="AF425">
        <v>10</v>
      </c>
      <c r="AG425">
        <v>3</v>
      </c>
      <c r="AH425">
        <v>3</v>
      </c>
      <c r="AI425">
        <v>9</v>
      </c>
      <c r="AJ425">
        <v>8</v>
      </c>
      <c r="AK425">
        <v>7</v>
      </c>
      <c r="AL425" t="str" cm="1">
        <f t="array" ref="AL42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25">
        <v>8</v>
      </c>
    </row>
    <row r="426" spans="1:39" x14ac:dyDescent="0.25">
      <c r="A426">
        <v>57</v>
      </c>
      <c r="B426" t="s">
        <v>44</v>
      </c>
      <c r="C426" t="s">
        <v>37</v>
      </c>
      <c r="D426">
        <v>210</v>
      </c>
      <c r="E426" t="s">
        <v>38</v>
      </c>
      <c r="G426">
        <v>29</v>
      </c>
      <c r="H426">
        <v>3</v>
      </c>
      <c r="I426" t="s">
        <v>60</v>
      </c>
      <c r="J426" t="str">
        <f>WA_Fn_UseC__HR_Employee_Attrition[[#This Row],[EducationField]]&amp;"-"&amp;WA_Fn_UseC__HR_Employee_Attrition[[#This Row],[Department]]</f>
        <v>Marketing-Sales</v>
      </c>
      <c r="K426">
        <v>1</v>
      </c>
      <c r="L426">
        <v>568</v>
      </c>
      <c r="M426">
        <v>1</v>
      </c>
      <c r="N426" t="s">
        <v>47</v>
      </c>
      <c r="O426">
        <v>56</v>
      </c>
      <c r="P426">
        <v>2</v>
      </c>
      <c r="Q426">
        <v>4</v>
      </c>
      <c r="R426" t="s">
        <v>57</v>
      </c>
      <c r="S426">
        <v>4</v>
      </c>
      <c r="T426" t="s">
        <v>53</v>
      </c>
      <c r="U426">
        <v>14118</v>
      </c>
      <c r="V426" t="str" cm="1">
        <f t="array" ref="V42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26">
        <v>22102</v>
      </c>
      <c r="X426">
        <v>3</v>
      </c>
      <c r="Y426" t="s">
        <v>43</v>
      </c>
      <c r="Z426" t="s">
        <v>44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32</v>
      </c>
      <c r="AG426">
        <v>3</v>
      </c>
      <c r="AH426">
        <v>2</v>
      </c>
      <c r="AI426">
        <v>1</v>
      </c>
      <c r="AJ426">
        <v>0</v>
      </c>
      <c r="AK426">
        <v>0</v>
      </c>
      <c r="AL426" t="str" cm="1">
        <f t="array" ref="AL42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26">
        <v>0</v>
      </c>
    </row>
    <row r="427" spans="1:39" x14ac:dyDescent="0.25">
      <c r="A427">
        <v>50</v>
      </c>
      <c r="B427" t="s">
        <v>44</v>
      </c>
      <c r="C427" t="s">
        <v>37</v>
      </c>
      <c r="D427">
        <v>1099</v>
      </c>
      <c r="E427" t="s">
        <v>46</v>
      </c>
      <c r="G427">
        <v>29</v>
      </c>
      <c r="H427">
        <v>4</v>
      </c>
      <c r="I427" t="s">
        <v>39</v>
      </c>
      <c r="J427" t="str">
        <f>WA_Fn_UseC__HR_Employee_Attrition[[#This Row],[EducationField]]&amp;"-"&amp;WA_Fn_UseC__HR_Employee_Attrition[[#This Row],[Department]]</f>
        <v>Life Sciences-Research &amp; Development</v>
      </c>
      <c r="K427">
        <v>1</v>
      </c>
      <c r="L427">
        <v>569</v>
      </c>
      <c r="M427">
        <v>2</v>
      </c>
      <c r="N427" t="s">
        <v>47</v>
      </c>
      <c r="O427">
        <v>88</v>
      </c>
      <c r="P427">
        <v>2</v>
      </c>
      <c r="Q427">
        <v>4</v>
      </c>
      <c r="R427" t="s">
        <v>57</v>
      </c>
      <c r="S427">
        <v>3</v>
      </c>
      <c r="T427" t="s">
        <v>49</v>
      </c>
      <c r="U427">
        <v>17046</v>
      </c>
      <c r="V427" t="str" cm="1">
        <f t="array" ref="V42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27">
        <v>9314</v>
      </c>
      <c r="X427">
        <v>0</v>
      </c>
      <c r="Y427" t="s">
        <v>43</v>
      </c>
      <c r="Z427" t="s">
        <v>44</v>
      </c>
      <c r="AA427">
        <v>15</v>
      </c>
      <c r="AB427">
        <v>3</v>
      </c>
      <c r="AC427">
        <v>2</v>
      </c>
      <c r="AD427">
        <v>80</v>
      </c>
      <c r="AE427">
        <v>1</v>
      </c>
      <c r="AF427">
        <v>28</v>
      </c>
      <c r="AG427">
        <v>2</v>
      </c>
      <c r="AH427">
        <v>3</v>
      </c>
      <c r="AI427">
        <v>27</v>
      </c>
      <c r="AJ427">
        <v>10</v>
      </c>
      <c r="AK427">
        <v>15</v>
      </c>
      <c r="AL427" t="str" cm="1">
        <f t="array" ref="AL42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27">
        <v>7</v>
      </c>
    </row>
    <row r="428" spans="1:39" x14ac:dyDescent="0.25">
      <c r="A428">
        <v>30</v>
      </c>
      <c r="B428" t="s">
        <v>44</v>
      </c>
      <c r="C428" t="s">
        <v>56</v>
      </c>
      <c r="D428">
        <v>1116</v>
      </c>
      <c r="E428" t="s">
        <v>46</v>
      </c>
      <c r="G428">
        <v>2</v>
      </c>
      <c r="H428">
        <v>3</v>
      </c>
      <c r="I428" t="s">
        <v>52</v>
      </c>
      <c r="J428" t="str">
        <f>WA_Fn_UseC__HR_Employee_Attrition[[#This Row],[EducationField]]&amp;"-"&amp;WA_Fn_UseC__HR_Employee_Attrition[[#This Row],[Department]]</f>
        <v>Medical-Research &amp; Development</v>
      </c>
      <c r="K428">
        <v>1</v>
      </c>
      <c r="L428">
        <v>571</v>
      </c>
      <c r="M428">
        <v>3</v>
      </c>
      <c r="N428" t="s">
        <v>40</v>
      </c>
      <c r="O428">
        <v>49</v>
      </c>
      <c r="P428">
        <v>3</v>
      </c>
      <c r="Q428">
        <v>1</v>
      </c>
      <c r="R428" t="s">
        <v>51</v>
      </c>
      <c r="S428">
        <v>4</v>
      </c>
      <c r="T428" t="s">
        <v>42</v>
      </c>
      <c r="U428">
        <v>2564</v>
      </c>
      <c r="V428" t="str" cm="1">
        <f t="array" ref="V42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28">
        <v>7181</v>
      </c>
      <c r="X428">
        <v>0</v>
      </c>
      <c r="Y428" t="s">
        <v>43</v>
      </c>
      <c r="Z428" t="s">
        <v>44</v>
      </c>
      <c r="AA428">
        <v>14</v>
      </c>
      <c r="AB428">
        <v>3</v>
      </c>
      <c r="AC428">
        <v>3</v>
      </c>
      <c r="AD428">
        <v>80</v>
      </c>
      <c r="AE428">
        <v>0</v>
      </c>
      <c r="AF428">
        <v>12</v>
      </c>
      <c r="AG428">
        <v>2</v>
      </c>
      <c r="AH428">
        <v>2</v>
      </c>
      <c r="AI428">
        <v>11</v>
      </c>
      <c r="AJ428">
        <v>7</v>
      </c>
      <c r="AK428">
        <v>6</v>
      </c>
      <c r="AL428" t="str" cm="1">
        <f t="array" ref="AL42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28">
        <v>7</v>
      </c>
    </row>
    <row r="429" spans="1:39" x14ac:dyDescent="0.25">
      <c r="A429">
        <v>60</v>
      </c>
      <c r="B429" t="s">
        <v>44</v>
      </c>
      <c r="C429" t="s">
        <v>45</v>
      </c>
      <c r="D429">
        <v>1499</v>
      </c>
      <c r="E429" t="s">
        <v>38</v>
      </c>
      <c r="G429">
        <v>28</v>
      </c>
      <c r="H429">
        <v>3</v>
      </c>
      <c r="I429" t="s">
        <v>60</v>
      </c>
      <c r="J429" t="str">
        <f>WA_Fn_UseC__HR_Employee_Attrition[[#This Row],[EducationField]]&amp;"-"&amp;WA_Fn_UseC__HR_Employee_Attrition[[#This Row],[Department]]</f>
        <v>Marketing-Sales</v>
      </c>
      <c r="K429">
        <v>1</v>
      </c>
      <c r="L429">
        <v>573</v>
      </c>
      <c r="M429">
        <v>3</v>
      </c>
      <c r="N429" t="s">
        <v>40</v>
      </c>
      <c r="O429">
        <v>80</v>
      </c>
      <c r="P429">
        <v>2</v>
      </c>
      <c r="Q429">
        <v>3</v>
      </c>
      <c r="R429" t="s">
        <v>41</v>
      </c>
      <c r="S429">
        <v>1</v>
      </c>
      <c r="T429" t="s">
        <v>49</v>
      </c>
      <c r="U429">
        <v>10266</v>
      </c>
      <c r="V429" t="str" cm="1">
        <f t="array" ref="V42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29">
        <v>2845</v>
      </c>
      <c r="X429">
        <v>4</v>
      </c>
      <c r="Y429" t="s">
        <v>43</v>
      </c>
      <c r="Z429" t="s">
        <v>44</v>
      </c>
      <c r="AA429">
        <v>19</v>
      </c>
      <c r="AB429">
        <v>3</v>
      </c>
      <c r="AC429">
        <v>4</v>
      </c>
      <c r="AD429">
        <v>80</v>
      </c>
      <c r="AE429">
        <v>0</v>
      </c>
      <c r="AF429">
        <v>22</v>
      </c>
      <c r="AG429">
        <v>5</v>
      </c>
      <c r="AH429">
        <v>4</v>
      </c>
      <c r="AI429">
        <v>18</v>
      </c>
      <c r="AJ429">
        <v>13</v>
      </c>
      <c r="AK429">
        <v>13</v>
      </c>
      <c r="AL429" t="str" cm="1">
        <f t="array" ref="AL42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29">
        <v>11</v>
      </c>
    </row>
    <row r="430" spans="1:39" x14ac:dyDescent="0.25">
      <c r="A430">
        <v>47</v>
      </c>
      <c r="B430" t="s">
        <v>44</v>
      </c>
      <c r="C430" t="s">
        <v>37</v>
      </c>
      <c r="D430">
        <v>983</v>
      </c>
      <c r="E430" t="s">
        <v>46</v>
      </c>
      <c r="G430">
        <v>2</v>
      </c>
      <c r="H430">
        <v>2</v>
      </c>
      <c r="I430" t="s">
        <v>52</v>
      </c>
      <c r="J430" t="str">
        <f>WA_Fn_UseC__HR_Employee_Attrition[[#This Row],[EducationField]]&amp;"-"&amp;WA_Fn_UseC__HR_Employee_Attrition[[#This Row],[Department]]</f>
        <v>Medical-Research &amp; Development</v>
      </c>
      <c r="K430">
        <v>1</v>
      </c>
      <c r="L430">
        <v>574</v>
      </c>
      <c r="M430">
        <v>1</v>
      </c>
      <c r="N430" t="s">
        <v>40</v>
      </c>
      <c r="O430">
        <v>65</v>
      </c>
      <c r="P430">
        <v>3</v>
      </c>
      <c r="Q430">
        <v>2</v>
      </c>
      <c r="R430" t="s">
        <v>54</v>
      </c>
      <c r="S430">
        <v>4</v>
      </c>
      <c r="T430" t="s">
        <v>53</v>
      </c>
      <c r="U430">
        <v>5070</v>
      </c>
      <c r="V430" t="str" cm="1">
        <f t="array" ref="V43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30">
        <v>7389</v>
      </c>
      <c r="X430">
        <v>5</v>
      </c>
      <c r="Y430" t="s">
        <v>43</v>
      </c>
      <c r="Z430" t="s">
        <v>44</v>
      </c>
      <c r="AA430">
        <v>13</v>
      </c>
      <c r="AB430">
        <v>3</v>
      </c>
      <c r="AC430">
        <v>3</v>
      </c>
      <c r="AD430">
        <v>80</v>
      </c>
      <c r="AE430">
        <v>3</v>
      </c>
      <c r="AF430">
        <v>20</v>
      </c>
      <c r="AG430">
        <v>2</v>
      </c>
      <c r="AH430">
        <v>3</v>
      </c>
      <c r="AI430">
        <v>5</v>
      </c>
      <c r="AJ430">
        <v>0</v>
      </c>
      <c r="AK430">
        <v>0</v>
      </c>
      <c r="AL430" t="str" cm="1">
        <f t="array" ref="AL43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30">
        <v>4</v>
      </c>
    </row>
    <row r="431" spans="1:39" x14ac:dyDescent="0.25">
      <c r="A431">
        <v>46</v>
      </c>
      <c r="B431" t="s">
        <v>44</v>
      </c>
      <c r="C431" t="s">
        <v>37</v>
      </c>
      <c r="D431">
        <v>1009</v>
      </c>
      <c r="E431" t="s">
        <v>46</v>
      </c>
      <c r="G431">
        <v>2</v>
      </c>
      <c r="H431">
        <v>3</v>
      </c>
      <c r="I431" t="s">
        <v>39</v>
      </c>
      <c r="J431" t="str">
        <f>WA_Fn_UseC__HR_Employee_Attrition[[#This Row],[EducationField]]&amp;"-"&amp;WA_Fn_UseC__HR_Employee_Attrition[[#This Row],[Department]]</f>
        <v>Life Sciences-Research &amp; Development</v>
      </c>
      <c r="K431">
        <v>1</v>
      </c>
      <c r="L431">
        <v>575</v>
      </c>
      <c r="M431">
        <v>1</v>
      </c>
      <c r="N431" t="s">
        <v>47</v>
      </c>
      <c r="O431">
        <v>51</v>
      </c>
      <c r="P431">
        <v>3</v>
      </c>
      <c r="Q431">
        <v>4</v>
      </c>
      <c r="R431" t="s">
        <v>59</v>
      </c>
      <c r="S431">
        <v>3</v>
      </c>
      <c r="T431" t="s">
        <v>49</v>
      </c>
      <c r="U431">
        <v>17861</v>
      </c>
      <c r="V431" t="str" cm="1">
        <f t="array" ref="V43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31">
        <v>2288</v>
      </c>
      <c r="X431">
        <v>6</v>
      </c>
      <c r="Y431" t="s">
        <v>43</v>
      </c>
      <c r="Z431" t="s">
        <v>44</v>
      </c>
      <c r="AA431">
        <v>13</v>
      </c>
      <c r="AB431">
        <v>3</v>
      </c>
      <c r="AC431">
        <v>3</v>
      </c>
      <c r="AD431">
        <v>80</v>
      </c>
      <c r="AE431">
        <v>0</v>
      </c>
      <c r="AF431">
        <v>26</v>
      </c>
      <c r="AG431">
        <v>2</v>
      </c>
      <c r="AH431">
        <v>1</v>
      </c>
      <c r="AI431">
        <v>3</v>
      </c>
      <c r="AJ431">
        <v>2</v>
      </c>
      <c r="AK431">
        <v>0</v>
      </c>
      <c r="AL431" t="str" cm="1">
        <f t="array" ref="AL43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31">
        <v>1</v>
      </c>
    </row>
    <row r="432" spans="1:39" x14ac:dyDescent="0.25">
      <c r="A432">
        <v>35</v>
      </c>
      <c r="B432" t="s">
        <v>44</v>
      </c>
      <c r="C432" t="s">
        <v>37</v>
      </c>
      <c r="D432">
        <v>144</v>
      </c>
      <c r="E432" t="s">
        <v>46</v>
      </c>
      <c r="G432">
        <v>22</v>
      </c>
      <c r="H432">
        <v>3</v>
      </c>
      <c r="I432" t="s">
        <v>39</v>
      </c>
      <c r="J432" t="str">
        <f>WA_Fn_UseC__HR_Employee_Attrition[[#This Row],[EducationField]]&amp;"-"&amp;WA_Fn_UseC__HR_Employee_Attrition[[#This Row],[Department]]</f>
        <v>Life Sciences-Research &amp; Development</v>
      </c>
      <c r="K432">
        <v>1</v>
      </c>
      <c r="L432">
        <v>577</v>
      </c>
      <c r="M432">
        <v>4</v>
      </c>
      <c r="N432" t="s">
        <v>47</v>
      </c>
      <c r="O432">
        <v>46</v>
      </c>
      <c r="P432">
        <v>1</v>
      </c>
      <c r="Q432">
        <v>1</v>
      </c>
      <c r="R432" t="s">
        <v>51</v>
      </c>
      <c r="S432">
        <v>3</v>
      </c>
      <c r="T432" t="s">
        <v>42</v>
      </c>
      <c r="U432">
        <v>4230</v>
      </c>
      <c r="V432" t="str" cm="1">
        <f t="array" ref="V43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32">
        <v>19225</v>
      </c>
      <c r="X432">
        <v>0</v>
      </c>
      <c r="Y432" t="s">
        <v>43</v>
      </c>
      <c r="Z432" t="s">
        <v>44</v>
      </c>
      <c r="AA432">
        <v>15</v>
      </c>
      <c r="AB432">
        <v>3</v>
      </c>
      <c r="AC432">
        <v>3</v>
      </c>
      <c r="AD432">
        <v>80</v>
      </c>
      <c r="AE432">
        <v>0</v>
      </c>
      <c r="AF432">
        <v>6</v>
      </c>
      <c r="AG432">
        <v>2</v>
      </c>
      <c r="AH432">
        <v>3</v>
      </c>
      <c r="AI432">
        <v>5</v>
      </c>
      <c r="AJ432">
        <v>4</v>
      </c>
      <c r="AK432">
        <v>4</v>
      </c>
      <c r="AL432" t="str" cm="1">
        <f t="array" ref="AL43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32">
        <v>3</v>
      </c>
    </row>
    <row r="433" spans="1:39" x14ac:dyDescent="0.25">
      <c r="A433">
        <v>54</v>
      </c>
      <c r="B433" t="s">
        <v>44</v>
      </c>
      <c r="C433" t="s">
        <v>37</v>
      </c>
      <c r="D433">
        <v>548</v>
      </c>
      <c r="E433" t="s">
        <v>46</v>
      </c>
      <c r="G433">
        <v>8</v>
      </c>
      <c r="H433">
        <v>4</v>
      </c>
      <c r="I433" t="s">
        <v>39</v>
      </c>
      <c r="J433" t="str">
        <f>WA_Fn_UseC__HR_Employee_Attrition[[#This Row],[EducationField]]&amp;"-"&amp;WA_Fn_UseC__HR_Employee_Attrition[[#This Row],[Department]]</f>
        <v>Life Sciences-Research &amp; Development</v>
      </c>
      <c r="K433">
        <v>1</v>
      </c>
      <c r="L433">
        <v>578</v>
      </c>
      <c r="M433">
        <v>3</v>
      </c>
      <c r="N433" t="s">
        <v>40</v>
      </c>
      <c r="O433">
        <v>42</v>
      </c>
      <c r="P433">
        <v>3</v>
      </c>
      <c r="Q433">
        <v>2</v>
      </c>
      <c r="R433" t="s">
        <v>51</v>
      </c>
      <c r="S433">
        <v>3</v>
      </c>
      <c r="T433" t="s">
        <v>42</v>
      </c>
      <c r="U433">
        <v>3780</v>
      </c>
      <c r="V433" t="str" cm="1">
        <f t="array" ref="V43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33">
        <v>23428</v>
      </c>
      <c r="X433">
        <v>7</v>
      </c>
      <c r="Y433" t="s">
        <v>43</v>
      </c>
      <c r="Z433" t="s">
        <v>44</v>
      </c>
      <c r="AA433">
        <v>11</v>
      </c>
      <c r="AB433">
        <v>3</v>
      </c>
      <c r="AC433">
        <v>3</v>
      </c>
      <c r="AD433">
        <v>80</v>
      </c>
      <c r="AE433">
        <v>0</v>
      </c>
      <c r="AF433">
        <v>19</v>
      </c>
      <c r="AG433">
        <v>3</v>
      </c>
      <c r="AH433">
        <v>3</v>
      </c>
      <c r="AI433">
        <v>1</v>
      </c>
      <c r="AJ433">
        <v>0</v>
      </c>
      <c r="AK433">
        <v>0</v>
      </c>
      <c r="AL433" t="str" cm="1">
        <f t="array" ref="AL43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33">
        <v>0</v>
      </c>
    </row>
    <row r="434" spans="1:39" x14ac:dyDescent="0.25">
      <c r="A434">
        <v>34</v>
      </c>
      <c r="B434" t="s">
        <v>44</v>
      </c>
      <c r="C434" t="s">
        <v>37</v>
      </c>
      <c r="D434">
        <v>1303</v>
      </c>
      <c r="E434" t="s">
        <v>46</v>
      </c>
      <c r="G434">
        <v>2</v>
      </c>
      <c r="H434">
        <v>4</v>
      </c>
      <c r="I434" t="s">
        <v>39</v>
      </c>
      <c r="J434" t="str">
        <f>WA_Fn_UseC__HR_Employee_Attrition[[#This Row],[EducationField]]&amp;"-"&amp;WA_Fn_UseC__HR_Employee_Attrition[[#This Row],[Department]]</f>
        <v>Life Sciences-Research &amp; Development</v>
      </c>
      <c r="K434">
        <v>1</v>
      </c>
      <c r="L434">
        <v>579</v>
      </c>
      <c r="M434">
        <v>4</v>
      </c>
      <c r="N434" t="s">
        <v>47</v>
      </c>
      <c r="O434">
        <v>62</v>
      </c>
      <c r="P434">
        <v>2</v>
      </c>
      <c r="Q434">
        <v>1</v>
      </c>
      <c r="R434" t="s">
        <v>48</v>
      </c>
      <c r="S434">
        <v>3</v>
      </c>
      <c r="T434" t="s">
        <v>53</v>
      </c>
      <c r="U434">
        <v>2768</v>
      </c>
      <c r="V434" t="str" cm="1">
        <f t="array" ref="V43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34">
        <v>8416</v>
      </c>
      <c r="X434">
        <v>3</v>
      </c>
      <c r="Y434" t="s">
        <v>43</v>
      </c>
      <c r="Z434" t="s">
        <v>44</v>
      </c>
      <c r="AA434">
        <v>12</v>
      </c>
      <c r="AB434">
        <v>3</v>
      </c>
      <c r="AC434">
        <v>3</v>
      </c>
      <c r="AD434">
        <v>80</v>
      </c>
      <c r="AE434">
        <v>1</v>
      </c>
      <c r="AF434">
        <v>14</v>
      </c>
      <c r="AG434">
        <v>3</v>
      </c>
      <c r="AH434">
        <v>3</v>
      </c>
      <c r="AI434">
        <v>7</v>
      </c>
      <c r="AJ434">
        <v>3</v>
      </c>
      <c r="AK434">
        <v>5</v>
      </c>
      <c r="AL434" t="str" cm="1">
        <f t="array" ref="AL43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34">
        <v>7</v>
      </c>
    </row>
    <row r="435" spans="1:39" x14ac:dyDescent="0.25">
      <c r="A435">
        <v>46</v>
      </c>
      <c r="B435" t="s">
        <v>44</v>
      </c>
      <c r="C435" t="s">
        <v>37</v>
      </c>
      <c r="D435">
        <v>1125</v>
      </c>
      <c r="E435" t="s">
        <v>38</v>
      </c>
      <c r="G435">
        <v>10</v>
      </c>
      <c r="H435">
        <v>3</v>
      </c>
      <c r="I435" t="s">
        <v>60</v>
      </c>
      <c r="J435" t="str">
        <f>WA_Fn_UseC__HR_Employee_Attrition[[#This Row],[EducationField]]&amp;"-"&amp;WA_Fn_UseC__HR_Employee_Attrition[[#This Row],[Department]]</f>
        <v>Marketing-Sales</v>
      </c>
      <c r="K435">
        <v>1</v>
      </c>
      <c r="L435">
        <v>580</v>
      </c>
      <c r="M435">
        <v>3</v>
      </c>
      <c r="N435" t="s">
        <v>40</v>
      </c>
      <c r="O435">
        <v>94</v>
      </c>
      <c r="P435">
        <v>2</v>
      </c>
      <c r="Q435">
        <v>3</v>
      </c>
      <c r="R435" t="s">
        <v>41</v>
      </c>
      <c r="S435">
        <v>4</v>
      </c>
      <c r="T435" t="s">
        <v>49</v>
      </c>
      <c r="U435">
        <v>9071</v>
      </c>
      <c r="V435" t="str" cm="1">
        <f t="array" ref="V43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35">
        <v>11563</v>
      </c>
      <c r="X435">
        <v>2</v>
      </c>
      <c r="Y435" t="s">
        <v>43</v>
      </c>
      <c r="Z435" t="s">
        <v>36</v>
      </c>
      <c r="AA435">
        <v>19</v>
      </c>
      <c r="AB435">
        <v>3</v>
      </c>
      <c r="AC435">
        <v>3</v>
      </c>
      <c r="AD435">
        <v>80</v>
      </c>
      <c r="AE435">
        <v>1</v>
      </c>
      <c r="AF435">
        <v>15</v>
      </c>
      <c r="AG435">
        <v>3</v>
      </c>
      <c r="AH435">
        <v>3</v>
      </c>
      <c r="AI435">
        <v>3</v>
      </c>
      <c r="AJ435">
        <v>2</v>
      </c>
      <c r="AK435">
        <v>1</v>
      </c>
      <c r="AL435" t="str" cm="1">
        <f t="array" ref="AL43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35">
        <v>2</v>
      </c>
    </row>
    <row r="436" spans="1:39" x14ac:dyDescent="0.25">
      <c r="A436">
        <v>31</v>
      </c>
      <c r="B436" t="s">
        <v>44</v>
      </c>
      <c r="C436" t="s">
        <v>37</v>
      </c>
      <c r="D436">
        <v>1274</v>
      </c>
      <c r="E436" t="s">
        <v>46</v>
      </c>
      <c r="G436">
        <v>9</v>
      </c>
      <c r="H436">
        <v>1</v>
      </c>
      <c r="I436" t="s">
        <v>39</v>
      </c>
      <c r="J436" t="str">
        <f>WA_Fn_UseC__HR_Employee_Attrition[[#This Row],[EducationField]]&amp;"-"&amp;WA_Fn_UseC__HR_Employee_Attrition[[#This Row],[Department]]</f>
        <v>Life Sciences-Research &amp; Development</v>
      </c>
      <c r="K436">
        <v>1</v>
      </c>
      <c r="L436">
        <v>581</v>
      </c>
      <c r="M436">
        <v>3</v>
      </c>
      <c r="N436" t="s">
        <v>47</v>
      </c>
      <c r="O436">
        <v>33</v>
      </c>
      <c r="P436">
        <v>3</v>
      </c>
      <c r="Q436">
        <v>3</v>
      </c>
      <c r="R436" t="s">
        <v>54</v>
      </c>
      <c r="S436">
        <v>2</v>
      </c>
      <c r="T436" t="s">
        <v>53</v>
      </c>
      <c r="U436">
        <v>10648</v>
      </c>
      <c r="V436" t="str" cm="1">
        <f t="array" ref="V43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36">
        <v>14394</v>
      </c>
      <c r="X436">
        <v>1</v>
      </c>
      <c r="Y436" t="s">
        <v>43</v>
      </c>
      <c r="Z436" t="s">
        <v>44</v>
      </c>
      <c r="AA436">
        <v>25</v>
      </c>
      <c r="AB436">
        <v>4</v>
      </c>
      <c r="AC436">
        <v>4</v>
      </c>
      <c r="AD436">
        <v>80</v>
      </c>
      <c r="AE436">
        <v>1</v>
      </c>
      <c r="AF436">
        <v>13</v>
      </c>
      <c r="AG436">
        <v>6</v>
      </c>
      <c r="AH436">
        <v>4</v>
      </c>
      <c r="AI436">
        <v>13</v>
      </c>
      <c r="AJ436">
        <v>8</v>
      </c>
      <c r="AK436">
        <v>0</v>
      </c>
      <c r="AL436" t="str" cm="1">
        <f t="array" ref="AL43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36">
        <v>8</v>
      </c>
    </row>
    <row r="437" spans="1:39" x14ac:dyDescent="0.25">
      <c r="A437">
        <v>33</v>
      </c>
      <c r="B437" t="s">
        <v>36</v>
      </c>
      <c r="C437" t="s">
        <v>37</v>
      </c>
      <c r="D437">
        <v>1277</v>
      </c>
      <c r="E437" t="s">
        <v>46</v>
      </c>
      <c r="G437">
        <v>15</v>
      </c>
      <c r="H437">
        <v>1</v>
      </c>
      <c r="I437" t="s">
        <v>52</v>
      </c>
      <c r="J437" t="str">
        <f>WA_Fn_UseC__HR_Employee_Attrition[[#This Row],[EducationField]]&amp;"-"&amp;WA_Fn_UseC__HR_Employee_Attrition[[#This Row],[Department]]</f>
        <v>Medical-Research &amp; Development</v>
      </c>
      <c r="K437">
        <v>1</v>
      </c>
      <c r="L437">
        <v>582</v>
      </c>
      <c r="M437">
        <v>2</v>
      </c>
      <c r="N437" t="s">
        <v>47</v>
      </c>
      <c r="O437">
        <v>56</v>
      </c>
      <c r="P437">
        <v>3</v>
      </c>
      <c r="Q437">
        <v>3</v>
      </c>
      <c r="R437" t="s">
        <v>57</v>
      </c>
      <c r="S437">
        <v>3</v>
      </c>
      <c r="T437" t="s">
        <v>49</v>
      </c>
      <c r="U437">
        <v>13610</v>
      </c>
      <c r="V437" t="str" cm="1">
        <f t="array" ref="V43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37">
        <v>24619</v>
      </c>
      <c r="X437">
        <v>7</v>
      </c>
      <c r="Y437" t="s">
        <v>43</v>
      </c>
      <c r="Z437" t="s">
        <v>36</v>
      </c>
      <c r="AA437">
        <v>12</v>
      </c>
      <c r="AB437">
        <v>3</v>
      </c>
      <c r="AC437">
        <v>4</v>
      </c>
      <c r="AD437">
        <v>80</v>
      </c>
      <c r="AE437">
        <v>0</v>
      </c>
      <c r="AF437">
        <v>15</v>
      </c>
      <c r="AG437">
        <v>2</v>
      </c>
      <c r="AH437">
        <v>4</v>
      </c>
      <c r="AI437">
        <v>7</v>
      </c>
      <c r="AJ437">
        <v>6</v>
      </c>
      <c r="AK437">
        <v>7</v>
      </c>
      <c r="AL437" t="str" cm="1">
        <f t="array" ref="AL43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37">
        <v>7</v>
      </c>
    </row>
    <row r="438" spans="1:39" x14ac:dyDescent="0.25">
      <c r="A438">
        <v>33</v>
      </c>
      <c r="B438" t="s">
        <v>36</v>
      </c>
      <c r="C438" t="s">
        <v>37</v>
      </c>
      <c r="D438">
        <v>587</v>
      </c>
      <c r="E438" t="s">
        <v>46</v>
      </c>
      <c r="G438">
        <v>10</v>
      </c>
      <c r="H438">
        <v>1</v>
      </c>
      <c r="I438" t="s">
        <v>52</v>
      </c>
      <c r="J438" t="str">
        <f>WA_Fn_UseC__HR_Employee_Attrition[[#This Row],[EducationField]]&amp;"-"&amp;WA_Fn_UseC__HR_Employee_Attrition[[#This Row],[Department]]</f>
        <v>Medical-Research &amp; Development</v>
      </c>
      <c r="K438">
        <v>1</v>
      </c>
      <c r="L438">
        <v>584</v>
      </c>
      <c r="M438">
        <v>1</v>
      </c>
      <c r="N438" t="s">
        <v>47</v>
      </c>
      <c r="O438">
        <v>38</v>
      </c>
      <c r="P438">
        <v>1</v>
      </c>
      <c r="Q438">
        <v>1</v>
      </c>
      <c r="R438" t="s">
        <v>51</v>
      </c>
      <c r="S438">
        <v>4</v>
      </c>
      <c r="T438" t="s">
        <v>53</v>
      </c>
      <c r="U438">
        <v>3408</v>
      </c>
      <c r="V438" t="str" cm="1">
        <f t="array" ref="V43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38">
        <v>6705</v>
      </c>
      <c r="X438">
        <v>7</v>
      </c>
      <c r="Y438" t="s">
        <v>43</v>
      </c>
      <c r="Z438" t="s">
        <v>44</v>
      </c>
      <c r="AA438">
        <v>13</v>
      </c>
      <c r="AB438">
        <v>3</v>
      </c>
      <c r="AC438">
        <v>1</v>
      </c>
      <c r="AD438">
        <v>80</v>
      </c>
      <c r="AE438">
        <v>3</v>
      </c>
      <c r="AF438">
        <v>8</v>
      </c>
      <c r="AG438">
        <v>2</v>
      </c>
      <c r="AH438">
        <v>3</v>
      </c>
      <c r="AI438">
        <v>4</v>
      </c>
      <c r="AJ438">
        <v>3</v>
      </c>
      <c r="AK438">
        <v>1</v>
      </c>
      <c r="AL438" t="str" cm="1">
        <f t="array" ref="AL43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38">
        <v>3</v>
      </c>
    </row>
    <row r="439" spans="1:39" x14ac:dyDescent="0.25">
      <c r="A439">
        <v>30</v>
      </c>
      <c r="B439" t="s">
        <v>44</v>
      </c>
      <c r="C439" t="s">
        <v>37</v>
      </c>
      <c r="D439">
        <v>413</v>
      </c>
      <c r="E439" t="s">
        <v>38</v>
      </c>
      <c r="G439">
        <v>7</v>
      </c>
      <c r="H439">
        <v>1</v>
      </c>
      <c r="I439" t="s">
        <v>60</v>
      </c>
      <c r="J439" t="str">
        <f>WA_Fn_UseC__HR_Employee_Attrition[[#This Row],[EducationField]]&amp;"-"&amp;WA_Fn_UseC__HR_Employee_Attrition[[#This Row],[Department]]</f>
        <v>Marketing-Sales</v>
      </c>
      <c r="K439">
        <v>1</v>
      </c>
      <c r="L439">
        <v>585</v>
      </c>
      <c r="M439">
        <v>4</v>
      </c>
      <c r="N439" t="s">
        <v>47</v>
      </c>
      <c r="O439">
        <v>57</v>
      </c>
      <c r="P439">
        <v>3</v>
      </c>
      <c r="Q439">
        <v>1</v>
      </c>
      <c r="R439" t="s">
        <v>58</v>
      </c>
      <c r="S439">
        <v>2</v>
      </c>
      <c r="T439" t="s">
        <v>42</v>
      </c>
      <c r="U439">
        <v>2983</v>
      </c>
      <c r="V439" t="str" cm="1">
        <f t="array" ref="V43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39">
        <v>18398</v>
      </c>
      <c r="X439">
        <v>0</v>
      </c>
      <c r="Y439" t="s">
        <v>43</v>
      </c>
      <c r="Z439" t="s">
        <v>44</v>
      </c>
      <c r="AA439">
        <v>14</v>
      </c>
      <c r="AB439">
        <v>3</v>
      </c>
      <c r="AC439">
        <v>1</v>
      </c>
      <c r="AD439">
        <v>80</v>
      </c>
      <c r="AE439">
        <v>0</v>
      </c>
      <c r="AF439">
        <v>4</v>
      </c>
      <c r="AG439">
        <v>3</v>
      </c>
      <c r="AH439">
        <v>3</v>
      </c>
      <c r="AI439">
        <v>3</v>
      </c>
      <c r="AJ439">
        <v>2</v>
      </c>
      <c r="AK439">
        <v>1</v>
      </c>
      <c r="AL439" t="str" cm="1">
        <f t="array" ref="AL43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39">
        <v>2</v>
      </c>
    </row>
    <row r="440" spans="1:39" x14ac:dyDescent="0.25">
      <c r="A440">
        <v>35</v>
      </c>
      <c r="B440" t="s">
        <v>44</v>
      </c>
      <c r="C440" t="s">
        <v>37</v>
      </c>
      <c r="D440">
        <v>1276</v>
      </c>
      <c r="E440" t="s">
        <v>46</v>
      </c>
      <c r="G440">
        <v>16</v>
      </c>
      <c r="H440">
        <v>3</v>
      </c>
      <c r="I440" t="s">
        <v>39</v>
      </c>
      <c r="J440" t="str">
        <f>WA_Fn_UseC__HR_Employee_Attrition[[#This Row],[EducationField]]&amp;"-"&amp;WA_Fn_UseC__HR_Employee_Attrition[[#This Row],[Department]]</f>
        <v>Life Sciences-Research &amp; Development</v>
      </c>
      <c r="K440">
        <v>1</v>
      </c>
      <c r="L440">
        <v>586</v>
      </c>
      <c r="M440">
        <v>4</v>
      </c>
      <c r="N440" t="s">
        <v>47</v>
      </c>
      <c r="O440">
        <v>72</v>
      </c>
      <c r="P440">
        <v>3</v>
      </c>
      <c r="Q440">
        <v>3</v>
      </c>
      <c r="R440" t="s">
        <v>55</v>
      </c>
      <c r="S440">
        <v>3</v>
      </c>
      <c r="T440" t="s">
        <v>49</v>
      </c>
      <c r="U440">
        <v>7632</v>
      </c>
      <c r="V440" t="str" cm="1">
        <f t="array" ref="V44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40">
        <v>14295</v>
      </c>
      <c r="X440">
        <v>4</v>
      </c>
      <c r="Y440" t="s">
        <v>43</v>
      </c>
      <c r="Z440" t="s">
        <v>36</v>
      </c>
      <c r="AA440">
        <v>12</v>
      </c>
      <c r="AB440">
        <v>3</v>
      </c>
      <c r="AC440">
        <v>3</v>
      </c>
      <c r="AD440">
        <v>80</v>
      </c>
      <c r="AE440">
        <v>0</v>
      </c>
      <c r="AF440">
        <v>10</v>
      </c>
      <c r="AG440">
        <v>2</v>
      </c>
      <c r="AH440">
        <v>3</v>
      </c>
      <c r="AI440">
        <v>8</v>
      </c>
      <c r="AJ440">
        <v>7</v>
      </c>
      <c r="AK440">
        <v>0</v>
      </c>
      <c r="AL440" t="str" cm="1">
        <f t="array" ref="AL44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40">
        <v>0</v>
      </c>
    </row>
    <row r="441" spans="1:39" x14ac:dyDescent="0.25">
      <c r="A441">
        <v>31</v>
      </c>
      <c r="B441" t="s">
        <v>36</v>
      </c>
      <c r="C441" t="s">
        <v>45</v>
      </c>
      <c r="D441">
        <v>534</v>
      </c>
      <c r="E441" t="s">
        <v>46</v>
      </c>
      <c r="G441">
        <v>20</v>
      </c>
      <c r="H441">
        <v>3</v>
      </c>
      <c r="I441" t="s">
        <v>39</v>
      </c>
      <c r="J441" t="str">
        <f>WA_Fn_UseC__HR_Employee_Attrition[[#This Row],[EducationField]]&amp;"-"&amp;WA_Fn_UseC__HR_Employee_Attrition[[#This Row],[Department]]</f>
        <v>Life Sciences-Research &amp; Development</v>
      </c>
      <c r="K441">
        <v>1</v>
      </c>
      <c r="L441">
        <v>587</v>
      </c>
      <c r="M441">
        <v>1</v>
      </c>
      <c r="N441" t="s">
        <v>47</v>
      </c>
      <c r="O441">
        <v>66</v>
      </c>
      <c r="P441">
        <v>3</v>
      </c>
      <c r="Q441">
        <v>3</v>
      </c>
      <c r="R441" t="s">
        <v>55</v>
      </c>
      <c r="S441">
        <v>3</v>
      </c>
      <c r="T441" t="s">
        <v>49</v>
      </c>
      <c r="U441">
        <v>9824</v>
      </c>
      <c r="V441" t="str" cm="1">
        <f t="array" ref="V44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41">
        <v>22908</v>
      </c>
      <c r="X441">
        <v>3</v>
      </c>
      <c r="Y441" t="s">
        <v>43</v>
      </c>
      <c r="Z441" t="s">
        <v>44</v>
      </c>
      <c r="AA441">
        <v>12</v>
      </c>
      <c r="AB441">
        <v>3</v>
      </c>
      <c r="AC441">
        <v>1</v>
      </c>
      <c r="AD441">
        <v>80</v>
      </c>
      <c r="AE441">
        <v>0</v>
      </c>
      <c r="AF441">
        <v>12</v>
      </c>
      <c r="AG441">
        <v>2</v>
      </c>
      <c r="AH441">
        <v>3</v>
      </c>
      <c r="AI441">
        <v>1</v>
      </c>
      <c r="AJ441">
        <v>0</v>
      </c>
      <c r="AK441">
        <v>0</v>
      </c>
      <c r="AL441" t="str" cm="1">
        <f t="array" ref="AL44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41">
        <v>0</v>
      </c>
    </row>
    <row r="442" spans="1:39" x14ac:dyDescent="0.25">
      <c r="A442">
        <v>34</v>
      </c>
      <c r="B442" t="s">
        <v>36</v>
      </c>
      <c r="C442" t="s">
        <v>45</v>
      </c>
      <c r="D442">
        <v>988</v>
      </c>
      <c r="E442" t="s">
        <v>62</v>
      </c>
      <c r="G442">
        <v>23</v>
      </c>
      <c r="H442">
        <v>3</v>
      </c>
      <c r="I442" t="s">
        <v>62</v>
      </c>
      <c r="J442" t="str">
        <f>WA_Fn_UseC__HR_Employee_Attrition[[#This Row],[EducationField]]&amp;"-"&amp;WA_Fn_UseC__HR_Employee_Attrition[[#This Row],[Department]]</f>
        <v>Human Resources-Human Resources</v>
      </c>
      <c r="K442">
        <v>1</v>
      </c>
      <c r="L442">
        <v>590</v>
      </c>
      <c r="M442">
        <v>2</v>
      </c>
      <c r="N442" t="s">
        <v>40</v>
      </c>
      <c r="O442">
        <v>43</v>
      </c>
      <c r="P442">
        <v>3</v>
      </c>
      <c r="Q442">
        <v>3</v>
      </c>
      <c r="R442" t="s">
        <v>62</v>
      </c>
      <c r="S442">
        <v>1</v>
      </c>
      <c r="T442" t="s">
        <v>53</v>
      </c>
      <c r="U442">
        <v>9950</v>
      </c>
      <c r="V442" t="str" cm="1">
        <f t="array" ref="V44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42">
        <v>11533</v>
      </c>
      <c r="X442">
        <v>9</v>
      </c>
      <c r="Y442" t="s">
        <v>43</v>
      </c>
      <c r="Z442" t="s">
        <v>36</v>
      </c>
      <c r="AA442">
        <v>15</v>
      </c>
      <c r="AB442">
        <v>3</v>
      </c>
      <c r="AC442">
        <v>3</v>
      </c>
      <c r="AD442">
        <v>80</v>
      </c>
      <c r="AE442">
        <v>3</v>
      </c>
      <c r="AF442">
        <v>11</v>
      </c>
      <c r="AG442">
        <v>2</v>
      </c>
      <c r="AH442">
        <v>3</v>
      </c>
      <c r="AI442">
        <v>3</v>
      </c>
      <c r="AJ442">
        <v>2</v>
      </c>
      <c r="AK442">
        <v>0</v>
      </c>
      <c r="AL442" t="str" cm="1">
        <f t="array" ref="AL44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42">
        <v>2</v>
      </c>
    </row>
    <row r="443" spans="1:39" x14ac:dyDescent="0.25">
      <c r="A443">
        <v>42</v>
      </c>
      <c r="B443" t="s">
        <v>44</v>
      </c>
      <c r="C443" t="s">
        <v>45</v>
      </c>
      <c r="D443">
        <v>1474</v>
      </c>
      <c r="E443" t="s">
        <v>46</v>
      </c>
      <c r="G443">
        <v>5</v>
      </c>
      <c r="H443">
        <v>2</v>
      </c>
      <c r="I443" t="s">
        <v>50</v>
      </c>
      <c r="J443" t="str">
        <f>WA_Fn_UseC__HR_Employee_Attrition[[#This Row],[EducationField]]&amp;"-"&amp;WA_Fn_UseC__HR_Employee_Attrition[[#This Row],[Department]]</f>
        <v>Other-Research &amp; Development</v>
      </c>
      <c r="K443">
        <v>1</v>
      </c>
      <c r="L443">
        <v>591</v>
      </c>
      <c r="M443">
        <v>2</v>
      </c>
      <c r="N443" t="s">
        <v>47</v>
      </c>
      <c r="O443">
        <v>97</v>
      </c>
      <c r="P443">
        <v>3</v>
      </c>
      <c r="Q443">
        <v>1</v>
      </c>
      <c r="R443" t="s">
        <v>51</v>
      </c>
      <c r="S443">
        <v>3</v>
      </c>
      <c r="T443" t="s">
        <v>49</v>
      </c>
      <c r="U443">
        <v>2093</v>
      </c>
      <c r="V443" t="str" cm="1">
        <f t="array" ref="V44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43">
        <v>9260</v>
      </c>
      <c r="X443">
        <v>4</v>
      </c>
      <c r="Y443" t="s">
        <v>43</v>
      </c>
      <c r="Z443" t="s">
        <v>44</v>
      </c>
      <c r="AA443">
        <v>17</v>
      </c>
      <c r="AB443">
        <v>3</v>
      </c>
      <c r="AC443">
        <v>4</v>
      </c>
      <c r="AD443">
        <v>80</v>
      </c>
      <c r="AE443">
        <v>1</v>
      </c>
      <c r="AF443">
        <v>8</v>
      </c>
      <c r="AG443">
        <v>4</v>
      </c>
      <c r="AH443">
        <v>3</v>
      </c>
      <c r="AI443">
        <v>2</v>
      </c>
      <c r="AJ443">
        <v>2</v>
      </c>
      <c r="AK443">
        <v>2</v>
      </c>
      <c r="AL443" t="str" cm="1">
        <f t="array" ref="AL44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43">
        <v>0</v>
      </c>
    </row>
    <row r="444" spans="1:39" x14ac:dyDescent="0.25">
      <c r="A444">
        <v>36</v>
      </c>
      <c r="B444" t="s">
        <v>44</v>
      </c>
      <c r="C444" t="s">
        <v>56</v>
      </c>
      <c r="D444">
        <v>635</v>
      </c>
      <c r="E444" t="s">
        <v>38</v>
      </c>
      <c r="G444">
        <v>10</v>
      </c>
      <c r="H444">
        <v>4</v>
      </c>
      <c r="I444" t="s">
        <v>52</v>
      </c>
      <c r="J444" t="str">
        <f>WA_Fn_UseC__HR_Employee_Attrition[[#This Row],[EducationField]]&amp;"-"&amp;WA_Fn_UseC__HR_Employee_Attrition[[#This Row],[Department]]</f>
        <v>Medical-Sales</v>
      </c>
      <c r="K444">
        <v>1</v>
      </c>
      <c r="L444">
        <v>592</v>
      </c>
      <c r="M444">
        <v>2</v>
      </c>
      <c r="N444" t="s">
        <v>47</v>
      </c>
      <c r="O444">
        <v>32</v>
      </c>
      <c r="P444">
        <v>3</v>
      </c>
      <c r="Q444">
        <v>3</v>
      </c>
      <c r="R444" t="s">
        <v>41</v>
      </c>
      <c r="S444">
        <v>4</v>
      </c>
      <c r="T444" t="s">
        <v>42</v>
      </c>
      <c r="U444">
        <v>9980</v>
      </c>
      <c r="V444" t="str" cm="1">
        <f t="array" ref="V44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44">
        <v>15318</v>
      </c>
      <c r="X444">
        <v>1</v>
      </c>
      <c r="Y444" t="s">
        <v>43</v>
      </c>
      <c r="Z444" t="s">
        <v>44</v>
      </c>
      <c r="AA444">
        <v>14</v>
      </c>
      <c r="AB444">
        <v>3</v>
      </c>
      <c r="AC444">
        <v>4</v>
      </c>
      <c r="AD444">
        <v>80</v>
      </c>
      <c r="AE444">
        <v>0</v>
      </c>
      <c r="AF444">
        <v>10</v>
      </c>
      <c r="AG444">
        <v>3</v>
      </c>
      <c r="AH444">
        <v>2</v>
      </c>
      <c r="AI444">
        <v>10</v>
      </c>
      <c r="AJ444">
        <v>3</v>
      </c>
      <c r="AK444">
        <v>9</v>
      </c>
      <c r="AL444" t="str" cm="1">
        <f t="array" ref="AL44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44">
        <v>7</v>
      </c>
    </row>
    <row r="445" spans="1:39" x14ac:dyDescent="0.25">
      <c r="A445">
        <v>22</v>
      </c>
      <c r="B445" t="s">
        <v>36</v>
      </c>
      <c r="C445" t="s">
        <v>45</v>
      </c>
      <c r="D445">
        <v>1368</v>
      </c>
      <c r="E445" t="s">
        <v>46</v>
      </c>
      <c r="G445">
        <v>4</v>
      </c>
      <c r="H445">
        <v>1</v>
      </c>
      <c r="I445" t="s">
        <v>61</v>
      </c>
      <c r="J445" t="str">
        <f>WA_Fn_UseC__HR_Employee_Attrition[[#This Row],[EducationField]]&amp;"-"&amp;WA_Fn_UseC__HR_Employee_Attrition[[#This Row],[Department]]</f>
        <v>Technical Degree-Research &amp; Development</v>
      </c>
      <c r="K445">
        <v>1</v>
      </c>
      <c r="L445">
        <v>593</v>
      </c>
      <c r="M445">
        <v>3</v>
      </c>
      <c r="N445" t="s">
        <v>47</v>
      </c>
      <c r="O445">
        <v>99</v>
      </c>
      <c r="P445">
        <v>2</v>
      </c>
      <c r="Q445">
        <v>1</v>
      </c>
      <c r="R445" t="s">
        <v>51</v>
      </c>
      <c r="S445">
        <v>3</v>
      </c>
      <c r="T445" t="s">
        <v>42</v>
      </c>
      <c r="U445">
        <v>3894</v>
      </c>
      <c r="V445" t="str" cm="1">
        <f t="array" ref="V44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45">
        <v>9129</v>
      </c>
      <c r="X445">
        <v>5</v>
      </c>
      <c r="Y445" t="s">
        <v>43</v>
      </c>
      <c r="Z445" t="s">
        <v>44</v>
      </c>
      <c r="AA445">
        <v>16</v>
      </c>
      <c r="AB445">
        <v>3</v>
      </c>
      <c r="AC445">
        <v>3</v>
      </c>
      <c r="AD445">
        <v>80</v>
      </c>
      <c r="AE445">
        <v>0</v>
      </c>
      <c r="AF445">
        <v>4</v>
      </c>
      <c r="AG445">
        <v>3</v>
      </c>
      <c r="AH445">
        <v>3</v>
      </c>
      <c r="AI445">
        <v>2</v>
      </c>
      <c r="AJ445">
        <v>2</v>
      </c>
      <c r="AK445">
        <v>1</v>
      </c>
      <c r="AL445" t="str" cm="1">
        <f t="array" ref="AL44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45">
        <v>2</v>
      </c>
    </row>
    <row r="446" spans="1:39" x14ac:dyDescent="0.25">
      <c r="A446">
        <v>48</v>
      </c>
      <c r="B446" t="s">
        <v>44</v>
      </c>
      <c r="C446" t="s">
        <v>37</v>
      </c>
      <c r="D446">
        <v>163</v>
      </c>
      <c r="E446" t="s">
        <v>38</v>
      </c>
      <c r="G446">
        <v>2</v>
      </c>
      <c r="H446">
        <v>5</v>
      </c>
      <c r="I446" t="s">
        <v>60</v>
      </c>
      <c r="J446" t="str">
        <f>WA_Fn_UseC__HR_Employee_Attrition[[#This Row],[EducationField]]&amp;"-"&amp;WA_Fn_UseC__HR_Employee_Attrition[[#This Row],[Department]]</f>
        <v>Marketing-Sales</v>
      </c>
      <c r="K446">
        <v>1</v>
      </c>
      <c r="L446">
        <v>595</v>
      </c>
      <c r="M446">
        <v>2</v>
      </c>
      <c r="N446" t="s">
        <v>40</v>
      </c>
      <c r="O446">
        <v>37</v>
      </c>
      <c r="P446">
        <v>3</v>
      </c>
      <c r="Q446">
        <v>2</v>
      </c>
      <c r="R446" t="s">
        <v>41</v>
      </c>
      <c r="S446">
        <v>4</v>
      </c>
      <c r="T446" t="s">
        <v>49</v>
      </c>
      <c r="U446">
        <v>4051</v>
      </c>
      <c r="V446" t="str" cm="1">
        <f t="array" ref="V44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46">
        <v>19658</v>
      </c>
      <c r="X446">
        <v>2</v>
      </c>
      <c r="Y446" t="s">
        <v>43</v>
      </c>
      <c r="Z446" t="s">
        <v>44</v>
      </c>
      <c r="AA446">
        <v>14</v>
      </c>
      <c r="AB446">
        <v>3</v>
      </c>
      <c r="AC446">
        <v>1</v>
      </c>
      <c r="AD446">
        <v>80</v>
      </c>
      <c r="AE446">
        <v>1</v>
      </c>
      <c r="AF446">
        <v>14</v>
      </c>
      <c r="AG446">
        <v>2</v>
      </c>
      <c r="AH446">
        <v>3</v>
      </c>
      <c r="AI446">
        <v>9</v>
      </c>
      <c r="AJ446">
        <v>7</v>
      </c>
      <c r="AK446">
        <v>6</v>
      </c>
      <c r="AL446" t="str" cm="1">
        <f t="array" ref="AL44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46">
        <v>7</v>
      </c>
    </row>
    <row r="447" spans="1:39" x14ac:dyDescent="0.25">
      <c r="A447">
        <v>55</v>
      </c>
      <c r="B447" t="s">
        <v>44</v>
      </c>
      <c r="C447" t="s">
        <v>37</v>
      </c>
      <c r="D447">
        <v>1117</v>
      </c>
      <c r="E447" t="s">
        <v>38</v>
      </c>
      <c r="G447">
        <v>18</v>
      </c>
      <c r="H447">
        <v>5</v>
      </c>
      <c r="I447" t="s">
        <v>39</v>
      </c>
      <c r="J447" t="str">
        <f>WA_Fn_UseC__HR_Employee_Attrition[[#This Row],[EducationField]]&amp;"-"&amp;WA_Fn_UseC__HR_Employee_Attrition[[#This Row],[Department]]</f>
        <v>Life Sciences-Sales</v>
      </c>
      <c r="K447">
        <v>1</v>
      </c>
      <c r="L447">
        <v>597</v>
      </c>
      <c r="M447">
        <v>1</v>
      </c>
      <c r="N447" t="s">
        <v>40</v>
      </c>
      <c r="O447">
        <v>83</v>
      </c>
      <c r="P447">
        <v>3</v>
      </c>
      <c r="Q447">
        <v>4</v>
      </c>
      <c r="R447" t="s">
        <v>57</v>
      </c>
      <c r="S447">
        <v>2</v>
      </c>
      <c r="T447" t="s">
        <v>42</v>
      </c>
      <c r="U447">
        <v>16835</v>
      </c>
      <c r="V447" t="str" cm="1">
        <f t="array" ref="V44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47">
        <v>9873</v>
      </c>
      <c r="X447">
        <v>3</v>
      </c>
      <c r="Y447" t="s">
        <v>43</v>
      </c>
      <c r="Z447" t="s">
        <v>44</v>
      </c>
      <c r="AA447">
        <v>23</v>
      </c>
      <c r="AB447">
        <v>4</v>
      </c>
      <c r="AC447">
        <v>4</v>
      </c>
      <c r="AD447">
        <v>80</v>
      </c>
      <c r="AE447">
        <v>0</v>
      </c>
      <c r="AF447">
        <v>37</v>
      </c>
      <c r="AG447">
        <v>2</v>
      </c>
      <c r="AH447">
        <v>3</v>
      </c>
      <c r="AI447">
        <v>10</v>
      </c>
      <c r="AJ447">
        <v>9</v>
      </c>
      <c r="AK447">
        <v>7</v>
      </c>
      <c r="AL447" t="str" cm="1">
        <f t="array" ref="AL44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47">
        <v>7</v>
      </c>
    </row>
    <row r="448" spans="1:39" x14ac:dyDescent="0.25">
      <c r="A448">
        <v>41</v>
      </c>
      <c r="B448" t="s">
        <v>44</v>
      </c>
      <c r="C448" t="s">
        <v>56</v>
      </c>
      <c r="D448">
        <v>267</v>
      </c>
      <c r="E448" t="s">
        <v>38</v>
      </c>
      <c r="G448">
        <v>10</v>
      </c>
      <c r="H448">
        <v>2</v>
      </c>
      <c r="I448" t="s">
        <v>39</v>
      </c>
      <c r="J448" t="str">
        <f>WA_Fn_UseC__HR_Employee_Attrition[[#This Row],[EducationField]]&amp;"-"&amp;WA_Fn_UseC__HR_Employee_Attrition[[#This Row],[Department]]</f>
        <v>Life Sciences-Sales</v>
      </c>
      <c r="K448">
        <v>1</v>
      </c>
      <c r="L448">
        <v>599</v>
      </c>
      <c r="M448">
        <v>4</v>
      </c>
      <c r="N448" t="s">
        <v>47</v>
      </c>
      <c r="O448">
        <v>56</v>
      </c>
      <c r="P448">
        <v>3</v>
      </c>
      <c r="Q448">
        <v>2</v>
      </c>
      <c r="R448" t="s">
        <v>41</v>
      </c>
      <c r="S448">
        <v>4</v>
      </c>
      <c r="T448" t="s">
        <v>42</v>
      </c>
      <c r="U448">
        <v>6230</v>
      </c>
      <c r="V448" t="str" cm="1">
        <f t="array" ref="V44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48">
        <v>13430</v>
      </c>
      <c r="X448">
        <v>7</v>
      </c>
      <c r="Y448" t="s">
        <v>43</v>
      </c>
      <c r="Z448" t="s">
        <v>44</v>
      </c>
      <c r="AA448">
        <v>14</v>
      </c>
      <c r="AB448">
        <v>3</v>
      </c>
      <c r="AC448">
        <v>4</v>
      </c>
      <c r="AD448">
        <v>80</v>
      </c>
      <c r="AE448">
        <v>0</v>
      </c>
      <c r="AF448">
        <v>16</v>
      </c>
      <c r="AG448">
        <v>3</v>
      </c>
      <c r="AH448">
        <v>3</v>
      </c>
      <c r="AI448">
        <v>14</v>
      </c>
      <c r="AJ448">
        <v>3</v>
      </c>
      <c r="AK448">
        <v>1</v>
      </c>
      <c r="AL448" t="str" cm="1">
        <f t="array" ref="AL44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48">
        <v>10</v>
      </c>
    </row>
    <row r="449" spans="1:39" x14ac:dyDescent="0.25">
      <c r="A449">
        <v>35</v>
      </c>
      <c r="B449" t="s">
        <v>44</v>
      </c>
      <c r="C449" t="s">
        <v>37</v>
      </c>
      <c r="D449">
        <v>619</v>
      </c>
      <c r="E449" t="s">
        <v>38</v>
      </c>
      <c r="G449">
        <v>1</v>
      </c>
      <c r="H449">
        <v>3</v>
      </c>
      <c r="I449" t="s">
        <v>60</v>
      </c>
      <c r="J449" t="str">
        <f>WA_Fn_UseC__HR_Employee_Attrition[[#This Row],[EducationField]]&amp;"-"&amp;WA_Fn_UseC__HR_Employee_Attrition[[#This Row],[Department]]</f>
        <v>Marketing-Sales</v>
      </c>
      <c r="K449">
        <v>1</v>
      </c>
      <c r="L449">
        <v>600</v>
      </c>
      <c r="M449">
        <v>2</v>
      </c>
      <c r="N449" t="s">
        <v>47</v>
      </c>
      <c r="O449">
        <v>85</v>
      </c>
      <c r="P449">
        <v>3</v>
      </c>
      <c r="Q449">
        <v>2</v>
      </c>
      <c r="R449" t="s">
        <v>41</v>
      </c>
      <c r="S449">
        <v>3</v>
      </c>
      <c r="T449" t="s">
        <v>49</v>
      </c>
      <c r="U449">
        <v>4717</v>
      </c>
      <c r="V449" t="str" cm="1">
        <f t="array" ref="V44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49">
        <v>18659</v>
      </c>
      <c r="X449">
        <v>9</v>
      </c>
      <c r="Y449" t="s">
        <v>43</v>
      </c>
      <c r="Z449" t="s">
        <v>44</v>
      </c>
      <c r="AA449">
        <v>11</v>
      </c>
      <c r="AB449">
        <v>3</v>
      </c>
      <c r="AC449">
        <v>3</v>
      </c>
      <c r="AD449">
        <v>80</v>
      </c>
      <c r="AE449">
        <v>0</v>
      </c>
      <c r="AF449">
        <v>15</v>
      </c>
      <c r="AG449">
        <v>2</v>
      </c>
      <c r="AH449">
        <v>3</v>
      </c>
      <c r="AI449">
        <v>11</v>
      </c>
      <c r="AJ449">
        <v>9</v>
      </c>
      <c r="AK449">
        <v>6</v>
      </c>
      <c r="AL449" t="str" cm="1">
        <f t="array" ref="AL44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49">
        <v>9</v>
      </c>
    </row>
    <row r="450" spans="1:39" x14ac:dyDescent="0.25">
      <c r="A450">
        <v>40</v>
      </c>
      <c r="B450" t="s">
        <v>44</v>
      </c>
      <c r="C450" t="s">
        <v>37</v>
      </c>
      <c r="D450">
        <v>302</v>
      </c>
      <c r="E450" t="s">
        <v>46</v>
      </c>
      <c r="G450">
        <v>6</v>
      </c>
      <c r="H450">
        <v>3</v>
      </c>
      <c r="I450" t="s">
        <v>39</v>
      </c>
      <c r="J450" t="str">
        <f>WA_Fn_UseC__HR_Employee_Attrition[[#This Row],[EducationField]]&amp;"-"&amp;WA_Fn_UseC__HR_Employee_Attrition[[#This Row],[Department]]</f>
        <v>Life Sciences-Research &amp; Development</v>
      </c>
      <c r="K450">
        <v>1</v>
      </c>
      <c r="L450">
        <v>601</v>
      </c>
      <c r="M450">
        <v>2</v>
      </c>
      <c r="N450" t="s">
        <v>40</v>
      </c>
      <c r="O450">
        <v>75</v>
      </c>
      <c r="P450">
        <v>3</v>
      </c>
      <c r="Q450">
        <v>4</v>
      </c>
      <c r="R450" t="s">
        <v>54</v>
      </c>
      <c r="S450">
        <v>3</v>
      </c>
      <c r="T450" t="s">
        <v>42</v>
      </c>
      <c r="U450">
        <v>13237</v>
      </c>
      <c r="V450" t="str" cm="1">
        <f t="array" ref="V45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50">
        <v>20364</v>
      </c>
      <c r="X450">
        <v>7</v>
      </c>
      <c r="Y450" t="s">
        <v>43</v>
      </c>
      <c r="Z450" t="s">
        <v>44</v>
      </c>
      <c r="AA450">
        <v>15</v>
      </c>
      <c r="AB450">
        <v>3</v>
      </c>
      <c r="AC450">
        <v>3</v>
      </c>
      <c r="AD450">
        <v>80</v>
      </c>
      <c r="AE450">
        <v>0</v>
      </c>
      <c r="AF450">
        <v>22</v>
      </c>
      <c r="AG450">
        <v>3</v>
      </c>
      <c r="AH450">
        <v>3</v>
      </c>
      <c r="AI450">
        <v>20</v>
      </c>
      <c r="AJ450">
        <v>6</v>
      </c>
      <c r="AK450">
        <v>5</v>
      </c>
      <c r="AL450" t="str" cm="1">
        <f t="array" ref="AL45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50">
        <v>13</v>
      </c>
    </row>
    <row r="451" spans="1:39" x14ac:dyDescent="0.25">
      <c r="A451">
        <v>39</v>
      </c>
      <c r="B451" t="s">
        <v>44</v>
      </c>
      <c r="C451" t="s">
        <v>45</v>
      </c>
      <c r="D451">
        <v>443</v>
      </c>
      <c r="E451" t="s">
        <v>46</v>
      </c>
      <c r="G451">
        <v>8</v>
      </c>
      <c r="H451">
        <v>1</v>
      </c>
      <c r="I451" t="s">
        <v>39</v>
      </c>
      <c r="J451" t="str">
        <f>WA_Fn_UseC__HR_Employee_Attrition[[#This Row],[EducationField]]&amp;"-"&amp;WA_Fn_UseC__HR_Employee_Attrition[[#This Row],[Department]]</f>
        <v>Life Sciences-Research &amp; Development</v>
      </c>
      <c r="K451">
        <v>1</v>
      </c>
      <c r="L451">
        <v>602</v>
      </c>
      <c r="M451">
        <v>3</v>
      </c>
      <c r="N451" t="s">
        <v>40</v>
      </c>
      <c r="O451">
        <v>48</v>
      </c>
      <c r="P451">
        <v>3</v>
      </c>
      <c r="Q451">
        <v>1</v>
      </c>
      <c r="R451" t="s">
        <v>51</v>
      </c>
      <c r="S451">
        <v>3</v>
      </c>
      <c r="T451" t="s">
        <v>49</v>
      </c>
      <c r="U451">
        <v>3755</v>
      </c>
      <c r="V451" t="str" cm="1">
        <f t="array" ref="V45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51">
        <v>17872</v>
      </c>
      <c r="X451">
        <v>1</v>
      </c>
      <c r="Y451" t="s">
        <v>43</v>
      </c>
      <c r="Z451" t="s">
        <v>44</v>
      </c>
      <c r="AA451">
        <v>11</v>
      </c>
      <c r="AB451">
        <v>3</v>
      </c>
      <c r="AC451">
        <v>1</v>
      </c>
      <c r="AD451">
        <v>80</v>
      </c>
      <c r="AE451">
        <v>1</v>
      </c>
      <c r="AF451">
        <v>8</v>
      </c>
      <c r="AG451">
        <v>3</v>
      </c>
      <c r="AH451">
        <v>3</v>
      </c>
      <c r="AI451">
        <v>8</v>
      </c>
      <c r="AJ451">
        <v>3</v>
      </c>
      <c r="AK451">
        <v>0</v>
      </c>
      <c r="AL451" t="str" cm="1">
        <f t="array" ref="AL45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51">
        <v>7</v>
      </c>
    </row>
    <row r="452" spans="1:39" x14ac:dyDescent="0.25">
      <c r="A452">
        <v>31</v>
      </c>
      <c r="B452" t="s">
        <v>44</v>
      </c>
      <c r="C452" t="s">
        <v>37</v>
      </c>
      <c r="D452">
        <v>828</v>
      </c>
      <c r="E452" t="s">
        <v>38</v>
      </c>
      <c r="G452">
        <v>2</v>
      </c>
      <c r="H452">
        <v>1</v>
      </c>
      <c r="I452" t="s">
        <v>39</v>
      </c>
      <c r="J452" t="str">
        <f>WA_Fn_UseC__HR_Employee_Attrition[[#This Row],[EducationField]]&amp;"-"&amp;WA_Fn_UseC__HR_Employee_Attrition[[#This Row],[Department]]</f>
        <v>Life Sciences-Sales</v>
      </c>
      <c r="K452">
        <v>1</v>
      </c>
      <c r="L452">
        <v>604</v>
      </c>
      <c r="M452">
        <v>2</v>
      </c>
      <c r="N452" t="s">
        <v>47</v>
      </c>
      <c r="O452">
        <v>77</v>
      </c>
      <c r="P452">
        <v>3</v>
      </c>
      <c r="Q452">
        <v>2</v>
      </c>
      <c r="R452" t="s">
        <v>41</v>
      </c>
      <c r="S452">
        <v>4</v>
      </c>
      <c r="T452" t="s">
        <v>42</v>
      </c>
      <c r="U452">
        <v>6582</v>
      </c>
      <c r="V452" t="str" cm="1">
        <f t="array" ref="V45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52">
        <v>8346</v>
      </c>
      <c r="X452">
        <v>4</v>
      </c>
      <c r="Y452" t="s">
        <v>43</v>
      </c>
      <c r="Z452" t="s">
        <v>36</v>
      </c>
      <c r="AA452">
        <v>13</v>
      </c>
      <c r="AB452">
        <v>3</v>
      </c>
      <c r="AC452">
        <v>3</v>
      </c>
      <c r="AD452">
        <v>80</v>
      </c>
      <c r="AE452">
        <v>0</v>
      </c>
      <c r="AF452">
        <v>10</v>
      </c>
      <c r="AG452">
        <v>2</v>
      </c>
      <c r="AH452">
        <v>4</v>
      </c>
      <c r="AI452">
        <v>6</v>
      </c>
      <c r="AJ452">
        <v>5</v>
      </c>
      <c r="AK452">
        <v>0</v>
      </c>
      <c r="AL452" t="str" cm="1">
        <f t="array" ref="AL45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52">
        <v>5</v>
      </c>
    </row>
    <row r="453" spans="1:39" x14ac:dyDescent="0.25">
      <c r="A453">
        <v>42</v>
      </c>
      <c r="B453" t="s">
        <v>44</v>
      </c>
      <c r="C453" t="s">
        <v>37</v>
      </c>
      <c r="D453">
        <v>319</v>
      </c>
      <c r="E453" t="s">
        <v>46</v>
      </c>
      <c r="G453">
        <v>24</v>
      </c>
      <c r="H453">
        <v>3</v>
      </c>
      <c r="I453" t="s">
        <v>52</v>
      </c>
      <c r="J453" t="str">
        <f>WA_Fn_UseC__HR_Employee_Attrition[[#This Row],[EducationField]]&amp;"-"&amp;WA_Fn_UseC__HR_Employee_Attrition[[#This Row],[Department]]</f>
        <v>Medical-Research &amp; Development</v>
      </c>
      <c r="K453">
        <v>1</v>
      </c>
      <c r="L453">
        <v>605</v>
      </c>
      <c r="M453">
        <v>4</v>
      </c>
      <c r="N453" t="s">
        <v>47</v>
      </c>
      <c r="O453">
        <v>56</v>
      </c>
      <c r="P453">
        <v>3</v>
      </c>
      <c r="Q453">
        <v>3</v>
      </c>
      <c r="R453" t="s">
        <v>54</v>
      </c>
      <c r="S453">
        <v>1</v>
      </c>
      <c r="T453" t="s">
        <v>49</v>
      </c>
      <c r="U453">
        <v>7406</v>
      </c>
      <c r="V453" t="str" cm="1">
        <f t="array" ref="V45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53">
        <v>6950</v>
      </c>
      <c r="X453">
        <v>1</v>
      </c>
      <c r="Y453" t="s">
        <v>43</v>
      </c>
      <c r="Z453" t="s">
        <v>36</v>
      </c>
      <c r="AA453">
        <v>21</v>
      </c>
      <c r="AB453">
        <v>4</v>
      </c>
      <c r="AC453">
        <v>4</v>
      </c>
      <c r="AD453">
        <v>80</v>
      </c>
      <c r="AE453">
        <v>1</v>
      </c>
      <c r="AF453">
        <v>10</v>
      </c>
      <c r="AG453">
        <v>5</v>
      </c>
      <c r="AH453">
        <v>2</v>
      </c>
      <c r="AI453">
        <v>10</v>
      </c>
      <c r="AJ453">
        <v>9</v>
      </c>
      <c r="AK453">
        <v>5</v>
      </c>
      <c r="AL453" t="str" cm="1">
        <f t="array" ref="AL45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53">
        <v>8</v>
      </c>
    </row>
    <row r="454" spans="1:39" x14ac:dyDescent="0.25">
      <c r="A454">
        <v>45</v>
      </c>
      <c r="B454" t="s">
        <v>44</v>
      </c>
      <c r="C454" t="s">
        <v>37</v>
      </c>
      <c r="D454">
        <v>561</v>
      </c>
      <c r="E454" t="s">
        <v>38</v>
      </c>
      <c r="G454">
        <v>2</v>
      </c>
      <c r="H454">
        <v>3</v>
      </c>
      <c r="I454" t="s">
        <v>50</v>
      </c>
      <c r="J454" t="str">
        <f>WA_Fn_UseC__HR_Employee_Attrition[[#This Row],[EducationField]]&amp;"-"&amp;WA_Fn_UseC__HR_Employee_Attrition[[#This Row],[Department]]</f>
        <v>Other-Sales</v>
      </c>
      <c r="K454">
        <v>1</v>
      </c>
      <c r="L454">
        <v>606</v>
      </c>
      <c r="M454">
        <v>4</v>
      </c>
      <c r="N454" t="s">
        <v>47</v>
      </c>
      <c r="O454">
        <v>61</v>
      </c>
      <c r="P454">
        <v>3</v>
      </c>
      <c r="Q454">
        <v>2</v>
      </c>
      <c r="R454" t="s">
        <v>41</v>
      </c>
      <c r="S454">
        <v>2</v>
      </c>
      <c r="T454" t="s">
        <v>49</v>
      </c>
      <c r="U454">
        <v>4805</v>
      </c>
      <c r="V454" t="str" cm="1">
        <f t="array" ref="V45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54">
        <v>16177</v>
      </c>
      <c r="X454">
        <v>0</v>
      </c>
      <c r="Y454" t="s">
        <v>43</v>
      </c>
      <c r="Z454" t="s">
        <v>44</v>
      </c>
      <c r="AA454">
        <v>19</v>
      </c>
      <c r="AB454">
        <v>3</v>
      </c>
      <c r="AC454">
        <v>2</v>
      </c>
      <c r="AD454">
        <v>80</v>
      </c>
      <c r="AE454">
        <v>1</v>
      </c>
      <c r="AF454">
        <v>9</v>
      </c>
      <c r="AG454">
        <v>3</v>
      </c>
      <c r="AH454">
        <v>4</v>
      </c>
      <c r="AI454">
        <v>8</v>
      </c>
      <c r="AJ454">
        <v>7</v>
      </c>
      <c r="AK454">
        <v>3</v>
      </c>
      <c r="AL454" t="str" cm="1">
        <f t="array" ref="AL45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54">
        <v>7</v>
      </c>
    </row>
    <row r="455" spans="1:39" x14ac:dyDescent="0.25">
      <c r="A455">
        <v>26</v>
      </c>
      <c r="B455" t="s">
        <v>36</v>
      </c>
      <c r="C455" t="s">
        <v>45</v>
      </c>
      <c r="D455">
        <v>426</v>
      </c>
      <c r="E455" t="s">
        <v>62</v>
      </c>
      <c r="G455">
        <v>17</v>
      </c>
      <c r="H455">
        <v>4</v>
      </c>
      <c r="I455" t="s">
        <v>39</v>
      </c>
      <c r="J455" t="str">
        <f>WA_Fn_UseC__HR_Employee_Attrition[[#This Row],[EducationField]]&amp;"-"&amp;WA_Fn_UseC__HR_Employee_Attrition[[#This Row],[Department]]</f>
        <v>Life Sciences-Human Resources</v>
      </c>
      <c r="K455">
        <v>1</v>
      </c>
      <c r="L455">
        <v>608</v>
      </c>
      <c r="M455">
        <v>2</v>
      </c>
      <c r="N455" t="s">
        <v>40</v>
      </c>
      <c r="O455">
        <v>58</v>
      </c>
      <c r="P455">
        <v>3</v>
      </c>
      <c r="Q455">
        <v>1</v>
      </c>
      <c r="R455" t="s">
        <v>62</v>
      </c>
      <c r="S455">
        <v>3</v>
      </c>
      <c r="T455" t="s">
        <v>53</v>
      </c>
      <c r="U455">
        <v>2741</v>
      </c>
      <c r="V455" t="str" cm="1">
        <f t="array" ref="V45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55">
        <v>22808</v>
      </c>
      <c r="X455">
        <v>0</v>
      </c>
      <c r="Y455" t="s">
        <v>43</v>
      </c>
      <c r="Z455" t="s">
        <v>36</v>
      </c>
      <c r="AA455">
        <v>11</v>
      </c>
      <c r="AB455">
        <v>3</v>
      </c>
      <c r="AC455">
        <v>2</v>
      </c>
      <c r="AD455">
        <v>80</v>
      </c>
      <c r="AE455">
        <v>1</v>
      </c>
      <c r="AF455">
        <v>8</v>
      </c>
      <c r="AG455">
        <v>2</v>
      </c>
      <c r="AH455">
        <v>2</v>
      </c>
      <c r="AI455">
        <v>7</v>
      </c>
      <c r="AJ455">
        <v>7</v>
      </c>
      <c r="AK455">
        <v>1</v>
      </c>
      <c r="AL455" t="str" cm="1">
        <f t="array" ref="AL45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55">
        <v>0</v>
      </c>
    </row>
    <row r="456" spans="1:39" x14ac:dyDescent="0.25">
      <c r="A456">
        <v>29</v>
      </c>
      <c r="B456" t="s">
        <v>44</v>
      </c>
      <c r="C456" t="s">
        <v>37</v>
      </c>
      <c r="D456">
        <v>232</v>
      </c>
      <c r="E456" t="s">
        <v>46</v>
      </c>
      <c r="G456">
        <v>19</v>
      </c>
      <c r="H456">
        <v>3</v>
      </c>
      <c r="I456" t="s">
        <v>61</v>
      </c>
      <c r="J456" t="str">
        <f>WA_Fn_UseC__HR_Employee_Attrition[[#This Row],[EducationField]]&amp;"-"&amp;WA_Fn_UseC__HR_Employee_Attrition[[#This Row],[Department]]</f>
        <v>Technical Degree-Research &amp; Development</v>
      </c>
      <c r="K456">
        <v>1</v>
      </c>
      <c r="L456">
        <v>611</v>
      </c>
      <c r="M456">
        <v>4</v>
      </c>
      <c r="N456" t="s">
        <v>47</v>
      </c>
      <c r="O456">
        <v>34</v>
      </c>
      <c r="P456">
        <v>3</v>
      </c>
      <c r="Q456">
        <v>2</v>
      </c>
      <c r="R456" t="s">
        <v>54</v>
      </c>
      <c r="S456">
        <v>4</v>
      </c>
      <c r="T456" t="s">
        <v>53</v>
      </c>
      <c r="U456">
        <v>4262</v>
      </c>
      <c r="V456" t="str" cm="1">
        <f t="array" ref="V45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56">
        <v>22645</v>
      </c>
      <c r="X456">
        <v>4</v>
      </c>
      <c r="Y456" t="s">
        <v>43</v>
      </c>
      <c r="Z456" t="s">
        <v>44</v>
      </c>
      <c r="AA456">
        <v>12</v>
      </c>
      <c r="AB456">
        <v>3</v>
      </c>
      <c r="AC456">
        <v>2</v>
      </c>
      <c r="AD456">
        <v>80</v>
      </c>
      <c r="AE456">
        <v>2</v>
      </c>
      <c r="AF456">
        <v>8</v>
      </c>
      <c r="AG456">
        <v>2</v>
      </c>
      <c r="AH456">
        <v>4</v>
      </c>
      <c r="AI456">
        <v>3</v>
      </c>
      <c r="AJ456">
        <v>2</v>
      </c>
      <c r="AK456">
        <v>1</v>
      </c>
      <c r="AL456" t="str" cm="1">
        <f t="array" ref="AL45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56">
        <v>2</v>
      </c>
    </row>
    <row r="457" spans="1:39" x14ac:dyDescent="0.25">
      <c r="A457">
        <v>33</v>
      </c>
      <c r="B457" t="s">
        <v>44</v>
      </c>
      <c r="C457" t="s">
        <v>37</v>
      </c>
      <c r="D457">
        <v>922</v>
      </c>
      <c r="E457" t="s">
        <v>46</v>
      </c>
      <c r="G457">
        <v>1</v>
      </c>
      <c r="H457">
        <v>5</v>
      </c>
      <c r="I457" t="s">
        <v>52</v>
      </c>
      <c r="J457" t="str">
        <f>WA_Fn_UseC__HR_Employee_Attrition[[#This Row],[EducationField]]&amp;"-"&amp;WA_Fn_UseC__HR_Employee_Attrition[[#This Row],[Department]]</f>
        <v>Medical-Research &amp; Development</v>
      </c>
      <c r="K457">
        <v>1</v>
      </c>
      <c r="L457">
        <v>612</v>
      </c>
      <c r="M457">
        <v>1</v>
      </c>
      <c r="N457" t="s">
        <v>40</v>
      </c>
      <c r="O457">
        <v>95</v>
      </c>
      <c r="P457">
        <v>4</v>
      </c>
      <c r="Q457">
        <v>4</v>
      </c>
      <c r="R457" t="s">
        <v>59</v>
      </c>
      <c r="S457">
        <v>3</v>
      </c>
      <c r="T457" t="s">
        <v>53</v>
      </c>
      <c r="U457">
        <v>16184</v>
      </c>
      <c r="V457" t="str" cm="1">
        <f t="array" ref="V45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57">
        <v>22578</v>
      </c>
      <c r="X457">
        <v>4</v>
      </c>
      <c r="Y457" t="s">
        <v>43</v>
      </c>
      <c r="Z457" t="s">
        <v>44</v>
      </c>
      <c r="AA457">
        <v>19</v>
      </c>
      <c r="AB457">
        <v>3</v>
      </c>
      <c r="AC457">
        <v>3</v>
      </c>
      <c r="AD457">
        <v>80</v>
      </c>
      <c r="AE457">
        <v>1</v>
      </c>
      <c r="AF457">
        <v>10</v>
      </c>
      <c r="AG457">
        <v>2</v>
      </c>
      <c r="AH457">
        <v>3</v>
      </c>
      <c r="AI457">
        <v>6</v>
      </c>
      <c r="AJ457">
        <v>1</v>
      </c>
      <c r="AK457">
        <v>0</v>
      </c>
      <c r="AL457" t="str" cm="1">
        <f t="array" ref="AL45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57">
        <v>5</v>
      </c>
    </row>
    <row r="458" spans="1:39" x14ac:dyDescent="0.25">
      <c r="A458">
        <v>31</v>
      </c>
      <c r="B458" t="s">
        <v>44</v>
      </c>
      <c r="C458" t="s">
        <v>37</v>
      </c>
      <c r="D458">
        <v>688</v>
      </c>
      <c r="E458" t="s">
        <v>38</v>
      </c>
      <c r="G458">
        <v>7</v>
      </c>
      <c r="H458">
        <v>3</v>
      </c>
      <c r="I458" t="s">
        <v>39</v>
      </c>
      <c r="J458" t="str">
        <f>WA_Fn_UseC__HR_Employee_Attrition[[#This Row],[EducationField]]&amp;"-"&amp;WA_Fn_UseC__HR_Employee_Attrition[[#This Row],[Department]]</f>
        <v>Life Sciences-Sales</v>
      </c>
      <c r="K458">
        <v>1</v>
      </c>
      <c r="L458">
        <v>613</v>
      </c>
      <c r="M458">
        <v>3</v>
      </c>
      <c r="N458" t="s">
        <v>47</v>
      </c>
      <c r="O458">
        <v>44</v>
      </c>
      <c r="P458">
        <v>2</v>
      </c>
      <c r="Q458">
        <v>3</v>
      </c>
      <c r="R458" t="s">
        <v>57</v>
      </c>
      <c r="S458">
        <v>4</v>
      </c>
      <c r="T458" t="s">
        <v>53</v>
      </c>
      <c r="U458">
        <v>11557</v>
      </c>
      <c r="V458" t="str" cm="1">
        <f t="array" ref="V45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58">
        <v>25291</v>
      </c>
      <c r="X458">
        <v>9</v>
      </c>
      <c r="Y458" t="s">
        <v>43</v>
      </c>
      <c r="Z458" t="s">
        <v>44</v>
      </c>
      <c r="AA458">
        <v>21</v>
      </c>
      <c r="AB458">
        <v>4</v>
      </c>
      <c r="AC458">
        <v>3</v>
      </c>
      <c r="AD458">
        <v>80</v>
      </c>
      <c r="AE458">
        <v>1</v>
      </c>
      <c r="AF458">
        <v>10</v>
      </c>
      <c r="AG458">
        <v>3</v>
      </c>
      <c r="AH458">
        <v>2</v>
      </c>
      <c r="AI458">
        <v>5</v>
      </c>
      <c r="AJ458">
        <v>4</v>
      </c>
      <c r="AK458">
        <v>0</v>
      </c>
      <c r="AL458" t="str" cm="1">
        <f t="array" ref="AL45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58">
        <v>1</v>
      </c>
    </row>
    <row r="459" spans="1:39" x14ac:dyDescent="0.25">
      <c r="A459">
        <v>18</v>
      </c>
      <c r="B459" t="s">
        <v>36</v>
      </c>
      <c r="C459" t="s">
        <v>45</v>
      </c>
      <c r="D459">
        <v>1306</v>
      </c>
      <c r="E459" t="s">
        <v>38</v>
      </c>
      <c r="G459">
        <v>5</v>
      </c>
      <c r="H459">
        <v>3</v>
      </c>
      <c r="I459" t="s">
        <v>60</v>
      </c>
      <c r="J459" t="str">
        <f>WA_Fn_UseC__HR_Employee_Attrition[[#This Row],[EducationField]]&amp;"-"&amp;WA_Fn_UseC__HR_Employee_Attrition[[#This Row],[Department]]</f>
        <v>Marketing-Sales</v>
      </c>
      <c r="K459">
        <v>1</v>
      </c>
      <c r="L459">
        <v>614</v>
      </c>
      <c r="M459">
        <v>2</v>
      </c>
      <c r="N459" t="s">
        <v>47</v>
      </c>
      <c r="O459">
        <v>69</v>
      </c>
      <c r="P459">
        <v>3</v>
      </c>
      <c r="Q459">
        <v>1</v>
      </c>
      <c r="R459" t="s">
        <v>58</v>
      </c>
      <c r="S459">
        <v>2</v>
      </c>
      <c r="T459" t="s">
        <v>42</v>
      </c>
      <c r="U459">
        <v>1878</v>
      </c>
      <c r="V459" t="str" cm="1">
        <f t="array" ref="V45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59">
        <v>8059</v>
      </c>
      <c r="X459">
        <v>1</v>
      </c>
      <c r="Y459" t="s">
        <v>43</v>
      </c>
      <c r="Z459" t="s">
        <v>36</v>
      </c>
      <c r="AA459">
        <v>14</v>
      </c>
      <c r="AB459">
        <v>3</v>
      </c>
      <c r="AC459">
        <v>4</v>
      </c>
      <c r="AD459">
        <v>80</v>
      </c>
      <c r="AE459">
        <v>0</v>
      </c>
      <c r="AF459">
        <v>0</v>
      </c>
      <c r="AG459">
        <v>3</v>
      </c>
      <c r="AH459">
        <v>3</v>
      </c>
      <c r="AI459">
        <v>0</v>
      </c>
      <c r="AJ459">
        <v>0</v>
      </c>
      <c r="AK459">
        <v>0</v>
      </c>
      <c r="AL459" t="str" cm="1">
        <f t="array" ref="AL45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59">
        <v>0</v>
      </c>
    </row>
    <row r="460" spans="1:39" x14ac:dyDescent="0.25">
      <c r="A460">
        <v>40</v>
      </c>
      <c r="B460" t="s">
        <v>44</v>
      </c>
      <c r="C460" t="s">
        <v>56</v>
      </c>
      <c r="D460">
        <v>1094</v>
      </c>
      <c r="E460" t="s">
        <v>38</v>
      </c>
      <c r="G460">
        <v>28</v>
      </c>
      <c r="H460">
        <v>3</v>
      </c>
      <c r="I460" t="s">
        <v>50</v>
      </c>
      <c r="J460" t="str">
        <f>WA_Fn_UseC__HR_Employee_Attrition[[#This Row],[EducationField]]&amp;"-"&amp;WA_Fn_UseC__HR_Employee_Attrition[[#This Row],[Department]]</f>
        <v>Other-Sales</v>
      </c>
      <c r="K460">
        <v>1</v>
      </c>
      <c r="L460">
        <v>615</v>
      </c>
      <c r="M460">
        <v>3</v>
      </c>
      <c r="N460" t="s">
        <v>47</v>
      </c>
      <c r="O460">
        <v>58</v>
      </c>
      <c r="P460">
        <v>1</v>
      </c>
      <c r="Q460">
        <v>3</v>
      </c>
      <c r="R460" t="s">
        <v>41</v>
      </c>
      <c r="S460">
        <v>1</v>
      </c>
      <c r="T460" t="s">
        <v>53</v>
      </c>
      <c r="U460">
        <v>10932</v>
      </c>
      <c r="V460" t="str" cm="1">
        <f t="array" ref="V46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60">
        <v>11373</v>
      </c>
      <c r="X460">
        <v>3</v>
      </c>
      <c r="Y460" t="s">
        <v>43</v>
      </c>
      <c r="Z460" t="s">
        <v>44</v>
      </c>
      <c r="AA460">
        <v>15</v>
      </c>
      <c r="AB460">
        <v>3</v>
      </c>
      <c r="AC460">
        <v>3</v>
      </c>
      <c r="AD460">
        <v>80</v>
      </c>
      <c r="AE460">
        <v>1</v>
      </c>
      <c r="AF460">
        <v>20</v>
      </c>
      <c r="AG460">
        <v>2</v>
      </c>
      <c r="AH460">
        <v>3</v>
      </c>
      <c r="AI460">
        <v>1</v>
      </c>
      <c r="AJ460">
        <v>0</v>
      </c>
      <c r="AK460">
        <v>0</v>
      </c>
      <c r="AL460" t="str" cm="1">
        <f t="array" ref="AL46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60">
        <v>1</v>
      </c>
    </row>
    <row r="461" spans="1:39" x14ac:dyDescent="0.25">
      <c r="A461">
        <v>41</v>
      </c>
      <c r="B461" t="s">
        <v>44</v>
      </c>
      <c r="C461" t="s">
        <v>56</v>
      </c>
      <c r="D461">
        <v>509</v>
      </c>
      <c r="E461" t="s">
        <v>46</v>
      </c>
      <c r="G461">
        <v>2</v>
      </c>
      <c r="H461">
        <v>4</v>
      </c>
      <c r="I461" t="s">
        <v>50</v>
      </c>
      <c r="J461" t="str">
        <f>WA_Fn_UseC__HR_Employee_Attrition[[#This Row],[EducationField]]&amp;"-"&amp;WA_Fn_UseC__HR_Employee_Attrition[[#This Row],[Department]]</f>
        <v>Other-Research &amp; Development</v>
      </c>
      <c r="K461">
        <v>1</v>
      </c>
      <c r="L461">
        <v>616</v>
      </c>
      <c r="M461">
        <v>1</v>
      </c>
      <c r="N461" t="s">
        <v>40</v>
      </c>
      <c r="O461">
        <v>62</v>
      </c>
      <c r="P461">
        <v>2</v>
      </c>
      <c r="Q461">
        <v>2</v>
      </c>
      <c r="R461" t="s">
        <v>55</v>
      </c>
      <c r="S461">
        <v>3</v>
      </c>
      <c r="T461" t="s">
        <v>42</v>
      </c>
      <c r="U461">
        <v>6811</v>
      </c>
      <c r="V461" t="str" cm="1">
        <f t="array" ref="V46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61">
        <v>2112</v>
      </c>
      <c r="X461">
        <v>2</v>
      </c>
      <c r="Y461" t="s">
        <v>43</v>
      </c>
      <c r="Z461" t="s">
        <v>36</v>
      </c>
      <c r="AA461">
        <v>17</v>
      </c>
      <c r="AB461">
        <v>3</v>
      </c>
      <c r="AC461">
        <v>1</v>
      </c>
      <c r="AD461">
        <v>80</v>
      </c>
      <c r="AE461">
        <v>0</v>
      </c>
      <c r="AF461">
        <v>10</v>
      </c>
      <c r="AG461">
        <v>3</v>
      </c>
      <c r="AH461">
        <v>3</v>
      </c>
      <c r="AI461">
        <v>8</v>
      </c>
      <c r="AJ461">
        <v>7</v>
      </c>
      <c r="AK461">
        <v>0</v>
      </c>
      <c r="AL461" t="str" cm="1">
        <f t="array" ref="AL46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61">
        <v>7</v>
      </c>
    </row>
    <row r="462" spans="1:39" x14ac:dyDescent="0.25">
      <c r="A462">
        <v>26</v>
      </c>
      <c r="B462" t="s">
        <v>44</v>
      </c>
      <c r="C462" t="s">
        <v>37</v>
      </c>
      <c r="D462">
        <v>775</v>
      </c>
      <c r="E462" t="s">
        <v>38</v>
      </c>
      <c r="G462">
        <v>29</v>
      </c>
      <c r="H462">
        <v>2</v>
      </c>
      <c r="I462" t="s">
        <v>52</v>
      </c>
      <c r="J462" t="str">
        <f>WA_Fn_UseC__HR_Employee_Attrition[[#This Row],[EducationField]]&amp;"-"&amp;WA_Fn_UseC__HR_Employee_Attrition[[#This Row],[Department]]</f>
        <v>Medical-Sales</v>
      </c>
      <c r="K462">
        <v>1</v>
      </c>
      <c r="L462">
        <v>618</v>
      </c>
      <c r="M462">
        <v>1</v>
      </c>
      <c r="N462" t="s">
        <v>47</v>
      </c>
      <c r="O462">
        <v>45</v>
      </c>
      <c r="P462">
        <v>3</v>
      </c>
      <c r="Q462">
        <v>2</v>
      </c>
      <c r="R462" t="s">
        <v>41</v>
      </c>
      <c r="S462">
        <v>3</v>
      </c>
      <c r="T462" t="s">
        <v>53</v>
      </c>
      <c r="U462">
        <v>4306</v>
      </c>
      <c r="V462" t="str" cm="1">
        <f t="array" ref="V46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62">
        <v>4267</v>
      </c>
      <c r="X462">
        <v>5</v>
      </c>
      <c r="Y462" t="s">
        <v>43</v>
      </c>
      <c r="Z462" t="s">
        <v>44</v>
      </c>
      <c r="AA462">
        <v>12</v>
      </c>
      <c r="AB462">
        <v>3</v>
      </c>
      <c r="AC462">
        <v>1</v>
      </c>
      <c r="AD462">
        <v>80</v>
      </c>
      <c r="AE462">
        <v>2</v>
      </c>
      <c r="AF462">
        <v>8</v>
      </c>
      <c r="AG462">
        <v>5</v>
      </c>
      <c r="AH462">
        <v>3</v>
      </c>
      <c r="AI462">
        <v>0</v>
      </c>
      <c r="AJ462">
        <v>0</v>
      </c>
      <c r="AK462">
        <v>0</v>
      </c>
      <c r="AL462" t="str" cm="1">
        <f t="array" ref="AL46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62">
        <v>0</v>
      </c>
    </row>
    <row r="463" spans="1:39" x14ac:dyDescent="0.25">
      <c r="A463">
        <v>35</v>
      </c>
      <c r="B463" t="s">
        <v>44</v>
      </c>
      <c r="C463" t="s">
        <v>37</v>
      </c>
      <c r="D463">
        <v>195</v>
      </c>
      <c r="E463" t="s">
        <v>38</v>
      </c>
      <c r="G463">
        <v>1</v>
      </c>
      <c r="H463">
        <v>3</v>
      </c>
      <c r="I463" t="s">
        <v>52</v>
      </c>
      <c r="J463" t="str">
        <f>WA_Fn_UseC__HR_Employee_Attrition[[#This Row],[EducationField]]&amp;"-"&amp;WA_Fn_UseC__HR_Employee_Attrition[[#This Row],[Department]]</f>
        <v>Medical-Sales</v>
      </c>
      <c r="K463">
        <v>1</v>
      </c>
      <c r="L463">
        <v>620</v>
      </c>
      <c r="M463">
        <v>1</v>
      </c>
      <c r="N463" t="s">
        <v>40</v>
      </c>
      <c r="O463">
        <v>80</v>
      </c>
      <c r="P463">
        <v>3</v>
      </c>
      <c r="Q463">
        <v>2</v>
      </c>
      <c r="R463" t="s">
        <v>41</v>
      </c>
      <c r="S463">
        <v>3</v>
      </c>
      <c r="T463" t="s">
        <v>42</v>
      </c>
      <c r="U463">
        <v>4859</v>
      </c>
      <c r="V463" t="str" cm="1">
        <f t="array" ref="V46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63">
        <v>6698</v>
      </c>
      <c r="X463">
        <v>1</v>
      </c>
      <c r="Y463" t="s">
        <v>43</v>
      </c>
      <c r="Z463" t="s">
        <v>44</v>
      </c>
      <c r="AA463">
        <v>16</v>
      </c>
      <c r="AB463">
        <v>3</v>
      </c>
      <c r="AC463">
        <v>4</v>
      </c>
      <c r="AD463">
        <v>80</v>
      </c>
      <c r="AE463">
        <v>0</v>
      </c>
      <c r="AF463">
        <v>5</v>
      </c>
      <c r="AG463">
        <v>3</v>
      </c>
      <c r="AH463">
        <v>3</v>
      </c>
      <c r="AI463">
        <v>5</v>
      </c>
      <c r="AJ463">
        <v>4</v>
      </c>
      <c r="AK463">
        <v>0</v>
      </c>
      <c r="AL463" t="str" cm="1">
        <f t="array" ref="AL46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63">
        <v>3</v>
      </c>
    </row>
    <row r="464" spans="1:39" x14ac:dyDescent="0.25">
      <c r="A464">
        <v>34</v>
      </c>
      <c r="B464" t="s">
        <v>44</v>
      </c>
      <c r="C464" t="s">
        <v>37</v>
      </c>
      <c r="D464">
        <v>258</v>
      </c>
      <c r="E464" t="s">
        <v>38</v>
      </c>
      <c r="G464">
        <v>21</v>
      </c>
      <c r="H464">
        <v>4</v>
      </c>
      <c r="I464" t="s">
        <v>39</v>
      </c>
      <c r="J464" t="str">
        <f>WA_Fn_UseC__HR_Employee_Attrition[[#This Row],[EducationField]]&amp;"-"&amp;WA_Fn_UseC__HR_Employee_Attrition[[#This Row],[Department]]</f>
        <v>Life Sciences-Sales</v>
      </c>
      <c r="K464">
        <v>1</v>
      </c>
      <c r="L464">
        <v>621</v>
      </c>
      <c r="M464">
        <v>4</v>
      </c>
      <c r="N464" t="s">
        <v>47</v>
      </c>
      <c r="O464">
        <v>74</v>
      </c>
      <c r="P464">
        <v>4</v>
      </c>
      <c r="Q464">
        <v>2</v>
      </c>
      <c r="R464" t="s">
        <v>41</v>
      </c>
      <c r="S464">
        <v>4</v>
      </c>
      <c r="T464" t="s">
        <v>42</v>
      </c>
      <c r="U464">
        <v>5337</v>
      </c>
      <c r="V464" t="str" cm="1">
        <f t="array" ref="V46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64">
        <v>19921</v>
      </c>
      <c r="X464">
        <v>1</v>
      </c>
      <c r="Y464" t="s">
        <v>43</v>
      </c>
      <c r="Z464" t="s">
        <v>44</v>
      </c>
      <c r="AA464">
        <v>12</v>
      </c>
      <c r="AB464">
        <v>3</v>
      </c>
      <c r="AC464">
        <v>4</v>
      </c>
      <c r="AD464">
        <v>80</v>
      </c>
      <c r="AE464">
        <v>0</v>
      </c>
      <c r="AF464">
        <v>10</v>
      </c>
      <c r="AG464">
        <v>3</v>
      </c>
      <c r="AH464">
        <v>3</v>
      </c>
      <c r="AI464">
        <v>10</v>
      </c>
      <c r="AJ464">
        <v>7</v>
      </c>
      <c r="AK464">
        <v>5</v>
      </c>
      <c r="AL464" t="str" cm="1">
        <f t="array" ref="AL46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64">
        <v>7</v>
      </c>
    </row>
    <row r="465" spans="1:39" x14ac:dyDescent="0.25">
      <c r="A465">
        <v>26</v>
      </c>
      <c r="B465" t="s">
        <v>36</v>
      </c>
      <c r="C465" t="s">
        <v>37</v>
      </c>
      <c r="D465">
        <v>471</v>
      </c>
      <c r="E465" t="s">
        <v>46</v>
      </c>
      <c r="G465">
        <v>24</v>
      </c>
      <c r="H465">
        <v>3</v>
      </c>
      <c r="I465" t="s">
        <v>61</v>
      </c>
      <c r="J465" t="str">
        <f>WA_Fn_UseC__HR_Employee_Attrition[[#This Row],[EducationField]]&amp;"-"&amp;WA_Fn_UseC__HR_Employee_Attrition[[#This Row],[Department]]</f>
        <v>Technical Degree-Research &amp; Development</v>
      </c>
      <c r="K465">
        <v>1</v>
      </c>
      <c r="L465">
        <v>622</v>
      </c>
      <c r="M465">
        <v>3</v>
      </c>
      <c r="N465" t="s">
        <v>47</v>
      </c>
      <c r="O465">
        <v>66</v>
      </c>
      <c r="P465">
        <v>1</v>
      </c>
      <c r="Q465">
        <v>1</v>
      </c>
      <c r="R465" t="s">
        <v>51</v>
      </c>
      <c r="S465">
        <v>4</v>
      </c>
      <c r="T465" t="s">
        <v>42</v>
      </c>
      <c r="U465">
        <v>2340</v>
      </c>
      <c r="V465" t="str" cm="1">
        <f t="array" ref="V46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65">
        <v>23213</v>
      </c>
      <c r="X465">
        <v>1</v>
      </c>
      <c r="Y465" t="s">
        <v>43</v>
      </c>
      <c r="Z465" t="s">
        <v>36</v>
      </c>
      <c r="AA465">
        <v>18</v>
      </c>
      <c r="AB465">
        <v>3</v>
      </c>
      <c r="AC465">
        <v>2</v>
      </c>
      <c r="AD465">
        <v>80</v>
      </c>
      <c r="AE465">
        <v>0</v>
      </c>
      <c r="AF465">
        <v>1</v>
      </c>
      <c r="AG465">
        <v>3</v>
      </c>
      <c r="AH465">
        <v>1</v>
      </c>
      <c r="AI465">
        <v>1</v>
      </c>
      <c r="AJ465">
        <v>0</v>
      </c>
      <c r="AK465">
        <v>0</v>
      </c>
      <c r="AL465" t="str" cm="1">
        <f t="array" ref="AL46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65">
        <v>0</v>
      </c>
    </row>
    <row r="466" spans="1:39" x14ac:dyDescent="0.25">
      <c r="A466">
        <v>37</v>
      </c>
      <c r="B466" t="s">
        <v>44</v>
      </c>
      <c r="C466" t="s">
        <v>37</v>
      </c>
      <c r="D466">
        <v>799</v>
      </c>
      <c r="E466" t="s">
        <v>46</v>
      </c>
      <c r="G466">
        <v>1</v>
      </c>
      <c r="H466">
        <v>3</v>
      </c>
      <c r="I466" t="s">
        <v>61</v>
      </c>
      <c r="J466" t="str">
        <f>WA_Fn_UseC__HR_Employee_Attrition[[#This Row],[EducationField]]&amp;"-"&amp;WA_Fn_UseC__HR_Employee_Attrition[[#This Row],[Department]]</f>
        <v>Technical Degree-Research &amp; Development</v>
      </c>
      <c r="K466">
        <v>1</v>
      </c>
      <c r="L466">
        <v>623</v>
      </c>
      <c r="M466">
        <v>2</v>
      </c>
      <c r="N466" t="s">
        <v>40</v>
      </c>
      <c r="O466">
        <v>59</v>
      </c>
      <c r="P466">
        <v>3</v>
      </c>
      <c r="Q466">
        <v>3</v>
      </c>
      <c r="R466" t="s">
        <v>54</v>
      </c>
      <c r="S466">
        <v>4</v>
      </c>
      <c r="T466" t="s">
        <v>42</v>
      </c>
      <c r="U466">
        <v>7491</v>
      </c>
      <c r="V466" t="str" cm="1">
        <f t="array" ref="V46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66">
        <v>23848</v>
      </c>
      <c r="X466">
        <v>4</v>
      </c>
      <c r="Y466" t="s">
        <v>43</v>
      </c>
      <c r="Z466" t="s">
        <v>44</v>
      </c>
      <c r="AA466">
        <v>17</v>
      </c>
      <c r="AB466">
        <v>3</v>
      </c>
      <c r="AC466">
        <v>4</v>
      </c>
      <c r="AD466">
        <v>80</v>
      </c>
      <c r="AE466">
        <v>0</v>
      </c>
      <c r="AF466">
        <v>12</v>
      </c>
      <c r="AG466">
        <v>3</v>
      </c>
      <c r="AH466">
        <v>4</v>
      </c>
      <c r="AI466">
        <v>6</v>
      </c>
      <c r="AJ466">
        <v>5</v>
      </c>
      <c r="AK466">
        <v>1</v>
      </c>
      <c r="AL466" t="str" cm="1">
        <f t="array" ref="AL46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66">
        <v>2</v>
      </c>
    </row>
    <row r="467" spans="1:39" x14ac:dyDescent="0.25">
      <c r="A467">
        <v>46</v>
      </c>
      <c r="B467" t="s">
        <v>44</v>
      </c>
      <c r="C467" t="s">
        <v>45</v>
      </c>
      <c r="D467">
        <v>1034</v>
      </c>
      <c r="E467" t="s">
        <v>46</v>
      </c>
      <c r="G467">
        <v>18</v>
      </c>
      <c r="H467">
        <v>1</v>
      </c>
      <c r="I467" t="s">
        <v>52</v>
      </c>
      <c r="J467" t="str">
        <f>WA_Fn_UseC__HR_Employee_Attrition[[#This Row],[EducationField]]&amp;"-"&amp;WA_Fn_UseC__HR_Employee_Attrition[[#This Row],[Department]]</f>
        <v>Medical-Research &amp; Development</v>
      </c>
      <c r="K467">
        <v>1</v>
      </c>
      <c r="L467">
        <v>624</v>
      </c>
      <c r="M467">
        <v>1</v>
      </c>
      <c r="N467" t="s">
        <v>40</v>
      </c>
      <c r="O467">
        <v>86</v>
      </c>
      <c r="P467">
        <v>3</v>
      </c>
      <c r="Q467">
        <v>3</v>
      </c>
      <c r="R467" t="s">
        <v>55</v>
      </c>
      <c r="S467">
        <v>3</v>
      </c>
      <c r="T467" t="s">
        <v>49</v>
      </c>
      <c r="U467">
        <v>10527</v>
      </c>
      <c r="V467" t="str" cm="1">
        <f t="array" ref="V46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67">
        <v>8984</v>
      </c>
      <c r="X467">
        <v>5</v>
      </c>
      <c r="Y467" t="s">
        <v>43</v>
      </c>
      <c r="Z467" t="s">
        <v>44</v>
      </c>
      <c r="AA467">
        <v>11</v>
      </c>
      <c r="AB467">
        <v>3</v>
      </c>
      <c r="AC467">
        <v>4</v>
      </c>
      <c r="AD467">
        <v>80</v>
      </c>
      <c r="AE467">
        <v>0</v>
      </c>
      <c r="AF467">
        <v>28</v>
      </c>
      <c r="AG467">
        <v>3</v>
      </c>
      <c r="AH467">
        <v>2</v>
      </c>
      <c r="AI467">
        <v>2</v>
      </c>
      <c r="AJ467">
        <v>2</v>
      </c>
      <c r="AK467">
        <v>1</v>
      </c>
      <c r="AL467" t="str" cm="1">
        <f t="array" ref="AL46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67">
        <v>2</v>
      </c>
    </row>
    <row r="468" spans="1:39" x14ac:dyDescent="0.25">
      <c r="A468">
        <v>41</v>
      </c>
      <c r="B468" t="s">
        <v>44</v>
      </c>
      <c r="C468" t="s">
        <v>37</v>
      </c>
      <c r="D468">
        <v>1276</v>
      </c>
      <c r="E468" t="s">
        <v>38</v>
      </c>
      <c r="G468">
        <v>2</v>
      </c>
      <c r="H468">
        <v>5</v>
      </c>
      <c r="I468" t="s">
        <v>39</v>
      </c>
      <c r="J468" t="str">
        <f>WA_Fn_UseC__HR_Employee_Attrition[[#This Row],[EducationField]]&amp;"-"&amp;WA_Fn_UseC__HR_Employee_Attrition[[#This Row],[Department]]</f>
        <v>Life Sciences-Sales</v>
      </c>
      <c r="K468">
        <v>1</v>
      </c>
      <c r="L468">
        <v>625</v>
      </c>
      <c r="M468">
        <v>2</v>
      </c>
      <c r="N468" t="s">
        <v>40</v>
      </c>
      <c r="O468">
        <v>91</v>
      </c>
      <c r="P468">
        <v>3</v>
      </c>
      <c r="Q468">
        <v>4</v>
      </c>
      <c r="R468" t="s">
        <v>57</v>
      </c>
      <c r="S468">
        <v>1</v>
      </c>
      <c r="T468" t="s">
        <v>49</v>
      </c>
      <c r="U468">
        <v>16595</v>
      </c>
      <c r="V468" t="str" cm="1">
        <f t="array" ref="V46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68">
        <v>5626</v>
      </c>
      <c r="X468">
        <v>7</v>
      </c>
      <c r="Y468" t="s">
        <v>43</v>
      </c>
      <c r="Z468" t="s">
        <v>44</v>
      </c>
      <c r="AA468">
        <v>16</v>
      </c>
      <c r="AB468">
        <v>3</v>
      </c>
      <c r="AC468">
        <v>2</v>
      </c>
      <c r="AD468">
        <v>80</v>
      </c>
      <c r="AE468">
        <v>1</v>
      </c>
      <c r="AF468">
        <v>22</v>
      </c>
      <c r="AG468">
        <v>2</v>
      </c>
      <c r="AH468">
        <v>3</v>
      </c>
      <c r="AI468">
        <v>18</v>
      </c>
      <c r="AJ468">
        <v>16</v>
      </c>
      <c r="AK468">
        <v>11</v>
      </c>
      <c r="AL468" t="str" cm="1">
        <f t="array" ref="AL46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68">
        <v>8</v>
      </c>
    </row>
    <row r="469" spans="1:39" x14ac:dyDescent="0.25">
      <c r="A469">
        <v>37</v>
      </c>
      <c r="B469" t="s">
        <v>44</v>
      </c>
      <c r="C469" t="s">
        <v>56</v>
      </c>
      <c r="D469">
        <v>142</v>
      </c>
      <c r="E469" t="s">
        <v>38</v>
      </c>
      <c r="G469">
        <v>9</v>
      </c>
      <c r="H469">
        <v>4</v>
      </c>
      <c r="I469" t="s">
        <v>52</v>
      </c>
      <c r="J469" t="str">
        <f>WA_Fn_UseC__HR_Employee_Attrition[[#This Row],[EducationField]]&amp;"-"&amp;WA_Fn_UseC__HR_Employee_Attrition[[#This Row],[Department]]</f>
        <v>Medical-Sales</v>
      </c>
      <c r="K469">
        <v>1</v>
      </c>
      <c r="L469">
        <v>626</v>
      </c>
      <c r="M469">
        <v>1</v>
      </c>
      <c r="N469" t="s">
        <v>47</v>
      </c>
      <c r="O469">
        <v>69</v>
      </c>
      <c r="P469">
        <v>3</v>
      </c>
      <c r="Q469">
        <v>3</v>
      </c>
      <c r="R469" t="s">
        <v>41</v>
      </c>
      <c r="S469">
        <v>2</v>
      </c>
      <c r="T469" t="s">
        <v>53</v>
      </c>
      <c r="U469">
        <v>8834</v>
      </c>
      <c r="V469" t="str" cm="1">
        <f t="array" ref="V46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69">
        <v>24666</v>
      </c>
      <c r="X469">
        <v>1</v>
      </c>
      <c r="Y469" t="s">
        <v>43</v>
      </c>
      <c r="Z469" t="s">
        <v>44</v>
      </c>
      <c r="AA469">
        <v>13</v>
      </c>
      <c r="AB469">
        <v>3</v>
      </c>
      <c r="AC469">
        <v>4</v>
      </c>
      <c r="AD469">
        <v>80</v>
      </c>
      <c r="AE469">
        <v>1</v>
      </c>
      <c r="AF469">
        <v>9</v>
      </c>
      <c r="AG469">
        <v>6</v>
      </c>
      <c r="AH469">
        <v>3</v>
      </c>
      <c r="AI469">
        <v>9</v>
      </c>
      <c r="AJ469">
        <v>5</v>
      </c>
      <c r="AK469">
        <v>7</v>
      </c>
      <c r="AL469" t="str" cm="1">
        <f t="array" ref="AL46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69">
        <v>7</v>
      </c>
    </row>
    <row r="470" spans="1:39" x14ac:dyDescent="0.25">
      <c r="A470">
        <v>52</v>
      </c>
      <c r="B470" t="s">
        <v>44</v>
      </c>
      <c r="C470" t="s">
        <v>37</v>
      </c>
      <c r="D470">
        <v>956</v>
      </c>
      <c r="E470" t="s">
        <v>46</v>
      </c>
      <c r="G470">
        <v>6</v>
      </c>
      <c r="H470">
        <v>2</v>
      </c>
      <c r="I470" t="s">
        <v>61</v>
      </c>
      <c r="J470" t="str">
        <f>WA_Fn_UseC__HR_Employee_Attrition[[#This Row],[EducationField]]&amp;"-"&amp;WA_Fn_UseC__HR_Employee_Attrition[[#This Row],[Department]]</f>
        <v>Technical Degree-Research &amp; Development</v>
      </c>
      <c r="K470">
        <v>1</v>
      </c>
      <c r="L470">
        <v>630</v>
      </c>
      <c r="M470">
        <v>4</v>
      </c>
      <c r="N470" t="s">
        <v>47</v>
      </c>
      <c r="O470">
        <v>78</v>
      </c>
      <c r="P470">
        <v>3</v>
      </c>
      <c r="Q470">
        <v>2</v>
      </c>
      <c r="R470" t="s">
        <v>48</v>
      </c>
      <c r="S470">
        <v>1</v>
      </c>
      <c r="T470" t="s">
        <v>53</v>
      </c>
      <c r="U470">
        <v>5577</v>
      </c>
      <c r="V470" t="str" cm="1">
        <f t="array" ref="V47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70">
        <v>22087</v>
      </c>
      <c r="X470">
        <v>3</v>
      </c>
      <c r="Y470" t="s">
        <v>43</v>
      </c>
      <c r="Z470" t="s">
        <v>36</v>
      </c>
      <c r="AA470">
        <v>12</v>
      </c>
      <c r="AB470">
        <v>3</v>
      </c>
      <c r="AC470">
        <v>2</v>
      </c>
      <c r="AD470">
        <v>80</v>
      </c>
      <c r="AE470">
        <v>2</v>
      </c>
      <c r="AF470">
        <v>18</v>
      </c>
      <c r="AG470">
        <v>3</v>
      </c>
      <c r="AH470">
        <v>3</v>
      </c>
      <c r="AI470">
        <v>10</v>
      </c>
      <c r="AJ470">
        <v>9</v>
      </c>
      <c r="AK470">
        <v>6</v>
      </c>
      <c r="AL470" t="str" cm="1">
        <f t="array" ref="AL47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70">
        <v>9</v>
      </c>
    </row>
    <row r="471" spans="1:39" x14ac:dyDescent="0.25">
      <c r="A471">
        <v>32</v>
      </c>
      <c r="B471" t="s">
        <v>36</v>
      </c>
      <c r="C471" t="s">
        <v>56</v>
      </c>
      <c r="D471">
        <v>1474</v>
      </c>
      <c r="E471" t="s">
        <v>38</v>
      </c>
      <c r="G471">
        <v>11</v>
      </c>
      <c r="H471">
        <v>4</v>
      </c>
      <c r="I471" t="s">
        <v>50</v>
      </c>
      <c r="J471" t="str">
        <f>WA_Fn_UseC__HR_Employee_Attrition[[#This Row],[EducationField]]&amp;"-"&amp;WA_Fn_UseC__HR_Employee_Attrition[[#This Row],[Department]]</f>
        <v>Other-Sales</v>
      </c>
      <c r="K471">
        <v>1</v>
      </c>
      <c r="L471">
        <v>631</v>
      </c>
      <c r="M471">
        <v>4</v>
      </c>
      <c r="N471" t="s">
        <v>47</v>
      </c>
      <c r="O471">
        <v>60</v>
      </c>
      <c r="P471">
        <v>4</v>
      </c>
      <c r="Q471">
        <v>2</v>
      </c>
      <c r="R471" t="s">
        <v>41</v>
      </c>
      <c r="S471">
        <v>3</v>
      </c>
      <c r="T471" t="s">
        <v>49</v>
      </c>
      <c r="U471">
        <v>4707</v>
      </c>
      <c r="V471" t="str" cm="1">
        <f t="array" ref="V47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71">
        <v>23914</v>
      </c>
      <c r="X471">
        <v>8</v>
      </c>
      <c r="Y471" t="s">
        <v>43</v>
      </c>
      <c r="Z471" t="s">
        <v>44</v>
      </c>
      <c r="AA471">
        <v>12</v>
      </c>
      <c r="AB471">
        <v>3</v>
      </c>
      <c r="AC471">
        <v>4</v>
      </c>
      <c r="AD471">
        <v>80</v>
      </c>
      <c r="AE471">
        <v>0</v>
      </c>
      <c r="AF471">
        <v>6</v>
      </c>
      <c r="AG471">
        <v>2</v>
      </c>
      <c r="AH471">
        <v>3</v>
      </c>
      <c r="AI471">
        <v>4</v>
      </c>
      <c r="AJ471">
        <v>2</v>
      </c>
      <c r="AK471">
        <v>1</v>
      </c>
      <c r="AL471" t="str" cm="1">
        <f t="array" ref="AL47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71">
        <v>2</v>
      </c>
    </row>
    <row r="472" spans="1:39" x14ac:dyDescent="0.25">
      <c r="A472">
        <v>24</v>
      </c>
      <c r="B472" t="s">
        <v>44</v>
      </c>
      <c r="C472" t="s">
        <v>45</v>
      </c>
      <c r="D472">
        <v>535</v>
      </c>
      <c r="E472" t="s">
        <v>38</v>
      </c>
      <c r="G472">
        <v>24</v>
      </c>
      <c r="H472">
        <v>3</v>
      </c>
      <c r="I472" t="s">
        <v>52</v>
      </c>
      <c r="J472" t="str">
        <f>WA_Fn_UseC__HR_Employee_Attrition[[#This Row],[EducationField]]&amp;"-"&amp;WA_Fn_UseC__HR_Employee_Attrition[[#This Row],[Department]]</f>
        <v>Medical-Sales</v>
      </c>
      <c r="K472">
        <v>1</v>
      </c>
      <c r="L472">
        <v>632</v>
      </c>
      <c r="M472">
        <v>4</v>
      </c>
      <c r="N472" t="s">
        <v>47</v>
      </c>
      <c r="O472">
        <v>38</v>
      </c>
      <c r="P472">
        <v>3</v>
      </c>
      <c r="Q472">
        <v>1</v>
      </c>
      <c r="R472" t="s">
        <v>58</v>
      </c>
      <c r="S472">
        <v>4</v>
      </c>
      <c r="T472" t="s">
        <v>49</v>
      </c>
      <c r="U472">
        <v>2400</v>
      </c>
      <c r="V472" t="str" cm="1">
        <f t="array" ref="V47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72">
        <v>5530</v>
      </c>
      <c r="X472">
        <v>0</v>
      </c>
      <c r="Y472" t="s">
        <v>43</v>
      </c>
      <c r="Z472" t="s">
        <v>44</v>
      </c>
      <c r="AA472">
        <v>13</v>
      </c>
      <c r="AB472">
        <v>3</v>
      </c>
      <c r="AC472">
        <v>3</v>
      </c>
      <c r="AD472">
        <v>80</v>
      </c>
      <c r="AE472">
        <v>2</v>
      </c>
      <c r="AF472">
        <v>3</v>
      </c>
      <c r="AG472">
        <v>3</v>
      </c>
      <c r="AH472">
        <v>3</v>
      </c>
      <c r="AI472">
        <v>2</v>
      </c>
      <c r="AJ472">
        <v>2</v>
      </c>
      <c r="AK472">
        <v>2</v>
      </c>
      <c r="AL472" t="str" cm="1">
        <f t="array" ref="AL47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72">
        <v>1</v>
      </c>
    </row>
    <row r="473" spans="1:39" x14ac:dyDescent="0.25">
      <c r="A473">
        <v>38</v>
      </c>
      <c r="B473" t="s">
        <v>44</v>
      </c>
      <c r="C473" t="s">
        <v>37</v>
      </c>
      <c r="D473">
        <v>1495</v>
      </c>
      <c r="E473" t="s">
        <v>46</v>
      </c>
      <c r="G473">
        <v>10</v>
      </c>
      <c r="H473">
        <v>3</v>
      </c>
      <c r="I473" t="s">
        <v>52</v>
      </c>
      <c r="J473" t="str">
        <f>WA_Fn_UseC__HR_Employee_Attrition[[#This Row],[EducationField]]&amp;"-"&amp;WA_Fn_UseC__HR_Employee_Attrition[[#This Row],[Department]]</f>
        <v>Medical-Research &amp; Development</v>
      </c>
      <c r="K473">
        <v>1</v>
      </c>
      <c r="L473">
        <v>634</v>
      </c>
      <c r="M473">
        <v>3</v>
      </c>
      <c r="N473" t="s">
        <v>40</v>
      </c>
      <c r="O473">
        <v>76</v>
      </c>
      <c r="P473">
        <v>3</v>
      </c>
      <c r="Q473">
        <v>2</v>
      </c>
      <c r="R473" t="s">
        <v>55</v>
      </c>
      <c r="S473">
        <v>3</v>
      </c>
      <c r="T473" t="s">
        <v>49</v>
      </c>
      <c r="U473">
        <v>9824</v>
      </c>
      <c r="V473" t="str" cm="1">
        <f t="array" ref="V47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73">
        <v>22174</v>
      </c>
      <c r="X473">
        <v>3</v>
      </c>
      <c r="Y473" t="s">
        <v>43</v>
      </c>
      <c r="Z473" t="s">
        <v>44</v>
      </c>
      <c r="AA473">
        <v>19</v>
      </c>
      <c r="AB473">
        <v>3</v>
      </c>
      <c r="AC473">
        <v>3</v>
      </c>
      <c r="AD473">
        <v>80</v>
      </c>
      <c r="AE473">
        <v>1</v>
      </c>
      <c r="AF473">
        <v>18</v>
      </c>
      <c r="AG473">
        <v>4</v>
      </c>
      <c r="AH473">
        <v>3</v>
      </c>
      <c r="AI473">
        <v>1</v>
      </c>
      <c r="AJ473">
        <v>0</v>
      </c>
      <c r="AK473">
        <v>0</v>
      </c>
      <c r="AL473" t="str" cm="1">
        <f t="array" ref="AL47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73">
        <v>0</v>
      </c>
    </row>
    <row r="474" spans="1:39" x14ac:dyDescent="0.25">
      <c r="A474">
        <v>37</v>
      </c>
      <c r="B474" t="s">
        <v>44</v>
      </c>
      <c r="C474" t="s">
        <v>37</v>
      </c>
      <c r="D474">
        <v>446</v>
      </c>
      <c r="E474" t="s">
        <v>46</v>
      </c>
      <c r="G474">
        <v>1</v>
      </c>
      <c r="H474">
        <v>4</v>
      </c>
      <c r="I474" t="s">
        <v>39</v>
      </c>
      <c r="J474" t="str">
        <f>WA_Fn_UseC__HR_Employee_Attrition[[#This Row],[EducationField]]&amp;"-"&amp;WA_Fn_UseC__HR_Employee_Attrition[[#This Row],[Department]]</f>
        <v>Life Sciences-Research &amp; Development</v>
      </c>
      <c r="K474">
        <v>1</v>
      </c>
      <c r="L474">
        <v>635</v>
      </c>
      <c r="M474">
        <v>2</v>
      </c>
      <c r="N474" t="s">
        <v>40</v>
      </c>
      <c r="O474">
        <v>65</v>
      </c>
      <c r="P474">
        <v>3</v>
      </c>
      <c r="Q474">
        <v>2</v>
      </c>
      <c r="R474" t="s">
        <v>54</v>
      </c>
      <c r="S474">
        <v>2</v>
      </c>
      <c r="T474" t="s">
        <v>49</v>
      </c>
      <c r="U474">
        <v>6447</v>
      </c>
      <c r="V474" t="str" cm="1">
        <f t="array" ref="V47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74">
        <v>15701</v>
      </c>
      <c r="X474">
        <v>6</v>
      </c>
      <c r="Y474" t="s">
        <v>43</v>
      </c>
      <c r="Z474" t="s">
        <v>44</v>
      </c>
      <c r="AA474">
        <v>12</v>
      </c>
      <c r="AB474">
        <v>3</v>
      </c>
      <c r="AC474">
        <v>2</v>
      </c>
      <c r="AD474">
        <v>80</v>
      </c>
      <c r="AE474">
        <v>1</v>
      </c>
      <c r="AF474">
        <v>8</v>
      </c>
      <c r="AG474">
        <v>2</v>
      </c>
      <c r="AH474">
        <v>2</v>
      </c>
      <c r="AI474">
        <v>6</v>
      </c>
      <c r="AJ474">
        <v>5</v>
      </c>
      <c r="AK474">
        <v>4</v>
      </c>
      <c r="AL474" t="str" cm="1">
        <f t="array" ref="AL47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74">
        <v>3</v>
      </c>
    </row>
    <row r="475" spans="1:39" x14ac:dyDescent="0.25">
      <c r="A475">
        <v>49</v>
      </c>
      <c r="B475" t="s">
        <v>44</v>
      </c>
      <c r="C475" t="s">
        <v>37</v>
      </c>
      <c r="D475">
        <v>1245</v>
      </c>
      <c r="E475" t="s">
        <v>46</v>
      </c>
      <c r="G475">
        <v>18</v>
      </c>
      <c r="H475">
        <v>4</v>
      </c>
      <c r="I475" t="s">
        <v>39</v>
      </c>
      <c r="J475" t="str">
        <f>WA_Fn_UseC__HR_Employee_Attrition[[#This Row],[EducationField]]&amp;"-"&amp;WA_Fn_UseC__HR_Employee_Attrition[[#This Row],[Department]]</f>
        <v>Life Sciences-Research &amp; Development</v>
      </c>
      <c r="K475">
        <v>1</v>
      </c>
      <c r="L475">
        <v>638</v>
      </c>
      <c r="M475">
        <v>4</v>
      </c>
      <c r="N475" t="s">
        <v>47</v>
      </c>
      <c r="O475">
        <v>58</v>
      </c>
      <c r="P475">
        <v>2</v>
      </c>
      <c r="Q475">
        <v>5</v>
      </c>
      <c r="R475" t="s">
        <v>59</v>
      </c>
      <c r="S475">
        <v>3</v>
      </c>
      <c r="T475" t="s">
        <v>53</v>
      </c>
      <c r="U475">
        <v>19502</v>
      </c>
      <c r="V475" t="str" cm="1">
        <f t="array" ref="V47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75">
        <v>2125</v>
      </c>
      <c r="X475">
        <v>1</v>
      </c>
      <c r="Y475" t="s">
        <v>43</v>
      </c>
      <c r="Z475" t="s">
        <v>36</v>
      </c>
      <c r="AA475">
        <v>17</v>
      </c>
      <c r="AB475">
        <v>3</v>
      </c>
      <c r="AC475">
        <v>3</v>
      </c>
      <c r="AD475">
        <v>80</v>
      </c>
      <c r="AE475">
        <v>1</v>
      </c>
      <c r="AF475">
        <v>31</v>
      </c>
      <c r="AG475">
        <v>5</v>
      </c>
      <c r="AH475">
        <v>3</v>
      </c>
      <c r="AI475">
        <v>31</v>
      </c>
      <c r="AJ475">
        <v>9</v>
      </c>
      <c r="AK475">
        <v>0</v>
      </c>
      <c r="AL475" t="str" cm="1">
        <f t="array" ref="AL47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75">
        <v>9</v>
      </c>
    </row>
    <row r="476" spans="1:39" x14ac:dyDescent="0.25">
      <c r="A476">
        <v>24</v>
      </c>
      <c r="B476" t="s">
        <v>44</v>
      </c>
      <c r="C476" t="s">
        <v>37</v>
      </c>
      <c r="D476">
        <v>691</v>
      </c>
      <c r="E476" t="s">
        <v>46</v>
      </c>
      <c r="G476">
        <v>23</v>
      </c>
      <c r="H476">
        <v>3</v>
      </c>
      <c r="I476" t="s">
        <v>52</v>
      </c>
      <c r="J476" t="str">
        <f>WA_Fn_UseC__HR_Employee_Attrition[[#This Row],[EducationField]]&amp;"-"&amp;WA_Fn_UseC__HR_Employee_Attrition[[#This Row],[Department]]</f>
        <v>Medical-Research &amp; Development</v>
      </c>
      <c r="K476">
        <v>1</v>
      </c>
      <c r="L476">
        <v>639</v>
      </c>
      <c r="M476">
        <v>2</v>
      </c>
      <c r="N476" t="s">
        <v>47</v>
      </c>
      <c r="O476">
        <v>89</v>
      </c>
      <c r="P476">
        <v>4</v>
      </c>
      <c r="Q476">
        <v>1</v>
      </c>
      <c r="R476" t="s">
        <v>48</v>
      </c>
      <c r="S476">
        <v>4</v>
      </c>
      <c r="T476" t="s">
        <v>49</v>
      </c>
      <c r="U476">
        <v>2725</v>
      </c>
      <c r="V476" t="str" cm="1">
        <f t="array" ref="V47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76">
        <v>21630</v>
      </c>
      <c r="X476">
        <v>1</v>
      </c>
      <c r="Y476" t="s">
        <v>43</v>
      </c>
      <c r="Z476" t="s">
        <v>36</v>
      </c>
      <c r="AA476">
        <v>11</v>
      </c>
      <c r="AB476">
        <v>3</v>
      </c>
      <c r="AC476">
        <v>2</v>
      </c>
      <c r="AD476">
        <v>80</v>
      </c>
      <c r="AE476">
        <v>2</v>
      </c>
      <c r="AF476">
        <v>6</v>
      </c>
      <c r="AG476">
        <v>3</v>
      </c>
      <c r="AH476">
        <v>3</v>
      </c>
      <c r="AI476">
        <v>6</v>
      </c>
      <c r="AJ476">
        <v>5</v>
      </c>
      <c r="AK476">
        <v>1</v>
      </c>
      <c r="AL476" t="str" cm="1">
        <f t="array" ref="AL47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76">
        <v>4</v>
      </c>
    </row>
    <row r="477" spans="1:39" x14ac:dyDescent="0.25">
      <c r="A477">
        <v>26</v>
      </c>
      <c r="B477" t="s">
        <v>44</v>
      </c>
      <c r="C477" t="s">
        <v>37</v>
      </c>
      <c r="D477">
        <v>703</v>
      </c>
      <c r="E477" t="s">
        <v>38</v>
      </c>
      <c r="G477">
        <v>28</v>
      </c>
      <c r="H477">
        <v>2</v>
      </c>
      <c r="I477" t="s">
        <v>60</v>
      </c>
      <c r="J477" t="str">
        <f>WA_Fn_UseC__HR_Employee_Attrition[[#This Row],[EducationField]]&amp;"-"&amp;WA_Fn_UseC__HR_Employee_Attrition[[#This Row],[Department]]</f>
        <v>Marketing-Sales</v>
      </c>
      <c r="K477">
        <v>1</v>
      </c>
      <c r="L477">
        <v>641</v>
      </c>
      <c r="M477">
        <v>1</v>
      </c>
      <c r="N477" t="s">
        <v>47</v>
      </c>
      <c r="O477">
        <v>66</v>
      </c>
      <c r="P477">
        <v>3</v>
      </c>
      <c r="Q477">
        <v>2</v>
      </c>
      <c r="R477" t="s">
        <v>41</v>
      </c>
      <c r="S477">
        <v>2</v>
      </c>
      <c r="T477" t="s">
        <v>49</v>
      </c>
      <c r="U477">
        <v>6272</v>
      </c>
      <c r="V477" t="str" cm="1">
        <f t="array" ref="V47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77">
        <v>7428</v>
      </c>
      <c r="X477">
        <v>1</v>
      </c>
      <c r="Y477" t="s">
        <v>43</v>
      </c>
      <c r="Z477" t="s">
        <v>44</v>
      </c>
      <c r="AA477">
        <v>20</v>
      </c>
      <c r="AB477">
        <v>4</v>
      </c>
      <c r="AC477">
        <v>4</v>
      </c>
      <c r="AD477">
        <v>80</v>
      </c>
      <c r="AE477">
        <v>2</v>
      </c>
      <c r="AF477">
        <v>6</v>
      </c>
      <c r="AG477">
        <v>5</v>
      </c>
      <c r="AH477">
        <v>4</v>
      </c>
      <c r="AI477">
        <v>5</v>
      </c>
      <c r="AJ477">
        <v>3</v>
      </c>
      <c r="AK477">
        <v>1</v>
      </c>
      <c r="AL477" t="str" cm="1">
        <f t="array" ref="AL47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77">
        <v>4</v>
      </c>
    </row>
    <row r="478" spans="1:39" x14ac:dyDescent="0.25">
      <c r="A478">
        <v>24</v>
      </c>
      <c r="B478" t="s">
        <v>44</v>
      </c>
      <c r="C478" t="s">
        <v>37</v>
      </c>
      <c r="D478">
        <v>823</v>
      </c>
      <c r="E478" t="s">
        <v>46</v>
      </c>
      <c r="G478">
        <v>17</v>
      </c>
      <c r="H478">
        <v>2</v>
      </c>
      <c r="I478" t="s">
        <v>50</v>
      </c>
      <c r="J478" t="str">
        <f>WA_Fn_UseC__HR_Employee_Attrition[[#This Row],[EducationField]]&amp;"-"&amp;WA_Fn_UseC__HR_Employee_Attrition[[#This Row],[Department]]</f>
        <v>Other-Research &amp; Development</v>
      </c>
      <c r="K478">
        <v>1</v>
      </c>
      <c r="L478">
        <v>643</v>
      </c>
      <c r="M478">
        <v>4</v>
      </c>
      <c r="N478" t="s">
        <v>47</v>
      </c>
      <c r="O478">
        <v>94</v>
      </c>
      <c r="P478">
        <v>2</v>
      </c>
      <c r="Q478">
        <v>1</v>
      </c>
      <c r="R478" t="s">
        <v>51</v>
      </c>
      <c r="S478">
        <v>2</v>
      </c>
      <c r="T478" t="s">
        <v>49</v>
      </c>
      <c r="U478">
        <v>2127</v>
      </c>
      <c r="V478" t="str" cm="1">
        <f t="array" ref="V47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78">
        <v>9100</v>
      </c>
      <c r="X478">
        <v>1</v>
      </c>
      <c r="Y478" t="s">
        <v>43</v>
      </c>
      <c r="Z478" t="s">
        <v>44</v>
      </c>
      <c r="AA478">
        <v>21</v>
      </c>
      <c r="AB478">
        <v>4</v>
      </c>
      <c r="AC478">
        <v>4</v>
      </c>
      <c r="AD478">
        <v>80</v>
      </c>
      <c r="AE478">
        <v>1</v>
      </c>
      <c r="AF478">
        <v>1</v>
      </c>
      <c r="AG478">
        <v>2</v>
      </c>
      <c r="AH478">
        <v>3</v>
      </c>
      <c r="AI478">
        <v>1</v>
      </c>
      <c r="AJ478">
        <v>0</v>
      </c>
      <c r="AK478">
        <v>0</v>
      </c>
      <c r="AL478" t="str" cm="1">
        <f t="array" ref="AL47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78">
        <v>0</v>
      </c>
    </row>
    <row r="479" spans="1:39" x14ac:dyDescent="0.25">
      <c r="A479">
        <v>50</v>
      </c>
      <c r="B479" t="s">
        <v>44</v>
      </c>
      <c r="C479" t="s">
        <v>45</v>
      </c>
      <c r="D479">
        <v>1246</v>
      </c>
      <c r="E479" t="s">
        <v>62</v>
      </c>
      <c r="G479">
        <v>3</v>
      </c>
      <c r="H479">
        <v>3</v>
      </c>
      <c r="I479" t="s">
        <v>52</v>
      </c>
      <c r="J479" t="str">
        <f>WA_Fn_UseC__HR_Employee_Attrition[[#This Row],[EducationField]]&amp;"-"&amp;WA_Fn_UseC__HR_Employee_Attrition[[#This Row],[Department]]</f>
        <v>Medical-Human Resources</v>
      </c>
      <c r="K479">
        <v>1</v>
      </c>
      <c r="L479">
        <v>644</v>
      </c>
      <c r="M479">
        <v>1</v>
      </c>
      <c r="N479" t="s">
        <v>47</v>
      </c>
      <c r="O479">
        <v>99</v>
      </c>
      <c r="P479">
        <v>3</v>
      </c>
      <c r="Q479">
        <v>5</v>
      </c>
      <c r="R479" t="s">
        <v>57</v>
      </c>
      <c r="S479">
        <v>2</v>
      </c>
      <c r="T479" t="s">
        <v>49</v>
      </c>
      <c r="U479">
        <v>18200</v>
      </c>
      <c r="V479" t="str" cm="1">
        <f t="array" ref="V47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79">
        <v>7999</v>
      </c>
      <c r="X479">
        <v>1</v>
      </c>
      <c r="Y479" t="s">
        <v>43</v>
      </c>
      <c r="Z479" t="s">
        <v>44</v>
      </c>
      <c r="AA479">
        <v>11</v>
      </c>
      <c r="AB479">
        <v>3</v>
      </c>
      <c r="AC479">
        <v>3</v>
      </c>
      <c r="AD479">
        <v>80</v>
      </c>
      <c r="AE479">
        <v>1</v>
      </c>
      <c r="AF479">
        <v>32</v>
      </c>
      <c r="AG479">
        <v>2</v>
      </c>
      <c r="AH479">
        <v>3</v>
      </c>
      <c r="AI479">
        <v>32</v>
      </c>
      <c r="AJ479">
        <v>5</v>
      </c>
      <c r="AK479">
        <v>10</v>
      </c>
      <c r="AL479" t="str" cm="1">
        <f t="array" ref="AL47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79">
        <v>7</v>
      </c>
    </row>
    <row r="480" spans="1:39" x14ac:dyDescent="0.25">
      <c r="A480">
        <v>25</v>
      </c>
      <c r="B480" t="s">
        <v>44</v>
      </c>
      <c r="C480" t="s">
        <v>37</v>
      </c>
      <c r="D480">
        <v>622</v>
      </c>
      <c r="E480" t="s">
        <v>38</v>
      </c>
      <c r="G480">
        <v>13</v>
      </c>
      <c r="H480">
        <v>1</v>
      </c>
      <c r="I480" t="s">
        <v>52</v>
      </c>
      <c r="J480" t="str">
        <f>WA_Fn_UseC__HR_Employee_Attrition[[#This Row],[EducationField]]&amp;"-"&amp;WA_Fn_UseC__HR_Employee_Attrition[[#This Row],[Department]]</f>
        <v>Medical-Sales</v>
      </c>
      <c r="K480">
        <v>1</v>
      </c>
      <c r="L480">
        <v>645</v>
      </c>
      <c r="M480">
        <v>2</v>
      </c>
      <c r="N480" t="s">
        <v>47</v>
      </c>
      <c r="O480">
        <v>40</v>
      </c>
      <c r="P480">
        <v>3</v>
      </c>
      <c r="Q480">
        <v>1</v>
      </c>
      <c r="R480" t="s">
        <v>58</v>
      </c>
      <c r="S480">
        <v>3</v>
      </c>
      <c r="T480" t="s">
        <v>49</v>
      </c>
      <c r="U480">
        <v>2096</v>
      </c>
      <c r="V480" t="str" cm="1">
        <f t="array" ref="V48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80">
        <v>26376</v>
      </c>
      <c r="X480">
        <v>1</v>
      </c>
      <c r="Y480" t="s">
        <v>43</v>
      </c>
      <c r="Z480" t="s">
        <v>44</v>
      </c>
      <c r="AA480">
        <v>11</v>
      </c>
      <c r="AB480">
        <v>3</v>
      </c>
      <c r="AC480">
        <v>3</v>
      </c>
      <c r="AD480">
        <v>80</v>
      </c>
      <c r="AE480">
        <v>0</v>
      </c>
      <c r="AF480">
        <v>7</v>
      </c>
      <c r="AG480">
        <v>1</v>
      </c>
      <c r="AH480">
        <v>3</v>
      </c>
      <c r="AI480">
        <v>7</v>
      </c>
      <c r="AJ480">
        <v>4</v>
      </c>
      <c r="AK480">
        <v>0</v>
      </c>
      <c r="AL480" t="str" cm="1">
        <f t="array" ref="AL48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80">
        <v>6</v>
      </c>
    </row>
    <row r="481" spans="1:39" x14ac:dyDescent="0.25">
      <c r="A481">
        <v>24</v>
      </c>
      <c r="B481" t="s">
        <v>36</v>
      </c>
      <c r="C481" t="s">
        <v>45</v>
      </c>
      <c r="D481">
        <v>1287</v>
      </c>
      <c r="E481" t="s">
        <v>46</v>
      </c>
      <c r="G481">
        <v>7</v>
      </c>
      <c r="H481">
        <v>3</v>
      </c>
      <c r="I481" t="s">
        <v>39</v>
      </c>
      <c r="J481" t="str">
        <f>WA_Fn_UseC__HR_Employee_Attrition[[#This Row],[EducationField]]&amp;"-"&amp;WA_Fn_UseC__HR_Employee_Attrition[[#This Row],[Department]]</f>
        <v>Life Sciences-Research &amp; Development</v>
      </c>
      <c r="K481">
        <v>1</v>
      </c>
      <c r="L481">
        <v>647</v>
      </c>
      <c r="M481">
        <v>1</v>
      </c>
      <c r="N481" t="s">
        <v>40</v>
      </c>
      <c r="O481">
        <v>55</v>
      </c>
      <c r="P481">
        <v>3</v>
      </c>
      <c r="Q481">
        <v>1</v>
      </c>
      <c r="R481" t="s">
        <v>51</v>
      </c>
      <c r="S481">
        <v>3</v>
      </c>
      <c r="T481" t="s">
        <v>49</v>
      </c>
      <c r="U481">
        <v>2886</v>
      </c>
      <c r="V481" t="str" cm="1">
        <f t="array" ref="V48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81">
        <v>14168</v>
      </c>
      <c r="X481">
        <v>1</v>
      </c>
      <c r="Y481" t="s">
        <v>43</v>
      </c>
      <c r="Z481" t="s">
        <v>36</v>
      </c>
      <c r="AA481">
        <v>16</v>
      </c>
      <c r="AB481">
        <v>3</v>
      </c>
      <c r="AC481">
        <v>4</v>
      </c>
      <c r="AD481">
        <v>80</v>
      </c>
      <c r="AE481">
        <v>1</v>
      </c>
      <c r="AF481">
        <v>6</v>
      </c>
      <c r="AG481">
        <v>4</v>
      </c>
      <c r="AH481">
        <v>3</v>
      </c>
      <c r="AI481">
        <v>6</v>
      </c>
      <c r="AJ481">
        <v>3</v>
      </c>
      <c r="AK481">
        <v>1</v>
      </c>
      <c r="AL481" t="str" cm="1">
        <f t="array" ref="AL48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81">
        <v>2</v>
      </c>
    </row>
    <row r="482" spans="1:39" x14ac:dyDescent="0.25">
      <c r="A482">
        <v>30</v>
      </c>
      <c r="B482" t="s">
        <v>36</v>
      </c>
      <c r="C482" t="s">
        <v>45</v>
      </c>
      <c r="D482">
        <v>448</v>
      </c>
      <c r="E482" t="s">
        <v>38</v>
      </c>
      <c r="G482">
        <v>12</v>
      </c>
      <c r="H482">
        <v>4</v>
      </c>
      <c r="I482" t="s">
        <v>39</v>
      </c>
      <c r="J482" t="str">
        <f>WA_Fn_UseC__HR_Employee_Attrition[[#This Row],[EducationField]]&amp;"-"&amp;WA_Fn_UseC__HR_Employee_Attrition[[#This Row],[Department]]</f>
        <v>Life Sciences-Sales</v>
      </c>
      <c r="K482">
        <v>1</v>
      </c>
      <c r="L482">
        <v>648</v>
      </c>
      <c r="M482">
        <v>2</v>
      </c>
      <c r="N482" t="s">
        <v>47</v>
      </c>
      <c r="O482">
        <v>74</v>
      </c>
      <c r="P482">
        <v>2</v>
      </c>
      <c r="Q482">
        <v>1</v>
      </c>
      <c r="R482" t="s">
        <v>58</v>
      </c>
      <c r="S482">
        <v>1</v>
      </c>
      <c r="T482" t="s">
        <v>49</v>
      </c>
      <c r="U482">
        <v>2033</v>
      </c>
      <c r="V482" t="str" cm="1">
        <f t="array" ref="V48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82">
        <v>14470</v>
      </c>
      <c r="X482">
        <v>1</v>
      </c>
      <c r="Y482" t="s">
        <v>43</v>
      </c>
      <c r="Z482" t="s">
        <v>44</v>
      </c>
      <c r="AA482">
        <v>18</v>
      </c>
      <c r="AB482">
        <v>3</v>
      </c>
      <c r="AC482">
        <v>3</v>
      </c>
      <c r="AD482">
        <v>80</v>
      </c>
      <c r="AE482">
        <v>1</v>
      </c>
      <c r="AF482">
        <v>1</v>
      </c>
      <c r="AG482">
        <v>2</v>
      </c>
      <c r="AH482">
        <v>4</v>
      </c>
      <c r="AI482">
        <v>1</v>
      </c>
      <c r="AJ482">
        <v>0</v>
      </c>
      <c r="AK482">
        <v>0</v>
      </c>
      <c r="AL482" t="str" cm="1">
        <f t="array" ref="AL48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82">
        <v>0</v>
      </c>
    </row>
    <row r="483" spans="1:39" x14ac:dyDescent="0.25">
      <c r="A483">
        <v>34</v>
      </c>
      <c r="B483" t="s">
        <v>44</v>
      </c>
      <c r="C483" t="s">
        <v>37</v>
      </c>
      <c r="D483">
        <v>254</v>
      </c>
      <c r="E483" t="s">
        <v>46</v>
      </c>
      <c r="G483">
        <v>1</v>
      </c>
      <c r="H483">
        <v>2</v>
      </c>
      <c r="I483" t="s">
        <v>39</v>
      </c>
      <c r="J483" t="str">
        <f>WA_Fn_UseC__HR_Employee_Attrition[[#This Row],[EducationField]]&amp;"-"&amp;WA_Fn_UseC__HR_Employee_Attrition[[#This Row],[Department]]</f>
        <v>Life Sciences-Research &amp; Development</v>
      </c>
      <c r="K483">
        <v>1</v>
      </c>
      <c r="L483">
        <v>649</v>
      </c>
      <c r="M483">
        <v>2</v>
      </c>
      <c r="N483" t="s">
        <v>47</v>
      </c>
      <c r="O483">
        <v>83</v>
      </c>
      <c r="P483">
        <v>2</v>
      </c>
      <c r="Q483">
        <v>1</v>
      </c>
      <c r="R483" t="s">
        <v>48</v>
      </c>
      <c r="S483">
        <v>4</v>
      </c>
      <c r="T483" t="s">
        <v>49</v>
      </c>
      <c r="U483">
        <v>3622</v>
      </c>
      <c r="V483" t="str" cm="1">
        <f t="array" ref="V48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83">
        <v>22794</v>
      </c>
      <c r="X483">
        <v>1</v>
      </c>
      <c r="Y483" t="s">
        <v>43</v>
      </c>
      <c r="Z483" t="s">
        <v>36</v>
      </c>
      <c r="AA483">
        <v>13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3</v>
      </c>
      <c r="AH483">
        <v>3</v>
      </c>
      <c r="AI483">
        <v>6</v>
      </c>
      <c r="AJ483">
        <v>5</v>
      </c>
      <c r="AK483">
        <v>1</v>
      </c>
      <c r="AL483" t="str" cm="1">
        <f t="array" ref="AL48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83">
        <v>3</v>
      </c>
    </row>
    <row r="484" spans="1:39" x14ac:dyDescent="0.25">
      <c r="A484">
        <v>31</v>
      </c>
      <c r="B484" t="s">
        <v>36</v>
      </c>
      <c r="C484" t="s">
        <v>37</v>
      </c>
      <c r="D484">
        <v>1365</v>
      </c>
      <c r="E484" t="s">
        <v>38</v>
      </c>
      <c r="G484">
        <v>13</v>
      </c>
      <c r="H484">
        <v>4</v>
      </c>
      <c r="I484" t="s">
        <v>52</v>
      </c>
      <c r="J484" t="str">
        <f>WA_Fn_UseC__HR_Employee_Attrition[[#This Row],[EducationField]]&amp;"-"&amp;WA_Fn_UseC__HR_Employee_Attrition[[#This Row],[Department]]</f>
        <v>Medical-Sales</v>
      </c>
      <c r="K484">
        <v>1</v>
      </c>
      <c r="L484">
        <v>650</v>
      </c>
      <c r="M484">
        <v>2</v>
      </c>
      <c r="N484" t="s">
        <v>47</v>
      </c>
      <c r="O484">
        <v>46</v>
      </c>
      <c r="P484">
        <v>3</v>
      </c>
      <c r="Q484">
        <v>2</v>
      </c>
      <c r="R484" t="s">
        <v>41</v>
      </c>
      <c r="S484">
        <v>1</v>
      </c>
      <c r="T484" t="s">
        <v>53</v>
      </c>
      <c r="U484">
        <v>4233</v>
      </c>
      <c r="V484" t="str" cm="1">
        <f t="array" ref="V48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84">
        <v>11512</v>
      </c>
      <c r="X484">
        <v>2</v>
      </c>
      <c r="Y484" t="s">
        <v>43</v>
      </c>
      <c r="Z484" t="s">
        <v>44</v>
      </c>
      <c r="AA484">
        <v>17</v>
      </c>
      <c r="AB484">
        <v>3</v>
      </c>
      <c r="AC484">
        <v>3</v>
      </c>
      <c r="AD484">
        <v>80</v>
      </c>
      <c r="AE484">
        <v>0</v>
      </c>
      <c r="AF484">
        <v>9</v>
      </c>
      <c r="AG484">
        <v>2</v>
      </c>
      <c r="AH484">
        <v>1</v>
      </c>
      <c r="AI484">
        <v>3</v>
      </c>
      <c r="AJ484">
        <v>1</v>
      </c>
      <c r="AK484">
        <v>1</v>
      </c>
      <c r="AL484" t="str" cm="1">
        <f t="array" ref="AL48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84">
        <v>2</v>
      </c>
    </row>
    <row r="485" spans="1:39" x14ac:dyDescent="0.25">
      <c r="A485">
        <v>35</v>
      </c>
      <c r="B485" t="s">
        <v>44</v>
      </c>
      <c r="C485" t="s">
        <v>37</v>
      </c>
      <c r="D485">
        <v>538</v>
      </c>
      <c r="E485" t="s">
        <v>46</v>
      </c>
      <c r="G485">
        <v>25</v>
      </c>
      <c r="H485">
        <v>2</v>
      </c>
      <c r="I485" t="s">
        <v>50</v>
      </c>
      <c r="J485" t="str">
        <f>WA_Fn_UseC__HR_Employee_Attrition[[#This Row],[EducationField]]&amp;"-"&amp;WA_Fn_UseC__HR_Employee_Attrition[[#This Row],[Department]]</f>
        <v>Other-Research &amp; Development</v>
      </c>
      <c r="K485">
        <v>1</v>
      </c>
      <c r="L485">
        <v>652</v>
      </c>
      <c r="M485">
        <v>1</v>
      </c>
      <c r="N485" t="s">
        <v>47</v>
      </c>
      <c r="O485">
        <v>54</v>
      </c>
      <c r="P485">
        <v>2</v>
      </c>
      <c r="Q485">
        <v>2</v>
      </c>
      <c r="R485" t="s">
        <v>51</v>
      </c>
      <c r="S485">
        <v>4</v>
      </c>
      <c r="T485" t="s">
        <v>42</v>
      </c>
      <c r="U485">
        <v>3681</v>
      </c>
      <c r="V485" t="str" cm="1">
        <f t="array" ref="V48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85">
        <v>14004</v>
      </c>
      <c r="X485">
        <v>4</v>
      </c>
      <c r="Y485" t="s">
        <v>43</v>
      </c>
      <c r="Z485" t="s">
        <v>44</v>
      </c>
      <c r="AA485">
        <v>14</v>
      </c>
      <c r="AB485">
        <v>3</v>
      </c>
      <c r="AC485">
        <v>4</v>
      </c>
      <c r="AD485">
        <v>80</v>
      </c>
      <c r="AE485">
        <v>0</v>
      </c>
      <c r="AF485">
        <v>9</v>
      </c>
      <c r="AG485">
        <v>3</v>
      </c>
      <c r="AH485">
        <v>3</v>
      </c>
      <c r="AI485">
        <v>3</v>
      </c>
      <c r="AJ485">
        <v>2</v>
      </c>
      <c r="AK485">
        <v>0</v>
      </c>
      <c r="AL485" t="str" cm="1">
        <f t="array" ref="AL48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85">
        <v>2</v>
      </c>
    </row>
    <row r="486" spans="1:39" x14ac:dyDescent="0.25">
      <c r="A486">
        <v>31</v>
      </c>
      <c r="B486" t="s">
        <v>44</v>
      </c>
      <c r="C486" t="s">
        <v>37</v>
      </c>
      <c r="D486">
        <v>525</v>
      </c>
      <c r="E486" t="s">
        <v>38</v>
      </c>
      <c r="G486">
        <v>6</v>
      </c>
      <c r="H486">
        <v>4</v>
      </c>
      <c r="I486" t="s">
        <v>52</v>
      </c>
      <c r="J486" t="str">
        <f>WA_Fn_UseC__HR_Employee_Attrition[[#This Row],[EducationField]]&amp;"-"&amp;WA_Fn_UseC__HR_Employee_Attrition[[#This Row],[Department]]</f>
        <v>Medical-Sales</v>
      </c>
      <c r="K486">
        <v>1</v>
      </c>
      <c r="L486">
        <v>653</v>
      </c>
      <c r="M486">
        <v>1</v>
      </c>
      <c r="N486" t="s">
        <v>47</v>
      </c>
      <c r="O486">
        <v>66</v>
      </c>
      <c r="P486">
        <v>4</v>
      </c>
      <c r="Q486">
        <v>2</v>
      </c>
      <c r="R486" t="s">
        <v>41</v>
      </c>
      <c r="S486">
        <v>4</v>
      </c>
      <c r="T486" t="s">
        <v>53</v>
      </c>
      <c r="U486">
        <v>5460</v>
      </c>
      <c r="V486" t="str" cm="1">
        <f t="array" ref="V48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86">
        <v>6219</v>
      </c>
      <c r="X486">
        <v>4</v>
      </c>
      <c r="Y486" t="s">
        <v>43</v>
      </c>
      <c r="Z486" t="s">
        <v>44</v>
      </c>
      <c r="AA486">
        <v>22</v>
      </c>
      <c r="AB486">
        <v>4</v>
      </c>
      <c r="AC486">
        <v>4</v>
      </c>
      <c r="AD486">
        <v>80</v>
      </c>
      <c r="AE486">
        <v>2</v>
      </c>
      <c r="AF486">
        <v>13</v>
      </c>
      <c r="AG486">
        <v>4</v>
      </c>
      <c r="AH486">
        <v>4</v>
      </c>
      <c r="AI486">
        <v>7</v>
      </c>
      <c r="AJ486">
        <v>7</v>
      </c>
      <c r="AK486">
        <v>5</v>
      </c>
      <c r="AL486" t="str" cm="1">
        <f t="array" ref="AL48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86">
        <v>7</v>
      </c>
    </row>
    <row r="487" spans="1:39" x14ac:dyDescent="0.25">
      <c r="A487">
        <v>27</v>
      </c>
      <c r="B487" t="s">
        <v>44</v>
      </c>
      <c r="C487" t="s">
        <v>37</v>
      </c>
      <c r="D487">
        <v>798</v>
      </c>
      <c r="E487" t="s">
        <v>46</v>
      </c>
      <c r="G487">
        <v>6</v>
      </c>
      <c r="H487">
        <v>4</v>
      </c>
      <c r="I487" t="s">
        <v>52</v>
      </c>
      <c r="J487" t="str">
        <f>WA_Fn_UseC__HR_Employee_Attrition[[#This Row],[EducationField]]&amp;"-"&amp;WA_Fn_UseC__HR_Employee_Attrition[[#This Row],[Department]]</f>
        <v>Medical-Research &amp; Development</v>
      </c>
      <c r="K487">
        <v>1</v>
      </c>
      <c r="L487">
        <v>655</v>
      </c>
      <c r="M487">
        <v>1</v>
      </c>
      <c r="N487" t="s">
        <v>40</v>
      </c>
      <c r="O487">
        <v>66</v>
      </c>
      <c r="P487">
        <v>2</v>
      </c>
      <c r="Q487">
        <v>1</v>
      </c>
      <c r="R487" t="s">
        <v>48</v>
      </c>
      <c r="S487">
        <v>3</v>
      </c>
      <c r="T487" t="s">
        <v>53</v>
      </c>
      <c r="U487">
        <v>2187</v>
      </c>
      <c r="V487" t="str" cm="1">
        <f t="array" ref="V48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87">
        <v>5013</v>
      </c>
      <c r="X487">
        <v>0</v>
      </c>
      <c r="Y487" t="s">
        <v>43</v>
      </c>
      <c r="Z487" t="s">
        <v>44</v>
      </c>
      <c r="AA487">
        <v>12</v>
      </c>
      <c r="AB487">
        <v>3</v>
      </c>
      <c r="AC487">
        <v>3</v>
      </c>
      <c r="AD487">
        <v>80</v>
      </c>
      <c r="AE487">
        <v>2</v>
      </c>
      <c r="AF487">
        <v>6</v>
      </c>
      <c r="AG487">
        <v>5</v>
      </c>
      <c r="AH487">
        <v>2</v>
      </c>
      <c r="AI487">
        <v>5</v>
      </c>
      <c r="AJ487">
        <v>3</v>
      </c>
      <c r="AK487">
        <v>0</v>
      </c>
      <c r="AL487" t="str" cm="1">
        <f t="array" ref="AL48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87">
        <v>3</v>
      </c>
    </row>
    <row r="488" spans="1:39" x14ac:dyDescent="0.25">
      <c r="A488">
        <v>37</v>
      </c>
      <c r="B488" t="s">
        <v>44</v>
      </c>
      <c r="C488" t="s">
        <v>37</v>
      </c>
      <c r="D488">
        <v>558</v>
      </c>
      <c r="E488" t="s">
        <v>38</v>
      </c>
      <c r="G488">
        <v>2</v>
      </c>
      <c r="H488">
        <v>3</v>
      </c>
      <c r="I488" t="s">
        <v>60</v>
      </c>
      <c r="J488" t="str">
        <f>WA_Fn_UseC__HR_Employee_Attrition[[#This Row],[EducationField]]&amp;"-"&amp;WA_Fn_UseC__HR_Employee_Attrition[[#This Row],[Department]]</f>
        <v>Marketing-Sales</v>
      </c>
      <c r="K488">
        <v>1</v>
      </c>
      <c r="L488">
        <v>656</v>
      </c>
      <c r="M488">
        <v>4</v>
      </c>
      <c r="N488" t="s">
        <v>47</v>
      </c>
      <c r="O488">
        <v>75</v>
      </c>
      <c r="P488">
        <v>3</v>
      </c>
      <c r="Q488">
        <v>2</v>
      </c>
      <c r="R488" t="s">
        <v>41</v>
      </c>
      <c r="S488">
        <v>3</v>
      </c>
      <c r="T488" t="s">
        <v>49</v>
      </c>
      <c r="U488">
        <v>9602</v>
      </c>
      <c r="V488" t="str" cm="1">
        <f t="array" ref="V48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88">
        <v>3010</v>
      </c>
      <c r="X488">
        <v>4</v>
      </c>
      <c r="Y488" t="s">
        <v>43</v>
      </c>
      <c r="Z488" t="s">
        <v>36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17</v>
      </c>
      <c r="AG488">
        <v>3</v>
      </c>
      <c r="AH488">
        <v>2</v>
      </c>
      <c r="AI488">
        <v>3</v>
      </c>
      <c r="AJ488">
        <v>0</v>
      </c>
      <c r="AK488">
        <v>1</v>
      </c>
      <c r="AL488" t="str" cm="1">
        <f t="array" ref="AL48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88">
        <v>0</v>
      </c>
    </row>
    <row r="489" spans="1:39" x14ac:dyDescent="0.25">
      <c r="A489">
        <v>20</v>
      </c>
      <c r="B489" t="s">
        <v>44</v>
      </c>
      <c r="C489" t="s">
        <v>37</v>
      </c>
      <c r="D489">
        <v>959</v>
      </c>
      <c r="E489" t="s">
        <v>46</v>
      </c>
      <c r="G489">
        <v>1</v>
      </c>
      <c r="H489">
        <v>3</v>
      </c>
      <c r="I489" t="s">
        <v>39</v>
      </c>
      <c r="J489" t="str">
        <f>WA_Fn_UseC__HR_Employee_Attrition[[#This Row],[EducationField]]&amp;"-"&amp;WA_Fn_UseC__HR_Employee_Attrition[[#This Row],[Department]]</f>
        <v>Life Sciences-Research &amp; Development</v>
      </c>
      <c r="K489">
        <v>1</v>
      </c>
      <c r="L489">
        <v>657</v>
      </c>
      <c r="M489">
        <v>4</v>
      </c>
      <c r="N489" t="s">
        <v>40</v>
      </c>
      <c r="O489">
        <v>83</v>
      </c>
      <c r="P489">
        <v>2</v>
      </c>
      <c r="Q489">
        <v>1</v>
      </c>
      <c r="R489" t="s">
        <v>48</v>
      </c>
      <c r="S489">
        <v>2</v>
      </c>
      <c r="T489" t="s">
        <v>42</v>
      </c>
      <c r="U489">
        <v>2836</v>
      </c>
      <c r="V489" t="str" cm="1">
        <f t="array" ref="V48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89">
        <v>11757</v>
      </c>
      <c r="X489">
        <v>1</v>
      </c>
      <c r="Y489" t="s">
        <v>43</v>
      </c>
      <c r="Z489" t="s">
        <v>44</v>
      </c>
      <c r="AA489">
        <v>13</v>
      </c>
      <c r="AB489">
        <v>3</v>
      </c>
      <c r="AC489">
        <v>4</v>
      </c>
      <c r="AD489">
        <v>80</v>
      </c>
      <c r="AE489">
        <v>0</v>
      </c>
      <c r="AF489">
        <v>1</v>
      </c>
      <c r="AG489">
        <v>0</v>
      </c>
      <c r="AH489">
        <v>4</v>
      </c>
      <c r="AI489">
        <v>1</v>
      </c>
      <c r="AJ489">
        <v>0</v>
      </c>
      <c r="AK489">
        <v>0</v>
      </c>
      <c r="AL489" t="str" cm="1">
        <f t="array" ref="AL48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89">
        <v>0</v>
      </c>
    </row>
    <row r="490" spans="1:39" x14ac:dyDescent="0.25">
      <c r="A490">
        <v>42</v>
      </c>
      <c r="B490" t="s">
        <v>44</v>
      </c>
      <c r="C490" t="s">
        <v>37</v>
      </c>
      <c r="D490">
        <v>622</v>
      </c>
      <c r="E490" t="s">
        <v>46</v>
      </c>
      <c r="G490">
        <v>2</v>
      </c>
      <c r="H490">
        <v>4</v>
      </c>
      <c r="I490" t="s">
        <v>39</v>
      </c>
      <c r="J490" t="str">
        <f>WA_Fn_UseC__HR_Employee_Attrition[[#This Row],[EducationField]]&amp;"-"&amp;WA_Fn_UseC__HR_Employee_Attrition[[#This Row],[Department]]</f>
        <v>Life Sciences-Research &amp; Development</v>
      </c>
      <c r="K490">
        <v>1</v>
      </c>
      <c r="L490">
        <v>659</v>
      </c>
      <c r="M490">
        <v>3</v>
      </c>
      <c r="N490" t="s">
        <v>40</v>
      </c>
      <c r="O490">
        <v>81</v>
      </c>
      <c r="P490">
        <v>3</v>
      </c>
      <c r="Q490">
        <v>2</v>
      </c>
      <c r="R490" t="s">
        <v>55</v>
      </c>
      <c r="S490">
        <v>4</v>
      </c>
      <c r="T490" t="s">
        <v>49</v>
      </c>
      <c r="U490">
        <v>4089</v>
      </c>
      <c r="V490" t="str" cm="1">
        <f t="array" ref="V49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90">
        <v>5718</v>
      </c>
      <c r="X490">
        <v>1</v>
      </c>
      <c r="Y490" t="s">
        <v>43</v>
      </c>
      <c r="Z490" t="s">
        <v>44</v>
      </c>
      <c r="AA490">
        <v>13</v>
      </c>
      <c r="AB490">
        <v>3</v>
      </c>
      <c r="AC490">
        <v>2</v>
      </c>
      <c r="AD490">
        <v>80</v>
      </c>
      <c r="AE490">
        <v>2</v>
      </c>
      <c r="AF490">
        <v>10</v>
      </c>
      <c r="AG490">
        <v>4</v>
      </c>
      <c r="AH490">
        <v>3</v>
      </c>
      <c r="AI490">
        <v>10</v>
      </c>
      <c r="AJ490">
        <v>2</v>
      </c>
      <c r="AK490">
        <v>2</v>
      </c>
      <c r="AL490" t="str" cm="1">
        <f t="array" ref="AL49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90">
        <v>2</v>
      </c>
    </row>
    <row r="491" spans="1:39" x14ac:dyDescent="0.25">
      <c r="A491">
        <v>43</v>
      </c>
      <c r="B491" t="s">
        <v>44</v>
      </c>
      <c r="C491" t="s">
        <v>37</v>
      </c>
      <c r="D491">
        <v>782</v>
      </c>
      <c r="E491" t="s">
        <v>46</v>
      </c>
      <c r="G491">
        <v>6</v>
      </c>
      <c r="H491">
        <v>4</v>
      </c>
      <c r="I491" t="s">
        <v>50</v>
      </c>
      <c r="J491" t="str">
        <f>WA_Fn_UseC__HR_Employee_Attrition[[#This Row],[EducationField]]&amp;"-"&amp;WA_Fn_UseC__HR_Employee_Attrition[[#This Row],[Department]]</f>
        <v>Other-Research &amp; Development</v>
      </c>
      <c r="K491">
        <v>1</v>
      </c>
      <c r="L491">
        <v>661</v>
      </c>
      <c r="M491">
        <v>2</v>
      </c>
      <c r="N491" t="s">
        <v>47</v>
      </c>
      <c r="O491">
        <v>50</v>
      </c>
      <c r="P491">
        <v>2</v>
      </c>
      <c r="Q491">
        <v>4</v>
      </c>
      <c r="R491" t="s">
        <v>59</v>
      </c>
      <c r="S491">
        <v>4</v>
      </c>
      <c r="T491" t="s">
        <v>53</v>
      </c>
      <c r="U491">
        <v>16627</v>
      </c>
      <c r="V491" t="str" cm="1">
        <f t="array" ref="V49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91">
        <v>2671</v>
      </c>
      <c r="X491">
        <v>4</v>
      </c>
      <c r="Y491" t="s">
        <v>43</v>
      </c>
      <c r="Z491" t="s">
        <v>36</v>
      </c>
      <c r="AA491">
        <v>14</v>
      </c>
      <c r="AB491">
        <v>3</v>
      </c>
      <c r="AC491">
        <v>3</v>
      </c>
      <c r="AD491">
        <v>80</v>
      </c>
      <c r="AE491">
        <v>1</v>
      </c>
      <c r="AF491">
        <v>21</v>
      </c>
      <c r="AG491">
        <v>3</v>
      </c>
      <c r="AH491">
        <v>2</v>
      </c>
      <c r="AI491">
        <v>1</v>
      </c>
      <c r="AJ491">
        <v>0</v>
      </c>
      <c r="AK491">
        <v>0</v>
      </c>
      <c r="AL491" t="str" cm="1">
        <f t="array" ref="AL49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91">
        <v>0</v>
      </c>
    </row>
    <row r="492" spans="1:39" x14ac:dyDescent="0.25">
      <c r="A492">
        <v>38</v>
      </c>
      <c r="B492" t="s">
        <v>44</v>
      </c>
      <c r="C492" t="s">
        <v>37</v>
      </c>
      <c r="D492">
        <v>362</v>
      </c>
      <c r="E492" t="s">
        <v>46</v>
      </c>
      <c r="G492">
        <v>1</v>
      </c>
      <c r="H492">
        <v>1</v>
      </c>
      <c r="I492" t="s">
        <v>39</v>
      </c>
      <c r="J492" t="str">
        <f>WA_Fn_UseC__HR_Employee_Attrition[[#This Row],[EducationField]]&amp;"-"&amp;WA_Fn_UseC__HR_Employee_Attrition[[#This Row],[Department]]</f>
        <v>Life Sciences-Research &amp; Development</v>
      </c>
      <c r="K492">
        <v>1</v>
      </c>
      <c r="L492">
        <v>662</v>
      </c>
      <c r="M492">
        <v>3</v>
      </c>
      <c r="N492" t="s">
        <v>40</v>
      </c>
      <c r="O492">
        <v>43</v>
      </c>
      <c r="P492">
        <v>3</v>
      </c>
      <c r="Q492">
        <v>1</v>
      </c>
      <c r="R492" t="s">
        <v>48</v>
      </c>
      <c r="S492">
        <v>1</v>
      </c>
      <c r="T492" t="s">
        <v>42</v>
      </c>
      <c r="U492">
        <v>2619</v>
      </c>
      <c r="V492" t="str" cm="1">
        <f t="array" ref="V49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92">
        <v>14561</v>
      </c>
      <c r="X492">
        <v>3</v>
      </c>
      <c r="Y492" t="s">
        <v>43</v>
      </c>
      <c r="Z492" t="s">
        <v>44</v>
      </c>
      <c r="AA492">
        <v>17</v>
      </c>
      <c r="AB492">
        <v>3</v>
      </c>
      <c r="AC492">
        <v>4</v>
      </c>
      <c r="AD492">
        <v>80</v>
      </c>
      <c r="AE492">
        <v>0</v>
      </c>
      <c r="AF492">
        <v>8</v>
      </c>
      <c r="AG492">
        <v>3</v>
      </c>
      <c r="AH492">
        <v>2</v>
      </c>
      <c r="AI492">
        <v>0</v>
      </c>
      <c r="AJ492">
        <v>0</v>
      </c>
      <c r="AK492">
        <v>0</v>
      </c>
      <c r="AL492" t="str" cm="1">
        <f t="array" ref="AL49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92">
        <v>0</v>
      </c>
    </row>
    <row r="493" spans="1:39" x14ac:dyDescent="0.25">
      <c r="A493">
        <v>43</v>
      </c>
      <c r="B493" t="s">
        <v>44</v>
      </c>
      <c r="C493" t="s">
        <v>45</v>
      </c>
      <c r="D493">
        <v>1001</v>
      </c>
      <c r="E493" t="s">
        <v>46</v>
      </c>
      <c r="G493">
        <v>9</v>
      </c>
      <c r="H493">
        <v>5</v>
      </c>
      <c r="I493" t="s">
        <v>52</v>
      </c>
      <c r="J493" t="str">
        <f>WA_Fn_UseC__HR_Employee_Attrition[[#This Row],[EducationField]]&amp;"-"&amp;WA_Fn_UseC__HR_Employee_Attrition[[#This Row],[Department]]</f>
        <v>Medical-Research &amp; Development</v>
      </c>
      <c r="K493">
        <v>1</v>
      </c>
      <c r="L493">
        <v>663</v>
      </c>
      <c r="M493">
        <v>4</v>
      </c>
      <c r="N493" t="s">
        <v>47</v>
      </c>
      <c r="O493">
        <v>72</v>
      </c>
      <c r="P493">
        <v>3</v>
      </c>
      <c r="Q493">
        <v>2</v>
      </c>
      <c r="R493" t="s">
        <v>51</v>
      </c>
      <c r="S493">
        <v>3</v>
      </c>
      <c r="T493" t="s">
        <v>53</v>
      </c>
      <c r="U493">
        <v>5679</v>
      </c>
      <c r="V493" t="str" cm="1">
        <f t="array" ref="V49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93">
        <v>19627</v>
      </c>
      <c r="X493">
        <v>3</v>
      </c>
      <c r="Y493" t="s">
        <v>43</v>
      </c>
      <c r="Z493" t="s">
        <v>36</v>
      </c>
      <c r="AA493">
        <v>13</v>
      </c>
      <c r="AB493">
        <v>3</v>
      </c>
      <c r="AC493">
        <v>2</v>
      </c>
      <c r="AD493">
        <v>80</v>
      </c>
      <c r="AE493">
        <v>1</v>
      </c>
      <c r="AF493">
        <v>10</v>
      </c>
      <c r="AG493">
        <v>3</v>
      </c>
      <c r="AH493">
        <v>3</v>
      </c>
      <c r="AI493">
        <v>8</v>
      </c>
      <c r="AJ493">
        <v>7</v>
      </c>
      <c r="AK493">
        <v>4</v>
      </c>
      <c r="AL493" t="str" cm="1">
        <f t="array" ref="AL49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93">
        <v>7</v>
      </c>
    </row>
    <row r="494" spans="1:39" x14ac:dyDescent="0.25">
      <c r="A494">
        <v>48</v>
      </c>
      <c r="B494" t="s">
        <v>44</v>
      </c>
      <c r="C494" t="s">
        <v>37</v>
      </c>
      <c r="D494">
        <v>1236</v>
      </c>
      <c r="E494" t="s">
        <v>46</v>
      </c>
      <c r="G494">
        <v>1</v>
      </c>
      <c r="H494">
        <v>4</v>
      </c>
      <c r="I494" t="s">
        <v>39</v>
      </c>
      <c r="J494" t="str">
        <f>WA_Fn_UseC__HR_Employee_Attrition[[#This Row],[EducationField]]&amp;"-"&amp;WA_Fn_UseC__HR_Employee_Attrition[[#This Row],[Department]]</f>
        <v>Life Sciences-Research &amp; Development</v>
      </c>
      <c r="K494">
        <v>1</v>
      </c>
      <c r="L494">
        <v>664</v>
      </c>
      <c r="M494">
        <v>4</v>
      </c>
      <c r="N494" t="s">
        <v>40</v>
      </c>
      <c r="O494">
        <v>40</v>
      </c>
      <c r="P494">
        <v>2</v>
      </c>
      <c r="Q494">
        <v>4</v>
      </c>
      <c r="R494" t="s">
        <v>57</v>
      </c>
      <c r="S494">
        <v>1</v>
      </c>
      <c r="T494" t="s">
        <v>49</v>
      </c>
      <c r="U494">
        <v>15402</v>
      </c>
      <c r="V494" t="str" cm="1">
        <f t="array" ref="V49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94">
        <v>17997</v>
      </c>
      <c r="X494">
        <v>7</v>
      </c>
      <c r="Y494" t="s">
        <v>43</v>
      </c>
      <c r="Z494" t="s">
        <v>44</v>
      </c>
      <c r="AA494">
        <v>11</v>
      </c>
      <c r="AB494">
        <v>3</v>
      </c>
      <c r="AC494">
        <v>1</v>
      </c>
      <c r="AD494">
        <v>80</v>
      </c>
      <c r="AE494">
        <v>1</v>
      </c>
      <c r="AF494">
        <v>21</v>
      </c>
      <c r="AG494">
        <v>3</v>
      </c>
      <c r="AH494">
        <v>1</v>
      </c>
      <c r="AI494">
        <v>3</v>
      </c>
      <c r="AJ494">
        <v>2</v>
      </c>
      <c r="AK494">
        <v>0</v>
      </c>
      <c r="AL494" t="str" cm="1">
        <f t="array" ref="AL49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94">
        <v>2</v>
      </c>
    </row>
    <row r="495" spans="1:39" x14ac:dyDescent="0.25">
      <c r="A495">
        <v>44</v>
      </c>
      <c r="B495" t="s">
        <v>44</v>
      </c>
      <c r="C495" t="s">
        <v>37</v>
      </c>
      <c r="D495">
        <v>1112</v>
      </c>
      <c r="E495" t="s">
        <v>62</v>
      </c>
      <c r="G495">
        <v>1</v>
      </c>
      <c r="H495">
        <v>4</v>
      </c>
      <c r="I495" t="s">
        <v>39</v>
      </c>
      <c r="J495" t="str">
        <f>WA_Fn_UseC__HR_Employee_Attrition[[#This Row],[EducationField]]&amp;"-"&amp;WA_Fn_UseC__HR_Employee_Attrition[[#This Row],[Department]]</f>
        <v>Life Sciences-Human Resources</v>
      </c>
      <c r="K495">
        <v>1</v>
      </c>
      <c r="L495">
        <v>665</v>
      </c>
      <c r="M495">
        <v>1</v>
      </c>
      <c r="N495" t="s">
        <v>40</v>
      </c>
      <c r="O495">
        <v>50</v>
      </c>
      <c r="P495">
        <v>2</v>
      </c>
      <c r="Q495">
        <v>2</v>
      </c>
      <c r="R495" t="s">
        <v>62</v>
      </c>
      <c r="S495">
        <v>3</v>
      </c>
      <c r="T495" t="s">
        <v>42</v>
      </c>
      <c r="U495">
        <v>5985</v>
      </c>
      <c r="V495" t="str" cm="1">
        <f t="array" ref="V49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95">
        <v>26894</v>
      </c>
      <c r="X495">
        <v>4</v>
      </c>
      <c r="Y495" t="s">
        <v>43</v>
      </c>
      <c r="Z495" t="s">
        <v>44</v>
      </c>
      <c r="AA495">
        <v>11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1</v>
      </c>
      <c r="AH495">
        <v>4</v>
      </c>
      <c r="AI495">
        <v>2</v>
      </c>
      <c r="AJ495">
        <v>2</v>
      </c>
      <c r="AK495">
        <v>0</v>
      </c>
      <c r="AL495" t="str" cm="1">
        <f t="array" ref="AL49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95">
        <v>2</v>
      </c>
    </row>
    <row r="496" spans="1:39" x14ac:dyDescent="0.25">
      <c r="A496">
        <v>34</v>
      </c>
      <c r="B496" t="s">
        <v>44</v>
      </c>
      <c r="C496" t="s">
        <v>37</v>
      </c>
      <c r="D496">
        <v>204</v>
      </c>
      <c r="E496" t="s">
        <v>38</v>
      </c>
      <c r="G496">
        <v>14</v>
      </c>
      <c r="H496">
        <v>3</v>
      </c>
      <c r="I496" t="s">
        <v>61</v>
      </c>
      <c r="J496" t="str">
        <f>WA_Fn_UseC__HR_Employee_Attrition[[#This Row],[EducationField]]&amp;"-"&amp;WA_Fn_UseC__HR_Employee_Attrition[[#This Row],[Department]]</f>
        <v>Technical Degree-Sales</v>
      </c>
      <c r="K496">
        <v>1</v>
      </c>
      <c r="L496">
        <v>666</v>
      </c>
      <c r="M496">
        <v>3</v>
      </c>
      <c r="N496" t="s">
        <v>40</v>
      </c>
      <c r="O496">
        <v>31</v>
      </c>
      <c r="P496">
        <v>3</v>
      </c>
      <c r="Q496">
        <v>1</v>
      </c>
      <c r="R496" t="s">
        <v>58</v>
      </c>
      <c r="S496">
        <v>3</v>
      </c>
      <c r="T496" t="s">
        <v>53</v>
      </c>
      <c r="U496">
        <v>2579</v>
      </c>
      <c r="V496" t="str" cm="1">
        <f t="array" ref="V49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496">
        <v>2912</v>
      </c>
      <c r="X496">
        <v>1</v>
      </c>
      <c r="Y496" t="s">
        <v>43</v>
      </c>
      <c r="Z496" t="s">
        <v>36</v>
      </c>
      <c r="AA496">
        <v>18</v>
      </c>
      <c r="AB496">
        <v>3</v>
      </c>
      <c r="AC496">
        <v>4</v>
      </c>
      <c r="AD496">
        <v>80</v>
      </c>
      <c r="AE496">
        <v>2</v>
      </c>
      <c r="AF496">
        <v>8</v>
      </c>
      <c r="AG496">
        <v>3</v>
      </c>
      <c r="AH496">
        <v>3</v>
      </c>
      <c r="AI496">
        <v>8</v>
      </c>
      <c r="AJ496">
        <v>2</v>
      </c>
      <c r="AK496">
        <v>0</v>
      </c>
      <c r="AL496" t="str" cm="1">
        <f t="array" ref="AL49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496">
        <v>6</v>
      </c>
    </row>
    <row r="497" spans="1:39" x14ac:dyDescent="0.25">
      <c r="A497">
        <v>27</v>
      </c>
      <c r="B497" t="s">
        <v>36</v>
      </c>
      <c r="C497" t="s">
        <v>37</v>
      </c>
      <c r="D497">
        <v>1420</v>
      </c>
      <c r="E497" t="s">
        <v>38</v>
      </c>
      <c r="G497">
        <v>2</v>
      </c>
      <c r="H497">
        <v>1</v>
      </c>
      <c r="I497" t="s">
        <v>60</v>
      </c>
      <c r="J497" t="str">
        <f>WA_Fn_UseC__HR_Employee_Attrition[[#This Row],[EducationField]]&amp;"-"&amp;WA_Fn_UseC__HR_Employee_Attrition[[#This Row],[Department]]</f>
        <v>Marketing-Sales</v>
      </c>
      <c r="K497">
        <v>1</v>
      </c>
      <c r="L497">
        <v>667</v>
      </c>
      <c r="M497">
        <v>3</v>
      </c>
      <c r="N497" t="s">
        <v>47</v>
      </c>
      <c r="O497">
        <v>85</v>
      </c>
      <c r="P497">
        <v>3</v>
      </c>
      <c r="Q497">
        <v>1</v>
      </c>
      <c r="R497" t="s">
        <v>58</v>
      </c>
      <c r="S497">
        <v>1</v>
      </c>
      <c r="T497" t="s">
        <v>53</v>
      </c>
      <c r="U497">
        <v>3041</v>
      </c>
      <c r="V497" t="str" cm="1">
        <f t="array" ref="V49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97">
        <v>16346</v>
      </c>
      <c r="X497">
        <v>0</v>
      </c>
      <c r="Y497" t="s">
        <v>43</v>
      </c>
      <c r="Z497" t="s">
        <v>44</v>
      </c>
      <c r="AA497">
        <v>11</v>
      </c>
      <c r="AB497">
        <v>3</v>
      </c>
      <c r="AC497">
        <v>2</v>
      </c>
      <c r="AD497">
        <v>80</v>
      </c>
      <c r="AE497">
        <v>1</v>
      </c>
      <c r="AF497">
        <v>5</v>
      </c>
      <c r="AG497">
        <v>3</v>
      </c>
      <c r="AH497">
        <v>3</v>
      </c>
      <c r="AI497">
        <v>4</v>
      </c>
      <c r="AJ497">
        <v>3</v>
      </c>
      <c r="AK497">
        <v>0</v>
      </c>
      <c r="AL497" t="str" cm="1">
        <f t="array" ref="AL49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97">
        <v>2</v>
      </c>
    </row>
    <row r="498" spans="1:39" x14ac:dyDescent="0.25">
      <c r="A498">
        <v>21</v>
      </c>
      <c r="B498" t="s">
        <v>44</v>
      </c>
      <c r="C498" t="s">
        <v>37</v>
      </c>
      <c r="D498">
        <v>1343</v>
      </c>
      <c r="E498" t="s">
        <v>38</v>
      </c>
      <c r="G498">
        <v>22</v>
      </c>
      <c r="H498">
        <v>1</v>
      </c>
      <c r="I498" t="s">
        <v>61</v>
      </c>
      <c r="J498" t="str">
        <f>WA_Fn_UseC__HR_Employee_Attrition[[#This Row],[EducationField]]&amp;"-"&amp;WA_Fn_UseC__HR_Employee_Attrition[[#This Row],[Department]]</f>
        <v>Technical Degree-Sales</v>
      </c>
      <c r="K498">
        <v>1</v>
      </c>
      <c r="L498">
        <v>669</v>
      </c>
      <c r="M498">
        <v>3</v>
      </c>
      <c r="N498" t="s">
        <v>47</v>
      </c>
      <c r="O498">
        <v>49</v>
      </c>
      <c r="P498">
        <v>3</v>
      </c>
      <c r="Q498">
        <v>1</v>
      </c>
      <c r="R498" t="s">
        <v>58</v>
      </c>
      <c r="S498">
        <v>3</v>
      </c>
      <c r="T498" t="s">
        <v>42</v>
      </c>
      <c r="U498">
        <v>3447</v>
      </c>
      <c r="V498" t="str" cm="1">
        <f t="array" ref="V49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498">
        <v>24444</v>
      </c>
      <c r="X498">
        <v>1</v>
      </c>
      <c r="Y498" t="s">
        <v>43</v>
      </c>
      <c r="Z498" t="s">
        <v>44</v>
      </c>
      <c r="AA498">
        <v>11</v>
      </c>
      <c r="AB498">
        <v>3</v>
      </c>
      <c r="AC498">
        <v>3</v>
      </c>
      <c r="AD498">
        <v>80</v>
      </c>
      <c r="AE498">
        <v>0</v>
      </c>
      <c r="AF498">
        <v>3</v>
      </c>
      <c r="AG498">
        <v>2</v>
      </c>
      <c r="AH498">
        <v>3</v>
      </c>
      <c r="AI498">
        <v>3</v>
      </c>
      <c r="AJ498">
        <v>2</v>
      </c>
      <c r="AK498">
        <v>1</v>
      </c>
      <c r="AL498" t="str" cm="1">
        <f t="array" ref="AL49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498">
        <v>2</v>
      </c>
    </row>
    <row r="499" spans="1:39" x14ac:dyDescent="0.25">
      <c r="A499">
        <v>44</v>
      </c>
      <c r="B499" t="s">
        <v>44</v>
      </c>
      <c r="C499" t="s">
        <v>37</v>
      </c>
      <c r="D499">
        <v>1315</v>
      </c>
      <c r="E499" t="s">
        <v>46</v>
      </c>
      <c r="G499">
        <v>3</v>
      </c>
      <c r="H499">
        <v>4</v>
      </c>
      <c r="I499" t="s">
        <v>50</v>
      </c>
      <c r="J499" t="str">
        <f>WA_Fn_UseC__HR_Employee_Attrition[[#This Row],[EducationField]]&amp;"-"&amp;WA_Fn_UseC__HR_Employee_Attrition[[#This Row],[Department]]</f>
        <v>Other-Research &amp; Development</v>
      </c>
      <c r="K499">
        <v>1</v>
      </c>
      <c r="L499">
        <v>671</v>
      </c>
      <c r="M499">
        <v>4</v>
      </c>
      <c r="N499" t="s">
        <v>47</v>
      </c>
      <c r="O499">
        <v>35</v>
      </c>
      <c r="P499">
        <v>3</v>
      </c>
      <c r="Q499">
        <v>5</v>
      </c>
      <c r="R499" t="s">
        <v>57</v>
      </c>
      <c r="S499">
        <v>4</v>
      </c>
      <c r="T499" t="s">
        <v>49</v>
      </c>
      <c r="U499">
        <v>19513</v>
      </c>
      <c r="V499" t="str" cm="1">
        <f t="array" ref="V49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499">
        <v>9358</v>
      </c>
      <c r="X499">
        <v>4</v>
      </c>
      <c r="Y499" t="s">
        <v>43</v>
      </c>
      <c r="Z499" t="s">
        <v>36</v>
      </c>
      <c r="AA499">
        <v>12</v>
      </c>
      <c r="AB499">
        <v>3</v>
      </c>
      <c r="AC499">
        <v>1</v>
      </c>
      <c r="AD499">
        <v>80</v>
      </c>
      <c r="AE499">
        <v>1</v>
      </c>
      <c r="AF499">
        <v>26</v>
      </c>
      <c r="AG499">
        <v>2</v>
      </c>
      <c r="AH499">
        <v>4</v>
      </c>
      <c r="AI499">
        <v>2</v>
      </c>
      <c r="AJ499">
        <v>2</v>
      </c>
      <c r="AK499">
        <v>0</v>
      </c>
      <c r="AL499" t="str" cm="1">
        <f t="array" ref="AL49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499">
        <v>1</v>
      </c>
    </row>
    <row r="500" spans="1:39" x14ac:dyDescent="0.25">
      <c r="A500">
        <v>22</v>
      </c>
      <c r="B500" t="s">
        <v>44</v>
      </c>
      <c r="C500" t="s">
        <v>37</v>
      </c>
      <c r="D500">
        <v>604</v>
      </c>
      <c r="E500" t="s">
        <v>46</v>
      </c>
      <c r="G500">
        <v>6</v>
      </c>
      <c r="H500">
        <v>1</v>
      </c>
      <c r="I500" t="s">
        <v>52</v>
      </c>
      <c r="J500" t="str">
        <f>WA_Fn_UseC__HR_Employee_Attrition[[#This Row],[EducationField]]&amp;"-"&amp;WA_Fn_UseC__HR_Employee_Attrition[[#This Row],[Department]]</f>
        <v>Medical-Research &amp; Development</v>
      </c>
      <c r="K500">
        <v>1</v>
      </c>
      <c r="L500">
        <v>675</v>
      </c>
      <c r="M500">
        <v>1</v>
      </c>
      <c r="N500" t="s">
        <v>47</v>
      </c>
      <c r="O500">
        <v>69</v>
      </c>
      <c r="P500">
        <v>3</v>
      </c>
      <c r="Q500">
        <v>1</v>
      </c>
      <c r="R500" t="s">
        <v>48</v>
      </c>
      <c r="S500">
        <v>3</v>
      </c>
      <c r="T500" t="s">
        <v>49</v>
      </c>
      <c r="U500">
        <v>2773</v>
      </c>
      <c r="V500" t="str" cm="1">
        <f t="array" ref="V50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00">
        <v>12145</v>
      </c>
      <c r="X500">
        <v>0</v>
      </c>
      <c r="Y500" t="s">
        <v>43</v>
      </c>
      <c r="Z500" t="s">
        <v>44</v>
      </c>
      <c r="AA500">
        <v>20</v>
      </c>
      <c r="AB500">
        <v>4</v>
      </c>
      <c r="AC500">
        <v>4</v>
      </c>
      <c r="AD500">
        <v>80</v>
      </c>
      <c r="AE500">
        <v>0</v>
      </c>
      <c r="AF500">
        <v>3</v>
      </c>
      <c r="AG500">
        <v>3</v>
      </c>
      <c r="AH500">
        <v>3</v>
      </c>
      <c r="AI500">
        <v>2</v>
      </c>
      <c r="AJ500">
        <v>2</v>
      </c>
      <c r="AK500">
        <v>2</v>
      </c>
      <c r="AL500" t="str" cm="1">
        <f t="array" ref="AL50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00">
        <v>2</v>
      </c>
    </row>
    <row r="501" spans="1:39" x14ac:dyDescent="0.25">
      <c r="A501">
        <v>33</v>
      </c>
      <c r="B501" t="s">
        <v>44</v>
      </c>
      <c r="C501" t="s">
        <v>37</v>
      </c>
      <c r="D501">
        <v>1216</v>
      </c>
      <c r="E501" t="s">
        <v>38</v>
      </c>
      <c r="G501">
        <v>8</v>
      </c>
      <c r="H501">
        <v>4</v>
      </c>
      <c r="I501" t="s">
        <v>60</v>
      </c>
      <c r="J501" t="str">
        <f>WA_Fn_UseC__HR_Employee_Attrition[[#This Row],[EducationField]]&amp;"-"&amp;WA_Fn_UseC__HR_Employee_Attrition[[#This Row],[Department]]</f>
        <v>Marketing-Sales</v>
      </c>
      <c r="K501">
        <v>1</v>
      </c>
      <c r="L501">
        <v>677</v>
      </c>
      <c r="M501">
        <v>3</v>
      </c>
      <c r="N501" t="s">
        <v>47</v>
      </c>
      <c r="O501">
        <v>39</v>
      </c>
      <c r="P501">
        <v>3</v>
      </c>
      <c r="Q501">
        <v>2</v>
      </c>
      <c r="R501" t="s">
        <v>41</v>
      </c>
      <c r="S501">
        <v>3</v>
      </c>
      <c r="T501" t="s">
        <v>53</v>
      </c>
      <c r="U501">
        <v>7104</v>
      </c>
      <c r="V501" t="str" cm="1">
        <f t="array" ref="V50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01">
        <v>20431</v>
      </c>
      <c r="X501">
        <v>0</v>
      </c>
      <c r="Y501" t="s">
        <v>43</v>
      </c>
      <c r="Z501" t="s">
        <v>44</v>
      </c>
      <c r="AA501">
        <v>12</v>
      </c>
      <c r="AB501">
        <v>3</v>
      </c>
      <c r="AC501">
        <v>4</v>
      </c>
      <c r="AD501">
        <v>80</v>
      </c>
      <c r="AE501">
        <v>0</v>
      </c>
      <c r="AF501">
        <v>6</v>
      </c>
      <c r="AG501">
        <v>3</v>
      </c>
      <c r="AH501">
        <v>3</v>
      </c>
      <c r="AI501">
        <v>5</v>
      </c>
      <c r="AJ501">
        <v>0</v>
      </c>
      <c r="AK501">
        <v>1</v>
      </c>
      <c r="AL501" t="str" cm="1">
        <f t="array" ref="AL50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01">
        <v>2</v>
      </c>
    </row>
    <row r="502" spans="1:39" x14ac:dyDescent="0.25">
      <c r="A502">
        <v>32</v>
      </c>
      <c r="B502" t="s">
        <v>44</v>
      </c>
      <c r="C502" t="s">
        <v>37</v>
      </c>
      <c r="D502">
        <v>646</v>
      </c>
      <c r="E502" t="s">
        <v>46</v>
      </c>
      <c r="G502">
        <v>9</v>
      </c>
      <c r="H502">
        <v>4</v>
      </c>
      <c r="I502" t="s">
        <v>39</v>
      </c>
      <c r="J502" t="str">
        <f>WA_Fn_UseC__HR_Employee_Attrition[[#This Row],[EducationField]]&amp;"-"&amp;WA_Fn_UseC__HR_Employee_Attrition[[#This Row],[Department]]</f>
        <v>Life Sciences-Research &amp; Development</v>
      </c>
      <c r="K502">
        <v>1</v>
      </c>
      <c r="L502">
        <v>679</v>
      </c>
      <c r="M502">
        <v>1</v>
      </c>
      <c r="N502" t="s">
        <v>40</v>
      </c>
      <c r="O502">
        <v>92</v>
      </c>
      <c r="P502">
        <v>3</v>
      </c>
      <c r="Q502">
        <v>2</v>
      </c>
      <c r="R502" t="s">
        <v>48</v>
      </c>
      <c r="S502">
        <v>4</v>
      </c>
      <c r="T502" t="s">
        <v>49</v>
      </c>
      <c r="U502">
        <v>6322</v>
      </c>
      <c r="V502" t="str" cm="1">
        <f t="array" ref="V50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02">
        <v>18089</v>
      </c>
      <c r="X502">
        <v>1</v>
      </c>
      <c r="Y502" t="s">
        <v>43</v>
      </c>
      <c r="Z502" t="s">
        <v>36</v>
      </c>
      <c r="AA502">
        <v>12</v>
      </c>
      <c r="AB502">
        <v>3</v>
      </c>
      <c r="AC502">
        <v>4</v>
      </c>
      <c r="AD502">
        <v>80</v>
      </c>
      <c r="AE502">
        <v>1</v>
      </c>
      <c r="AF502">
        <v>6</v>
      </c>
      <c r="AG502">
        <v>2</v>
      </c>
      <c r="AH502">
        <v>2</v>
      </c>
      <c r="AI502">
        <v>6</v>
      </c>
      <c r="AJ502">
        <v>4</v>
      </c>
      <c r="AK502">
        <v>0</v>
      </c>
      <c r="AL502" t="str" cm="1">
        <f t="array" ref="AL50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02">
        <v>5</v>
      </c>
    </row>
    <row r="503" spans="1:39" x14ac:dyDescent="0.25">
      <c r="A503">
        <v>30</v>
      </c>
      <c r="B503" t="s">
        <v>44</v>
      </c>
      <c r="C503" t="s">
        <v>45</v>
      </c>
      <c r="D503">
        <v>160</v>
      </c>
      <c r="E503" t="s">
        <v>46</v>
      </c>
      <c r="G503">
        <v>3</v>
      </c>
      <c r="H503">
        <v>3</v>
      </c>
      <c r="I503" t="s">
        <v>52</v>
      </c>
      <c r="J503" t="str">
        <f>WA_Fn_UseC__HR_Employee_Attrition[[#This Row],[EducationField]]&amp;"-"&amp;WA_Fn_UseC__HR_Employee_Attrition[[#This Row],[Department]]</f>
        <v>Medical-Research &amp; Development</v>
      </c>
      <c r="K503">
        <v>1</v>
      </c>
      <c r="L503">
        <v>680</v>
      </c>
      <c r="M503">
        <v>3</v>
      </c>
      <c r="N503" t="s">
        <v>40</v>
      </c>
      <c r="O503">
        <v>71</v>
      </c>
      <c r="P503">
        <v>3</v>
      </c>
      <c r="Q503">
        <v>1</v>
      </c>
      <c r="R503" t="s">
        <v>48</v>
      </c>
      <c r="S503">
        <v>3</v>
      </c>
      <c r="T503" t="s">
        <v>53</v>
      </c>
      <c r="U503">
        <v>2083</v>
      </c>
      <c r="V503" t="str" cm="1">
        <f t="array" ref="V50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03">
        <v>22653</v>
      </c>
      <c r="X503">
        <v>1</v>
      </c>
      <c r="Y503" t="s">
        <v>43</v>
      </c>
      <c r="Z503" t="s">
        <v>44</v>
      </c>
      <c r="AA503">
        <v>20</v>
      </c>
      <c r="AB503">
        <v>4</v>
      </c>
      <c r="AC503">
        <v>3</v>
      </c>
      <c r="AD503">
        <v>80</v>
      </c>
      <c r="AE503">
        <v>1</v>
      </c>
      <c r="AF503">
        <v>1</v>
      </c>
      <c r="AG503">
        <v>2</v>
      </c>
      <c r="AH503">
        <v>3</v>
      </c>
      <c r="AI503">
        <v>1</v>
      </c>
      <c r="AJ503">
        <v>0</v>
      </c>
      <c r="AK503">
        <v>0</v>
      </c>
      <c r="AL503" t="str" cm="1">
        <f t="array" ref="AL50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03">
        <v>0</v>
      </c>
    </row>
    <row r="504" spans="1:39" x14ac:dyDescent="0.25">
      <c r="A504">
        <v>53</v>
      </c>
      <c r="B504" t="s">
        <v>44</v>
      </c>
      <c r="C504" t="s">
        <v>37</v>
      </c>
      <c r="D504">
        <v>238</v>
      </c>
      <c r="E504" t="s">
        <v>38</v>
      </c>
      <c r="G504">
        <v>1</v>
      </c>
      <c r="H504">
        <v>1</v>
      </c>
      <c r="I504" t="s">
        <v>52</v>
      </c>
      <c r="J504" t="str">
        <f>WA_Fn_UseC__HR_Employee_Attrition[[#This Row],[EducationField]]&amp;"-"&amp;WA_Fn_UseC__HR_Employee_Attrition[[#This Row],[Department]]</f>
        <v>Medical-Sales</v>
      </c>
      <c r="K504">
        <v>1</v>
      </c>
      <c r="L504">
        <v>682</v>
      </c>
      <c r="M504">
        <v>4</v>
      </c>
      <c r="N504" t="s">
        <v>40</v>
      </c>
      <c r="O504">
        <v>34</v>
      </c>
      <c r="P504">
        <v>3</v>
      </c>
      <c r="Q504">
        <v>2</v>
      </c>
      <c r="R504" t="s">
        <v>41</v>
      </c>
      <c r="S504">
        <v>1</v>
      </c>
      <c r="T504" t="s">
        <v>42</v>
      </c>
      <c r="U504">
        <v>8381</v>
      </c>
      <c r="V504" t="str" cm="1">
        <f t="array" ref="V50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04">
        <v>7507</v>
      </c>
      <c r="X504">
        <v>7</v>
      </c>
      <c r="Y504" t="s">
        <v>43</v>
      </c>
      <c r="Z504" t="s">
        <v>44</v>
      </c>
      <c r="AA504">
        <v>20</v>
      </c>
      <c r="AB504">
        <v>4</v>
      </c>
      <c r="AC504">
        <v>4</v>
      </c>
      <c r="AD504">
        <v>80</v>
      </c>
      <c r="AE504">
        <v>0</v>
      </c>
      <c r="AF504">
        <v>18</v>
      </c>
      <c r="AG504">
        <v>2</v>
      </c>
      <c r="AH504">
        <v>4</v>
      </c>
      <c r="AI504">
        <v>14</v>
      </c>
      <c r="AJ504">
        <v>7</v>
      </c>
      <c r="AK504">
        <v>8</v>
      </c>
      <c r="AL504" t="str" cm="1">
        <f t="array" ref="AL50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04">
        <v>10</v>
      </c>
    </row>
    <row r="505" spans="1:39" x14ac:dyDescent="0.25">
      <c r="A505">
        <v>34</v>
      </c>
      <c r="B505" t="s">
        <v>44</v>
      </c>
      <c r="C505" t="s">
        <v>37</v>
      </c>
      <c r="D505">
        <v>1397</v>
      </c>
      <c r="E505" t="s">
        <v>46</v>
      </c>
      <c r="G505">
        <v>1</v>
      </c>
      <c r="H505">
        <v>5</v>
      </c>
      <c r="I505" t="s">
        <v>39</v>
      </c>
      <c r="J505" t="str">
        <f>WA_Fn_UseC__HR_Employee_Attrition[[#This Row],[EducationField]]&amp;"-"&amp;WA_Fn_UseC__HR_Employee_Attrition[[#This Row],[Department]]</f>
        <v>Life Sciences-Research &amp; Development</v>
      </c>
      <c r="K505">
        <v>1</v>
      </c>
      <c r="L505">
        <v>683</v>
      </c>
      <c r="M505">
        <v>2</v>
      </c>
      <c r="N505" t="s">
        <v>47</v>
      </c>
      <c r="O505">
        <v>42</v>
      </c>
      <c r="P505">
        <v>3</v>
      </c>
      <c r="Q505">
        <v>1</v>
      </c>
      <c r="R505" t="s">
        <v>48</v>
      </c>
      <c r="S505">
        <v>4</v>
      </c>
      <c r="T505" t="s">
        <v>49</v>
      </c>
      <c r="U505">
        <v>2691</v>
      </c>
      <c r="V505" t="str" cm="1">
        <f t="array" ref="V50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05">
        <v>7660</v>
      </c>
      <c r="X505">
        <v>1</v>
      </c>
      <c r="Y505" t="s">
        <v>43</v>
      </c>
      <c r="Z505" t="s">
        <v>44</v>
      </c>
      <c r="AA505">
        <v>12</v>
      </c>
      <c r="AB505">
        <v>3</v>
      </c>
      <c r="AC505">
        <v>4</v>
      </c>
      <c r="AD505">
        <v>80</v>
      </c>
      <c r="AE505">
        <v>1</v>
      </c>
      <c r="AF505">
        <v>10</v>
      </c>
      <c r="AG505">
        <v>4</v>
      </c>
      <c r="AH505">
        <v>2</v>
      </c>
      <c r="AI505">
        <v>10</v>
      </c>
      <c r="AJ505">
        <v>9</v>
      </c>
      <c r="AK505">
        <v>8</v>
      </c>
      <c r="AL505" t="str" cm="1">
        <f t="array" ref="AL50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05">
        <v>8</v>
      </c>
    </row>
    <row r="506" spans="1:39" x14ac:dyDescent="0.25">
      <c r="A506">
        <v>45</v>
      </c>
      <c r="B506" t="s">
        <v>36</v>
      </c>
      <c r="C506" t="s">
        <v>45</v>
      </c>
      <c r="D506">
        <v>306</v>
      </c>
      <c r="E506" t="s">
        <v>38</v>
      </c>
      <c r="G506">
        <v>26</v>
      </c>
      <c r="H506">
        <v>4</v>
      </c>
      <c r="I506" t="s">
        <v>39</v>
      </c>
      <c r="J506" t="str">
        <f>WA_Fn_UseC__HR_Employee_Attrition[[#This Row],[EducationField]]&amp;"-"&amp;WA_Fn_UseC__HR_Employee_Attrition[[#This Row],[Department]]</f>
        <v>Life Sciences-Sales</v>
      </c>
      <c r="K506">
        <v>1</v>
      </c>
      <c r="L506">
        <v>684</v>
      </c>
      <c r="M506">
        <v>1</v>
      </c>
      <c r="N506" t="s">
        <v>40</v>
      </c>
      <c r="O506">
        <v>100</v>
      </c>
      <c r="P506">
        <v>3</v>
      </c>
      <c r="Q506">
        <v>2</v>
      </c>
      <c r="R506" t="s">
        <v>41</v>
      </c>
      <c r="S506">
        <v>1</v>
      </c>
      <c r="T506" t="s">
        <v>49</v>
      </c>
      <c r="U506">
        <v>4286</v>
      </c>
      <c r="V506" t="str" cm="1">
        <f t="array" ref="V50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06">
        <v>5630</v>
      </c>
      <c r="X506">
        <v>2</v>
      </c>
      <c r="Y506" t="s">
        <v>43</v>
      </c>
      <c r="Z506" t="s">
        <v>44</v>
      </c>
      <c r="AA506">
        <v>14</v>
      </c>
      <c r="AB506">
        <v>3</v>
      </c>
      <c r="AC506">
        <v>4</v>
      </c>
      <c r="AD506">
        <v>80</v>
      </c>
      <c r="AE506">
        <v>2</v>
      </c>
      <c r="AF506">
        <v>5</v>
      </c>
      <c r="AG506">
        <v>4</v>
      </c>
      <c r="AH506">
        <v>3</v>
      </c>
      <c r="AI506">
        <v>1</v>
      </c>
      <c r="AJ506">
        <v>1</v>
      </c>
      <c r="AK506">
        <v>0</v>
      </c>
      <c r="AL506" t="str" cm="1">
        <f t="array" ref="AL50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06">
        <v>0</v>
      </c>
    </row>
    <row r="507" spans="1:39" x14ac:dyDescent="0.25">
      <c r="A507">
        <v>26</v>
      </c>
      <c r="B507" t="s">
        <v>44</v>
      </c>
      <c r="C507" t="s">
        <v>37</v>
      </c>
      <c r="D507">
        <v>991</v>
      </c>
      <c r="E507" t="s">
        <v>46</v>
      </c>
      <c r="G507">
        <v>6</v>
      </c>
      <c r="H507">
        <v>3</v>
      </c>
      <c r="I507" t="s">
        <v>39</v>
      </c>
      <c r="J507" t="str">
        <f>WA_Fn_UseC__HR_Employee_Attrition[[#This Row],[EducationField]]&amp;"-"&amp;WA_Fn_UseC__HR_Employee_Attrition[[#This Row],[Department]]</f>
        <v>Life Sciences-Research &amp; Development</v>
      </c>
      <c r="K507">
        <v>1</v>
      </c>
      <c r="L507">
        <v>686</v>
      </c>
      <c r="M507">
        <v>3</v>
      </c>
      <c r="N507" t="s">
        <v>40</v>
      </c>
      <c r="O507">
        <v>71</v>
      </c>
      <c r="P507">
        <v>3</v>
      </c>
      <c r="Q507">
        <v>1</v>
      </c>
      <c r="R507" t="s">
        <v>51</v>
      </c>
      <c r="S507">
        <v>4</v>
      </c>
      <c r="T507" t="s">
        <v>49</v>
      </c>
      <c r="U507">
        <v>2659</v>
      </c>
      <c r="V507" t="str" cm="1">
        <f t="array" ref="V50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07">
        <v>17759</v>
      </c>
      <c r="X507">
        <v>1</v>
      </c>
      <c r="Y507" t="s">
        <v>43</v>
      </c>
      <c r="Z507" t="s">
        <v>36</v>
      </c>
      <c r="AA507">
        <v>13</v>
      </c>
      <c r="AB507">
        <v>3</v>
      </c>
      <c r="AC507">
        <v>3</v>
      </c>
      <c r="AD507">
        <v>80</v>
      </c>
      <c r="AE507">
        <v>1</v>
      </c>
      <c r="AF507">
        <v>3</v>
      </c>
      <c r="AG507">
        <v>2</v>
      </c>
      <c r="AH507">
        <v>3</v>
      </c>
      <c r="AI507">
        <v>3</v>
      </c>
      <c r="AJ507">
        <v>2</v>
      </c>
      <c r="AK507">
        <v>0</v>
      </c>
      <c r="AL507" t="str" cm="1">
        <f t="array" ref="AL50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07">
        <v>2</v>
      </c>
    </row>
    <row r="508" spans="1:39" x14ac:dyDescent="0.25">
      <c r="A508">
        <v>37</v>
      </c>
      <c r="B508" t="s">
        <v>44</v>
      </c>
      <c r="C508" t="s">
        <v>37</v>
      </c>
      <c r="D508">
        <v>482</v>
      </c>
      <c r="E508" t="s">
        <v>46</v>
      </c>
      <c r="G508">
        <v>3</v>
      </c>
      <c r="H508">
        <v>3</v>
      </c>
      <c r="I508" t="s">
        <v>50</v>
      </c>
      <c r="J508" t="str">
        <f>WA_Fn_UseC__HR_Employee_Attrition[[#This Row],[EducationField]]&amp;"-"&amp;WA_Fn_UseC__HR_Employee_Attrition[[#This Row],[Department]]</f>
        <v>Other-Research &amp; Development</v>
      </c>
      <c r="K508">
        <v>1</v>
      </c>
      <c r="L508">
        <v>689</v>
      </c>
      <c r="M508">
        <v>3</v>
      </c>
      <c r="N508" t="s">
        <v>47</v>
      </c>
      <c r="O508">
        <v>36</v>
      </c>
      <c r="P508">
        <v>3</v>
      </c>
      <c r="Q508">
        <v>3</v>
      </c>
      <c r="R508" t="s">
        <v>54</v>
      </c>
      <c r="S508">
        <v>3</v>
      </c>
      <c r="T508" t="s">
        <v>49</v>
      </c>
      <c r="U508">
        <v>9434</v>
      </c>
      <c r="V508" t="str" cm="1">
        <f t="array" ref="V50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08">
        <v>9606</v>
      </c>
      <c r="X508">
        <v>1</v>
      </c>
      <c r="Y508" t="s">
        <v>43</v>
      </c>
      <c r="Z508" t="s">
        <v>44</v>
      </c>
      <c r="AA508">
        <v>15</v>
      </c>
      <c r="AB508">
        <v>3</v>
      </c>
      <c r="AC508">
        <v>3</v>
      </c>
      <c r="AD508">
        <v>80</v>
      </c>
      <c r="AE508">
        <v>1</v>
      </c>
      <c r="AF508">
        <v>10</v>
      </c>
      <c r="AG508">
        <v>2</v>
      </c>
      <c r="AH508">
        <v>3</v>
      </c>
      <c r="AI508">
        <v>10</v>
      </c>
      <c r="AJ508">
        <v>7</v>
      </c>
      <c r="AK508">
        <v>7</v>
      </c>
      <c r="AL508" t="str" cm="1">
        <f t="array" ref="AL50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08">
        <v>8</v>
      </c>
    </row>
    <row r="509" spans="1:39" x14ac:dyDescent="0.25">
      <c r="A509">
        <v>29</v>
      </c>
      <c r="B509" t="s">
        <v>44</v>
      </c>
      <c r="C509" t="s">
        <v>37</v>
      </c>
      <c r="D509">
        <v>1176</v>
      </c>
      <c r="E509" t="s">
        <v>38</v>
      </c>
      <c r="G509">
        <v>3</v>
      </c>
      <c r="H509">
        <v>2</v>
      </c>
      <c r="I509" t="s">
        <v>52</v>
      </c>
      <c r="J509" t="str">
        <f>WA_Fn_UseC__HR_Employee_Attrition[[#This Row],[EducationField]]&amp;"-"&amp;WA_Fn_UseC__HR_Employee_Attrition[[#This Row],[Department]]</f>
        <v>Medical-Sales</v>
      </c>
      <c r="K509">
        <v>1</v>
      </c>
      <c r="L509">
        <v>690</v>
      </c>
      <c r="M509">
        <v>2</v>
      </c>
      <c r="N509" t="s">
        <v>40</v>
      </c>
      <c r="O509">
        <v>62</v>
      </c>
      <c r="P509">
        <v>3</v>
      </c>
      <c r="Q509">
        <v>2</v>
      </c>
      <c r="R509" t="s">
        <v>41</v>
      </c>
      <c r="S509">
        <v>3</v>
      </c>
      <c r="T509" t="s">
        <v>49</v>
      </c>
      <c r="U509">
        <v>5561</v>
      </c>
      <c r="V509" t="str" cm="1">
        <f t="array" ref="V50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09">
        <v>3487</v>
      </c>
      <c r="X509">
        <v>1</v>
      </c>
      <c r="Y509" t="s">
        <v>43</v>
      </c>
      <c r="Z509" t="s">
        <v>44</v>
      </c>
      <c r="AA509">
        <v>14</v>
      </c>
      <c r="AB509">
        <v>3</v>
      </c>
      <c r="AC509">
        <v>1</v>
      </c>
      <c r="AD509">
        <v>80</v>
      </c>
      <c r="AE509">
        <v>1</v>
      </c>
      <c r="AF509">
        <v>6</v>
      </c>
      <c r="AG509">
        <v>5</v>
      </c>
      <c r="AH509">
        <v>2</v>
      </c>
      <c r="AI509">
        <v>6</v>
      </c>
      <c r="AJ509">
        <v>0</v>
      </c>
      <c r="AK509">
        <v>1</v>
      </c>
      <c r="AL509" t="str" cm="1">
        <f t="array" ref="AL50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09">
        <v>2</v>
      </c>
    </row>
    <row r="510" spans="1:39" x14ac:dyDescent="0.25">
      <c r="A510">
        <v>35</v>
      </c>
      <c r="B510" t="s">
        <v>44</v>
      </c>
      <c r="C510" t="s">
        <v>37</v>
      </c>
      <c r="D510">
        <v>1017</v>
      </c>
      <c r="E510" t="s">
        <v>46</v>
      </c>
      <c r="G510">
        <v>6</v>
      </c>
      <c r="H510">
        <v>4</v>
      </c>
      <c r="I510" t="s">
        <v>39</v>
      </c>
      <c r="J510" t="str">
        <f>WA_Fn_UseC__HR_Employee_Attrition[[#This Row],[EducationField]]&amp;"-"&amp;WA_Fn_UseC__HR_Employee_Attrition[[#This Row],[Department]]</f>
        <v>Life Sciences-Research &amp; Development</v>
      </c>
      <c r="K510">
        <v>1</v>
      </c>
      <c r="L510">
        <v>691</v>
      </c>
      <c r="M510">
        <v>2</v>
      </c>
      <c r="N510" t="s">
        <v>47</v>
      </c>
      <c r="O510">
        <v>82</v>
      </c>
      <c r="P510">
        <v>1</v>
      </c>
      <c r="Q510">
        <v>2</v>
      </c>
      <c r="R510" t="s">
        <v>48</v>
      </c>
      <c r="S510">
        <v>4</v>
      </c>
      <c r="T510" t="s">
        <v>42</v>
      </c>
      <c r="U510">
        <v>6646</v>
      </c>
      <c r="V510" t="str" cm="1">
        <f t="array" ref="V51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10">
        <v>19368</v>
      </c>
      <c r="X510">
        <v>1</v>
      </c>
      <c r="Y510" t="s">
        <v>43</v>
      </c>
      <c r="Z510" t="s">
        <v>44</v>
      </c>
      <c r="AA510">
        <v>13</v>
      </c>
      <c r="AB510">
        <v>3</v>
      </c>
      <c r="AC510">
        <v>2</v>
      </c>
      <c r="AD510">
        <v>80</v>
      </c>
      <c r="AE510">
        <v>0</v>
      </c>
      <c r="AF510">
        <v>17</v>
      </c>
      <c r="AG510">
        <v>3</v>
      </c>
      <c r="AH510">
        <v>3</v>
      </c>
      <c r="AI510">
        <v>17</v>
      </c>
      <c r="AJ510">
        <v>11</v>
      </c>
      <c r="AK510">
        <v>11</v>
      </c>
      <c r="AL510" t="str" cm="1">
        <f t="array" ref="AL51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10">
        <v>8</v>
      </c>
    </row>
    <row r="511" spans="1:39" x14ac:dyDescent="0.25">
      <c r="A511">
        <v>33</v>
      </c>
      <c r="B511" t="s">
        <v>44</v>
      </c>
      <c r="C511" t="s">
        <v>45</v>
      </c>
      <c r="D511">
        <v>1296</v>
      </c>
      <c r="E511" t="s">
        <v>46</v>
      </c>
      <c r="G511">
        <v>6</v>
      </c>
      <c r="H511">
        <v>3</v>
      </c>
      <c r="I511" t="s">
        <v>39</v>
      </c>
      <c r="J511" t="str">
        <f>WA_Fn_UseC__HR_Employee_Attrition[[#This Row],[EducationField]]&amp;"-"&amp;WA_Fn_UseC__HR_Employee_Attrition[[#This Row],[Department]]</f>
        <v>Life Sciences-Research &amp; Development</v>
      </c>
      <c r="K511">
        <v>1</v>
      </c>
      <c r="L511">
        <v>692</v>
      </c>
      <c r="M511">
        <v>3</v>
      </c>
      <c r="N511" t="s">
        <v>47</v>
      </c>
      <c r="O511">
        <v>30</v>
      </c>
      <c r="P511">
        <v>3</v>
      </c>
      <c r="Q511">
        <v>2</v>
      </c>
      <c r="R511" t="s">
        <v>55</v>
      </c>
      <c r="S511">
        <v>4</v>
      </c>
      <c r="T511" t="s">
        <v>53</v>
      </c>
      <c r="U511">
        <v>7725</v>
      </c>
      <c r="V511" t="str" cm="1">
        <f t="array" ref="V51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11">
        <v>5335</v>
      </c>
      <c r="X511">
        <v>3</v>
      </c>
      <c r="Y511" t="s">
        <v>43</v>
      </c>
      <c r="Z511" t="s">
        <v>44</v>
      </c>
      <c r="AA511">
        <v>23</v>
      </c>
      <c r="AB511">
        <v>4</v>
      </c>
      <c r="AC511">
        <v>3</v>
      </c>
      <c r="AD511">
        <v>80</v>
      </c>
      <c r="AE511">
        <v>1</v>
      </c>
      <c r="AF511">
        <v>15</v>
      </c>
      <c r="AG511">
        <v>2</v>
      </c>
      <c r="AH511">
        <v>1</v>
      </c>
      <c r="AI511">
        <v>13</v>
      </c>
      <c r="AJ511">
        <v>11</v>
      </c>
      <c r="AK511">
        <v>4</v>
      </c>
      <c r="AL511" t="str" cm="1">
        <f t="array" ref="AL51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11">
        <v>7</v>
      </c>
    </row>
    <row r="512" spans="1:39" x14ac:dyDescent="0.25">
      <c r="A512">
        <v>54</v>
      </c>
      <c r="B512" t="s">
        <v>44</v>
      </c>
      <c r="C512" t="s">
        <v>37</v>
      </c>
      <c r="D512">
        <v>397</v>
      </c>
      <c r="E512" t="s">
        <v>62</v>
      </c>
      <c r="G512">
        <v>19</v>
      </c>
      <c r="H512">
        <v>4</v>
      </c>
      <c r="I512" t="s">
        <v>52</v>
      </c>
      <c r="J512" t="str">
        <f>WA_Fn_UseC__HR_Employee_Attrition[[#This Row],[EducationField]]&amp;"-"&amp;WA_Fn_UseC__HR_Employee_Attrition[[#This Row],[Department]]</f>
        <v>Medical-Human Resources</v>
      </c>
      <c r="K512">
        <v>1</v>
      </c>
      <c r="L512">
        <v>698</v>
      </c>
      <c r="M512">
        <v>3</v>
      </c>
      <c r="N512" t="s">
        <v>47</v>
      </c>
      <c r="O512">
        <v>88</v>
      </c>
      <c r="P512">
        <v>3</v>
      </c>
      <c r="Q512">
        <v>3</v>
      </c>
      <c r="R512" t="s">
        <v>62</v>
      </c>
      <c r="S512">
        <v>2</v>
      </c>
      <c r="T512" t="s">
        <v>49</v>
      </c>
      <c r="U512">
        <v>10725</v>
      </c>
      <c r="V512" t="str" cm="1">
        <f t="array" ref="V51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12">
        <v>6729</v>
      </c>
      <c r="X512">
        <v>2</v>
      </c>
      <c r="Y512" t="s">
        <v>43</v>
      </c>
      <c r="Z512" t="s">
        <v>44</v>
      </c>
      <c r="AA512">
        <v>15</v>
      </c>
      <c r="AB512">
        <v>3</v>
      </c>
      <c r="AC512">
        <v>3</v>
      </c>
      <c r="AD512">
        <v>80</v>
      </c>
      <c r="AE512">
        <v>1</v>
      </c>
      <c r="AF512">
        <v>16</v>
      </c>
      <c r="AG512">
        <v>1</v>
      </c>
      <c r="AH512">
        <v>4</v>
      </c>
      <c r="AI512">
        <v>9</v>
      </c>
      <c r="AJ512">
        <v>7</v>
      </c>
      <c r="AK512">
        <v>7</v>
      </c>
      <c r="AL512" t="str" cm="1">
        <f t="array" ref="AL51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12">
        <v>1</v>
      </c>
    </row>
    <row r="513" spans="1:39" x14ac:dyDescent="0.25">
      <c r="A513">
        <v>36</v>
      </c>
      <c r="B513" t="s">
        <v>44</v>
      </c>
      <c r="C513" t="s">
        <v>37</v>
      </c>
      <c r="D513">
        <v>913</v>
      </c>
      <c r="E513" t="s">
        <v>46</v>
      </c>
      <c r="G513">
        <v>9</v>
      </c>
      <c r="H513">
        <v>2</v>
      </c>
      <c r="I513" t="s">
        <v>52</v>
      </c>
      <c r="J513" t="str">
        <f>WA_Fn_UseC__HR_Employee_Attrition[[#This Row],[EducationField]]&amp;"-"&amp;WA_Fn_UseC__HR_Employee_Attrition[[#This Row],[Department]]</f>
        <v>Medical-Research &amp; Development</v>
      </c>
      <c r="K513">
        <v>1</v>
      </c>
      <c r="L513">
        <v>699</v>
      </c>
      <c r="M513">
        <v>2</v>
      </c>
      <c r="N513" t="s">
        <v>47</v>
      </c>
      <c r="O513">
        <v>48</v>
      </c>
      <c r="P513">
        <v>2</v>
      </c>
      <c r="Q513">
        <v>2</v>
      </c>
      <c r="R513" t="s">
        <v>54</v>
      </c>
      <c r="S513">
        <v>2</v>
      </c>
      <c r="T513" t="s">
        <v>53</v>
      </c>
      <c r="U513">
        <v>8847</v>
      </c>
      <c r="V513" t="str" cm="1">
        <f t="array" ref="V51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13">
        <v>13934</v>
      </c>
      <c r="X513">
        <v>2</v>
      </c>
      <c r="Y513" t="s">
        <v>43</v>
      </c>
      <c r="Z513" t="s">
        <v>36</v>
      </c>
      <c r="AA513">
        <v>11</v>
      </c>
      <c r="AB513">
        <v>3</v>
      </c>
      <c r="AC513">
        <v>3</v>
      </c>
      <c r="AD513">
        <v>80</v>
      </c>
      <c r="AE513">
        <v>1</v>
      </c>
      <c r="AF513">
        <v>13</v>
      </c>
      <c r="AG513">
        <v>2</v>
      </c>
      <c r="AH513">
        <v>3</v>
      </c>
      <c r="AI513">
        <v>3</v>
      </c>
      <c r="AJ513">
        <v>2</v>
      </c>
      <c r="AK513">
        <v>0</v>
      </c>
      <c r="AL513" t="str" cm="1">
        <f t="array" ref="AL51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13">
        <v>2</v>
      </c>
    </row>
    <row r="514" spans="1:39" x14ac:dyDescent="0.25">
      <c r="A514">
        <v>27</v>
      </c>
      <c r="B514" t="s">
        <v>44</v>
      </c>
      <c r="C514" t="s">
        <v>37</v>
      </c>
      <c r="D514">
        <v>1115</v>
      </c>
      <c r="E514" t="s">
        <v>46</v>
      </c>
      <c r="G514">
        <v>3</v>
      </c>
      <c r="H514">
        <v>4</v>
      </c>
      <c r="I514" t="s">
        <v>52</v>
      </c>
      <c r="J514" t="str">
        <f>WA_Fn_UseC__HR_Employee_Attrition[[#This Row],[EducationField]]&amp;"-"&amp;WA_Fn_UseC__HR_Employee_Attrition[[#This Row],[Department]]</f>
        <v>Medical-Research &amp; Development</v>
      </c>
      <c r="K514">
        <v>1</v>
      </c>
      <c r="L514">
        <v>700</v>
      </c>
      <c r="M514">
        <v>1</v>
      </c>
      <c r="N514" t="s">
        <v>47</v>
      </c>
      <c r="O514">
        <v>54</v>
      </c>
      <c r="P514">
        <v>2</v>
      </c>
      <c r="Q514">
        <v>1</v>
      </c>
      <c r="R514" t="s">
        <v>48</v>
      </c>
      <c r="S514">
        <v>4</v>
      </c>
      <c r="T514" t="s">
        <v>42</v>
      </c>
      <c r="U514">
        <v>2045</v>
      </c>
      <c r="V514" t="str" cm="1">
        <f t="array" ref="V51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14">
        <v>15174</v>
      </c>
      <c r="X514">
        <v>0</v>
      </c>
      <c r="Y514" t="s">
        <v>43</v>
      </c>
      <c r="Z514" t="s">
        <v>44</v>
      </c>
      <c r="AA514">
        <v>13</v>
      </c>
      <c r="AB514">
        <v>3</v>
      </c>
      <c r="AC514">
        <v>4</v>
      </c>
      <c r="AD514">
        <v>80</v>
      </c>
      <c r="AE514">
        <v>0</v>
      </c>
      <c r="AF514">
        <v>5</v>
      </c>
      <c r="AG514">
        <v>0</v>
      </c>
      <c r="AH514">
        <v>3</v>
      </c>
      <c r="AI514">
        <v>4</v>
      </c>
      <c r="AJ514">
        <v>2</v>
      </c>
      <c r="AK514">
        <v>1</v>
      </c>
      <c r="AL514" t="str" cm="1">
        <f t="array" ref="AL51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14">
        <v>1</v>
      </c>
    </row>
    <row r="515" spans="1:39" x14ac:dyDescent="0.25">
      <c r="A515">
        <v>20</v>
      </c>
      <c r="B515" t="s">
        <v>36</v>
      </c>
      <c r="C515" t="s">
        <v>37</v>
      </c>
      <c r="D515">
        <v>1362</v>
      </c>
      <c r="E515" t="s">
        <v>46</v>
      </c>
      <c r="G515">
        <v>10</v>
      </c>
      <c r="H515">
        <v>1</v>
      </c>
      <c r="I515" t="s">
        <v>52</v>
      </c>
      <c r="J515" t="str">
        <f>WA_Fn_UseC__HR_Employee_Attrition[[#This Row],[EducationField]]&amp;"-"&amp;WA_Fn_UseC__HR_Employee_Attrition[[#This Row],[Department]]</f>
        <v>Medical-Research &amp; Development</v>
      </c>
      <c r="K515">
        <v>1</v>
      </c>
      <c r="L515">
        <v>701</v>
      </c>
      <c r="M515">
        <v>4</v>
      </c>
      <c r="N515" t="s">
        <v>47</v>
      </c>
      <c r="O515">
        <v>32</v>
      </c>
      <c r="P515">
        <v>3</v>
      </c>
      <c r="Q515">
        <v>1</v>
      </c>
      <c r="R515" t="s">
        <v>48</v>
      </c>
      <c r="S515">
        <v>3</v>
      </c>
      <c r="T515" t="s">
        <v>42</v>
      </c>
      <c r="U515">
        <v>1009</v>
      </c>
      <c r="V515" t="str" cm="1">
        <f t="array" ref="V51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15">
        <v>26999</v>
      </c>
      <c r="X515">
        <v>1</v>
      </c>
      <c r="Y515" t="s">
        <v>43</v>
      </c>
      <c r="Z515" t="s">
        <v>36</v>
      </c>
      <c r="AA515">
        <v>11</v>
      </c>
      <c r="AB515">
        <v>3</v>
      </c>
      <c r="AC515">
        <v>4</v>
      </c>
      <c r="AD515">
        <v>80</v>
      </c>
      <c r="AE515">
        <v>0</v>
      </c>
      <c r="AF515">
        <v>1</v>
      </c>
      <c r="AG515">
        <v>5</v>
      </c>
      <c r="AH515">
        <v>3</v>
      </c>
      <c r="AI515">
        <v>1</v>
      </c>
      <c r="AJ515">
        <v>0</v>
      </c>
      <c r="AK515">
        <v>1</v>
      </c>
      <c r="AL515" t="str" cm="1">
        <f t="array" ref="AL51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15">
        <v>1</v>
      </c>
    </row>
    <row r="516" spans="1:39" x14ac:dyDescent="0.25">
      <c r="A516">
        <v>33</v>
      </c>
      <c r="B516" t="s">
        <v>36</v>
      </c>
      <c r="C516" t="s">
        <v>45</v>
      </c>
      <c r="D516">
        <v>1076</v>
      </c>
      <c r="E516" t="s">
        <v>46</v>
      </c>
      <c r="G516">
        <v>3</v>
      </c>
      <c r="H516">
        <v>3</v>
      </c>
      <c r="I516" t="s">
        <v>39</v>
      </c>
      <c r="J516" t="str">
        <f>WA_Fn_UseC__HR_Employee_Attrition[[#This Row],[EducationField]]&amp;"-"&amp;WA_Fn_UseC__HR_Employee_Attrition[[#This Row],[Department]]</f>
        <v>Life Sciences-Research &amp; Development</v>
      </c>
      <c r="K516">
        <v>1</v>
      </c>
      <c r="L516">
        <v>702</v>
      </c>
      <c r="M516">
        <v>1</v>
      </c>
      <c r="N516" t="s">
        <v>47</v>
      </c>
      <c r="O516">
        <v>70</v>
      </c>
      <c r="P516">
        <v>3</v>
      </c>
      <c r="Q516">
        <v>1</v>
      </c>
      <c r="R516" t="s">
        <v>48</v>
      </c>
      <c r="S516">
        <v>1</v>
      </c>
      <c r="T516" t="s">
        <v>42</v>
      </c>
      <c r="U516">
        <v>3348</v>
      </c>
      <c r="V516" t="str" cm="1">
        <f t="array" ref="V51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16">
        <v>3164</v>
      </c>
      <c r="X516">
        <v>1</v>
      </c>
      <c r="Y516" t="s">
        <v>43</v>
      </c>
      <c r="Z516" t="s">
        <v>36</v>
      </c>
      <c r="AA516">
        <v>11</v>
      </c>
      <c r="AB516">
        <v>3</v>
      </c>
      <c r="AC516">
        <v>1</v>
      </c>
      <c r="AD516">
        <v>80</v>
      </c>
      <c r="AE516">
        <v>0</v>
      </c>
      <c r="AF516">
        <v>10</v>
      </c>
      <c r="AG516">
        <v>3</v>
      </c>
      <c r="AH516">
        <v>3</v>
      </c>
      <c r="AI516">
        <v>10</v>
      </c>
      <c r="AJ516">
        <v>8</v>
      </c>
      <c r="AK516">
        <v>9</v>
      </c>
      <c r="AL516" t="str" cm="1">
        <f t="array" ref="AL51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16">
        <v>7</v>
      </c>
    </row>
    <row r="517" spans="1:39" x14ac:dyDescent="0.25">
      <c r="A517">
        <v>35</v>
      </c>
      <c r="B517" t="s">
        <v>44</v>
      </c>
      <c r="C517" t="s">
        <v>56</v>
      </c>
      <c r="D517">
        <v>727</v>
      </c>
      <c r="E517" t="s">
        <v>46</v>
      </c>
      <c r="G517">
        <v>3</v>
      </c>
      <c r="H517">
        <v>3</v>
      </c>
      <c r="I517" t="s">
        <v>39</v>
      </c>
      <c r="J517" t="str">
        <f>WA_Fn_UseC__HR_Employee_Attrition[[#This Row],[EducationField]]&amp;"-"&amp;WA_Fn_UseC__HR_Employee_Attrition[[#This Row],[Department]]</f>
        <v>Life Sciences-Research &amp; Development</v>
      </c>
      <c r="K517">
        <v>1</v>
      </c>
      <c r="L517">
        <v>704</v>
      </c>
      <c r="M517">
        <v>3</v>
      </c>
      <c r="N517" t="s">
        <v>47</v>
      </c>
      <c r="O517">
        <v>41</v>
      </c>
      <c r="P517">
        <v>2</v>
      </c>
      <c r="Q517">
        <v>1</v>
      </c>
      <c r="R517" t="s">
        <v>51</v>
      </c>
      <c r="S517">
        <v>3</v>
      </c>
      <c r="T517" t="s">
        <v>49</v>
      </c>
      <c r="U517">
        <v>1281</v>
      </c>
      <c r="V517" t="str" cm="1">
        <f t="array" ref="V51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17">
        <v>16900</v>
      </c>
      <c r="X517">
        <v>1</v>
      </c>
      <c r="Y517" t="s">
        <v>43</v>
      </c>
      <c r="Z517" t="s">
        <v>44</v>
      </c>
      <c r="AA517">
        <v>18</v>
      </c>
      <c r="AB517">
        <v>3</v>
      </c>
      <c r="AC517">
        <v>3</v>
      </c>
      <c r="AD517">
        <v>80</v>
      </c>
      <c r="AE517">
        <v>2</v>
      </c>
      <c r="AF517">
        <v>1</v>
      </c>
      <c r="AG517">
        <v>3</v>
      </c>
      <c r="AH517">
        <v>3</v>
      </c>
      <c r="AI517">
        <v>1</v>
      </c>
      <c r="AJ517">
        <v>0</v>
      </c>
      <c r="AK517">
        <v>0</v>
      </c>
      <c r="AL517" t="str" cm="1">
        <f t="array" ref="AL51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17">
        <v>0</v>
      </c>
    </row>
    <row r="518" spans="1:39" x14ac:dyDescent="0.25">
      <c r="A518">
        <v>23</v>
      </c>
      <c r="B518" t="s">
        <v>44</v>
      </c>
      <c r="C518" t="s">
        <v>37</v>
      </c>
      <c r="D518">
        <v>885</v>
      </c>
      <c r="E518" t="s">
        <v>46</v>
      </c>
      <c r="G518">
        <v>4</v>
      </c>
      <c r="H518">
        <v>3</v>
      </c>
      <c r="I518" t="s">
        <v>52</v>
      </c>
      <c r="J518" t="str">
        <f>WA_Fn_UseC__HR_Employee_Attrition[[#This Row],[EducationField]]&amp;"-"&amp;WA_Fn_UseC__HR_Employee_Attrition[[#This Row],[Department]]</f>
        <v>Medical-Research &amp; Development</v>
      </c>
      <c r="K518">
        <v>1</v>
      </c>
      <c r="L518">
        <v>705</v>
      </c>
      <c r="M518">
        <v>1</v>
      </c>
      <c r="N518" t="s">
        <v>47</v>
      </c>
      <c r="O518">
        <v>58</v>
      </c>
      <c r="P518">
        <v>4</v>
      </c>
      <c r="Q518">
        <v>1</v>
      </c>
      <c r="R518" t="s">
        <v>48</v>
      </c>
      <c r="S518">
        <v>1</v>
      </c>
      <c r="T518" t="s">
        <v>49</v>
      </c>
      <c r="U518">
        <v>2819</v>
      </c>
      <c r="V518" t="str" cm="1">
        <f t="array" ref="V51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18">
        <v>8544</v>
      </c>
      <c r="X518">
        <v>2</v>
      </c>
      <c r="Y518" t="s">
        <v>43</v>
      </c>
      <c r="Z518" t="s">
        <v>44</v>
      </c>
      <c r="AA518">
        <v>16</v>
      </c>
      <c r="AB518">
        <v>3</v>
      </c>
      <c r="AC518">
        <v>1</v>
      </c>
      <c r="AD518">
        <v>80</v>
      </c>
      <c r="AE518">
        <v>1</v>
      </c>
      <c r="AF518">
        <v>5</v>
      </c>
      <c r="AG518">
        <v>3</v>
      </c>
      <c r="AH518">
        <v>4</v>
      </c>
      <c r="AI518">
        <v>3</v>
      </c>
      <c r="AJ518">
        <v>2</v>
      </c>
      <c r="AK518">
        <v>0</v>
      </c>
      <c r="AL518" t="str" cm="1">
        <f t="array" ref="AL51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18">
        <v>2</v>
      </c>
    </row>
    <row r="519" spans="1:39" x14ac:dyDescent="0.25">
      <c r="A519">
        <v>25</v>
      </c>
      <c r="B519" t="s">
        <v>44</v>
      </c>
      <c r="C519" t="s">
        <v>37</v>
      </c>
      <c r="D519">
        <v>810</v>
      </c>
      <c r="E519" t="s">
        <v>38</v>
      </c>
      <c r="G519">
        <v>8</v>
      </c>
      <c r="H519">
        <v>3</v>
      </c>
      <c r="I519" t="s">
        <v>39</v>
      </c>
      <c r="J519" t="str">
        <f>WA_Fn_UseC__HR_Employee_Attrition[[#This Row],[EducationField]]&amp;"-"&amp;WA_Fn_UseC__HR_Employee_Attrition[[#This Row],[Department]]</f>
        <v>Life Sciences-Sales</v>
      </c>
      <c r="K519">
        <v>1</v>
      </c>
      <c r="L519">
        <v>707</v>
      </c>
      <c r="M519">
        <v>4</v>
      </c>
      <c r="N519" t="s">
        <v>47</v>
      </c>
      <c r="O519">
        <v>57</v>
      </c>
      <c r="P519">
        <v>4</v>
      </c>
      <c r="Q519">
        <v>2</v>
      </c>
      <c r="R519" t="s">
        <v>41</v>
      </c>
      <c r="S519">
        <v>2</v>
      </c>
      <c r="T519" t="s">
        <v>49</v>
      </c>
      <c r="U519">
        <v>4851</v>
      </c>
      <c r="V519" t="str" cm="1">
        <f t="array" ref="V51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19">
        <v>15678</v>
      </c>
      <c r="X519">
        <v>0</v>
      </c>
      <c r="Y519" t="s">
        <v>43</v>
      </c>
      <c r="Z519" t="s">
        <v>44</v>
      </c>
      <c r="AA519">
        <v>22</v>
      </c>
      <c r="AB519">
        <v>4</v>
      </c>
      <c r="AC519">
        <v>3</v>
      </c>
      <c r="AD519">
        <v>80</v>
      </c>
      <c r="AE519">
        <v>1</v>
      </c>
      <c r="AF519">
        <v>4</v>
      </c>
      <c r="AG519">
        <v>4</v>
      </c>
      <c r="AH519">
        <v>3</v>
      </c>
      <c r="AI519">
        <v>3</v>
      </c>
      <c r="AJ519">
        <v>2</v>
      </c>
      <c r="AK519">
        <v>1</v>
      </c>
      <c r="AL519" t="str" cm="1">
        <f t="array" ref="AL51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19">
        <v>2</v>
      </c>
    </row>
    <row r="520" spans="1:39" x14ac:dyDescent="0.25">
      <c r="A520">
        <v>38</v>
      </c>
      <c r="B520" t="s">
        <v>44</v>
      </c>
      <c r="C520" t="s">
        <v>37</v>
      </c>
      <c r="D520">
        <v>243</v>
      </c>
      <c r="E520" t="s">
        <v>38</v>
      </c>
      <c r="G520">
        <v>7</v>
      </c>
      <c r="H520">
        <v>4</v>
      </c>
      <c r="I520" t="s">
        <v>60</v>
      </c>
      <c r="J520" t="str">
        <f>WA_Fn_UseC__HR_Employee_Attrition[[#This Row],[EducationField]]&amp;"-"&amp;WA_Fn_UseC__HR_Employee_Attrition[[#This Row],[Department]]</f>
        <v>Marketing-Sales</v>
      </c>
      <c r="K520">
        <v>1</v>
      </c>
      <c r="L520">
        <v>709</v>
      </c>
      <c r="M520">
        <v>4</v>
      </c>
      <c r="N520" t="s">
        <v>40</v>
      </c>
      <c r="O520">
        <v>46</v>
      </c>
      <c r="P520">
        <v>2</v>
      </c>
      <c r="Q520">
        <v>2</v>
      </c>
      <c r="R520" t="s">
        <v>41</v>
      </c>
      <c r="S520">
        <v>4</v>
      </c>
      <c r="T520" t="s">
        <v>42</v>
      </c>
      <c r="U520">
        <v>4028</v>
      </c>
      <c r="V520" t="str" cm="1">
        <f t="array" ref="V52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20">
        <v>7791</v>
      </c>
      <c r="X520">
        <v>0</v>
      </c>
      <c r="Y520" t="s">
        <v>43</v>
      </c>
      <c r="Z520" t="s">
        <v>44</v>
      </c>
      <c r="AA520">
        <v>20</v>
      </c>
      <c r="AB520">
        <v>4</v>
      </c>
      <c r="AC520">
        <v>1</v>
      </c>
      <c r="AD520">
        <v>80</v>
      </c>
      <c r="AE520">
        <v>0</v>
      </c>
      <c r="AF520">
        <v>8</v>
      </c>
      <c r="AG520">
        <v>2</v>
      </c>
      <c r="AH520">
        <v>3</v>
      </c>
      <c r="AI520">
        <v>7</v>
      </c>
      <c r="AJ520">
        <v>7</v>
      </c>
      <c r="AK520">
        <v>0</v>
      </c>
      <c r="AL520" t="str" cm="1">
        <f t="array" ref="AL52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20">
        <v>5</v>
      </c>
    </row>
    <row r="521" spans="1:39" x14ac:dyDescent="0.25">
      <c r="A521">
        <v>29</v>
      </c>
      <c r="B521" t="s">
        <v>44</v>
      </c>
      <c r="C521" t="s">
        <v>45</v>
      </c>
      <c r="D521">
        <v>806</v>
      </c>
      <c r="E521" t="s">
        <v>46</v>
      </c>
      <c r="G521">
        <v>1</v>
      </c>
      <c r="H521">
        <v>4</v>
      </c>
      <c r="I521" t="s">
        <v>39</v>
      </c>
      <c r="J521" t="str">
        <f>WA_Fn_UseC__HR_Employee_Attrition[[#This Row],[EducationField]]&amp;"-"&amp;WA_Fn_UseC__HR_Employee_Attrition[[#This Row],[Department]]</f>
        <v>Life Sciences-Research &amp; Development</v>
      </c>
      <c r="K521">
        <v>1</v>
      </c>
      <c r="L521">
        <v>710</v>
      </c>
      <c r="M521">
        <v>2</v>
      </c>
      <c r="N521" t="s">
        <v>47</v>
      </c>
      <c r="O521">
        <v>76</v>
      </c>
      <c r="P521">
        <v>1</v>
      </c>
      <c r="Q521">
        <v>1</v>
      </c>
      <c r="R521" t="s">
        <v>48</v>
      </c>
      <c r="S521">
        <v>4</v>
      </c>
      <c r="T521" t="s">
        <v>53</v>
      </c>
      <c r="U521">
        <v>2720</v>
      </c>
      <c r="V521" t="str" cm="1">
        <f t="array" ref="V52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21">
        <v>18959</v>
      </c>
      <c r="X521">
        <v>1</v>
      </c>
      <c r="Y521" t="s">
        <v>43</v>
      </c>
      <c r="Z521" t="s">
        <v>44</v>
      </c>
      <c r="AA521">
        <v>18</v>
      </c>
      <c r="AB521">
        <v>3</v>
      </c>
      <c r="AC521">
        <v>4</v>
      </c>
      <c r="AD521">
        <v>80</v>
      </c>
      <c r="AE521">
        <v>1</v>
      </c>
      <c r="AF521">
        <v>10</v>
      </c>
      <c r="AG521">
        <v>5</v>
      </c>
      <c r="AH521">
        <v>3</v>
      </c>
      <c r="AI521">
        <v>10</v>
      </c>
      <c r="AJ521">
        <v>7</v>
      </c>
      <c r="AK521">
        <v>2</v>
      </c>
      <c r="AL521" t="str" cm="1">
        <f t="array" ref="AL52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21">
        <v>8</v>
      </c>
    </row>
    <row r="522" spans="1:39" x14ac:dyDescent="0.25">
      <c r="A522">
        <v>48</v>
      </c>
      <c r="B522" t="s">
        <v>44</v>
      </c>
      <c r="C522" t="s">
        <v>37</v>
      </c>
      <c r="D522">
        <v>817</v>
      </c>
      <c r="E522" t="s">
        <v>38</v>
      </c>
      <c r="G522">
        <v>2</v>
      </c>
      <c r="H522">
        <v>1</v>
      </c>
      <c r="I522" t="s">
        <v>60</v>
      </c>
      <c r="J522" t="str">
        <f>WA_Fn_UseC__HR_Employee_Attrition[[#This Row],[EducationField]]&amp;"-"&amp;WA_Fn_UseC__HR_Employee_Attrition[[#This Row],[Department]]</f>
        <v>Marketing-Sales</v>
      </c>
      <c r="K522">
        <v>1</v>
      </c>
      <c r="L522">
        <v>712</v>
      </c>
      <c r="M522">
        <v>2</v>
      </c>
      <c r="N522" t="s">
        <v>47</v>
      </c>
      <c r="O522">
        <v>56</v>
      </c>
      <c r="P522">
        <v>4</v>
      </c>
      <c r="Q522">
        <v>2</v>
      </c>
      <c r="R522" t="s">
        <v>41</v>
      </c>
      <c r="S522">
        <v>2</v>
      </c>
      <c r="T522" t="s">
        <v>49</v>
      </c>
      <c r="U522">
        <v>8120</v>
      </c>
      <c r="V522" t="str" cm="1">
        <f t="array" ref="V52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22">
        <v>18597</v>
      </c>
      <c r="X522">
        <v>3</v>
      </c>
      <c r="Y522" t="s">
        <v>43</v>
      </c>
      <c r="Z522" t="s">
        <v>44</v>
      </c>
      <c r="AA522">
        <v>12</v>
      </c>
      <c r="AB522">
        <v>3</v>
      </c>
      <c r="AC522">
        <v>4</v>
      </c>
      <c r="AD522">
        <v>80</v>
      </c>
      <c r="AE522">
        <v>0</v>
      </c>
      <c r="AF522">
        <v>12</v>
      </c>
      <c r="AG522">
        <v>3</v>
      </c>
      <c r="AH522">
        <v>3</v>
      </c>
      <c r="AI522">
        <v>2</v>
      </c>
      <c r="AJ522">
        <v>2</v>
      </c>
      <c r="AK522">
        <v>2</v>
      </c>
      <c r="AL522" t="str" cm="1">
        <f t="array" ref="AL52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22">
        <v>2</v>
      </c>
    </row>
    <row r="523" spans="1:39" x14ac:dyDescent="0.25">
      <c r="A523">
        <v>27</v>
      </c>
      <c r="B523" t="s">
        <v>44</v>
      </c>
      <c r="C523" t="s">
        <v>45</v>
      </c>
      <c r="D523">
        <v>1410</v>
      </c>
      <c r="E523" t="s">
        <v>38</v>
      </c>
      <c r="G523">
        <v>3</v>
      </c>
      <c r="H523">
        <v>1</v>
      </c>
      <c r="I523" t="s">
        <v>52</v>
      </c>
      <c r="J523" t="str">
        <f>WA_Fn_UseC__HR_Employee_Attrition[[#This Row],[EducationField]]&amp;"-"&amp;WA_Fn_UseC__HR_Employee_Attrition[[#This Row],[Department]]</f>
        <v>Medical-Sales</v>
      </c>
      <c r="K523">
        <v>1</v>
      </c>
      <c r="L523">
        <v>714</v>
      </c>
      <c r="M523">
        <v>4</v>
      </c>
      <c r="N523" t="s">
        <v>40</v>
      </c>
      <c r="O523">
        <v>71</v>
      </c>
      <c r="P523">
        <v>4</v>
      </c>
      <c r="Q523">
        <v>2</v>
      </c>
      <c r="R523" t="s">
        <v>41</v>
      </c>
      <c r="S523">
        <v>4</v>
      </c>
      <c r="T523" t="s">
        <v>53</v>
      </c>
      <c r="U523">
        <v>4647</v>
      </c>
      <c r="V523" t="str" cm="1">
        <f t="array" ref="V52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23">
        <v>16673</v>
      </c>
      <c r="X523">
        <v>1</v>
      </c>
      <c r="Y523" t="s">
        <v>43</v>
      </c>
      <c r="Z523" t="s">
        <v>36</v>
      </c>
      <c r="AA523">
        <v>20</v>
      </c>
      <c r="AB523">
        <v>4</v>
      </c>
      <c r="AC523">
        <v>2</v>
      </c>
      <c r="AD523">
        <v>80</v>
      </c>
      <c r="AE523">
        <v>2</v>
      </c>
      <c r="AF523">
        <v>6</v>
      </c>
      <c r="AG523">
        <v>3</v>
      </c>
      <c r="AH523">
        <v>3</v>
      </c>
      <c r="AI523">
        <v>6</v>
      </c>
      <c r="AJ523">
        <v>5</v>
      </c>
      <c r="AK523">
        <v>0</v>
      </c>
      <c r="AL523" t="str" cm="1">
        <f t="array" ref="AL52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23">
        <v>4</v>
      </c>
    </row>
    <row r="524" spans="1:39" x14ac:dyDescent="0.25">
      <c r="A524">
        <v>37</v>
      </c>
      <c r="B524" t="s">
        <v>44</v>
      </c>
      <c r="C524" t="s">
        <v>37</v>
      </c>
      <c r="D524">
        <v>1225</v>
      </c>
      <c r="E524" t="s">
        <v>46</v>
      </c>
      <c r="G524">
        <v>10</v>
      </c>
      <c r="H524">
        <v>2</v>
      </c>
      <c r="I524" t="s">
        <v>39</v>
      </c>
      <c r="J524" t="str">
        <f>WA_Fn_UseC__HR_Employee_Attrition[[#This Row],[EducationField]]&amp;"-"&amp;WA_Fn_UseC__HR_Employee_Attrition[[#This Row],[Department]]</f>
        <v>Life Sciences-Research &amp; Development</v>
      </c>
      <c r="K524">
        <v>1</v>
      </c>
      <c r="L524">
        <v>715</v>
      </c>
      <c r="M524">
        <v>4</v>
      </c>
      <c r="N524" t="s">
        <v>47</v>
      </c>
      <c r="O524">
        <v>80</v>
      </c>
      <c r="P524">
        <v>4</v>
      </c>
      <c r="Q524">
        <v>1</v>
      </c>
      <c r="R524" t="s">
        <v>48</v>
      </c>
      <c r="S524">
        <v>4</v>
      </c>
      <c r="T524" t="s">
        <v>42</v>
      </c>
      <c r="U524">
        <v>4680</v>
      </c>
      <c r="V524" t="str" cm="1">
        <f t="array" ref="V52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24">
        <v>15232</v>
      </c>
      <c r="X524">
        <v>3</v>
      </c>
      <c r="Y524" t="s">
        <v>43</v>
      </c>
      <c r="Z524" t="s">
        <v>44</v>
      </c>
      <c r="AA524">
        <v>17</v>
      </c>
      <c r="AB524">
        <v>3</v>
      </c>
      <c r="AC524">
        <v>1</v>
      </c>
      <c r="AD524">
        <v>80</v>
      </c>
      <c r="AE524">
        <v>0</v>
      </c>
      <c r="AF524">
        <v>4</v>
      </c>
      <c r="AG524">
        <v>2</v>
      </c>
      <c r="AH524">
        <v>3</v>
      </c>
      <c r="AI524">
        <v>1</v>
      </c>
      <c r="AJ524">
        <v>0</v>
      </c>
      <c r="AK524">
        <v>0</v>
      </c>
      <c r="AL524" t="str" cm="1">
        <f t="array" ref="AL52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24">
        <v>0</v>
      </c>
    </row>
    <row r="525" spans="1:39" x14ac:dyDescent="0.25">
      <c r="A525">
        <v>50</v>
      </c>
      <c r="B525" t="s">
        <v>44</v>
      </c>
      <c r="C525" t="s">
        <v>37</v>
      </c>
      <c r="D525">
        <v>1207</v>
      </c>
      <c r="E525" t="s">
        <v>46</v>
      </c>
      <c r="G525">
        <v>28</v>
      </c>
      <c r="H525">
        <v>1</v>
      </c>
      <c r="I525" t="s">
        <v>52</v>
      </c>
      <c r="J525" t="str">
        <f>WA_Fn_UseC__HR_Employee_Attrition[[#This Row],[EducationField]]&amp;"-"&amp;WA_Fn_UseC__HR_Employee_Attrition[[#This Row],[Department]]</f>
        <v>Medical-Research &amp; Development</v>
      </c>
      <c r="K525">
        <v>1</v>
      </c>
      <c r="L525">
        <v>716</v>
      </c>
      <c r="M525">
        <v>4</v>
      </c>
      <c r="N525" t="s">
        <v>47</v>
      </c>
      <c r="O525">
        <v>74</v>
      </c>
      <c r="P525">
        <v>4</v>
      </c>
      <c r="Q525">
        <v>1</v>
      </c>
      <c r="R525" t="s">
        <v>51</v>
      </c>
      <c r="S525">
        <v>3</v>
      </c>
      <c r="T525" t="s">
        <v>49</v>
      </c>
      <c r="U525">
        <v>3221</v>
      </c>
      <c r="V525" t="str" cm="1">
        <f t="array" ref="V52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25">
        <v>3297</v>
      </c>
      <c r="X525">
        <v>1</v>
      </c>
      <c r="Y525" t="s">
        <v>43</v>
      </c>
      <c r="Z525" t="s">
        <v>36</v>
      </c>
      <c r="AA525">
        <v>11</v>
      </c>
      <c r="AB525">
        <v>3</v>
      </c>
      <c r="AC525">
        <v>3</v>
      </c>
      <c r="AD525">
        <v>80</v>
      </c>
      <c r="AE525">
        <v>3</v>
      </c>
      <c r="AF525">
        <v>20</v>
      </c>
      <c r="AG525">
        <v>3</v>
      </c>
      <c r="AH525">
        <v>3</v>
      </c>
      <c r="AI525">
        <v>20</v>
      </c>
      <c r="AJ525">
        <v>8</v>
      </c>
      <c r="AK525">
        <v>3</v>
      </c>
      <c r="AL525" t="str" cm="1">
        <f t="array" ref="AL52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25">
        <v>8</v>
      </c>
    </row>
    <row r="526" spans="1:39" x14ac:dyDescent="0.25">
      <c r="A526">
        <v>34</v>
      </c>
      <c r="B526" t="s">
        <v>44</v>
      </c>
      <c r="C526" t="s">
        <v>37</v>
      </c>
      <c r="D526">
        <v>1442</v>
      </c>
      <c r="E526" t="s">
        <v>46</v>
      </c>
      <c r="G526">
        <v>9</v>
      </c>
      <c r="H526">
        <v>3</v>
      </c>
      <c r="I526" t="s">
        <v>52</v>
      </c>
      <c r="J526" t="str">
        <f>WA_Fn_UseC__HR_Employee_Attrition[[#This Row],[EducationField]]&amp;"-"&amp;WA_Fn_UseC__HR_Employee_Attrition[[#This Row],[Department]]</f>
        <v>Medical-Research &amp; Development</v>
      </c>
      <c r="K526">
        <v>1</v>
      </c>
      <c r="L526">
        <v>717</v>
      </c>
      <c r="M526">
        <v>4</v>
      </c>
      <c r="N526" t="s">
        <v>40</v>
      </c>
      <c r="O526">
        <v>46</v>
      </c>
      <c r="P526">
        <v>2</v>
      </c>
      <c r="Q526">
        <v>3</v>
      </c>
      <c r="R526" t="s">
        <v>55</v>
      </c>
      <c r="S526">
        <v>2</v>
      </c>
      <c r="T526" t="s">
        <v>42</v>
      </c>
      <c r="U526">
        <v>8621</v>
      </c>
      <c r="V526" t="str" cm="1">
        <f t="array" ref="V52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26">
        <v>17654</v>
      </c>
      <c r="X526">
        <v>1</v>
      </c>
      <c r="Y526" t="s">
        <v>43</v>
      </c>
      <c r="Z526" t="s">
        <v>44</v>
      </c>
      <c r="AA526">
        <v>14</v>
      </c>
      <c r="AB526">
        <v>3</v>
      </c>
      <c r="AC526">
        <v>2</v>
      </c>
      <c r="AD526">
        <v>80</v>
      </c>
      <c r="AE526">
        <v>0</v>
      </c>
      <c r="AF526">
        <v>9</v>
      </c>
      <c r="AG526">
        <v>3</v>
      </c>
      <c r="AH526">
        <v>4</v>
      </c>
      <c r="AI526">
        <v>8</v>
      </c>
      <c r="AJ526">
        <v>7</v>
      </c>
      <c r="AK526">
        <v>7</v>
      </c>
      <c r="AL526" t="str" cm="1">
        <f t="array" ref="AL52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26">
        <v>7</v>
      </c>
    </row>
    <row r="527" spans="1:39" x14ac:dyDescent="0.25">
      <c r="A527">
        <v>24</v>
      </c>
      <c r="B527" t="s">
        <v>36</v>
      </c>
      <c r="C527" t="s">
        <v>37</v>
      </c>
      <c r="D527">
        <v>693</v>
      </c>
      <c r="E527" t="s">
        <v>38</v>
      </c>
      <c r="G527">
        <v>3</v>
      </c>
      <c r="H527">
        <v>2</v>
      </c>
      <c r="I527" t="s">
        <v>39</v>
      </c>
      <c r="J527" t="str">
        <f>WA_Fn_UseC__HR_Employee_Attrition[[#This Row],[EducationField]]&amp;"-"&amp;WA_Fn_UseC__HR_Employee_Attrition[[#This Row],[Department]]</f>
        <v>Life Sciences-Sales</v>
      </c>
      <c r="K527">
        <v>1</v>
      </c>
      <c r="L527">
        <v>720</v>
      </c>
      <c r="M527">
        <v>1</v>
      </c>
      <c r="N527" t="s">
        <v>40</v>
      </c>
      <c r="O527">
        <v>65</v>
      </c>
      <c r="P527">
        <v>3</v>
      </c>
      <c r="Q527">
        <v>2</v>
      </c>
      <c r="R527" t="s">
        <v>41</v>
      </c>
      <c r="S527">
        <v>3</v>
      </c>
      <c r="T527" t="s">
        <v>42</v>
      </c>
      <c r="U527">
        <v>4577</v>
      </c>
      <c r="V527" t="str" cm="1">
        <f t="array" ref="V52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27">
        <v>24785</v>
      </c>
      <c r="X527">
        <v>9</v>
      </c>
      <c r="Y527" t="s">
        <v>43</v>
      </c>
      <c r="Z527" t="s">
        <v>44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3</v>
      </c>
      <c r="AH527">
        <v>3</v>
      </c>
      <c r="AI527">
        <v>2</v>
      </c>
      <c r="AJ527">
        <v>2</v>
      </c>
      <c r="AK527">
        <v>2</v>
      </c>
      <c r="AL527" t="str" cm="1">
        <f t="array" ref="AL52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27">
        <v>0</v>
      </c>
    </row>
    <row r="528" spans="1:39" x14ac:dyDescent="0.25">
      <c r="A528">
        <v>39</v>
      </c>
      <c r="B528" t="s">
        <v>44</v>
      </c>
      <c r="C528" t="s">
        <v>37</v>
      </c>
      <c r="D528">
        <v>408</v>
      </c>
      <c r="E528" t="s">
        <v>46</v>
      </c>
      <c r="G528">
        <v>2</v>
      </c>
      <c r="H528">
        <v>4</v>
      </c>
      <c r="I528" t="s">
        <v>61</v>
      </c>
      <c r="J528" t="str">
        <f>WA_Fn_UseC__HR_Employee_Attrition[[#This Row],[EducationField]]&amp;"-"&amp;WA_Fn_UseC__HR_Employee_Attrition[[#This Row],[Department]]</f>
        <v>Technical Degree-Research &amp; Development</v>
      </c>
      <c r="K528">
        <v>1</v>
      </c>
      <c r="L528">
        <v>721</v>
      </c>
      <c r="M528">
        <v>4</v>
      </c>
      <c r="N528" t="s">
        <v>40</v>
      </c>
      <c r="O528">
        <v>80</v>
      </c>
      <c r="P528">
        <v>2</v>
      </c>
      <c r="Q528">
        <v>2</v>
      </c>
      <c r="R528" t="s">
        <v>55</v>
      </c>
      <c r="S528">
        <v>3</v>
      </c>
      <c r="T528" t="s">
        <v>42</v>
      </c>
      <c r="U528">
        <v>4553</v>
      </c>
      <c r="V528" t="str" cm="1">
        <f t="array" ref="V52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28">
        <v>20978</v>
      </c>
      <c r="X528">
        <v>1</v>
      </c>
      <c r="Y528" t="s">
        <v>43</v>
      </c>
      <c r="Z528" t="s">
        <v>44</v>
      </c>
      <c r="AA528">
        <v>11</v>
      </c>
      <c r="AB528">
        <v>3</v>
      </c>
      <c r="AC528">
        <v>1</v>
      </c>
      <c r="AD528">
        <v>80</v>
      </c>
      <c r="AE528">
        <v>0</v>
      </c>
      <c r="AF528">
        <v>20</v>
      </c>
      <c r="AG528">
        <v>4</v>
      </c>
      <c r="AH528">
        <v>3</v>
      </c>
      <c r="AI528">
        <v>20</v>
      </c>
      <c r="AJ528">
        <v>7</v>
      </c>
      <c r="AK528">
        <v>11</v>
      </c>
      <c r="AL528" t="str" cm="1">
        <f t="array" ref="AL52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28">
        <v>10</v>
      </c>
    </row>
    <row r="529" spans="1:39" x14ac:dyDescent="0.25">
      <c r="A529">
        <v>32</v>
      </c>
      <c r="B529" t="s">
        <v>44</v>
      </c>
      <c r="C529" t="s">
        <v>37</v>
      </c>
      <c r="D529">
        <v>929</v>
      </c>
      <c r="E529" t="s">
        <v>38</v>
      </c>
      <c r="G529">
        <v>10</v>
      </c>
      <c r="H529">
        <v>3</v>
      </c>
      <c r="I529" t="s">
        <v>60</v>
      </c>
      <c r="J529" t="str">
        <f>WA_Fn_UseC__HR_Employee_Attrition[[#This Row],[EducationField]]&amp;"-"&amp;WA_Fn_UseC__HR_Employee_Attrition[[#This Row],[Department]]</f>
        <v>Marketing-Sales</v>
      </c>
      <c r="K529">
        <v>1</v>
      </c>
      <c r="L529">
        <v>722</v>
      </c>
      <c r="M529">
        <v>4</v>
      </c>
      <c r="N529" t="s">
        <v>47</v>
      </c>
      <c r="O529">
        <v>55</v>
      </c>
      <c r="P529">
        <v>3</v>
      </c>
      <c r="Q529">
        <v>2</v>
      </c>
      <c r="R529" t="s">
        <v>41</v>
      </c>
      <c r="S529">
        <v>4</v>
      </c>
      <c r="T529" t="s">
        <v>42</v>
      </c>
      <c r="U529">
        <v>5396</v>
      </c>
      <c r="V529" t="str" cm="1">
        <f t="array" ref="V52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29">
        <v>21703</v>
      </c>
      <c r="X529">
        <v>1</v>
      </c>
      <c r="Y529" t="s">
        <v>43</v>
      </c>
      <c r="Z529" t="s">
        <v>44</v>
      </c>
      <c r="AA529">
        <v>12</v>
      </c>
      <c r="AB529">
        <v>3</v>
      </c>
      <c r="AC529">
        <v>4</v>
      </c>
      <c r="AD529">
        <v>80</v>
      </c>
      <c r="AE529">
        <v>0</v>
      </c>
      <c r="AF529">
        <v>10</v>
      </c>
      <c r="AG529">
        <v>2</v>
      </c>
      <c r="AH529">
        <v>2</v>
      </c>
      <c r="AI529">
        <v>10</v>
      </c>
      <c r="AJ529">
        <v>7</v>
      </c>
      <c r="AK529">
        <v>0</v>
      </c>
      <c r="AL529" t="str" cm="1">
        <f t="array" ref="AL52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29">
        <v>8</v>
      </c>
    </row>
    <row r="530" spans="1:39" x14ac:dyDescent="0.25">
      <c r="A530">
        <v>50</v>
      </c>
      <c r="B530" t="s">
        <v>36</v>
      </c>
      <c r="C530" t="s">
        <v>45</v>
      </c>
      <c r="D530">
        <v>562</v>
      </c>
      <c r="E530" t="s">
        <v>38</v>
      </c>
      <c r="G530">
        <v>8</v>
      </c>
      <c r="H530">
        <v>2</v>
      </c>
      <c r="I530" t="s">
        <v>61</v>
      </c>
      <c r="J530" t="str">
        <f>WA_Fn_UseC__HR_Employee_Attrition[[#This Row],[EducationField]]&amp;"-"&amp;WA_Fn_UseC__HR_Employee_Attrition[[#This Row],[Department]]</f>
        <v>Technical Degree-Sales</v>
      </c>
      <c r="K530">
        <v>1</v>
      </c>
      <c r="L530">
        <v>723</v>
      </c>
      <c r="M530">
        <v>2</v>
      </c>
      <c r="N530" t="s">
        <v>47</v>
      </c>
      <c r="O530">
        <v>50</v>
      </c>
      <c r="P530">
        <v>3</v>
      </c>
      <c r="Q530">
        <v>2</v>
      </c>
      <c r="R530" t="s">
        <v>41</v>
      </c>
      <c r="S530">
        <v>3</v>
      </c>
      <c r="T530" t="s">
        <v>49</v>
      </c>
      <c r="U530">
        <v>6796</v>
      </c>
      <c r="V530" t="str" cm="1">
        <f t="array" ref="V53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30">
        <v>23452</v>
      </c>
      <c r="X530">
        <v>3</v>
      </c>
      <c r="Y530" t="s">
        <v>43</v>
      </c>
      <c r="Z530" t="s">
        <v>36</v>
      </c>
      <c r="AA530">
        <v>14</v>
      </c>
      <c r="AB530">
        <v>3</v>
      </c>
      <c r="AC530">
        <v>1</v>
      </c>
      <c r="AD530">
        <v>80</v>
      </c>
      <c r="AE530">
        <v>1</v>
      </c>
      <c r="AF530">
        <v>18</v>
      </c>
      <c r="AG530">
        <v>4</v>
      </c>
      <c r="AH530">
        <v>3</v>
      </c>
      <c r="AI530">
        <v>4</v>
      </c>
      <c r="AJ530">
        <v>3</v>
      </c>
      <c r="AK530">
        <v>1</v>
      </c>
      <c r="AL530" t="str" cm="1">
        <f t="array" ref="AL53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30">
        <v>3</v>
      </c>
    </row>
    <row r="531" spans="1:39" x14ac:dyDescent="0.25">
      <c r="A531">
        <v>38</v>
      </c>
      <c r="B531" t="s">
        <v>44</v>
      </c>
      <c r="C531" t="s">
        <v>37</v>
      </c>
      <c r="D531">
        <v>827</v>
      </c>
      <c r="E531" t="s">
        <v>46</v>
      </c>
      <c r="G531">
        <v>1</v>
      </c>
      <c r="H531">
        <v>4</v>
      </c>
      <c r="I531" t="s">
        <v>39</v>
      </c>
      <c r="J531" t="str">
        <f>WA_Fn_UseC__HR_Employee_Attrition[[#This Row],[EducationField]]&amp;"-"&amp;WA_Fn_UseC__HR_Employee_Attrition[[#This Row],[Department]]</f>
        <v>Life Sciences-Research &amp; Development</v>
      </c>
      <c r="K531">
        <v>1</v>
      </c>
      <c r="L531">
        <v>724</v>
      </c>
      <c r="M531">
        <v>2</v>
      </c>
      <c r="N531" t="s">
        <v>40</v>
      </c>
      <c r="O531">
        <v>33</v>
      </c>
      <c r="P531">
        <v>4</v>
      </c>
      <c r="Q531">
        <v>2</v>
      </c>
      <c r="R531" t="s">
        <v>55</v>
      </c>
      <c r="S531">
        <v>4</v>
      </c>
      <c r="T531" t="s">
        <v>42</v>
      </c>
      <c r="U531">
        <v>7625</v>
      </c>
      <c r="V531" t="str" cm="1">
        <f t="array" ref="V53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31">
        <v>19383</v>
      </c>
      <c r="X531">
        <v>0</v>
      </c>
      <c r="Y531" t="s">
        <v>43</v>
      </c>
      <c r="Z531" t="s">
        <v>44</v>
      </c>
      <c r="AA531">
        <v>13</v>
      </c>
      <c r="AB531">
        <v>3</v>
      </c>
      <c r="AC531">
        <v>3</v>
      </c>
      <c r="AD531">
        <v>80</v>
      </c>
      <c r="AE531">
        <v>0</v>
      </c>
      <c r="AF531">
        <v>10</v>
      </c>
      <c r="AG531">
        <v>4</v>
      </c>
      <c r="AH531">
        <v>2</v>
      </c>
      <c r="AI531">
        <v>9</v>
      </c>
      <c r="AJ531">
        <v>7</v>
      </c>
      <c r="AK531">
        <v>1</v>
      </c>
      <c r="AL531" t="str" cm="1">
        <f t="array" ref="AL53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31">
        <v>8</v>
      </c>
    </row>
    <row r="532" spans="1:39" x14ac:dyDescent="0.25">
      <c r="A532">
        <v>27</v>
      </c>
      <c r="B532" t="s">
        <v>44</v>
      </c>
      <c r="C532" t="s">
        <v>37</v>
      </c>
      <c r="D532">
        <v>608</v>
      </c>
      <c r="E532" t="s">
        <v>46</v>
      </c>
      <c r="G532">
        <v>1</v>
      </c>
      <c r="H532">
        <v>2</v>
      </c>
      <c r="I532" t="s">
        <v>39</v>
      </c>
      <c r="J532" t="str">
        <f>WA_Fn_UseC__HR_Employee_Attrition[[#This Row],[EducationField]]&amp;"-"&amp;WA_Fn_UseC__HR_Employee_Attrition[[#This Row],[Department]]</f>
        <v>Life Sciences-Research &amp; Development</v>
      </c>
      <c r="K532">
        <v>1</v>
      </c>
      <c r="L532">
        <v>725</v>
      </c>
      <c r="M532">
        <v>3</v>
      </c>
      <c r="N532" t="s">
        <v>40</v>
      </c>
      <c r="O532">
        <v>68</v>
      </c>
      <c r="P532">
        <v>3</v>
      </c>
      <c r="Q532">
        <v>3</v>
      </c>
      <c r="R532" t="s">
        <v>54</v>
      </c>
      <c r="S532">
        <v>1</v>
      </c>
      <c r="T532" t="s">
        <v>49</v>
      </c>
      <c r="U532">
        <v>7412</v>
      </c>
      <c r="V532" t="str" cm="1">
        <f t="array" ref="V53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32">
        <v>6009</v>
      </c>
      <c r="X532">
        <v>1</v>
      </c>
      <c r="Y532" t="s">
        <v>43</v>
      </c>
      <c r="Z532" t="s">
        <v>44</v>
      </c>
      <c r="AA532">
        <v>11</v>
      </c>
      <c r="AB532">
        <v>3</v>
      </c>
      <c r="AC532">
        <v>4</v>
      </c>
      <c r="AD532">
        <v>80</v>
      </c>
      <c r="AE532">
        <v>0</v>
      </c>
      <c r="AF532">
        <v>9</v>
      </c>
      <c r="AG532">
        <v>3</v>
      </c>
      <c r="AH532">
        <v>3</v>
      </c>
      <c r="AI532">
        <v>9</v>
      </c>
      <c r="AJ532">
        <v>7</v>
      </c>
      <c r="AK532">
        <v>0</v>
      </c>
      <c r="AL532" t="str" cm="1">
        <f t="array" ref="AL53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32">
        <v>7</v>
      </c>
    </row>
    <row r="533" spans="1:39" x14ac:dyDescent="0.25">
      <c r="A533">
        <v>32</v>
      </c>
      <c r="B533" t="s">
        <v>44</v>
      </c>
      <c r="C533" t="s">
        <v>37</v>
      </c>
      <c r="D533">
        <v>1018</v>
      </c>
      <c r="E533" t="s">
        <v>46</v>
      </c>
      <c r="G533">
        <v>3</v>
      </c>
      <c r="H533">
        <v>2</v>
      </c>
      <c r="I533" t="s">
        <v>39</v>
      </c>
      <c r="J533" t="str">
        <f>WA_Fn_UseC__HR_Employee_Attrition[[#This Row],[EducationField]]&amp;"-"&amp;WA_Fn_UseC__HR_Employee_Attrition[[#This Row],[Department]]</f>
        <v>Life Sciences-Research &amp; Development</v>
      </c>
      <c r="K533">
        <v>1</v>
      </c>
      <c r="L533">
        <v>727</v>
      </c>
      <c r="M533">
        <v>3</v>
      </c>
      <c r="N533" t="s">
        <v>40</v>
      </c>
      <c r="O533">
        <v>39</v>
      </c>
      <c r="P533">
        <v>3</v>
      </c>
      <c r="Q533">
        <v>3</v>
      </c>
      <c r="R533" t="s">
        <v>59</v>
      </c>
      <c r="S533">
        <v>4</v>
      </c>
      <c r="T533" t="s">
        <v>42</v>
      </c>
      <c r="U533">
        <v>11159</v>
      </c>
      <c r="V533" t="str" cm="1">
        <f t="array" ref="V53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33">
        <v>19373</v>
      </c>
      <c r="X533">
        <v>3</v>
      </c>
      <c r="Y533" t="s">
        <v>43</v>
      </c>
      <c r="Z533" t="s">
        <v>44</v>
      </c>
      <c r="AA533">
        <v>15</v>
      </c>
      <c r="AB533">
        <v>3</v>
      </c>
      <c r="AC533">
        <v>4</v>
      </c>
      <c r="AD533">
        <v>80</v>
      </c>
      <c r="AE533">
        <v>0</v>
      </c>
      <c r="AF533">
        <v>10</v>
      </c>
      <c r="AG533">
        <v>6</v>
      </c>
      <c r="AH533">
        <v>3</v>
      </c>
      <c r="AI533">
        <v>7</v>
      </c>
      <c r="AJ533">
        <v>7</v>
      </c>
      <c r="AK533">
        <v>7</v>
      </c>
      <c r="AL533" t="str" cm="1">
        <f t="array" ref="AL53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33">
        <v>7</v>
      </c>
    </row>
    <row r="534" spans="1:39" x14ac:dyDescent="0.25">
      <c r="A534">
        <v>47</v>
      </c>
      <c r="B534" t="s">
        <v>44</v>
      </c>
      <c r="C534" t="s">
        <v>37</v>
      </c>
      <c r="D534">
        <v>703</v>
      </c>
      <c r="E534" t="s">
        <v>38</v>
      </c>
      <c r="G534">
        <v>14</v>
      </c>
      <c r="H534">
        <v>4</v>
      </c>
      <c r="I534" t="s">
        <v>60</v>
      </c>
      <c r="J534" t="str">
        <f>WA_Fn_UseC__HR_Employee_Attrition[[#This Row],[EducationField]]&amp;"-"&amp;WA_Fn_UseC__HR_Employee_Attrition[[#This Row],[Department]]</f>
        <v>Marketing-Sales</v>
      </c>
      <c r="K534">
        <v>1</v>
      </c>
      <c r="L534">
        <v>728</v>
      </c>
      <c r="M534">
        <v>4</v>
      </c>
      <c r="N534" t="s">
        <v>47</v>
      </c>
      <c r="O534">
        <v>42</v>
      </c>
      <c r="P534">
        <v>3</v>
      </c>
      <c r="Q534">
        <v>2</v>
      </c>
      <c r="R534" t="s">
        <v>41</v>
      </c>
      <c r="S534">
        <v>1</v>
      </c>
      <c r="T534" t="s">
        <v>42</v>
      </c>
      <c r="U534">
        <v>4960</v>
      </c>
      <c r="V534" t="str" cm="1">
        <f t="array" ref="V53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34">
        <v>11825</v>
      </c>
      <c r="X534">
        <v>2</v>
      </c>
      <c r="Y534" t="s">
        <v>43</v>
      </c>
      <c r="Z534" t="s">
        <v>44</v>
      </c>
      <c r="AA534">
        <v>12</v>
      </c>
      <c r="AB534">
        <v>3</v>
      </c>
      <c r="AC534">
        <v>4</v>
      </c>
      <c r="AD534">
        <v>80</v>
      </c>
      <c r="AE534">
        <v>0</v>
      </c>
      <c r="AF534">
        <v>20</v>
      </c>
      <c r="AG534">
        <v>2</v>
      </c>
      <c r="AH534">
        <v>3</v>
      </c>
      <c r="AI534">
        <v>7</v>
      </c>
      <c r="AJ534">
        <v>7</v>
      </c>
      <c r="AK534">
        <v>1</v>
      </c>
      <c r="AL534" t="str" cm="1">
        <f t="array" ref="AL53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34">
        <v>7</v>
      </c>
    </row>
    <row r="535" spans="1:39" x14ac:dyDescent="0.25">
      <c r="A535">
        <v>40</v>
      </c>
      <c r="B535" t="s">
        <v>44</v>
      </c>
      <c r="C535" t="s">
        <v>45</v>
      </c>
      <c r="D535">
        <v>580</v>
      </c>
      <c r="E535" t="s">
        <v>38</v>
      </c>
      <c r="G535">
        <v>5</v>
      </c>
      <c r="H535">
        <v>4</v>
      </c>
      <c r="I535" t="s">
        <v>39</v>
      </c>
      <c r="J535" t="str">
        <f>WA_Fn_UseC__HR_Employee_Attrition[[#This Row],[EducationField]]&amp;"-"&amp;WA_Fn_UseC__HR_Employee_Attrition[[#This Row],[Department]]</f>
        <v>Life Sciences-Sales</v>
      </c>
      <c r="K535">
        <v>1</v>
      </c>
      <c r="L535">
        <v>729</v>
      </c>
      <c r="M535">
        <v>4</v>
      </c>
      <c r="N535" t="s">
        <v>47</v>
      </c>
      <c r="O535">
        <v>48</v>
      </c>
      <c r="P535">
        <v>2</v>
      </c>
      <c r="Q535">
        <v>3</v>
      </c>
      <c r="R535" t="s">
        <v>41</v>
      </c>
      <c r="S535">
        <v>1</v>
      </c>
      <c r="T535" t="s">
        <v>49</v>
      </c>
      <c r="U535">
        <v>10475</v>
      </c>
      <c r="V535" t="str" cm="1">
        <f t="array" ref="V53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35">
        <v>23772</v>
      </c>
      <c r="X535">
        <v>5</v>
      </c>
      <c r="Y535" t="s">
        <v>43</v>
      </c>
      <c r="Z535" t="s">
        <v>36</v>
      </c>
      <c r="AA535">
        <v>21</v>
      </c>
      <c r="AB535">
        <v>4</v>
      </c>
      <c r="AC535">
        <v>3</v>
      </c>
      <c r="AD535">
        <v>80</v>
      </c>
      <c r="AE535">
        <v>1</v>
      </c>
      <c r="AF535">
        <v>20</v>
      </c>
      <c r="AG535">
        <v>2</v>
      </c>
      <c r="AH535">
        <v>3</v>
      </c>
      <c r="AI535">
        <v>18</v>
      </c>
      <c r="AJ535">
        <v>13</v>
      </c>
      <c r="AK535">
        <v>1</v>
      </c>
      <c r="AL535" t="str" cm="1">
        <f t="array" ref="AL53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35">
        <v>12</v>
      </c>
    </row>
    <row r="536" spans="1:39" x14ac:dyDescent="0.25">
      <c r="A536">
        <v>53</v>
      </c>
      <c r="B536" t="s">
        <v>44</v>
      </c>
      <c r="C536" t="s">
        <v>37</v>
      </c>
      <c r="D536">
        <v>970</v>
      </c>
      <c r="E536" t="s">
        <v>46</v>
      </c>
      <c r="G536">
        <v>7</v>
      </c>
      <c r="H536">
        <v>3</v>
      </c>
      <c r="I536" t="s">
        <v>39</v>
      </c>
      <c r="J536" t="str">
        <f>WA_Fn_UseC__HR_Employee_Attrition[[#This Row],[EducationField]]&amp;"-"&amp;WA_Fn_UseC__HR_Employee_Attrition[[#This Row],[Department]]</f>
        <v>Life Sciences-Research &amp; Development</v>
      </c>
      <c r="K536">
        <v>1</v>
      </c>
      <c r="L536">
        <v>730</v>
      </c>
      <c r="M536">
        <v>3</v>
      </c>
      <c r="N536" t="s">
        <v>47</v>
      </c>
      <c r="O536">
        <v>59</v>
      </c>
      <c r="P536">
        <v>4</v>
      </c>
      <c r="Q536">
        <v>4</v>
      </c>
      <c r="R536" t="s">
        <v>59</v>
      </c>
      <c r="S536">
        <v>3</v>
      </c>
      <c r="T536" t="s">
        <v>49</v>
      </c>
      <c r="U536">
        <v>14814</v>
      </c>
      <c r="V536" t="str" cm="1">
        <f t="array" ref="V53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36">
        <v>13514</v>
      </c>
      <c r="X536">
        <v>3</v>
      </c>
      <c r="Y536" t="s">
        <v>43</v>
      </c>
      <c r="Z536" t="s">
        <v>44</v>
      </c>
      <c r="AA536">
        <v>19</v>
      </c>
      <c r="AB536">
        <v>3</v>
      </c>
      <c r="AC536">
        <v>3</v>
      </c>
      <c r="AD536">
        <v>80</v>
      </c>
      <c r="AE536">
        <v>0</v>
      </c>
      <c r="AF536">
        <v>32</v>
      </c>
      <c r="AG536">
        <v>3</v>
      </c>
      <c r="AH536">
        <v>3</v>
      </c>
      <c r="AI536">
        <v>5</v>
      </c>
      <c r="AJ536">
        <v>1</v>
      </c>
      <c r="AK536">
        <v>1</v>
      </c>
      <c r="AL536" t="str" cm="1">
        <f t="array" ref="AL53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36">
        <v>3</v>
      </c>
    </row>
    <row r="537" spans="1:39" x14ac:dyDescent="0.25">
      <c r="A537">
        <v>41</v>
      </c>
      <c r="B537" t="s">
        <v>44</v>
      </c>
      <c r="C537" t="s">
        <v>37</v>
      </c>
      <c r="D537">
        <v>427</v>
      </c>
      <c r="E537" t="s">
        <v>62</v>
      </c>
      <c r="G537">
        <v>10</v>
      </c>
      <c r="H537">
        <v>4</v>
      </c>
      <c r="I537" t="s">
        <v>62</v>
      </c>
      <c r="J537" t="str">
        <f>WA_Fn_UseC__HR_Employee_Attrition[[#This Row],[EducationField]]&amp;"-"&amp;WA_Fn_UseC__HR_Employee_Attrition[[#This Row],[Department]]</f>
        <v>Human Resources-Human Resources</v>
      </c>
      <c r="K537">
        <v>1</v>
      </c>
      <c r="L537">
        <v>731</v>
      </c>
      <c r="M537">
        <v>2</v>
      </c>
      <c r="N537" t="s">
        <v>47</v>
      </c>
      <c r="O537">
        <v>73</v>
      </c>
      <c r="P537">
        <v>2</v>
      </c>
      <c r="Q537">
        <v>5</v>
      </c>
      <c r="R537" t="s">
        <v>57</v>
      </c>
      <c r="S537">
        <v>4</v>
      </c>
      <c r="T537" t="s">
        <v>53</v>
      </c>
      <c r="U537">
        <v>19141</v>
      </c>
      <c r="V537" t="str" cm="1">
        <f t="array" ref="V53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37">
        <v>8861</v>
      </c>
      <c r="X537">
        <v>3</v>
      </c>
      <c r="Y537" t="s">
        <v>43</v>
      </c>
      <c r="Z537" t="s">
        <v>44</v>
      </c>
      <c r="AA537">
        <v>15</v>
      </c>
      <c r="AB537">
        <v>3</v>
      </c>
      <c r="AC537">
        <v>2</v>
      </c>
      <c r="AD537">
        <v>80</v>
      </c>
      <c r="AE537">
        <v>3</v>
      </c>
      <c r="AF537">
        <v>23</v>
      </c>
      <c r="AG537">
        <v>2</v>
      </c>
      <c r="AH537">
        <v>2</v>
      </c>
      <c r="AI537">
        <v>21</v>
      </c>
      <c r="AJ537">
        <v>6</v>
      </c>
      <c r="AK537">
        <v>12</v>
      </c>
      <c r="AL537" t="str" cm="1">
        <f t="array" ref="AL53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37">
        <v>6</v>
      </c>
    </row>
    <row r="538" spans="1:39" x14ac:dyDescent="0.25">
      <c r="A538">
        <v>60</v>
      </c>
      <c r="B538" t="s">
        <v>44</v>
      </c>
      <c r="C538" t="s">
        <v>37</v>
      </c>
      <c r="D538">
        <v>1179</v>
      </c>
      <c r="E538" t="s">
        <v>38</v>
      </c>
      <c r="G538">
        <v>16</v>
      </c>
      <c r="H538">
        <v>4</v>
      </c>
      <c r="I538" t="s">
        <v>60</v>
      </c>
      <c r="J538" t="str">
        <f>WA_Fn_UseC__HR_Employee_Attrition[[#This Row],[EducationField]]&amp;"-"&amp;WA_Fn_UseC__HR_Employee_Attrition[[#This Row],[Department]]</f>
        <v>Marketing-Sales</v>
      </c>
      <c r="K538">
        <v>1</v>
      </c>
      <c r="L538">
        <v>732</v>
      </c>
      <c r="M538">
        <v>1</v>
      </c>
      <c r="N538" t="s">
        <v>47</v>
      </c>
      <c r="O538">
        <v>84</v>
      </c>
      <c r="P538">
        <v>3</v>
      </c>
      <c r="Q538">
        <v>2</v>
      </c>
      <c r="R538" t="s">
        <v>41</v>
      </c>
      <c r="S538">
        <v>1</v>
      </c>
      <c r="T538" t="s">
        <v>42</v>
      </c>
      <c r="U538">
        <v>5405</v>
      </c>
      <c r="V538" t="str" cm="1">
        <f t="array" ref="V53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38">
        <v>11924</v>
      </c>
      <c r="X538">
        <v>8</v>
      </c>
      <c r="Y538" t="s">
        <v>43</v>
      </c>
      <c r="Z538" t="s">
        <v>44</v>
      </c>
      <c r="AA538">
        <v>14</v>
      </c>
      <c r="AB538">
        <v>3</v>
      </c>
      <c r="AC538">
        <v>4</v>
      </c>
      <c r="AD538">
        <v>80</v>
      </c>
      <c r="AE538">
        <v>0</v>
      </c>
      <c r="AF538">
        <v>10</v>
      </c>
      <c r="AG538">
        <v>1</v>
      </c>
      <c r="AH538">
        <v>3</v>
      </c>
      <c r="AI538">
        <v>2</v>
      </c>
      <c r="AJ538">
        <v>2</v>
      </c>
      <c r="AK538">
        <v>2</v>
      </c>
      <c r="AL538" t="str" cm="1">
        <f t="array" ref="AL53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38">
        <v>2</v>
      </c>
    </row>
    <row r="539" spans="1:39" x14ac:dyDescent="0.25">
      <c r="A539">
        <v>27</v>
      </c>
      <c r="B539" t="s">
        <v>44</v>
      </c>
      <c r="C539" t="s">
        <v>45</v>
      </c>
      <c r="D539">
        <v>294</v>
      </c>
      <c r="E539" t="s">
        <v>46</v>
      </c>
      <c r="G539">
        <v>10</v>
      </c>
      <c r="H539">
        <v>2</v>
      </c>
      <c r="I539" t="s">
        <v>39</v>
      </c>
      <c r="J539" t="str">
        <f>WA_Fn_UseC__HR_Employee_Attrition[[#This Row],[EducationField]]&amp;"-"&amp;WA_Fn_UseC__HR_Employee_Attrition[[#This Row],[Department]]</f>
        <v>Life Sciences-Research &amp; Development</v>
      </c>
      <c r="K539">
        <v>1</v>
      </c>
      <c r="L539">
        <v>733</v>
      </c>
      <c r="M539">
        <v>4</v>
      </c>
      <c r="N539" t="s">
        <v>47</v>
      </c>
      <c r="O539">
        <v>32</v>
      </c>
      <c r="P539">
        <v>3</v>
      </c>
      <c r="Q539">
        <v>3</v>
      </c>
      <c r="R539" t="s">
        <v>54</v>
      </c>
      <c r="S539">
        <v>1</v>
      </c>
      <c r="T539" t="s">
        <v>53</v>
      </c>
      <c r="U539">
        <v>8793</v>
      </c>
      <c r="V539" t="str" cm="1">
        <f t="array" ref="V53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39">
        <v>4809</v>
      </c>
      <c r="X539">
        <v>1</v>
      </c>
      <c r="Y539" t="s">
        <v>43</v>
      </c>
      <c r="Z539" t="s">
        <v>44</v>
      </c>
      <c r="AA539">
        <v>21</v>
      </c>
      <c r="AB539">
        <v>4</v>
      </c>
      <c r="AC539">
        <v>3</v>
      </c>
      <c r="AD539">
        <v>80</v>
      </c>
      <c r="AE539">
        <v>2</v>
      </c>
      <c r="AF539">
        <v>9</v>
      </c>
      <c r="AG539">
        <v>4</v>
      </c>
      <c r="AH539">
        <v>2</v>
      </c>
      <c r="AI539">
        <v>9</v>
      </c>
      <c r="AJ539">
        <v>7</v>
      </c>
      <c r="AK539">
        <v>1</v>
      </c>
      <c r="AL539" t="str" cm="1">
        <f t="array" ref="AL53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39">
        <v>7</v>
      </c>
    </row>
    <row r="540" spans="1:39" x14ac:dyDescent="0.25">
      <c r="A540">
        <v>41</v>
      </c>
      <c r="B540" t="s">
        <v>44</v>
      </c>
      <c r="C540" t="s">
        <v>37</v>
      </c>
      <c r="D540">
        <v>314</v>
      </c>
      <c r="E540" t="s">
        <v>62</v>
      </c>
      <c r="G540">
        <v>1</v>
      </c>
      <c r="H540">
        <v>3</v>
      </c>
      <c r="I540" t="s">
        <v>62</v>
      </c>
      <c r="J540" t="str">
        <f>WA_Fn_UseC__HR_Employee_Attrition[[#This Row],[EducationField]]&amp;"-"&amp;WA_Fn_UseC__HR_Employee_Attrition[[#This Row],[Department]]</f>
        <v>Human Resources-Human Resources</v>
      </c>
      <c r="K540">
        <v>1</v>
      </c>
      <c r="L540">
        <v>734</v>
      </c>
      <c r="M540">
        <v>4</v>
      </c>
      <c r="N540" t="s">
        <v>47</v>
      </c>
      <c r="O540">
        <v>59</v>
      </c>
      <c r="P540">
        <v>2</v>
      </c>
      <c r="Q540">
        <v>5</v>
      </c>
      <c r="R540" t="s">
        <v>57</v>
      </c>
      <c r="S540">
        <v>3</v>
      </c>
      <c r="T540" t="s">
        <v>49</v>
      </c>
      <c r="U540">
        <v>19189</v>
      </c>
      <c r="V540" t="str" cm="1">
        <f t="array" ref="V54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40">
        <v>19562</v>
      </c>
      <c r="X540">
        <v>1</v>
      </c>
      <c r="Y540" t="s">
        <v>43</v>
      </c>
      <c r="Z540" t="s">
        <v>44</v>
      </c>
      <c r="AA540">
        <v>12</v>
      </c>
      <c r="AB540">
        <v>3</v>
      </c>
      <c r="AC540">
        <v>2</v>
      </c>
      <c r="AD540">
        <v>80</v>
      </c>
      <c r="AE540">
        <v>1</v>
      </c>
      <c r="AF540">
        <v>22</v>
      </c>
      <c r="AG540">
        <v>3</v>
      </c>
      <c r="AH540">
        <v>3</v>
      </c>
      <c r="AI540">
        <v>22</v>
      </c>
      <c r="AJ540">
        <v>7</v>
      </c>
      <c r="AK540">
        <v>2</v>
      </c>
      <c r="AL540" t="str" cm="1">
        <f t="array" ref="AL54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40">
        <v>10</v>
      </c>
    </row>
    <row r="541" spans="1:39" x14ac:dyDescent="0.25">
      <c r="A541">
        <v>50</v>
      </c>
      <c r="B541" t="s">
        <v>44</v>
      </c>
      <c r="C541" t="s">
        <v>37</v>
      </c>
      <c r="D541">
        <v>316</v>
      </c>
      <c r="E541" t="s">
        <v>38</v>
      </c>
      <c r="G541">
        <v>8</v>
      </c>
      <c r="H541">
        <v>4</v>
      </c>
      <c r="I541" t="s">
        <v>60</v>
      </c>
      <c r="J541" t="str">
        <f>WA_Fn_UseC__HR_Employee_Attrition[[#This Row],[EducationField]]&amp;"-"&amp;WA_Fn_UseC__HR_Employee_Attrition[[#This Row],[Department]]</f>
        <v>Marketing-Sales</v>
      </c>
      <c r="K541">
        <v>1</v>
      </c>
      <c r="L541">
        <v>738</v>
      </c>
      <c r="M541">
        <v>4</v>
      </c>
      <c r="N541" t="s">
        <v>47</v>
      </c>
      <c r="O541">
        <v>54</v>
      </c>
      <c r="P541">
        <v>3</v>
      </c>
      <c r="Q541">
        <v>1</v>
      </c>
      <c r="R541" t="s">
        <v>58</v>
      </c>
      <c r="S541">
        <v>2</v>
      </c>
      <c r="T541" t="s">
        <v>49</v>
      </c>
      <c r="U541">
        <v>3875</v>
      </c>
      <c r="V541" t="str" cm="1">
        <f t="array" ref="V54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41">
        <v>9983</v>
      </c>
      <c r="X541">
        <v>7</v>
      </c>
      <c r="Y541" t="s">
        <v>43</v>
      </c>
      <c r="Z541" t="s">
        <v>44</v>
      </c>
      <c r="AA541">
        <v>15</v>
      </c>
      <c r="AB541">
        <v>3</v>
      </c>
      <c r="AC541">
        <v>4</v>
      </c>
      <c r="AD541">
        <v>80</v>
      </c>
      <c r="AE541">
        <v>1</v>
      </c>
      <c r="AF541">
        <v>4</v>
      </c>
      <c r="AG541">
        <v>2</v>
      </c>
      <c r="AH541">
        <v>3</v>
      </c>
      <c r="AI541">
        <v>2</v>
      </c>
      <c r="AJ541">
        <v>2</v>
      </c>
      <c r="AK541">
        <v>2</v>
      </c>
      <c r="AL541" t="str" cm="1">
        <f t="array" ref="AL54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41">
        <v>2</v>
      </c>
    </row>
    <row r="542" spans="1:39" x14ac:dyDescent="0.25">
      <c r="A542">
        <v>28</v>
      </c>
      <c r="B542" t="s">
        <v>36</v>
      </c>
      <c r="C542" t="s">
        <v>37</v>
      </c>
      <c r="D542">
        <v>654</v>
      </c>
      <c r="E542" t="s">
        <v>46</v>
      </c>
      <c r="G542">
        <v>1</v>
      </c>
      <c r="H542">
        <v>2</v>
      </c>
      <c r="I542" t="s">
        <v>39</v>
      </c>
      <c r="J542" t="str">
        <f>WA_Fn_UseC__HR_Employee_Attrition[[#This Row],[EducationField]]&amp;"-"&amp;WA_Fn_UseC__HR_Employee_Attrition[[#This Row],[Department]]</f>
        <v>Life Sciences-Research &amp; Development</v>
      </c>
      <c r="K542">
        <v>1</v>
      </c>
      <c r="L542">
        <v>741</v>
      </c>
      <c r="M542">
        <v>1</v>
      </c>
      <c r="N542" t="s">
        <v>40</v>
      </c>
      <c r="O542">
        <v>67</v>
      </c>
      <c r="P542">
        <v>1</v>
      </c>
      <c r="Q542">
        <v>1</v>
      </c>
      <c r="R542" t="s">
        <v>48</v>
      </c>
      <c r="S542">
        <v>2</v>
      </c>
      <c r="T542" t="s">
        <v>42</v>
      </c>
      <c r="U542">
        <v>2216</v>
      </c>
      <c r="V542" t="str" cm="1">
        <f t="array" ref="V54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42">
        <v>3872</v>
      </c>
      <c r="X542">
        <v>7</v>
      </c>
      <c r="Y542" t="s">
        <v>43</v>
      </c>
      <c r="Z542" t="s">
        <v>36</v>
      </c>
      <c r="AA542">
        <v>13</v>
      </c>
      <c r="AB542">
        <v>3</v>
      </c>
      <c r="AC542">
        <v>4</v>
      </c>
      <c r="AD542">
        <v>80</v>
      </c>
      <c r="AE542">
        <v>0</v>
      </c>
      <c r="AF542">
        <v>10</v>
      </c>
      <c r="AG542">
        <v>4</v>
      </c>
      <c r="AH542">
        <v>3</v>
      </c>
      <c r="AI542">
        <v>7</v>
      </c>
      <c r="AJ542">
        <v>7</v>
      </c>
      <c r="AK542">
        <v>3</v>
      </c>
      <c r="AL542" t="str" cm="1">
        <f t="array" ref="AL54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42">
        <v>7</v>
      </c>
    </row>
    <row r="543" spans="1:39" x14ac:dyDescent="0.25">
      <c r="A543">
        <v>36</v>
      </c>
      <c r="B543" t="s">
        <v>44</v>
      </c>
      <c r="C543" t="s">
        <v>56</v>
      </c>
      <c r="D543">
        <v>427</v>
      </c>
      <c r="E543" t="s">
        <v>46</v>
      </c>
      <c r="G543">
        <v>8</v>
      </c>
      <c r="H543">
        <v>3</v>
      </c>
      <c r="I543" t="s">
        <v>39</v>
      </c>
      <c r="J543" t="str">
        <f>WA_Fn_UseC__HR_Employee_Attrition[[#This Row],[EducationField]]&amp;"-"&amp;WA_Fn_UseC__HR_Employee_Attrition[[#This Row],[Department]]</f>
        <v>Life Sciences-Research &amp; Development</v>
      </c>
      <c r="K543">
        <v>1</v>
      </c>
      <c r="L543">
        <v>742</v>
      </c>
      <c r="M543">
        <v>1</v>
      </c>
      <c r="N543" t="s">
        <v>40</v>
      </c>
      <c r="O543">
        <v>63</v>
      </c>
      <c r="P543">
        <v>4</v>
      </c>
      <c r="Q543">
        <v>3</v>
      </c>
      <c r="R543" t="s">
        <v>59</v>
      </c>
      <c r="S543">
        <v>1</v>
      </c>
      <c r="T543" t="s">
        <v>49</v>
      </c>
      <c r="U543">
        <v>11713</v>
      </c>
      <c r="V543" t="str" cm="1">
        <f t="array" ref="V54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43">
        <v>20335</v>
      </c>
      <c r="X543">
        <v>9</v>
      </c>
      <c r="Y543" t="s">
        <v>43</v>
      </c>
      <c r="Z543" t="s">
        <v>44</v>
      </c>
      <c r="AA543">
        <v>14</v>
      </c>
      <c r="AB543">
        <v>3</v>
      </c>
      <c r="AC543">
        <v>1</v>
      </c>
      <c r="AD543">
        <v>80</v>
      </c>
      <c r="AE543">
        <v>1</v>
      </c>
      <c r="AF543">
        <v>10</v>
      </c>
      <c r="AG543">
        <v>2</v>
      </c>
      <c r="AH543">
        <v>3</v>
      </c>
      <c r="AI543">
        <v>8</v>
      </c>
      <c r="AJ543">
        <v>7</v>
      </c>
      <c r="AK543">
        <v>0</v>
      </c>
      <c r="AL543" t="str" cm="1">
        <f t="array" ref="AL54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43">
        <v>5</v>
      </c>
    </row>
    <row r="544" spans="1:39" x14ac:dyDescent="0.25">
      <c r="A544">
        <v>38</v>
      </c>
      <c r="B544" t="s">
        <v>44</v>
      </c>
      <c r="C544" t="s">
        <v>37</v>
      </c>
      <c r="D544">
        <v>168</v>
      </c>
      <c r="E544" t="s">
        <v>46</v>
      </c>
      <c r="G544">
        <v>1</v>
      </c>
      <c r="H544">
        <v>3</v>
      </c>
      <c r="I544" t="s">
        <v>39</v>
      </c>
      <c r="J544" t="str">
        <f>WA_Fn_UseC__HR_Employee_Attrition[[#This Row],[EducationField]]&amp;"-"&amp;WA_Fn_UseC__HR_Employee_Attrition[[#This Row],[Department]]</f>
        <v>Life Sciences-Research &amp; Development</v>
      </c>
      <c r="K544">
        <v>1</v>
      </c>
      <c r="L544">
        <v>743</v>
      </c>
      <c r="M544">
        <v>3</v>
      </c>
      <c r="N544" t="s">
        <v>40</v>
      </c>
      <c r="O544">
        <v>81</v>
      </c>
      <c r="P544">
        <v>3</v>
      </c>
      <c r="Q544">
        <v>3</v>
      </c>
      <c r="R544" t="s">
        <v>54</v>
      </c>
      <c r="S544">
        <v>3</v>
      </c>
      <c r="T544" t="s">
        <v>42</v>
      </c>
      <c r="U544">
        <v>7861</v>
      </c>
      <c r="V544" t="str" cm="1">
        <f t="array" ref="V54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44">
        <v>15397</v>
      </c>
      <c r="X544">
        <v>4</v>
      </c>
      <c r="Y544" t="s">
        <v>43</v>
      </c>
      <c r="Z544" t="s">
        <v>36</v>
      </c>
      <c r="AA544">
        <v>14</v>
      </c>
      <c r="AB544">
        <v>3</v>
      </c>
      <c r="AC544">
        <v>4</v>
      </c>
      <c r="AD544">
        <v>80</v>
      </c>
      <c r="AE544">
        <v>0</v>
      </c>
      <c r="AF544">
        <v>10</v>
      </c>
      <c r="AG544">
        <v>4</v>
      </c>
      <c r="AH544">
        <v>4</v>
      </c>
      <c r="AI544">
        <v>1</v>
      </c>
      <c r="AJ544">
        <v>0</v>
      </c>
      <c r="AK544">
        <v>0</v>
      </c>
      <c r="AL544" t="str" cm="1">
        <f t="array" ref="AL54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44">
        <v>0</v>
      </c>
    </row>
    <row r="545" spans="1:39" x14ac:dyDescent="0.25">
      <c r="A545">
        <v>44</v>
      </c>
      <c r="B545" t="s">
        <v>44</v>
      </c>
      <c r="C545" t="s">
        <v>56</v>
      </c>
      <c r="D545">
        <v>381</v>
      </c>
      <c r="E545" t="s">
        <v>46</v>
      </c>
      <c r="G545">
        <v>24</v>
      </c>
      <c r="H545">
        <v>3</v>
      </c>
      <c r="I545" t="s">
        <v>52</v>
      </c>
      <c r="J545" t="str">
        <f>WA_Fn_UseC__HR_Employee_Attrition[[#This Row],[EducationField]]&amp;"-"&amp;WA_Fn_UseC__HR_Employee_Attrition[[#This Row],[Department]]</f>
        <v>Medical-Research &amp; Development</v>
      </c>
      <c r="K545">
        <v>1</v>
      </c>
      <c r="L545">
        <v>744</v>
      </c>
      <c r="M545">
        <v>1</v>
      </c>
      <c r="N545" t="s">
        <v>47</v>
      </c>
      <c r="O545">
        <v>49</v>
      </c>
      <c r="P545">
        <v>1</v>
      </c>
      <c r="Q545">
        <v>1</v>
      </c>
      <c r="R545" t="s">
        <v>51</v>
      </c>
      <c r="S545">
        <v>3</v>
      </c>
      <c r="T545" t="s">
        <v>42</v>
      </c>
      <c r="U545">
        <v>3708</v>
      </c>
      <c r="V545" t="str" cm="1">
        <f t="array" ref="V54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45">
        <v>2104</v>
      </c>
      <c r="X545">
        <v>2</v>
      </c>
      <c r="Y545" t="s">
        <v>43</v>
      </c>
      <c r="Z545" t="s">
        <v>44</v>
      </c>
      <c r="AA545">
        <v>14</v>
      </c>
      <c r="AB545">
        <v>3</v>
      </c>
      <c r="AC545">
        <v>3</v>
      </c>
      <c r="AD545">
        <v>80</v>
      </c>
      <c r="AE545">
        <v>0</v>
      </c>
      <c r="AF545">
        <v>9</v>
      </c>
      <c r="AG545">
        <v>5</v>
      </c>
      <c r="AH545">
        <v>3</v>
      </c>
      <c r="AI545">
        <v>5</v>
      </c>
      <c r="AJ545">
        <v>2</v>
      </c>
      <c r="AK545">
        <v>1</v>
      </c>
      <c r="AL545" t="str" cm="1">
        <f t="array" ref="AL54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45">
        <v>4</v>
      </c>
    </row>
    <row r="546" spans="1:39" x14ac:dyDescent="0.25">
      <c r="A546">
        <v>47</v>
      </c>
      <c r="B546" t="s">
        <v>44</v>
      </c>
      <c r="C546" t="s">
        <v>45</v>
      </c>
      <c r="D546">
        <v>217</v>
      </c>
      <c r="E546" t="s">
        <v>38</v>
      </c>
      <c r="G546">
        <v>3</v>
      </c>
      <c r="H546">
        <v>3</v>
      </c>
      <c r="I546" t="s">
        <v>52</v>
      </c>
      <c r="J546" t="str">
        <f>WA_Fn_UseC__HR_Employee_Attrition[[#This Row],[EducationField]]&amp;"-"&amp;WA_Fn_UseC__HR_Employee_Attrition[[#This Row],[Department]]</f>
        <v>Medical-Sales</v>
      </c>
      <c r="K546">
        <v>1</v>
      </c>
      <c r="L546">
        <v>746</v>
      </c>
      <c r="M546">
        <v>4</v>
      </c>
      <c r="N546" t="s">
        <v>40</v>
      </c>
      <c r="O546">
        <v>49</v>
      </c>
      <c r="P546">
        <v>3</v>
      </c>
      <c r="Q546">
        <v>4</v>
      </c>
      <c r="R546" t="s">
        <v>41</v>
      </c>
      <c r="S546">
        <v>3</v>
      </c>
      <c r="T546" t="s">
        <v>53</v>
      </c>
      <c r="U546">
        <v>13770</v>
      </c>
      <c r="V546" t="str" cm="1">
        <f t="array" ref="V54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46">
        <v>10225</v>
      </c>
      <c r="X546">
        <v>9</v>
      </c>
      <c r="Y546" t="s">
        <v>43</v>
      </c>
      <c r="Z546" t="s">
        <v>36</v>
      </c>
      <c r="AA546">
        <v>12</v>
      </c>
      <c r="AB546">
        <v>3</v>
      </c>
      <c r="AC546">
        <v>4</v>
      </c>
      <c r="AD546">
        <v>80</v>
      </c>
      <c r="AE546">
        <v>2</v>
      </c>
      <c r="AF546">
        <v>28</v>
      </c>
      <c r="AG546">
        <v>2</v>
      </c>
      <c r="AH546">
        <v>2</v>
      </c>
      <c r="AI546">
        <v>22</v>
      </c>
      <c r="AJ546">
        <v>2</v>
      </c>
      <c r="AK546">
        <v>11</v>
      </c>
      <c r="AL546" t="str" cm="1">
        <f t="array" ref="AL54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46">
        <v>13</v>
      </c>
    </row>
    <row r="547" spans="1:39" x14ac:dyDescent="0.25">
      <c r="A547">
        <v>30</v>
      </c>
      <c r="B547" t="s">
        <v>44</v>
      </c>
      <c r="C547" t="s">
        <v>37</v>
      </c>
      <c r="D547">
        <v>501</v>
      </c>
      <c r="E547" t="s">
        <v>38</v>
      </c>
      <c r="G547">
        <v>27</v>
      </c>
      <c r="H547">
        <v>5</v>
      </c>
      <c r="I547" t="s">
        <v>60</v>
      </c>
      <c r="J547" t="str">
        <f>WA_Fn_UseC__HR_Employee_Attrition[[#This Row],[EducationField]]&amp;"-"&amp;WA_Fn_UseC__HR_Employee_Attrition[[#This Row],[Department]]</f>
        <v>Marketing-Sales</v>
      </c>
      <c r="K547">
        <v>1</v>
      </c>
      <c r="L547">
        <v>747</v>
      </c>
      <c r="M547">
        <v>3</v>
      </c>
      <c r="N547" t="s">
        <v>47</v>
      </c>
      <c r="O547">
        <v>99</v>
      </c>
      <c r="P547">
        <v>3</v>
      </c>
      <c r="Q547">
        <v>2</v>
      </c>
      <c r="R547" t="s">
        <v>41</v>
      </c>
      <c r="S547">
        <v>4</v>
      </c>
      <c r="T547" t="s">
        <v>53</v>
      </c>
      <c r="U547">
        <v>5304</v>
      </c>
      <c r="V547" t="str" cm="1">
        <f t="array" ref="V54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47">
        <v>25275</v>
      </c>
      <c r="X547">
        <v>7</v>
      </c>
      <c r="Y547" t="s">
        <v>43</v>
      </c>
      <c r="Z547" t="s">
        <v>44</v>
      </c>
      <c r="AA547">
        <v>23</v>
      </c>
      <c r="AB547">
        <v>4</v>
      </c>
      <c r="AC547">
        <v>4</v>
      </c>
      <c r="AD547">
        <v>80</v>
      </c>
      <c r="AE547">
        <v>1</v>
      </c>
      <c r="AF547">
        <v>10</v>
      </c>
      <c r="AG547">
        <v>2</v>
      </c>
      <c r="AH547">
        <v>2</v>
      </c>
      <c r="AI547">
        <v>8</v>
      </c>
      <c r="AJ547">
        <v>7</v>
      </c>
      <c r="AK547">
        <v>7</v>
      </c>
      <c r="AL547" t="str" cm="1">
        <f t="array" ref="AL54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47">
        <v>7</v>
      </c>
    </row>
    <row r="548" spans="1:39" x14ac:dyDescent="0.25">
      <c r="A548">
        <v>29</v>
      </c>
      <c r="B548" t="s">
        <v>44</v>
      </c>
      <c r="C548" t="s">
        <v>37</v>
      </c>
      <c r="D548">
        <v>1396</v>
      </c>
      <c r="E548" t="s">
        <v>38</v>
      </c>
      <c r="G548">
        <v>10</v>
      </c>
      <c r="H548">
        <v>3</v>
      </c>
      <c r="I548" t="s">
        <v>39</v>
      </c>
      <c r="J548" t="str">
        <f>WA_Fn_UseC__HR_Employee_Attrition[[#This Row],[EducationField]]&amp;"-"&amp;WA_Fn_UseC__HR_Employee_Attrition[[#This Row],[Department]]</f>
        <v>Life Sciences-Sales</v>
      </c>
      <c r="K548">
        <v>1</v>
      </c>
      <c r="L548">
        <v>749</v>
      </c>
      <c r="M548">
        <v>3</v>
      </c>
      <c r="N548" t="s">
        <v>47</v>
      </c>
      <c r="O548">
        <v>99</v>
      </c>
      <c r="P548">
        <v>3</v>
      </c>
      <c r="Q548">
        <v>1</v>
      </c>
      <c r="R548" t="s">
        <v>58</v>
      </c>
      <c r="S548">
        <v>3</v>
      </c>
      <c r="T548" t="s">
        <v>42</v>
      </c>
      <c r="U548">
        <v>2642</v>
      </c>
      <c r="V548" t="str" cm="1">
        <f t="array" ref="V54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48">
        <v>2755</v>
      </c>
      <c r="X548">
        <v>1</v>
      </c>
      <c r="Y548" t="s">
        <v>43</v>
      </c>
      <c r="Z548" t="s">
        <v>44</v>
      </c>
      <c r="AA548">
        <v>11</v>
      </c>
      <c r="AB548">
        <v>3</v>
      </c>
      <c r="AC548">
        <v>3</v>
      </c>
      <c r="AD548">
        <v>80</v>
      </c>
      <c r="AE548">
        <v>0</v>
      </c>
      <c r="AF548">
        <v>1</v>
      </c>
      <c r="AG548">
        <v>6</v>
      </c>
      <c r="AH548">
        <v>3</v>
      </c>
      <c r="AI548">
        <v>1</v>
      </c>
      <c r="AJ548">
        <v>0</v>
      </c>
      <c r="AK548">
        <v>0</v>
      </c>
      <c r="AL548" t="str" cm="1">
        <f t="array" ref="AL54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48">
        <v>0</v>
      </c>
    </row>
    <row r="549" spans="1:39" x14ac:dyDescent="0.25">
      <c r="A549">
        <v>42</v>
      </c>
      <c r="B549" t="s">
        <v>36</v>
      </c>
      <c r="C549" t="s">
        <v>45</v>
      </c>
      <c r="D549">
        <v>933</v>
      </c>
      <c r="E549" t="s">
        <v>46</v>
      </c>
      <c r="G549">
        <v>19</v>
      </c>
      <c r="H549">
        <v>3</v>
      </c>
      <c r="I549" t="s">
        <v>52</v>
      </c>
      <c r="J549" t="str">
        <f>WA_Fn_UseC__HR_Employee_Attrition[[#This Row],[EducationField]]&amp;"-"&amp;WA_Fn_UseC__HR_Employee_Attrition[[#This Row],[Department]]</f>
        <v>Medical-Research &amp; Development</v>
      </c>
      <c r="K549">
        <v>1</v>
      </c>
      <c r="L549">
        <v>752</v>
      </c>
      <c r="M549">
        <v>3</v>
      </c>
      <c r="N549" t="s">
        <v>47</v>
      </c>
      <c r="O549">
        <v>57</v>
      </c>
      <c r="P549">
        <v>4</v>
      </c>
      <c r="Q549">
        <v>1</v>
      </c>
      <c r="R549" t="s">
        <v>48</v>
      </c>
      <c r="S549">
        <v>3</v>
      </c>
      <c r="T549" t="s">
        <v>53</v>
      </c>
      <c r="U549">
        <v>2759</v>
      </c>
      <c r="V549" t="str" cm="1">
        <f t="array" ref="V54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49">
        <v>20366</v>
      </c>
      <c r="X549">
        <v>6</v>
      </c>
      <c r="Y549" t="s">
        <v>43</v>
      </c>
      <c r="Z549" t="s">
        <v>36</v>
      </c>
      <c r="AA549">
        <v>12</v>
      </c>
      <c r="AB549">
        <v>3</v>
      </c>
      <c r="AC549">
        <v>4</v>
      </c>
      <c r="AD549">
        <v>80</v>
      </c>
      <c r="AE549">
        <v>0</v>
      </c>
      <c r="AF549">
        <v>7</v>
      </c>
      <c r="AG549">
        <v>2</v>
      </c>
      <c r="AH549">
        <v>3</v>
      </c>
      <c r="AI549">
        <v>2</v>
      </c>
      <c r="AJ549">
        <v>2</v>
      </c>
      <c r="AK549">
        <v>2</v>
      </c>
      <c r="AL549" t="str" cm="1">
        <f t="array" ref="AL54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49">
        <v>2</v>
      </c>
    </row>
    <row r="550" spans="1:39" x14ac:dyDescent="0.25">
      <c r="A550">
        <v>43</v>
      </c>
      <c r="B550" t="s">
        <v>44</v>
      </c>
      <c r="C550" t="s">
        <v>45</v>
      </c>
      <c r="D550">
        <v>775</v>
      </c>
      <c r="E550" t="s">
        <v>38</v>
      </c>
      <c r="G550">
        <v>15</v>
      </c>
      <c r="H550">
        <v>3</v>
      </c>
      <c r="I550" t="s">
        <v>39</v>
      </c>
      <c r="J550" t="str">
        <f>WA_Fn_UseC__HR_Employee_Attrition[[#This Row],[EducationField]]&amp;"-"&amp;WA_Fn_UseC__HR_Employee_Attrition[[#This Row],[Department]]</f>
        <v>Life Sciences-Sales</v>
      </c>
      <c r="K550">
        <v>1</v>
      </c>
      <c r="L550">
        <v>754</v>
      </c>
      <c r="M550">
        <v>4</v>
      </c>
      <c r="N550" t="s">
        <v>47</v>
      </c>
      <c r="O550">
        <v>47</v>
      </c>
      <c r="P550">
        <v>2</v>
      </c>
      <c r="Q550">
        <v>2</v>
      </c>
      <c r="R550" t="s">
        <v>41</v>
      </c>
      <c r="S550">
        <v>4</v>
      </c>
      <c r="T550" t="s">
        <v>49</v>
      </c>
      <c r="U550">
        <v>6804</v>
      </c>
      <c r="V550" t="str" cm="1">
        <f t="array" ref="V55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50">
        <v>23683</v>
      </c>
      <c r="X550">
        <v>3</v>
      </c>
      <c r="Y550" t="s">
        <v>43</v>
      </c>
      <c r="Z550" t="s">
        <v>44</v>
      </c>
      <c r="AA550">
        <v>18</v>
      </c>
      <c r="AB550">
        <v>3</v>
      </c>
      <c r="AC550">
        <v>3</v>
      </c>
      <c r="AD550">
        <v>80</v>
      </c>
      <c r="AE550">
        <v>1</v>
      </c>
      <c r="AF550">
        <v>7</v>
      </c>
      <c r="AG550">
        <v>5</v>
      </c>
      <c r="AH550">
        <v>3</v>
      </c>
      <c r="AI550">
        <v>2</v>
      </c>
      <c r="AJ550">
        <v>2</v>
      </c>
      <c r="AK550">
        <v>2</v>
      </c>
      <c r="AL550" t="str" cm="1">
        <f t="array" ref="AL55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50">
        <v>2</v>
      </c>
    </row>
    <row r="551" spans="1:39" x14ac:dyDescent="0.25">
      <c r="A551">
        <v>34</v>
      </c>
      <c r="B551" t="s">
        <v>44</v>
      </c>
      <c r="C551" t="s">
        <v>37</v>
      </c>
      <c r="D551">
        <v>970</v>
      </c>
      <c r="E551" t="s">
        <v>46</v>
      </c>
      <c r="G551">
        <v>8</v>
      </c>
      <c r="H551">
        <v>2</v>
      </c>
      <c r="I551" t="s">
        <v>52</v>
      </c>
      <c r="J551" t="str">
        <f>WA_Fn_UseC__HR_Employee_Attrition[[#This Row],[EducationField]]&amp;"-"&amp;WA_Fn_UseC__HR_Employee_Attrition[[#This Row],[Department]]</f>
        <v>Medical-Research &amp; Development</v>
      </c>
      <c r="K551">
        <v>1</v>
      </c>
      <c r="L551">
        <v>757</v>
      </c>
      <c r="M551">
        <v>2</v>
      </c>
      <c r="N551" t="s">
        <v>40</v>
      </c>
      <c r="O551">
        <v>96</v>
      </c>
      <c r="P551">
        <v>3</v>
      </c>
      <c r="Q551">
        <v>2</v>
      </c>
      <c r="R551" t="s">
        <v>55</v>
      </c>
      <c r="S551">
        <v>3</v>
      </c>
      <c r="T551" t="s">
        <v>42</v>
      </c>
      <c r="U551">
        <v>6142</v>
      </c>
      <c r="V551" t="str" cm="1">
        <f t="array" ref="V55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51">
        <v>7360</v>
      </c>
      <c r="X551">
        <v>3</v>
      </c>
      <c r="Y551" t="s">
        <v>43</v>
      </c>
      <c r="Z551" t="s">
        <v>44</v>
      </c>
      <c r="AA551">
        <v>11</v>
      </c>
      <c r="AB551">
        <v>3</v>
      </c>
      <c r="AC551">
        <v>4</v>
      </c>
      <c r="AD551">
        <v>80</v>
      </c>
      <c r="AE551">
        <v>0</v>
      </c>
      <c r="AF551">
        <v>10</v>
      </c>
      <c r="AG551">
        <v>2</v>
      </c>
      <c r="AH551">
        <v>3</v>
      </c>
      <c r="AI551">
        <v>5</v>
      </c>
      <c r="AJ551">
        <v>1</v>
      </c>
      <c r="AK551">
        <v>4</v>
      </c>
      <c r="AL551" t="str" cm="1">
        <f t="array" ref="AL55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51">
        <v>3</v>
      </c>
    </row>
    <row r="552" spans="1:39" x14ac:dyDescent="0.25">
      <c r="A552">
        <v>23</v>
      </c>
      <c r="B552" t="s">
        <v>44</v>
      </c>
      <c r="C552" t="s">
        <v>37</v>
      </c>
      <c r="D552">
        <v>650</v>
      </c>
      <c r="E552" t="s">
        <v>46</v>
      </c>
      <c r="G552">
        <v>9</v>
      </c>
      <c r="H552">
        <v>1</v>
      </c>
      <c r="I552" t="s">
        <v>52</v>
      </c>
      <c r="J552" t="str">
        <f>WA_Fn_UseC__HR_Employee_Attrition[[#This Row],[EducationField]]&amp;"-"&amp;WA_Fn_UseC__HR_Employee_Attrition[[#This Row],[Department]]</f>
        <v>Medical-Research &amp; Development</v>
      </c>
      <c r="K552">
        <v>1</v>
      </c>
      <c r="L552">
        <v>758</v>
      </c>
      <c r="M552">
        <v>2</v>
      </c>
      <c r="N552" t="s">
        <v>47</v>
      </c>
      <c r="O552">
        <v>37</v>
      </c>
      <c r="P552">
        <v>3</v>
      </c>
      <c r="Q552">
        <v>1</v>
      </c>
      <c r="R552" t="s">
        <v>51</v>
      </c>
      <c r="S552">
        <v>1</v>
      </c>
      <c r="T552" t="s">
        <v>49</v>
      </c>
      <c r="U552">
        <v>2500</v>
      </c>
      <c r="V552" t="str" cm="1">
        <f t="array" ref="V55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52">
        <v>4344</v>
      </c>
      <c r="X552">
        <v>1</v>
      </c>
      <c r="Y552" t="s">
        <v>43</v>
      </c>
      <c r="Z552" t="s">
        <v>44</v>
      </c>
      <c r="AA552">
        <v>14</v>
      </c>
      <c r="AB552">
        <v>3</v>
      </c>
      <c r="AC552">
        <v>4</v>
      </c>
      <c r="AD552">
        <v>80</v>
      </c>
      <c r="AE552">
        <v>1</v>
      </c>
      <c r="AF552">
        <v>5</v>
      </c>
      <c r="AG552">
        <v>2</v>
      </c>
      <c r="AH552">
        <v>4</v>
      </c>
      <c r="AI552">
        <v>4</v>
      </c>
      <c r="AJ552">
        <v>3</v>
      </c>
      <c r="AK552">
        <v>0</v>
      </c>
      <c r="AL552" t="str" cm="1">
        <f t="array" ref="AL55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52">
        <v>2</v>
      </c>
    </row>
    <row r="553" spans="1:39" x14ac:dyDescent="0.25">
      <c r="A553">
        <v>39</v>
      </c>
      <c r="B553" t="s">
        <v>44</v>
      </c>
      <c r="C553" t="s">
        <v>37</v>
      </c>
      <c r="D553">
        <v>141</v>
      </c>
      <c r="E553" t="s">
        <v>62</v>
      </c>
      <c r="G553">
        <v>3</v>
      </c>
      <c r="H553">
        <v>3</v>
      </c>
      <c r="I553" t="s">
        <v>62</v>
      </c>
      <c r="J553" t="str">
        <f>WA_Fn_UseC__HR_Employee_Attrition[[#This Row],[EducationField]]&amp;"-"&amp;WA_Fn_UseC__HR_Employee_Attrition[[#This Row],[Department]]</f>
        <v>Human Resources-Human Resources</v>
      </c>
      <c r="K553">
        <v>1</v>
      </c>
      <c r="L553">
        <v>760</v>
      </c>
      <c r="M553">
        <v>3</v>
      </c>
      <c r="N553" t="s">
        <v>40</v>
      </c>
      <c r="O553">
        <v>44</v>
      </c>
      <c r="P553">
        <v>4</v>
      </c>
      <c r="Q553">
        <v>2</v>
      </c>
      <c r="R553" t="s">
        <v>62</v>
      </c>
      <c r="S553">
        <v>2</v>
      </c>
      <c r="T553" t="s">
        <v>49</v>
      </c>
      <c r="U553">
        <v>6389</v>
      </c>
      <c r="V553" t="str" cm="1">
        <f t="array" ref="V55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53">
        <v>18767</v>
      </c>
      <c r="X553">
        <v>9</v>
      </c>
      <c r="Y553" t="s">
        <v>43</v>
      </c>
      <c r="Z553" t="s">
        <v>44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12</v>
      </c>
      <c r="AG553">
        <v>3</v>
      </c>
      <c r="AH553">
        <v>1</v>
      </c>
      <c r="AI553">
        <v>8</v>
      </c>
      <c r="AJ553">
        <v>3</v>
      </c>
      <c r="AK553">
        <v>3</v>
      </c>
      <c r="AL553" t="str" cm="1">
        <f t="array" ref="AL55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53">
        <v>6</v>
      </c>
    </row>
    <row r="554" spans="1:39" x14ac:dyDescent="0.25">
      <c r="A554">
        <v>56</v>
      </c>
      <c r="B554" t="s">
        <v>44</v>
      </c>
      <c r="C554" t="s">
        <v>37</v>
      </c>
      <c r="D554">
        <v>832</v>
      </c>
      <c r="E554" t="s">
        <v>46</v>
      </c>
      <c r="G554">
        <v>9</v>
      </c>
      <c r="H554">
        <v>3</v>
      </c>
      <c r="I554" t="s">
        <v>52</v>
      </c>
      <c r="J554" t="str">
        <f>WA_Fn_UseC__HR_Employee_Attrition[[#This Row],[EducationField]]&amp;"-"&amp;WA_Fn_UseC__HR_Employee_Attrition[[#This Row],[Department]]</f>
        <v>Medical-Research &amp; Development</v>
      </c>
      <c r="K554">
        <v>1</v>
      </c>
      <c r="L554">
        <v>762</v>
      </c>
      <c r="M554">
        <v>3</v>
      </c>
      <c r="N554" t="s">
        <v>47</v>
      </c>
      <c r="O554">
        <v>81</v>
      </c>
      <c r="P554">
        <v>3</v>
      </c>
      <c r="Q554">
        <v>4</v>
      </c>
      <c r="R554" t="s">
        <v>55</v>
      </c>
      <c r="S554">
        <v>4</v>
      </c>
      <c r="T554" t="s">
        <v>49</v>
      </c>
      <c r="U554">
        <v>11103</v>
      </c>
      <c r="V554" t="str" cm="1">
        <f t="array" ref="V55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54">
        <v>20420</v>
      </c>
      <c r="X554">
        <v>7</v>
      </c>
      <c r="Y554" t="s">
        <v>43</v>
      </c>
      <c r="Z554" t="s">
        <v>44</v>
      </c>
      <c r="AA554">
        <v>11</v>
      </c>
      <c r="AB554">
        <v>3</v>
      </c>
      <c r="AC554">
        <v>3</v>
      </c>
      <c r="AD554">
        <v>80</v>
      </c>
      <c r="AE554">
        <v>0</v>
      </c>
      <c r="AF554">
        <v>30</v>
      </c>
      <c r="AG554">
        <v>1</v>
      </c>
      <c r="AH554">
        <v>2</v>
      </c>
      <c r="AI554">
        <v>10</v>
      </c>
      <c r="AJ554">
        <v>7</v>
      </c>
      <c r="AK554">
        <v>1</v>
      </c>
      <c r="AL554" t="str" cm="1">
        <f t="array" ref="AL55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54">
        <v>1</v>
      </c>
    </row>
    <row r="555" spans="1:39" x14ac:dyDescent="0.25">
      <c r="A555">
        <v>40</v>
      </c>
      <c r="B555" t="s">
        <v>44</v>
      </c>
      <c r="C555" t="s">
        <v>37</v>
      </c>
      <c r="D555">
        <v>804</v>
      </c>
      <c r="E555" t="s">
        <v>46</v>
      </c>
      <c r="G555">
        <v>2</v>
      </c>
      <c r="H555">
        <v>1</v>
      </c>
      <c r="I555" t="s">
        <v>52</v>
      </c>
      <c r="J555" t="str">
        <f>WA_Fn_UseC__HR_Employee_Attrition[[#This Row],[EducationField]]&amp;"-"&amp;WA_Fn_UseC__HR_Employee_Attrition[[#This Row],[Department]]</f>
        <v>Medical-Research &amp; Development</v>
      </c>
      <c r="K555">
        <v>1</v>
      </c>
      <c r="L555">
        <v>763</v>
      </c>
      <c r="M555">
        <v>4</v>
      </c>
      <c r="N555" t="s">
        <v>40</v>
      </c>
      <c r="O555">
        <v>86</v>
      </c>
      <c r="P555">
        <v>2</v>
      </c>
      <c r="Q555">
        <v>1</v>
      </c>
      <c r="R555" t="s">
        <v>48</v>
      </c>
      <c r="S555">
        <v>4</v>
      </c>
      <c r="T555" t="s">
        <v>42</v>
      </c>
      <c r="U555">
        <v>2342</v>
      </c>
      <c r="V555" t="str" cm="1">
        <f t="array" ref="V55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55">
        <v>22929</v>
      </c>
      <c r="X555">
        <v>0</v>
      </c>
      <c r="Y555" t="s">
        <v>43</v>
      </c>
      <c r="Z555" t="s">
        <v>36</v>
      </c>
      <c r="AA555">
        <v>20</v>
      </c>
      <c r="AB555">
        <v>4</v>
      </c>
      <c r="AC555">
        <v>4</v>
      </c>
      <c r="AD555">
        <v>80</v>
      </c>
      <c r="AE555">
        <v>0</v>
      </c>
      <c r="AF555">
        <v>5</v>
      </c>
      <c r="AG555">
        <v>2</v>
      </c>
      <c r="AH555">
        <v>2</v>
      </c>
      <c r="AI555">
        <v>4</v>
      </c>
      <c r="AJ555">
        <v>2</v>
      </c>
      <c r="AK555">
        <v>2</v>
      </c>
      <c r="AL555" t="str" cm="1">
        <f t="array" ref="AL55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55">
        <v>3</v>
      </c>
    </row>
    <row r="556" spans="1:39" x14ac:dyDescent="0.25">
      <c r="A556">
        <v>27</v>
      </c>
      <c r="B556" t="s">
        <v>44</v>
      </c>
      <c r="C556" t="s">
        <v>37</v>
      </c>
      <c r="D556">
        <v>975</v>
      </c>
      <c r="E556" t="s">
        <v>46</v>
      </c>
      <c r="G556">
        <v>7</v>
      </c>
      <c r="H556">
        <v>3</v>
      </c>
      <c r="I556" t="s">
        <v>52</v>
      </c>
      <c r="J556" t="str">
        <f>WA_Fn_UseC__HR_Employee_Attrition[[#This Row],[EducationField]]&amp;"-"&amp;WA_Fn_UseC__HR_Employee_Attrition[[#This Row],[Department]]</f>
        <v>Medical-Research &amp; Development</v>
      </c>
      <c r="K556">
        <v>1</v>
      </c>
      <c r="L556">
        <v>764</v>
      </c>
      <c r="M556">
        <v>4</v>
      </c>
      <c r="N556" t="s">
        <v>40</v>
      </c>
      <c r="O556">
        <v>55</v>
      </c>
      <c r="P556">
        <v>2</v>
      </c>
      <c r="Q556">
        <v>2</v>
      </c>
      <c r="R556" t="s">
        <v>55</v>
      </c>
      <c r="S556">
        <v>1</v>
      </c>
      <c r="T556" t="s">
        <v>42</v>
      </c>
      <c r="U556">
        <v>6811</v>
      </c>
      <c r="V556" t="str" cm="1">
        <f t="array" ref="V55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56">
        <v>23398</v>
      </c>
      <c r="X556">
        <v>8</v>
      </c>
      <c r="Y556" t="s">
        <v>43</v>
      </c>
      <c r="Z556" t="s">
        <v>44</v>
      </c>
      <c r="AA556">
        <v>19</v>
      </c>
      <c r="AB556">
        <v>3</v>
      </c>
      <c r="AC556">
        <v>1</v>
      </c>
      <c r="AD556">
        <v>80</v>
      </c>
      <c r="AE556">
        <v>0</v>
      </c>
      <c r="AF556">
        <v>9</v>
      </c>
      <c r="AG556">
        <v>2</v>
      </c>
      <c r="AH556">
        <v>1</v>
      </c>
      <c r="AI556">
        <v>7</v>
      </c>
      <c r="AJ556">
        <v>6</v>
      </c>
      <c r="AK556">
        <v>0</v>
      </c>
      <c r="AL556" t="str" cm="1">
        <f t="array" ref="AL55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56">
        <v>7</v>
      </c>
    </row>
    <row r="557" spans="1:39" x14ac:dyDescent="0.25">
      <c r="A557">
        <v>29</v>
      </c>
      <c r="B557" t="s">
        <v>44</v>
      </c>
      <c r="C557" t="s">
        <v>37</v>
      </c>
      <c r="D557">
        <v>1090</v>
      </c>
      <c r="E557" t="s">
        <v>38</v>
      </c>
      <c r="G557">
        <v>10</v>
      </c>
      <c r="H557">
        <v>3</v>
      </c>
      <c r="I557" t="s">
        <v>60</v>
      </c>
      <c r="J557" t="str">
        <f>WA_Fn_UseC__HR_Employee_Attrition[[#This Row],[EducationField]]&amp;"-"&amp;WA_Fn_UseC__HR_Employee_Attrition[[#This Row],[Department]]</f>
        <v>Marketing-Sales</v>
      </c>
      <c r="K557">
        <v>1</v>
      </c>
      <c r="L557">
        <v>766</v>
      </c>
      <c r="M557">
        <v>4</v>
      </c>
      <c r="N557" t="s">
        <v>47</v>
      </c>
      <c r="O557">
        <v>83</v>
      </c>
      <c r="P557">
        <v>3</v>
      </c>
      <c r="Q557">
        <v>1</v>
      </c>
      <c r="R557" t="s">
        <v>58</v>
      </c>
      <c r="S557">
        <v>2</v>
      </c>
      <c r="T557" t="s">
        <v>53</v>
      </c>
      <c r="U557">
        <v>2297</v>
      </c>
      <c r="V557" t="str" cm="1">
        <f t="array" ref="V55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57">
        <v>17967</v>
      </c>
      <c r="X557">
        <v>1</v>
      </c>
      <c r="Y557" t="s">
        <v>43</v>
      </c>
      <c r="Z557" t="s">
        <v>44</v>
      </c>
      <c r="AA557">
        <v>14</v>
      </c>
      <c r="AB557">
        <v>3</v>
      </c>
      <c r="AC557">
        <v>4</v>
      </c>
      <c r="AD557">
        <v>80</v>
      </c>
      <c r="AE557">
        <v>2</v>
      </c>
      <c r="AF557">
        <v>2</v>
      </c>
      <c r="AG557">
        <v>2</v>
      </c>
      <c r="AH557">
        <v>3</v>
      </c>
      <c r="AI557">
        <v>2</v>
      </c>
      <c r="AJ557">
        <v>2</v>
      </c>
      <c r="AK557">
        <v>2</v>
      </c>
      <c r="AL557" t="str" cm="1">
        <f t="array" ref="AL55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57">
        <v>2</v>
      </c>
    </row>
    <row r="558" spans="1:39" x14ac:dyDescent="0.25">
      <c r="A558">
        <v>53</v>
      </c>
      <c r="B558" t="s">
        <v>44</v>
      </c>
      <c r="C558" t="s">
        <v>37</v>
      </c>
      <c r="D558">
        <v>346</v>
      </c>
      <c r="E558" t="s">
        <v>46</v>
      </c>
      <c r="G558">
        <v>6</v>
      </c>
      <c r="H558">
        <v>3</v>
      </c>
      <c r="I558" t="s">
        <v>39</v>
      </c>
      <c r="J558" t="str">
        <f>WA_Fn_UseC__HR_Employee_Attrition[[#This Row],[EducationField]]&amp;"-"&amp;WA_Fn_UseC__HR_Employee_Attrition[[#This Row],[Department]]</f>
        <v>Life Sciences-Research &amp; Development</v>
      </c>
      <c r="K558">
        <v>1</v>
      </c>
      <c r="L558">
        <v>769</v>
      </c>
      <c r="M558">
        <v>4</v>
      </c>
      <c r="N558" t="s">
        <v>47</v>
      </c>
      <c r="O558">
        <v>86</v>
      </c>
      <c r="P558">
        <v>3</v>
      </c>
      <c r="Q558">
        <v>2</v>
      </c>
      <c r="R558" t="s">
        <v>51</v>
      </c>
      <c r="S558">
        <v>4</v>
      </c>
      <c r="T558" t="s">
        <v>42</v>
      </c>
      <c r="U558">
        <v>2450</v>
      </c>
      <c r="V558" t="str" cm="1">
        <f t="array" ref="V55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58">
        <v>10919</v>
      </c>
      <c r="X558">
        <v>2</v>
      </c>
      <c r="Y558" t="s">
        <v>43</v>
      </c>
      <c r="Z558" t="s">
        <v>44</v>
      </c>
      <c r="AA558">
        <v>17</v>
      </c>
      <c r="AB558">
        <v>3</v>
      </c>
      <c r="AC558">
        <v>4</v>
      </c>
      <c r="AD558">
        <v>80</v>
      </c>
      <c r="AE558">
        <v>0</v>
      </c>
      <c r="AF558">
        <v>19</v>
      </c>
      <c r="AG558">
        <v>4</v>
      </c>
      <c r="AH558">
        <v>3</v>
      </c>
      <c r="AI558">
        <v>2</v>
      </c>
      <c r="AJ558">
        <v>2</v>
      </c>
      <c r="AK558">
        <v>2</v>
      </c>
      <c r="AL558" t="str" cm="1">
        <f t="array" ref="AL55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58">
        <v>2</v>
      </c>
    </row>
    <row r="559" spans="1:39" x14ac:dyDescent="0.25">
      <c r="A559">
        <v>35</v>
      </c>
      <c r="B559" t="s">
        <v>44</v>
      </c>
      <c r="C559" t="s">
        <v>56</v>
      </c>
      <c r="D559">
        <v>1225</v>
      </c>
      <c r="E559" t="s">
        <v>46</v>
      </c>
      <c r="G559">
        <v>2</v>
      </c>
      <c r="H559">
        <v>4</v>
      </c>
      <c r="I559" t="s">
        <v>39</v>
      </c>
      <c r="J559" t="str">
        <f>WA_Fn_UseC__HR_Employee_Attrition[[#This Row],[EducationField]]&amp;"-"&amp;WA_Fn_UseC__HR_Employee_Attrition[[#This Row],[Department]]</f>
        <v>Life Sciences-Research &amp; Development</v>
      </c>
      <c r="K559">
        <v>1</v>
      </c>
      <c r="L559">
        <v>771</v>
      </c>
      <c r="M559">
        <v>4</v>
      </c>
      <c r="N559" t="s">
        <v>40</v>
      </c>
      <c r="O559">
        <v>61</v>
      </c>
      <c r="P559">
        <v>3</v>
      </c>
      <c r="Q559">
        <v>2</v>
      </c>
      <c r="R559" t="s">
        <v>55</v>
      </c>
      <c r="S559">
        <v>1</v>
      </c>
      <c r="T559" t="s">
        <v>53</v>
      </c>
      <c r="U559">
        <v>5093</v>
      </c>
      <c r="V559" t="str" cm="1">
        <f t="array" ref="V55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59">
        <v>4761</v>
      </c>
      <c r="X559">
        <v>2</v>
      </c>
      <c r="Y559" t="s">
        <v>43</v>
      </c>
      <c r="Z559" t="s">
        <v>44</v>
      </c>
      <c r="AA559">
        <v>11</v>
      </c>
      <c r="AB559">
        <v>3</v>
      </c>
      <c r="AC559">
        <v>1</v>
      </c>
      <c r="AD559">
        <v>80</v>
      </c>
      <c r="AE559">
        <v>1</v>
      </c>
      <c r="AF559">
        <v>16</v>
      </c>
      <c r="AG559">
        <v>2</v>
      </c>
      <c r="AH559">
        <v>4</v>
      </c>
      <c r="AI559">
        <v>1</v>
      </c>
      <c r="AJ559">
        <v>0</v>
      </c>
      <c r="AK559">
        <v>0</v>
      </c>
      <c r="AL559" t="str" cm="1">
        <f t="array" ref="AL55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59">
        <v>0</v>
      </c>
    </row>
    <row r="560" spans="1:39" x14ac:dyDescent="0.25">
      <c r="A560">
        <v>32</v>
      </c>
      <c r="B560" t="s">
        <v>44</v>
      </c>
      <c r="C560" t="s">
        <v>45</v>
      </c>
      <c r="D560">
        <v>430</v>
      </c>
      <c r="E560" t="s">
        <v>46</v>
      </c>
      <c r="G560">
        <v>24</v>
      </c>
      <c r="H560">
        <v>4</v>
      </c>
      <c r="I560" t="s">
        <v>39</v>
      </c>
      <c r="J560" t="str">
        <f>WA_Fn_UseC__HR_Employee_Attrition[[#This Row],[EducationField]]&amp;"-"&amp;WA_Fn_UseC__HR_Employee_Attrition[[#This Row],[Department]]</f>
        <v>Life Sciences-Research &amp; Development</v>
      </c>
      <c r="K560">
        <v>1</v>
      </c>
      <c r="L560">
        <v>772</v>
      </c>
      <c r="M560">
        <v>1</v>
      </c>
      <c r="N560" t="s">
        <v>47</v>
      </c>
      <c r="O560">
        <v>80</v>
      </c>
      <c r="P560">
        <v>3</v>
      </c>
      <c r="Q560">
        <v>2</v>
      </c>
      <c r="R560" t="s">
        <v>51</v>
      </c>
      <c r="S560">
        <v>4</v>
      </c>
      <c r="T560" t="s">
        <v>49</v>
      </c>
      <c r="U560">
        <v>5309</v>
      </c>
      <c r="V560" t="str" cm="1">
        <f t="array" ref="V56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60">
        <v>21146</v>
      </c>
      <c r="X560">
        <v>1</v>
      </c>
      <c r="Y560" t="s">
        <v>43</v>
      </c>
      <c r="Z560" t="s">
        <v>44</v>
      </c>
      <c r="AA560">
        <v>15</v>
      </c>
      <c r="AB560">
        <v>3</v>
      </c>
      <c r="AC560">
        <v>4</v>
      </c>
      <c r="AD560">
        <v>80</v>
      </c>
      <c r="AE560">
        <v>2</v>
      </c>
      <c r="AF560">
        <v>10</v>
      </c>
      <c r="AG560">
        <v>2</v>
      </c>
      <c r="AH560">
        <v>3</v>
      </c>
      <c r="AI560">
        <v>10</v>
      </c>
      <c r="AJ560">
        <v>8</v>
      </c>
      <c r="AK560">
        <v>4</v>
      </c>
      <c r="AL560" t="str" cm="1">
        <f t="array" ref="AL56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60">
        <v>7</v>
      </c>
    </row>
    <row r="561" spans="1:39" x14ac:dyDescent="0.25">
      <c r="A561">
        <v>38</v>
      </c>
      <c r="B561" t="s">
        <v>44</v>
      </c>
      <c r="C561" t="s">
        <v>37</v>
      </c>
      <c r="D561">
        <v>268</v>
      </c>
      <c r="E561" t="s">
        <v>46</v>
      </c>
      <c r="G561">
        <v>2</v>
      </c>
      <c r="H561">
        <v>5</v>
      </c>
      <c r="I561" t="s">
        <v>52</v>
      </c>
      <c r="J561" t="str">
        <f>WA_Fn_UseC__HR_Employee_Attrition[[#This Row],[EducationField]]&amp;"-"&amp;WA_Fn_UseC__HR_Employee_Attrition[[#This Row],[Department]]</f>
        <v>Medical-Research &amp; Development</v>
      </c>
      <c r="K561">
        <v>1</v>
      </c>
      <c r="L561">
        <v>773</v>
      </c>
      <c r="M561">
        <v>4</v>
      </c>
      <c r="N561" t="s">
        <v>47</v>
      </c>
      <c r="O561">
        <v>92</v>
      </c>
      <c r="P561">
        <v>3</v>
      </c>
      <c r="Q561">
        <v>1</v>
      </c>
      <c r="R561" t="s">
        <v>48</v>
      </c>
      <c r="S561">
        <v>3</v>
      </c>
      <c r="T561" t="s">
        <v>49</v>
      </c>
      <c r="U561">
        <v>3057</v>
      </c>
      <c r="V561" t="str" cm="1">
        <f t="array" ref="V56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61">
        <v>20471</v>
      </c>
      <c r="X561">
        <v>6</v>
      </c>
      <c r="Y561" t="s">
        <v>43</v>
      </c>
      <c r="Z561" t="s">
        <v>36</v>
      </c>
      <c r="AA561">
        <v>13</v>
      </c>
      <c r="AB561">
        <v>3</v>
      </c>
      <c r="AC561">
        <v>2</v>
      </c>
      <c r="AD561">
        <v>80</v>
      </c>
      <c r="AE561">
        <v>1</v>
      </c>
      <c r="AF561">
        <v>6</v>
      </c>
      <c r="AG561">
        <v>0</v>
      </c>
      <c r="AH561">
        <v>1</v>
      </c>
      <c r="AI561">
        <v>1</v>
      </c>
      <c r="AJ561">
        <v>0</v>
      </c>
      <c r="AK561">
        <v>0</v>
      </c>
      <c r="AL561" t="str" cm="1">
        <f t="array" ref="AL56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61">
        <v>1</v>
      </c>
    </row>
    <row r="562" spans="1:39" x14ac:dyDescent="0.25">
      <c r="A562">
        <v>34</v>
      </c>
      <c r="B562" t="s">
        <v>44</v>
      </c>
      <c r="C562" t="s">
        <v>37</v>
      </c>
      <c r="D562">
        <v>167</v>
      </c>
      <c r="E562" t="s">
        <v>46</v>
      </c>
      <c r="G562">
        <v>8</v>
      </c>
      <c r="H562">
        <v>5</v>
      </c>
      <c r="I562" t="s">
        <v>39</v>
      </c>
      <c r="J562" t="str">
        <f>WA_Fn_UseC__HR_Employee_Attrition[[#This Row],[EducationField]]&amp;"-"&amp;WA_Fn_UseC__HR_Employee_Attrition[[#This Row],[Department]]</f>
        <v>Life Sciences-Research &amp; Development</v>
      </c>
      <c r="K562">
        <v>1</v>
      </c>
      <c r="L562">
        <v>775</v>
      </c>
      <c r="M562">
        <v>2</v>
      </c>
      <c r="N562" t="s">
        <v>40</v>
      </c>
      <c r="O562">
        <v>32</v>
      </c>
      <c r="P562">
        <v>3</v>
      </c>
      <c r="Q562">
        <v>2</v>
      </c>
      <c r="R562" t="s">
        <v>54</v>
      </c>
      <c r="S562">
        <v>1</v>
      </c>
      <c r="T562" t="s">
        <v>53</v>
      </c>
      <c r="U562">
        <v>5121</v>
      </c>
      <c r="V562" t="str" cm="1">
        <f t="array" ref="V56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62">
        <v>4187</v>
      </c>
      <c r="X562">
        <v>3</v>
      </c>
      <c r="Y562" t="s">
        <v>43</v>
      </c>
      <c r="Z562" t="s">
        <v>44</v>
      </c>
      <c r="AA562">
        <v>14</v>
      </c>
      <c r="AB562">
        <v>3</v>
      </c>
      <c r="AC562">
        <v>3</v>
      </c>
      <c r="AD562">
        <v>80</v>
      </c>
      <c r="AE562">
        <v>1</v>
      </c>
      <c r="AF562">
        <v>7</v>
      </c>
      <c r="AG562">
        <v>3</v>
      </c>
      <c r="AH562">
        <v>3</v>
      </c>
      <c r="AI562">
        <v>0</v>
      </c>
      <c r="AJ562">
        <v>0</v>
      </c>
      <c r="AK562">
        <v>0</v>
      </c>
      <c r="AL562" t="str" cm="1">
        <f t="array" ref="AL56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62">
        <v>0</v>
      </c>
    </row>
    <row r="563" spans="1:39" x14ac:dyDescent="0.25">
      <c r="A563">
        <v>52</v>
      </c>
      <c r="B563" t="s">
        <v>44</v>
      </c>
      <c r="C563" t="s">
        <v>37</v>
      </c>
      <c r="D563">
        <v>621</v>
      </c>
      <c r="E563" t="s">
        <v>38</v>
      </c>
      <c r="G563">
        <v>3</v>
      </c>
      <c r="H563">
        <v>4</v>
      </c>
      <c r="I563" t="s">
        <v>60</v>
      </c>
      <c r="J563" t="str">
        <f>WA_Fn_UseC__HR_Employee_Attrition[[#This Row],[EducationField]]&amp;"-"&amp;WA_Fn_UseC__HR_Employee_Attrition[[#This Row],[Department]]</f>
        <v>Marketing-Sales</v>
      </c>
      <c r="K563">
        <v>1</v>
      </c>
      <c r="L563">
        <v>776</v>
      </c>
      <c r="M563">
        <v>3</v>
      </c>
      <c r="N563" t="s">
        <v>47</v>
      </c>
      <c r="O563">
        <v>31</v>
      </c>
      <c r="P563">
        <v>2</v>
      </c>
      <c r="Q563">
        <v>4</v>
      </c>
      <c r="R563" t="s">
        <v>57</v>
      </c>
      <c r="S563">
        <v>1</v>
      </c>
      <c r="T563" t="s">
        <v>49</v>
      </c>
      <c r="U563">
        <v>16856</v>
      </c>
      <c r="V563" t="str" cm="1">
        <f t="array" ref="V56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63">
        <v>10084</v>
      </c>
      <c r="X563">
        <v>1</v>
      </c>
      <c r="Y563" t="s">
        <v>43</v>
      </c>
      <c r="Z563" t="s">
        <v>44</v>
      </c>
      <c r="AA563">
        <v>11</v>
      </c>
      <c r="AB563">
        <v>3</v>
      </c>
      <c r="AC563">
        <v>1</v>
      </c>
      <c r="AD563">
        <v>80</v>
      </c>
      <c r="AE563">
        <v>0</v>
      </c>
      <c r="AF563">
        <v>34</v>
      </c>
      <c r="AG563">
        <v>3</v>
      </c>
      <c r="AH563">
        <v>4</v>
      </c>
      <c r="AI563">
        <v>34</v>
      </c>
      <c r="AJ563">
        <v>6</v>
      </c>
      <c r="AK563">
        <v>1</v>
      </c>
      <c r="AL563" t="str" cm="1">
        <f t="array" ref="AL56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63">
        <v>16</v>
      </c>
    </row>
    <row r="564" spans="1:39" x14ac:dyDescent="0.25">
      <c r="A564">
        <v>33</v>
      </c>
      <c r="B564" t="s">
        <v>36</v>
      </c>
      <c r="C564" t="s">
        <v>37</v>
      </c>
      <c r="D564">
        <v>527</v>
      </c>
      <c r="E564" t="s">
        <v>46</v>
      </c>
      <c r="G564">
        <v>1</v>
      </c>
      <c r="H564">
        <v>4</v>
      </c>
      <c r="I564" t="s">
        <v>50</v>
      </c>
      <c r="J564" t="str">
        <f>WA_Fn_UseC__HR_Employee_Attrition[[#This Row],[EducationField]]&amp;"-"&amp;WA_Fn_UseC__HR_Employee_Attrition[[#This Row],[Department]]</f>
        <v>Other-Research &amp; Development</v>
      </c>
      <c r="K564">
        <v>1</v>
      </c>
      <c r="L564">
        <v>780</v>
      </c>
      <c r="M564">
        <v>4</v>
      </c>
      <c r="N564" t="s">
        <v>47</v>
      </c>
      <c r="O564">
        <v>63</v>
      </c>
      <c r="P564">
        <v>3</v>
      </c>
      <c r="Q564">
        <v>1</v>
      </c>
      <c r="R564" t="s">
        <v>48</v>
      </c>
      <c r="S564">
        <v>4</v>
      </c>
      <c r="T564" t="s">
        <v>42</v>
      </c>
      <c r="U564">
        <v>2686</v>
      </c>
      <c r="V564" t="str" cm="1">
        <f t="array" ref="V56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64">
        <v>5207</v>
      </c>
      <c r="X564">
        <v>1</v>
      </c>
      <c r="Y564" t="s">
        <v>43</v>
      </c>
      <c r="Z564" t="s">
        <v>36</v>
      </c>
      <c r="AA564">
        <v>13</v>
      </c>
      <c r="AB564">
        <v>3</v>
      </c>
      <c r="AC564">
        <v>3</v>
      </c>
      <c r="AD564">
        <v>80</v>
      </c>
      <c r="AE564">
        <v>0</v>
      </c>
      <c r="AF564">
        <v>10</v>
      </c>
      <c r="AG564">
        <v>2</v>
      </c>
      <c r="AH564">
        <v>2</v>
      </c>
      <c r="AI564">
        <v>10</v>
      </c>
      <c r="AJ564">
        <v>9</v>
      </c>
      <c r="AK564">
        <v>7</v>
      </c>
      <c r="AL564" t="str" cm="1">
        <f t="array" ref="AL56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64">
        <v>8</v>
      </c>
    </row>
    <row r="565" spans="1:39" x14ac:dyDescent="0.25">
      <c r="A565">
        <v>25</v>
      </c>
      <c r="B565" t="s">
        <v>44</v>
      </c>
      <c r="C565" t="s">
        <v>37</v>
      </c>
      <c r="D565">
        <v>883</v>
      </c>
      <c r="E565" t="s">
        <v>38</v>
      </c>
      <c r="G565">
        <v>26</v>
      </c>
      <c r="H565">
        <v>1</v>
      </c>
      <c r="I565" t="s">
        <v>52</v>
      </c>
      <c r="J565" t="str">
        <f>WA_Fn_UseC__HR_Employee_Attrition[[#This Row],[EducationField]]&amp;"-"&amp;WA_Fn_UseC__HR_Employee_Attrition[[#This Row],[Department]]</f>
        <v>Medical-Sales</v>
      </c>
      <c r="K565">
        <v>1</v>
      </c>
      <c r="L565">
        <v>781</v>
      </c>
      <c r="M565">
        <v>3</v>
      </c>
      <c r="N565" t="s">
        <v>40</v>
      </c>
      <c r="O565">
        <v>32</v>
      </c>
      <c r="P565">
        <v>3</v>
      </c>
      <c r="Q565">
        <v>2</v>
      </c>
      <c r="R565" t="s">
        <v>41</v>
      </c>
      <c r="S565">
        <v>4</v>
      </c>
      <c r="T565" t="s">
        <v>42</v>
      </c>
      <c r="U565">
        <v>6180</v>
      </c>
      <c r="V565" t="str" cm="1">
        <f t="array" ref="V56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65">
        <v>22807</v>
      </c>
      <c r="X565">
        <v>1</v>
      </c>
      <c r="Y565" t="s">
        <v>43</v>
      </c>
      <c r="Z565" t="s">
        <v>44</v>
      </c>
      <c r="AA565">
        <v>23</v>
      </c>
      <c r="AB565">
        <v>4</v>
      </c>
      <c r="AC565">
        <v>2</v>
      </c>
      <c r="AD565">
        <v>80</v>
      </c>
      <c r="AE565">
        <v>0</v>
      </c>
      <c r="AF565">
        <v>6</v>
      </c>
      <c r="AG565">
        <v>5</v>
      </c>
      <c r="AH565">
        <v>2</v>
      </c>
      <c r="AI565">
        <v>6</v>
      </c>
      <c r="AJ565">
        <v>5</v>
      </c>
      <c r="AK565">
        <v>1</v>
      </c>
      <c r="AL565" t="str" cm="1">
        <f t="array" ref="AL56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65">
        <v>4</v>
      </c>
    </row>
    <row r="566" spans="1:39" x14ac:dyDescent="0.25">
      <c r="A566">
        <v>45</v>
      </c>
      <c r="B566" t="s">
        <v>44</v>
      </c>
      <c r="C566" t="s">
        <v>37</v>
      </c>
      <c r="D566">
        <v>954</v>
      </c>
      <c r="E566" t="s">
        <v>38</v>
      </c>
      <c r="G566">
        <v>2</v>
      </c>
      <c r="H566">
        <v>2</v>
      </c>
      <c r="I566" t="s">
        <v>61</v>
      </c>
      <c r="J566" t="str">
        <f>WA_Fn_UseC__HR_Employee_Attrition[[#This Row],[EducationField]]&amp;"-"&amp;WA_Fn_UseC__HR_Employee_Attrition[[#This Row],[Department]]</f>
        <v>Technical Degree-Sales</v>
      </c>
      <c r="K566">
        <v>1</v>
      </c>
      <c r="L566">
        <v>783</v>
      </c>
      <c r="M566">
        <v>2</v>
      </c>
      <c r="N566" t="s">
        <v>47</v>
      </c>
      <c r="O566">
        <v>46</v>
      </c>
      <c r="P566">
        <v>1</v>
      </c>
      <c r="Q566">
        <v>2</v>
      </c>
      <c r="R566" t="s">
        <v>58</v>
      </c>
      <c r="S566">
        <v>3</v>
      </c>
      <c r="T566" t="s">
        <v>42</v>
      </c>
      <c r="U566">
        <v>6632</v>
      </c>
      <c r="V566" t="str" cm="1">
        <f t="array" ref="V56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66">
        <v>12388</v>
      </c>
      <c r="X566">
        <v>0</v>
      </c>
      <c r="Y566" t="s">
        <v>43</v>
      </c>
      <c r="Z566" t="s">
        <v>44</v>
      </c>
      <c r="AA566">
        <v>13</v>
      </c>
      <c r="AB566">
        <v>3</v>
      </c>
      <c r="AC566">
        <v>1</v>
      </c>
      <c r="AD566">
        <v>80</v>
      </c>
      <c r="AE566">
        <v>0</v>
      </c>
      <c r="AF566">
        <v>9</v>
      </c>
      <c r="AG566">
        <v>3</v>
      </c>
      <c r="AH566">
        <v>3</v>
      </c>
      <c r="AI566">
        <v>8</v>
      </c>
      <c r="AJ566">
        <v>7</v>
      </c>
      <c r="AK566">
        <v>3</v>
      </c>
      <c r="AL566" t="str" cm="1">
        <f t="array" ref="AL56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66">
        <v>1</v>
      </c>
    </row>
    <row r="567" spans="1:39" x14ac:dyDescent="0.25">
      <c r="A567">
        <v>23</v>
      </c>
      <c r="B567" t="s">
        <v>44</v>
      </c>
      <c r="C567" t="s">
        <v>37</v>
      </c>
      <c r="D567">
        <v>310</v>
      </c>
      <c r="E567" t="s">
        <v>46</v>
      </c>
      <c r="G567">
        <v>10</v>
      </c>
      <c r="H567">
        <v>1</v>
      </c>
      <c r="I567" t="s">
        <v>52</v>
      </c>
      <c r="J567" t="str">
        <f>WA_Fn_UseC__HR_Employee_Attrition[[#This Row],[EducationField]]&amp;"-"&amp;WA_Fn_UseC__HR_Employee_Attrition[[#This Row],[Department]]</f>
        <v>Medical-Research &amp; Development</v>
      </c>
      <c r="K567">
        <v>1</v>
      </c>
      <c r="L567">
        <v>784</v>
      </c>
      <c r="M567">
        <v>1</v>
      </c>
      <c r="N567" t="s">
        <v>47</v>
      </c>
      <c r="O567">
        <v>79</v>
      </c>
      <c r="P567">
        <v>4</v>
      </c>
      <c r="Q567">
        <v>1</v>
      </c>
      <c r="R567" t="s">
        <v>48</v>
      </c>
      <c r="S567">
        <v>3</v>
      </c>
      <c r="T567" t="s">
        <v>42</v>
      </c>
      <c r="U567">
        <v>3505</v>
      </c>
      <c r="V567" t="str" cm="1">
        <f t="array" ref="V56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67">
        <v>19630</v>
      </c>
      <c r="X567">
        <v>1</v>
      </c>
      <c r="Y567" t="s">
        <v>43</v>
      </c>
      <c r="Z567" t="s">
        <v>44</v>
      </c>
      <c r="AA567">
        <v>18</v>
      </c>
      <c r="AB567">
        <v>3</v>
      </c>
      <c r="AC567">
        <v>4</v>
      </c>
      <c r="AD567">
        <v>80</v>
      </c>
      <c r="AE567">
        <v>0</v>
      </c>
      <c r="AF567">
        <v>2</v>
      </c>
      <c r="AG567">
        <v>3</v>
      </c>
      <c r="AH567">
        <v>3</v>
      </c>
      <c r="AI567">
        <v>2</v>
      </c>
      <c r="AJ567">
        <v>2</v>
      </c>
      <c r="AK567">
        <v>0</v>
      </c>
      <c r="AL567" t="str" cm="1">
        <f t="array" ref="AL56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67">
        <v>2</v>
      </c>
    </row>
    <row r="568" spans="1:39" x14ac:dyDescent="0.25">
      <c r="A568">
        <v>47</v>
      </c>
      <c r="B568" t="s">
        <v>36</v>
      </c>
      <c r="C568" t="s">
        <v>45</v>
      </c>
      <c r="D568">
        <v>719</v>
      </c>
      <c r="E568" t="s">
        <v>38</v>
      </c>
      <c r="G568">
        <v>27</v>
      </c>
      <c r="H568">
        <v>2</v>
      </c>
      <c r="I568" t="s">
        <v>39</v>
      </c>
      <c r="J568" t="str">
        <f>WA_Fn_UseC__HR_Employee_Attrition[[#This Row],[EducationField]]&amp;"-"&amp;WA_Fn_UseC__HR_Employee_Attrition[[#This Row],[Department]]</f>
        <v>Life Sciences-Sales</v>
      </c>
      <c r="K568">
        <v>1</v>
      </c>
      <c r="L568">
        <v>785</v>
      </c>
      <c r="M568">
        <v>2</v>
      </c>
      <c r="N568" t="s">
        <v>40</v>
      </c>
      <c r="O568">
        <v>77</v>
      </c>
      <c r="P568">
        <v>4</v>
      </c>
      <c r="Q568">
        <v>2</v>
      </c>
      <c r="R568" t="s">
        <v>41</v>
      </c>
      <c r="S568">
        <v>3</v>
      </c>
      <c r="T568" t="s">
        <v>42</v>
      </c>
      <c r="U568">
        <v>6397</v>
      </c>
      <c r="V568" t="str" cm="1">
        <f t="array" ref="V56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68">
        <v>10339</v>
      </c>
      <c r="X568">
        <v>4</v>
      </c>
      <c r="Y568" t="s">
        <v>43</v>
      </c>
      <c r="Z568" t="s">
        <v>36</v>
      </c>
      <c r="AA568">
        <v>12</v>
      </c>
      <c r="AB568">
        <v>3</v>
      </c>
      <c r="AC568">
        <v>4</v>
      </c>
      <c r="AD568">
        <v>80</v>
      </c>
      <c r="AE568">
        <v>0</v>
      </c>
      <c r="AF568">
        <v>8</v>
      </c>
      <c r="AG568">
        <v>2</v>
      </c>
      <c r="AH568">
        <v>3</v>
      </c>
      <c r="AI568">
        <v>5</v>
      </c>
      <c r="AJ568">
        <v>4</v>
      </c>
      <c r="AK568">
        <v>1</v>
      </c>
      <c r="AL568" t="str" cm="1">
        <f t="array" ref="AL56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68">
        <v>3</v>
      </c>
    </row>
    <row r="569" spans="1:39" x14ac:dyDescent="0.25">
      <c r="A569">
        <v>34</v>
      </c>
      <c r="B569" t="s">
        <v>44</v>
      </c>
      <c r="C569" t="s">
        <v>37</v>
      </c>
      <c r="D569">
        <v>304</v>
      </c>
      <c r="E569" t="s">
        <v>38</v>
      </c>
      <c r="G569">
        <v>2</v>
      </c>
      <c r="H569">
        <v>3</v>
      </c>
      <c r="I569" t="s">
        <v>50</v>
      </c>
      <c r="J569" t="str">
        <f>WA_Fn_UseC__HR_Employee_Attrition[[#This Row],[EducationField]]&amp;"-"&amp;WA_Fn_UseC__HR_Employee_Attrition[[#This Row],[Department]]</f>
        <v>Other-Sales</v>
      </c>
      <c r="K569">
        <v>1</v>
      </c>
      <c r="L569">
        <v>786</v>
      </c>
      <c r="M569">
        <v>4</v>
      </c>
      <c r="N569" t="s">
        <v>47</v>
      </c>
      <c r="O569">
        <v>60</v>
      </c>
      <c r="P569">
        <v>3</v>
      </c>
      <c r="Q569">
        <v>2</v>
      </c>
      <c r="R569" t="s">
        <v>41</v>
      </c>
      <c r="S569">
        <v>4</v>
      </c>
      <c r="T569" t="s">
        <v>42</v>
      </c>
      <c r="U569">
        <v>6274</v>
      </c>
      <c r="V569" t="str" cm="1">
        <f t="array" ref="V56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69">
        <v>18686</v>
      </c>
      <c r="X569">
        <v>1</v>
      </c>
      <c r="Y569" t="s">
        <v>43</v>
      </c>
      <c r="Z569" t="s">
        <v>44</v>
      </c>
      <c r="AA569">
        <v>22</v>
      </c>
      <c r="AB569">
        <v>4</v>
      </c>
      <c r="AC569">
        <v>3</v>
      </c>
      <c r="AD569">
        <v>80</v>
      </c>
      <c r="AE569">
        <v>0</v>
      </c>
      <c r="AF569">
        <v>6</v>
      </c>
      <c r="AG569">
        <v>5</v>
      </c>
      <c r="AH569">
        <v>3</v>
      </c>
      <c r="AI569">
        <v>6</v>
      </c>
      <c r="AJ569">
        <v>5</v>
      </c>
      <c r="AK569">
        <v>1</v>
      </c>
      <c r="AL569" t="str" cm="1">
        <f t="array" ref="AL56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69">
        <v>4</v>
      </c>
    </row>
    <row r="570" spans="1:39" x14ac:dyDescent="0.25">
      <c r="A570">
        <v>55</v>
      </c>
      <c r="B570" t="s">
        <v>36</v>
      </c>
      <c r="C570" t="s">
        <v>37</v>
      </c>
      <c r="D570">
        <v>725</v>
      </c>
      <c r="E570" t="s">
        <v>46</v>
      </c>
      <c r="G570">
        <v>2</v>
      </c>
      <c r="H570">
        <v>3</v>
      </c>
      <c r="I570" t="s">
        <v>52</v>
      </c>
      <c r="J570" t="str">
        <f>WA_Fn_UseC__HR_Employee_Attrition[[#This Row],[EducationField]]&amp;"-"&amp;WA_Fn_UseC__HR_Employee_Attrition[[#This Row],[Department]]</f>
        <v>Medical-Research &amp; Development</v>
      </c>
      <c r="K570">
        <v>1</v>
      </c>
      <c r="L570">
        <v>787</v>
      </c>
      <c r="M570">
        <v>4</v>
      </c>
      <c r="N570" t="s">
        <v>47</v>
      </c>
      <c r="O570">
        <v>78</v>
      </c>
      <c r="P570">
        <v>3</v>
      </c>
      <c r="Q570">
        <v>5</v>
      </c>
      <c r="R570" t="s">
        <v>57</v>
      </c>
      <c r="S570">
        <v>1</v>
      </c>
      <c r="T570" t="s">
        <v>49</v>
      </c>
      <c r="U570">
        <v>19859</v>
      </c>
      <c r="V570" t="str" cm="1">
        <f t="array" ref="V57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70">
        <v>21199</v>
      </c>
      <c r="X570">
        <v>5</v>
      </c>
      <c r="Y570" t="s">
        <v>43</v>
      </c>
      <c r="Z570" t="s">
        <v>36</v>
      </c>
      <c r="AA570">
        <v>13</v>
      </c>
      <c r="AB570">
        <v>3</v>
      </c>
      <c r="AC570">
        <v>4</v>
      </c>
      <c r="AD570">
        <v>80</v>
      </c>
      <c r="AE570">
        <v>1</v>
      </c>
      <c r="AF570">
        <v>24</v>
      </c>
      <c r="AG570">
        <v>2</v>
      </c>
      <c r="AH570">
        <v>3</v>
      </c>
      <c r="AI570">
        <v>5</v>
      </c>
      <c r="AJ570">
        <v>2</v>
      </c>
      <c r="AK570">
        <v>1</v>
      </c>
      <c r="AL570" t="str" cm="1">
        <f t="array" ref="AL57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70">
        <v>4</v>
      </c>
    </row>
    <row r="571" spans="1:39" x14ac:dyDescent="0.25">
      <c r="A571">
        <v>36</v>
      </c>
      <c r="B571" t="s">
        <v>44</v>
      </c>
      <c r="C571" t="s">
        <v>56</v>
      </c>
      <c r="D571">
        <v>1434</v>
      </c>
      <c r="E571" t="s">
        <v>38</v>
      </c>
      <c r="G571">
        <v>8</v>
      </c>
      <c r="H571">
        <v>4</v>
      </c>
      <c r="I571" t="s">
        <v>39</v>
      </c>
      <c r="J571" t="str">
        <f>WA_Fn_UseC__HR_Employee_Attrition[[#This Row],[EducationField]]&amp;"-"&amp;WA_Fn_UseC__HR_Employee_Attrition[[#This Row],[Department]]</f>
        <v>Life Sciences-Sales</v>
      </c>
      <c r="K571">
        <v>1</v>
      </c>
      <c r="L571">
        <v>789</v>
      </c>
      <c r="M571">
        <v>1</v>
      </c>
      <c r="N571" t="s">
        <v>47</v>
      </c>
      <c r="O571">
        <v>76</v>
      </c>
      <c r="P571">
        <v>2</v>
      </c>
      <c r="Q571">
        <v>3</v>
      </c>
      <c r="R571" t="s">
        <v>41</v>
      </c>
      <c r="S571">
        <v>1</v>
      </c>
      <c r="T571" t="s">
        <v>42</v>
      </c>
      <c r="U571">
        <v>7587</v>
      </c>
      <c r="V571" t="str" cm="1">
        <f t="array" ref="V57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71">
        <v>14229</v>
      </c>
      <c r="X571">
        <v>1</v>
      </c>
      <c r="Y571" t="s">
        <v>43</v>
      </c>
      <c r="Z571" t="s">
        <v>44</v>
      </c>
      <c r="AA571">
        <v>15</v>
      </c>
      <c r="AB571">
        <v>3</v>
      </c>
      <c r="AC571">
        <v>2</v>
      </c>
      <c r="AD571">
        <v>80</v>
      </c>
      <c r="AE571">
        <v>0</v>
      </c>
      <c r="AF571">
        <v>10</v>
      </c>
      <c r="AG571">
        <v>1</v>
      </c>
      <c r="AH571">
        <v>3</v>
      </c>
      <c r="AI571">
        <v>10</v>
      </c>
      <c r="AJ571">
        <v>7</v>
      </c>
      <c r="AK571">
        <v>0</v>
      </c>
      <c r="AL571" t="str" cm="1">
        <f t="array" ref="AL57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71">
        <v>9</v>
      </c>
    </row>
    <row r="572" spans="1:39" x14ac:dyDescent="0.25">
      <c r="A572">
        <v>52</v>
      </c>
      <c r="B572" t="s">
        <v>44</v>
      </c>
      <c r="C572" t="s">
        <v>56</v>
      </c>
      <c r="D572">
        <v>715</v>
      </c>
      <c r="E572" t="s">
        <v>46</v>
      </c>
      <c r="G572">
        <v>19</v>
      </c>
      <c r="H572">
        <v>4</v>
      </c>
      <c r="I572" t="s">
        <v>52</v>
      </c>
      <c r="J572" t="str">
        <f>WA_Fn_UseC__HR_Employee_Attrition[[#This Row],[EducationField]]&amp;"-"&amp;WA_Fn_UseC__HR_Employee_Attrition[[#This Row],[Department]]</f>
        <v>Medical-Research &amp; Development</v>
      </c>
      <c r="K572">
        <v>1</v>
      </c>
      <c r="L572">
        <v>791</v>
      </c>
      <c r="M572">
        <v>4</v>
      </c>
      <c r="N572" t="s">
        <v>47</v>
      </c>
      <c r="O572">
        <v>41</v>
      </c>
      <c r="P572">
        <v>3</v>
      </c>
      <c r="Q572">
        <v>1</v>
      </c>
      <c r="R572" t="s">
        <v>48</v>
      </c>
      <c r="S572">
        <v>4</v>
      </c>
      <c r="T572" t="s">
        <v>49</v>
      </c>
      <c r="U572">
        <v>4258</v>
      </c>
      <c r="V572" t="str" cm="1">
        <f t="array" ref="V57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72">
        <v>26589</v>
      </c>
      <c r="X572">
        <v>0</v>
      </c>
      <c r="Y572" t="s">
        <v>43</v>
      </c>
      <c r="Z572" t="s">
        <v>44</v>
      </c>
      <c r="AA572">
        <v>18</v>
      </c>
      <c r="AB572">
        <v>3</v>
      </c>
      <c r="AC572">
        <v>1</v>
      </c>
      <c r="AD572">
        <v>80</v>
      </c>
      <c r="AE572">
        <v>1</v>
      </c>
      <c r="AF572">
        <v>5</v>
      </c>
      <c r="AG572">
        <v>3</v>
      </c>
      <c r="AH572">
        <v>3</v>
      </c>
      <c r="AI572">
        <v>4</v>
      </c>
      <c r="AJ572">
        <v>3</v>
      </c>
      <c r="AK572">
        <v>1</v>
      </c>
      <c r="AL572" t="str" cm="1">
        <f t="array" ref="AL57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72">
        <v>2</v>
      </c>
    </row>
    <row r="573" spans="1:39" x14ac:dyDescent="0.25">
      <c r="A573">
        <v>26</v>
      </c>
      <c r="B573" t="s">
        <v>44</v>
      </c>
      <c r="C573" t="s">
        <v>45</v>
      </c>
      <c r="D573">
        <v>575</v>
      </c>
      <c r="E573" t="s">
        <v>46</v>
      </c>
      <c r="G573">
        <v>1</v>
      </c>
      <c r="H573">
        <v>2</v>
      </c>
      <c r="I573" t="s">
        <v>39</v>
      </c>
      <c r="J573" t="str">
        <f>WA_Fn_UseC__HR_Employee_Attrition[[#This Row],[EducationField]]&amp;"-"&amp;WA_Fn_UseC__HR_Employee_Attrition[[#This Row],[Department]]</f>
        <v>Life Sciences-Research &amp; Development</v>
      </c>
      <c r="K573">
        <v>1</v>
      </c>
      <c r="L573">
        <v>792</v>
      </c>
      <c r="M573">
        <v>1</v>
      </c>
      <c r="N573" t="s">
        <v>40</v>
      </c>
      <c r="O573">
        <v>71</v>
      </c>
      <c r="P573">
        <v>1</v>
      </c>
      <c r="Q573">
        <v>1</v>
      </c>
      <c r="R573" t="s">
        <v>51</v>
      </c>
      <c r="S573">
        <v>4</v>
      </c>
      <c r="T573" t="s">
        <v>53</v>
      </c>
      <c r="U573">
        <v>4364</v>
      </c>
      <c r="V573" t="str" cm="1">
        <f t="array" ref="V57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73">
        <v>5288</v>
      </c>
      <c r="X573">
        <v>3</v>
      </c>
      <c r="Y573" t="s">
        <v>43</v>
      </c>
      <c r="Z573" t="s">
        <v>44</v>
      </c>
      <c r="AA573">
        <v>14</v>
      </c>
      <c r="AB573">
        <v>3</v>
      </c>
      <c r="AC573">
        <v>1</v>
      </c>
      <c r="AD573">
        <v>80</v>
      </c>
      <c r="AE573">
        <v>1</v>
      </c>
      <c r="AF573">
        <v>5</v>
      </c>
      <c r="AG573">
        <v>2</v>
      </c>
      <c r="AH573">
        <v>3</v>
      </c>
      <c r="AI573">
        <v>2</v>
      </c>
      <c r="AJ573">
        <v>2</v>
      </c>
      <c r="AK573">
        <v>2</v>
      </c>
      <c r="AL573" t="str" cm="1">
        <f t="array" ref="AL57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73">
        <v>0</v>
      </c>
    </row>
    <row r="574" spans="1:39" x14ac:dyDescent="0.25">
      <c r="A574">
        <v>29</v>
      </c>
      <c r="B574" t="s">
        <v>44</v>
      </c>
      <c r="C574" t="s">
        <v>37</v>
      </c>
      <c r="D574">
        <v>657</v>
      </c>
      <c r="E574" t="s">
        <v>46</v>
      </c>
      <c r="G574">
        <v>27</v>
      </c>
      <c r="H574">
        <v>3</v>
      </c>
      <c r="I574" t="s">
        <v>52</v>
      </c>
      <c r="J574" t="str">
        <f>WA_Fn_UseC__HR_Employee_Attrition[[#This Row],[EducationField]]&amp;"-"&amp;WA_Fn_UseC__HR_Employee_Attrition[[#This Row],[Department]]</f>
        <v>Medical-Research &amp; Development</v>
      </c>
      <c r="K574">
        <v>1</v>
      </c>
      <c r="L574">
        <v>793</v>
      </c>
      <c r="M574">
        <v>2</v>
      </c>
      <c r="N574" t="s">
        <v>40</v>
      </c>
      <c r="O574">
        <v>66</v>
      </c>
      <c r="P574">
        <v>3</v>
      </c>
      <c r="Q574">
        <v>2</v>
      </c>
      <c r="R574" t="s">
        <v>55</v>
      </c>
      <c r="S574">
        <v>3</v>
      </c>
      <c r="T574" t="s">
        <v>49</v>
      </c>
      <c r="U574">
        <v>4335</v>
      </c>
      <c r="V574" t="str" cm="1">
        <f t="array" ref="V57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74">
        <v>25549</v>
      </c>
      <c r="X574">
        <v>4</v>
      </c>
      <c r="Y574" t="s">
        <v>43</v>
      </c>
      <c r="Z574" t="s">
        <v>44</v>
      </c>
      <c r="AA574">
        <v>12</v>
      </c>
      <c r="AB574">
        <v>3</v>
      </c>
      <c r="AC574">
        <v>1</v>
      </c>
      <c r="AD574">
        <v>80</v>
      </c>
      <c r="AE574">
        <v>1</v>
      </c>
      <c r="AF574">
        <v>11</v>
      </c>
      <c r="AG574">
        <v>3</v>
      </c>
      <c r="AH574">
        <v>2</v>
      </c>
      <c r="AI574">
        <v>8</v>
      </c>
      <c r="AJ574">
        <v>7</v>
      </c>
      <c r="AK574">
        <v>1</v>
      </c>
      <c r="AL574" t="str" cm="1">
        <f t="array" ref="AL57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74">
        <v>1</v>
      </c>
    </row>
    <row r="575" spans="1:39" x14ac:dyDescent="0.25">
      <c r="A575">
        <v>26</v>
      </c>
      <c r="B575" t="s">
        <v>36</v>
      </c>
      <c r="C575" t="s">
        <v>37</v>
      </c>
      <c r="D575">
        <v>1146</v>
      </c>
      <c r="E575" t="s">
        <v>38</v>
      </c>
      <c r="G575">
        <v>8</v>
      </c>
      <c r="H575">
        <v>3</v>
      </c>
      <c r="I575" t="s">
        <v>61</v>
      </c>
      <c r="J575" t="str">
        <f>WA_Fn_UseC__HR_Employee_Attrition[[#This Row],[EducationField]]&amp;"-"&amp;WA_Fn_UseC__HR_Employee_Attrition[[#This Row],[Department]]</f>
        <v>Technical Degree-Sales</v>
      </c>
      <c r="K575">
        <v>1</v>
      </c>
      <c r="L575">
        <v>796</v>
      </c>
      <c r="M575">
        <v>4</v>
      </c>
      <c r="N575" t="s">
        <v>47</v>
      </c>
      <c r="O575">
        <v>38</v>
      </c>
      <c r="P575">
        <v>2</v>
      </c>
      <c r="Q575">
        <v>2</v>
      </c>
      <c r="R575" t="s">
        <v>41</v>
      </c>
      <c r="S575">
        <v>1</v>
      </c>
      <c r="T575" t="s">
        <v>42</v>
      </c>
      <c r="U575">
        <v>5326</v>
      </c>
      <c r="V575" t="str" cm="1">
        <f t="array" ref="V57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75">
        <v>3064</v>
      </c>
      <c r="X575">
        <v>6</v>
      </c>
      <c r="Y575" t="s">
        <v>43</v>
      </c>
      <c r="Z575" t="s">
        <v>44</v>
      </c>
      <c r="AA575">
        <v>17</v>
      </c>
      <c r="AB575">
        <v>3</v>
      </c>
      <c r="AC575">
        <v>3</v>
      </c>
      <c r="AD575">
        <v>80</v>
      </c>
      <c r="AE575">
        <v>0</v>
      </c>
      <c r="AF575">
        <v>6</v>
      </c>
      <c r="AG575">
        <v>2</v>
      </c>
      <c r="AH575">
        <v>2</v>
      </c>
      <c r="AI575">
        <v>4</v>
      </c>
      <c r="AJ575">
        <v>3</v>
      </c>
      <c r="AK575">
        <v>1</v>
      </c>
      <c r="AL575" t="str" cm="1">
        <f t="array" ref="AL57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75">
        <v>2</v>
      </c>
    </row>
    <row r="576" spans="1:39" x14ac:dyDescent="0.25">
      <c r="A576">
        <v>34</v>
      </c>
      <c r="B576" t="s">
        <v>44</v>
      </c>
      <c r="C576" t="s">
        <v>37</v>
      </c>
      <c r="D576">
        <v>182</v>
      </c>
      <c r="E576" t="s">
        <v>46</v>
      </c>
      <c r="G576">
        <v>1</v>
      </c>
      <c r="H576">
        <v>4</v>
      </c>
      <c r="I576" t="s">
        <v>39</v>
      </c>
      <c r="J576" t="str">
        <f>WA_Fn_UseC__HR_Employee_Attrition[[#This Row],[EducationField]]&amp;"-"&amp;WA_Fn_UseC__HR_Employee_Attrition[[#This Row],[Department]]</f>
        <v>Life Sciences-Research &amp; Development</v>
      </c>
      <c r="K576">
        <v>1</v>
      </c>
      <c r="L576">
        <v>797</v>
      </c>
      <c r="M576">
        <v>2</v>
      </c>
      <c r="N576" t="s">
        <v>40</v>
      </c>
      <c r="O576">
        <v>72</v>
      </c>
      <c r="P576">
        <v>4</v>
      </c>
      <c r="Q576">
        <v>1</v>
      </c>
      <c r="R576" t="s">
        <v>48</v>
      </c>
      <c r="S576">
        <v>4</v>
      </c>
      <c r="T576" t="s">
        <v>42</v>
      </c>
      <c r="U576">
        <v>3280</v>
      </c>
      <c r="V576" t="str" cm="1">
        <f t="array" ref="V57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76">
        <v>13551</v>
      </c>
      <c r="X576">
        <v>2</v>
      </c>
      <c r="Y576" t="s">
        <v>43</v>
      </c>
      <c r="Z576" t="s">
        <v>44</v>
      </c>
      <c r="AA576">
        <v>16</v>
      </c>
      <c r="AB576">
        <v>3</v>
      </c>
      <c r="AC576">
        <v>3</v>
      </c>
      <c r="AD576">
        <v>80</v>
      </c>
      <c r="AE576">
        <v>0</v>
      </c>
      <c r="AF576">
        <v>10</v>
      </c>
      <c r="AG576">
        <v>2</v>
      </c>
      <c r="AH576">
        <v>3</v>
      </c>
      <c r="AI576">
        <v>4</v>
      </c>
      <c r="AJ576">
        <v>2</v>
      </c>
      <c r="AK576">
        <v>1</v>
      </c>
      <c r="AL576" t="str" cm="1">
        <f t="array" ref="AL57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76">
        <v>3</v>
      </c>
    </row>
    <row r="577" spans="1:39" x14ac:dyDescent="0.25">
      <c r="A577">
        <v>54</v>
      </c>
      <c r="B577" t="s">
        <v>44</v>
      </c>
      <c r="C577" t="s">
        <v>37</v>
      </c>
      <c r="D577">
        <v>376</v>
      </c>
      <c r="E577" t="s">
        <v>46</v>
      </c>
      <c r="G577">
        <v>19</v>
      </c>
      <c r="H577">
        <v>4</v>
      </c>
      <c r="I577" t="s">
        <v>52</v>
      </c>
      <c r="J577" t="str">
        <f>WA_Fn_UseC__HR_Employee_Attrition[[#This Row],[EducationField]]&amp;"-"&amp;WA_Fn_UseC__HR_Employee_Attrition[[#This Row],[Department]]</f>
        <v>Medical-Research &amp; Development</v>
      </c>
      <c r="K577">
        <v>1</v>
      </c>
      <c r="L577">
        <v>799</v>
      </c>
      <c r="M577">
        <v>4</v>
      </c>
      <c r="N577" t="s">
        <v>40</v>
      </c>
      <c r="O577">
        <v>95</v>
      </c>
      <c r="P577">
        <v>3</v>
      </c>
      <c r="Q577">
        <v>2</v>
      </c>
      <c r="R577" t="s">
        <v>54</v>
      </c>
      <c r="S577">
        <v>1</v>
      </c>
      <c r="T577" t="s">
        <v>53</v>
      </c>
      <c r="U577">
        <v>5485</v>
      </c>
      <c r="V577" t="str" cm="1">
        <f t="array" ref="V57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77">
        <v>22670</v>
      </c>
      <c r="X577">
        <v>9</v>
      </c>
      <c r="Y577" t="s">
        <v>43</v>
      </c>
      <c r="Z577" t="s">
        <v>36</v>
      </c>
      <c r="AA577">
        <v>11</v>
      </c>
      <c r="AB577">
        <v>3</v>
      </c>
      <c r="AC577">
        <v>2</v>
      </c>
      <c r="AD577">
        <v>80</v>
      </c>
      <c r="AE577">
        <v>2</v>
      </c>
      <c r="AF577">
        <v>9</v>
      </c>
      <c r="AG577">
        <v>4</v>
      </c>
      <c r="AH577">
        <v>3</v>
      </c>
      <c r="AI577">
        <v>5</v>
      </c>
      <c r="AJ577">
        <v>3</v>
      </c>
      <c r="AK577">
        <v>1</v>
      </c>
      <c r="AL577" t="str" cm="1">
        <f t="array" ref="AL57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77">
        <v>4</v>
      </c>
    </row>
    <row r="578" spans="1:39" x14ac:dyDescent="0.25">
      <c r="A578">
        <v>27</v>
      </c>
      <c r="B578" t="s">
        <v>44</v>
      </c>
      <c r="C578" t="s">
        <v>45</v>
      </c>
      <c r="D578">
        <v>829</v>
      </c>
      <c r="E578" t="s">
        <v>38</v>
      </c>
      <c r="G578">
        <v>8</v>
      </c>
      <c r="H578">
        <v>1</v>
      </c>
      <c r="I578" t="s">
        <v>60</v>
      </c>
      <c r="J578" t="str">
        <f>WA_Fn_UseC__HR_Employee_Attrition[[#This Row],[EducationField]]&amp;"-"&amp;WA_Fn_UseC__HR_Employee_Attrition[[#This Row],[Department]]</f>
        <v>Marketing-Sales</v>
      </c>
      <c r="K578">
        <v>1</v>
      </c>
      <c r="L578">
        <v>800</v>
      </c>
      <c r="M578">
        <v>3</v>
      </c>
      <c r="N578" t="s">
        <v>47</v>
      </c>
      <c r="O578">
        <v>84</v>
      </c>
      <c r="P578">
        <v>3</v>
      </c>
      <c r="Q578">
        <v>2</v>
      </c>
      <c r="R578" t="s">
        <v>41</v>
      </c>
      <c r="S578">
        <v>4</v>
      </c>
      <c r="T578" t="s">
        <v>49</v>
      </c>
      <c r="U578">
        <v>4342</v>
      </c>
      <c r="V578" t="str" cm="1">
        <f t="array" ref="V57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78">
        <v>24008</v>
      </c>
      <c r="X578">
        <v>0</v>
      </c>
      <c r="Y578" t="s">
        <v>43</v>
      </c>
      <c r="Z578" t="s">
        <v>44</v>
      </c>
      <c r="AA578">
        <v>19</v>
      </c>
      <c r="AB578">
        <v>3</v>
      </c>
      <c r="AC578">
        <v>2</v>
      </c>
      <c r="AD578">
        <v>80</v>
      </c>
      <c r="AE578">
        <v>1</v>
      </c>
      <c r="AF578">
        <v>5</v>
      </c>
      <c r="AG578">
        <v>3</v>
      </c>
      <c r="AH578">
        <v>3</v>
      </c>
      <c r="AI578">
        <v>4</v>
      </c>
      <c r="AJ578">
        <v>2</v>
      </c>
      <c r="AK578">
        <v>1</v>
      </c>
      <c r="AL578" t="str" cm="1">
        <f t="array" ref="AL57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78">
        <v>1</v>
      </c>
    </row>
    <row r="579" spans="1:39" x14ac:dyDescent="0.25">
      <c r="A579">
        <v>37</v>
      </c>
      <c r="B579" t="s">
        <v>44</v>
      </c>
      <c r="C579" t="s">
        <v>37</v>
      </c>
      <c r="D579">
        <v>571</v>
      </c>
      <c r="E579" t="s">
        <v>46</v>
      </c>
      <c r="G579">
        <v>10</v>
      </c>
      <c r="H579">
        <v>1</v>
      </c>
      <c r="I579" t="s">
        <v>39</v>
      </c>
      <c r="J579" t="str">
        <f>WA_Fn_UseC__HR_Employee_Attrition[[#This Row],[EducationField]]&amp;"-"&amp;WA_Fn_UseC__HR_Employee_Attrition[[#This Row],[Department]]</f>
        <v>Life Sciences-Research &amp; Development</v>
      </c>
      <c r="K579">
        <v>1</v>
      </c>
      <c r="L579">
        <v>802</v>
      </c>
      <c r="M579">
        <v>4</v>
      </c>
      <c r="N579" t="s">
        <v>40</v>
      </c>
      <c r="O579">
        <v>82</v>
      </c>
      <c r="P579">
        <v>3</v>
      </c>
      <c r="Q579">
        <v>1</v>
      </c>
      <c r="R579" t="s">
        <v>48</v>
      </c>
      <c r="S579">
        <v>1</v>
      </c>
      <c r="T579" t="s">
        <v>53</v>
      </c>
      <c r="U579">
        <v>2782</v>
      </c>
      <c r="V579" t="str" cm="1">
        <f t="array" ref="V57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79">
        <v>19905</v>
      </c>
      <c r="X579">
        <v>0</v>
      </c>
      <c r="Y579" t="s">
        <v>43</v>
      </c>
      <c r="Z579" t="s">
        <v>36</v>
      </c>
      <c r="AA579">
        <v>13</v>
      </c>
      <c r="AB579">
        <v>3</v>
      </c>
      <c r="AC579">
        <v>2</v>
      </c>
      <c r="AD579">
        <v>80</v>
      </c>
      <c r="AE579">
        <v>2</v>
      </c>
      <c r="AF579">
        <v>6</v>
      </c>
      <c r="AG579">
        <v>3</v>
      </c>
      <c r="AH579">
        <v>2</v>
      </c>
      <c r="AI579">
        <v>5</v>
      </c>
      <c r="AJ579">
        <v>3</v>
      </c>
      <c r="AK579">
        <v>4</v>
      </c>
      <c r="AL579" t="str" cm="1">
        <f t="array" ref="AL57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79">
        <v>3</v>
      </c>
    </row>
    <row r="580" spans="1:39" x14ac:dyDescent="0.25">
      <c r="A580">
        <v>38</v>
      </c>
      <c r="B580" t="s">
        <v>44</v>
      </c>
      <c r="C580" t="s">
        <v>45</v>
      </c>
      <c r="D580">
        <v>240</v>
      </c>
      <c r="E580" t="s">
        <v>46</v>
      </c>
      <c r="G580">
        <v>2</v>
      </c>
      <c r="H580">
        <v>4</v>
      </c>
      <c r="I580" t="s">
        <v>39</v>
      </c>
      <c r="J580" t="str">
        <f>WA_Fn_UseC__HR_Employee_Attrition[[#This Row],[EducationField]]&amp;"-"&amp;WA_Fn_UseC__HR_Employee_Attrition[[#This Row],[Department]]</f>
        <v>Life Sciences-Research &amp; Development</v>
      </c>
      <c r="K580">
        <v>1</v>
      </c>
      <c r="L580">
        <v>803</v>
      </c>
      <c r="M580">
        <v>1</v>
      </c>
      <c r="N580" t="s">
        <v>40</v>
      </c>
      <c r="O580">
        <v>75</v>
      </c>
      <c r="P580">
        <v>4</v>
      </c>
      <c r="Q580">
        <v>2</v>
      </c>
      <c r="R580" t="s">
        <v>54</v>
      </c>
      <c r="S580">
        <v>1</v>
      </c>
      <c r="T580" t="s">
        <v>42</v>
      </c>
      <c r="U580">
        <v>5980</v>
      </c>
      <c r="V580" t="str" cm="1">
        <f t="array" ref="V58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80">
        <v>26085</v>
      </c>
      <c r="X580">
        <v>6</v>
      </c>
      <c r="Y580" t="s">
        <v>43</v>
      </c>
      <c r="Z580" t="s">
        <v>36</v>
      </c>
      <c r="AA580">
        <v>12</v>
      </c>
      <c r="AB580">
        <v>3</v>
      </c>
      <c r="AC580">
        <v>4</v>
      </c>
      <c r="AD580">
        <v>80</v>
      </c>
      <c r="AE580">
        <v>0</v>
      </c>
      <c r="AF580">
        <v>17</v>
      </c>
      <c r="AG580">
        <v>2</v>
      </c>
      <c r="AH580">
        <v>3</v>
      </c>
      <c r="AI580">
        <v>15</v>
      </c>
      <c r="AJ580">
        <v>7</v>
      </c>
      <c r="AK580">
        <v>4</v>
      </c>
      <c r="AL580" t="str" cm="1">
        <f t="array" ref="AL58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80">
        <v>12</v>
      </c>
    </row>
    <row r="581" spans="1:39" x14ac:dyDescent="0.25">
      <c r="A581">
        <v>34</v>
      </c>
      <c r="B581" t="s">
        <v>44</v>
      </c>
      <c r="C581" t="s">
        <v>37</v>
      </c>
      <c r="D581">
        <v>121</v>
      </c>
      <c r="E581" t="s">
        <v>46</v>
      </c>
      <c r="G581">
        <v>2</v>
      </c>
      <c r="H581">
        <v>4</v>
      </c>
      <c r="I581" t="s">
        <v>52</v>
      </c>
      <c r="J581" t="str">
        <f>WA_Fn_UseC__HR_Employee_Attrition[[#This Row],[EducationField]]&amp;"-"&amp;WA_Fn_UseC__HR_Employee_Attrition[[#This Row],[Department]]</f>
        <v>Medical-Research &amp; Development</v>
      </c>
      <c r="K581">
        <v>1</v>
      </c>
      <c r="L581">
        <v>804</v>
      </c>
      <c r="M581">
        <v>3</v>
      </c>
      <c r="N581" t="s">
        <v>40</v>
      </c>
      <c r="O581">
        <v>86</v>
      </c>
      <c r="P581">
        <v>2</v>
      </c>
      <c r="Q581">
        <v>1</v>
      </c>
      <c r="R581" t="s">
        <v>48</v>
      </c>
      <c r="S581">
        <v>1</v>
      </c>
      <c r="T581" t="s">
        <v>42</v>
      </c>
      <c r="U581">
        <v>4381</v>
      </c>
      <c r="V581" t="str" cm="1">
        <f t="array" ref="V58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81">
        <v>7530</v>
      </c>
      <c r="X581">
        <v>1</v>
      </c>
      <c r="Y581" t="s">
        <v>43</v>
      </c>
      <c r="Z581" t="s">
        <v>44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6</v>
      </c>
      <c r="AG581">
        <v>3</v>
      </c>
      <c r="AH581">
        <v>3</v>
      </c>
      <c r="AI581">
        <v>6</v>
      </c>
      <c r="AJ581">
        <v>5</v>
      </c>
      <c r="AK581">
        <v>1</v>
      </c>
      <c r="AL581" t="str" cm="1">
        <f t="array" ref="AL58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81">
        <v>3</v>
      </c>
    </row>
    <row r="582" spans="1:39" x14ac:dyDescent="0.25">
      <c r="A582">
        <v>35</v>
      </c>
      <c r="B582" t="s">
        <v>44</v>
      </c>
      <c r="C582" t="s">
        <v>37</v>
      </c>
      <c r="D582">
        <v>384</v>
      </c>
      <c r="E582" t="s">
        <v>38</v>
      </c>
      <c r="G582">
        <v>8</v>
      </c>
      <c r="H582">
        <v>4</v>
      </c>
      <c r="I582" t="s">
        <v>39</v>
      </c>
      <c r="J582" t="str">
        <f>WA_Fn_UseC__HR_Employee_Attrition[[#This Row],[EducationField]]&amp;"-"&amp;WA_Fn_UseC__HR_Employee_Attrition[[#This Row],[Department]]</f>
        <v>Life Sciences-Sales</v>
      </c>
      <c r="K582">
        <v>1</v>
      </c>
      <c r="L582">
        <v>805</v>
      </c>
      <c r="M582">
        <v>1</v>
      </c>
      <c r="N582" t="s">
        <v>40</v>
      </c>
      <c r="O582">
        <v>72</v>
      </c>
      <c r="P582">
        <v>3</v>
      </c>
      <c r="Q582">
        <v>1</v>
      </c>
      <c r="R582" t="s">
        <v>58</v>
      </c>
      <c r="S582">
        <v>4</v>
      </c>
      <c r="T582" t="s">
        <v>49</v>
      </c>
      <c r="U582">
        <v>2572</v>
      </c>
      <c r="V582" t="str" cm="1">
        <f t="array" ref="V58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82">
        <v>20317</v>
      </c>
      <c r="X582">
        <v>1</v>
      </c>
      <c r="Y582" t="s">
        <v>43</v>
      </c>
      <c r="Z582" t="s">
        <v>44</v>
      </c>
      <c r="AA582">
        <v>16</v>
      </c>
      <c r="AB582">
        <v>3</v>
      </c>
      <c r="AC582">
        <v>2</v>
      </c>
      <c r="AD582">
        <v>80</v>
      </c>
      <c r="AE582">
        <v>1</v>
      </c>
      <c r="AF582">
        <v>3</v>
      </c>
      <c r="AG582">
        <v>1</v>
      </c>
      <c r="AH582">
        <v>2</v>
      </c>
      <c r="AI582">
        <v>3</v>
      </c>
      <c r="AJ582">
        <v>2</v>
      </c>
      <c r="AK582">
        <v>0</v>
      </c>
      <c r="AL582" t="str" cm="1">
        <f t="array" ref="AL58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82">
        <v>2</v>
      </c>
    </row>
    <row r="583" spans="1:39" x14ac:dyDescent="0.25">
      <c r="A583">
        <v>30</v>
      </c>
      <c r="B583" t="s">
        <v>44</v>
      </c>
      <c r="C583" t="s">
        <v>37</v>
      </c>
      <c r="D583">
        <v>921</v>
      </c>
      <c r="E583" t="s">
        <v>46</v>
      </c>
      <c r="G583">
        <v>1</v>
      </c>
      <c r="H583">
        <v>3</v>
      </c>
      <c r="I583" t="s">
        <v>39</v>
      </c>
      <c r="J583" t="str">
        <f>WA_Fn_UseC__HR_Employee_Attrition[[#This Row],[EducationField]]&amp;"-"&amp;WA_Fn_UseC__HR_Employee_Attrition[[#This Row],[Department]]</f>
        <v>Life Sciences-Research &amp; Development</v>
      </c>
      <c r="K583">
        <v>1</v>
      </c>
      <c r="L583">
        <v>806</v>
      </c>
      <c r="M583">
        <v>4</v>
      </c>
      <c r="N583" t="s">
        <v>47</v>
      </c>
      <c r="O583">
        <v>38</v>
      </c>
      <c r="P583">
        <v>1</v>
      </c>
      <c r="Q583">
        <v>1</v>
      </c>
      <c r="R583" t="s">
        <v>51</v>
      </c>
      <c r="S583">
        <v>3</v>
      </c>
      <c r="T583" t="s">
        <v>49</v>
      </c>
      <c r="U583">
        <v>3833</v>
      </c>
      <c r="V583" t="str" cm="1">
        <f t="array" ref="V58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83">
        <v>24375</v>
      </c>
      <c r="X583">
        <v>3</v>
      </c>
      <c r="Y583" t="s">
        <v>43</v>
      </c>
      <c r="Z583" t="s">
        <v>44</v>
      </c>
      <c r="AA583">
        <v>21</v>
      </c>
      <c r="AB583">
        <v>4</v>
      </c>
      <c r="AC583">
        <v>3</v>
      </c>
      <c r="AD583">
        <v>80</v>
      </c>
      <c r="AE583">
        <v>2</v>
      </c>
      <c r="AF583">
        <v>7</v>
      </c>
      <c r="AG583">
        <v>2</v>
      </c>
      <c r="AH583">
        <v>3</v>
      </c>
      <c r="AI583">
        <v>2</v>
      </c>
      <c r="AJ583">
        <v>2</v>
      </c>
      <c r="AK583">
        <v>0</v>
      </c>
      <c r="AL583" t="str" cm="1">
        <f t="array" ref="AL58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83">
        <v>2</v>
      </c>
    </row>
    <row r="584" spans="1:39" x14ac:dyDescent="0.25">
      <c r="A584">
        <v>40</v>
      </c>
      <c r="B584" t="s">
        <v>44</v>
      </c>
      <c r="C584" t="s">
        <v>45</v>
      </c>
      <c r="D584">
        <v>791</v>
      </c>
      <c r="E584" t="s">
        <v>46</v>
      </c>
      <c r="G584">
        <v>2</v>
      </c>
      <c r="H584">
        <v>2</v>
      </c>
      <c r="I584" t="s">
        <v>52</v>
      </c>
      <c r="J584" t="str">
        <f>WA_Fn_UseC__HR_Employee_Attrition[[#This Row],[EducationField]]&amp;"-"&amp;WA_Fn_UseC__HR_Employee_Attrition[[#This Row],[Department]]</f>
        <v>Medical-Research &amp; Development</v>
      </c>
      <c r="K584">
        <v>1</v>
      </c>
      <c r="L584">
        <v>807</v>
      </c>
      <c r="M584">
        <v>3</v>
      </c>
      <c r="N584" t="s">
        <v>40</v>
      </c>
      <c r="O584">
        <v>38</v>
      </c>
      <c r="P584">
        <v>4</v>
      </c>
      <c r="Q584">
        <v>2</v>
      </c>
      <c r="R584" t="s">
        <v>55</v>
      </c>
      <c r="S584">
        <v>2</v>
      </c>
      <c r="T584" t="s">
        <v>49</v>
      </c>
      <c r="U584">
        <v>4244</v>
      </c>
      <c r="V584" t="str" cm="1">
        <f t="array" ref="V58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84">
        <v>9931</v>
      </c>
      <c r="X584">
        <v>1</v>
      </c>
      <c r="Y584" t="s">
        <v>43</v>
      </c>
      <c r="Z584" t="s">
        <v>44</v>
      </c>
      <c r="AA584">
        <v>24</v>
      </c>
      <c r="AB584">
        <v>4</v>
      </c>
      <c r="AC584">
        <v>4</v>
      </c>
      <c r="AD584">
        <v>80</v>
      </c>
      <c r="AE584">
        <v>1</v>
      </c>
      <c r="AF584">
        <v>8</v>
      </c>
      <c r="AG584">
        <v>2</v>
      </c>
      <c r="AH584">
        <v>3</v>
      </c>
      <c r="AI584">
        <v>8</v>
      </c>
      <c r="AJ584">
        <v>7</v>
      </c>
      <c r="AK584">
        <v>3</v>
      </c>
      <c r="AL584" t="str" cm="1">
        <f t="array" ref="AL58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84">
        <v>7</v>
      </c>
    </row>
    <row r="585" spans="1:39" x14ac:dyDescent="0.25">
      <c r="A585">
        <v>34</v>
      </c>
      <c r="B585" t="s">
        <v>44</v>
      </c>
      <c r="C585" t="s">
        <v>37</v>
      </c>
      <c r="D585">
        <v>1111</v>
      </c>
      <c r="E585" t="s">
        <v>38</v>
      </c>
      <c r="G585">
        <v>8</v>
      </c>
      <c r="H585">
        <v>2</v>
      </c>
      <c r="I585" t="s">
        <v>39</v>
      </c>
      <c r="J585" t="str">
        <f>WA_Fn_UseC__HR_Employee_Attrition[[#This Row],[EducationField]]&amp;"-"&amp;WA_Fn_UseC__HR_Employee_Attrition[[#This Row],[Department]]</f>
        <v>Life Sciences-Sales</v>
      </c>
      <c r="K585">
        <v>1</v>
      </c>
      <c r="L585">
        <v>808</v>
      </c>
      <c r="M585">
        <v>3</v>
      </c>
      <c r="N585" t="s">
        <v>40</v>
      </c>
      <c r="O585">
        <v>93</v>
      </c>
      <c r="P585">
        <v>3</v>
      </c>
      <c r="Q585">
        <v>2</v>
      </c>
      <c r="R585" t="s">
        <v>41</v>
      </c>
      <c r="S585">
        <v>1</v>
      </c>
      <c r="T585" t="s">
        <v>49</v>
      </c>
      <c r="U585">
        <v>6500</v>
      </c>
      <c r="V585" t="str" cm="1">
        <f t="array" ref="V58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85">
        <v>13305</v>
      </c>
      <c r="X585">
        <v>5</v>
      </c>
      <c r="Y585" t="s">
        <v>43</v>
      </c>
      <c r="Z585" t="s">
        <v>44</v>
      </c>
      <c r="AA585">
        <v>17</v>
      </c>
      <c r="AB585">
        <v>3</v>
      </c>
      <c r="AC585">
        <v>2</v>
      </c>
      <c r="AD585">
        <v>80</v>
      </c>
      <c r="AE585">
        <v>1</v>
      </c>
      <c r="AF585">
        <v>6</v>
      </c>
      <c r="AG585">
        <v>1</v>
      </c>
      <c r="AH585">
        <v>3</v>
      </c>
      <c r="AI585">
        <v>3</v>
      </c>
      <c r="AJ585">
        <v>2</v>
      </c>
      <c r="AK585">
        <v>1</v>
      </c>
      <c r="AL585" t="str" cm="1">
        <f t="array" ref="AL58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85">
        <v>2</v>
      </c>
    </row>
    <row r="586" spans="1:39" x14ac:dyDescent="0.25">
      <c r="A586">
        <v>42</v>
      </c>
      <c r="B586" t="s">
        <v>44</v>
      </c>
      <c r="C586" t="s">
        <v>45</v>
      </c>
      <c r="D586">
        <v>570</v>
      </c>
      <c r="E586" t="s">
        <v>46</v>
      </c>
      <c r="G586">
        <v>8</v>
      </c>
      <c r="H586">
        <v>3</v>
      </c>
      <c r="I586" t="s">
        <v>39</v>
      </c>
      <c r="J586" t="str">
        <f>WA_Fn_UseC__HR_Employee_Attrition[[#This Row],[EducationField]]&amp;"-"&amp;WA_Fn_UseC__HR_Employee_Attrition[[#This Row],[Department]]</f>
        <v>Life Sciences-Research &amp; Development</v>
      </c>
      <c r="K586">
        <v>1</v>
      </c>
      <c r="L586">
        <v>809</v>
      </c>
      <c r="M586">
        <v>2</v>
      </c>
      <c r="N586" t="s">
        <v>47</v>
      </c>
      <c r="O586">
        <v>66</v>
      </c>
      <c r="P586">
        <v>3</v>
      </c>
      <c r="Q586">
        <v>5</v>
      </c>
      <c r="R586" t="s">
        <v>57</v>
      </c>
      <c r="S586">
        <v>4</v>
      </c>
      <c r="T586" t="s">
        <v>53</v>
      </c>
      <c r="U586">
        <v>18430</v>
      </c>
      <c r="V586" t="str" cm="1">
        <f t="array" ref="V58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86">
        <v>16225</v>
      </c>
      <c r="X586">
        <v>1</v>
      </c>
      <c r="Y586" t="s">
        <v>43</v>
      </c>
      <c r="Z586" t="s">
        <v>44</v>
      </c>
      <c r="AA586">
        <v>13</v>
      </c>
      <c r="AB586">
        <v>3</v>
      </c>
      <c r="AC586">
        <v>2</v>
      </c>
      <c r="AD586">
        <v>80</v>
      </c>
      <c r="AE586">
        <v>1</v>
      </c>
      <c r="AF586">
        <v>24</v>
      </c>
      <c r="AG586">
        <v>4</v>
      </c>
      <c r="AH586">
        <v>2</v>
      </c>
      <c r="AI586">
        <v>24</v>
      </c>
      <c r="AJ586">
        <v>7</v>
      </c>
      <c r="AK586">
        <v>14</v>
      </c>
      <c r="AL586" t="str" cm="1">
        <f t="array" ref="AL58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86">
        <v>9</v>
      </c>
    </row>
    <row r="587" spans="1:39" x14ac:dyDescent="0.25">
      <c r="A587">
        <v>23</v>
      </c>
      <c r="B587" t="s">
        <v>36</v>
      </c>
      <c r="C587" t="s">
        <v>37</v>
      </c>
      <c r="D587">
        <v>1243</v>
      </c>
      <c r="E587" t="s">
        <v>46</v>
      </c>
      <c r="G587">
        <v>6</v>
      </c>
      <c r="H587">
        <v>3</v>
      </c>
      <c r="I587" t="s">
        <v>39</v>
      </c>
      <c r="J587" t="str">
        <f>WA_Fn_UseC__HR_Employee_Attrition[[#This Row],[EducationField]]&amp;"-"&amp;WA_Fn_UseC__HR_Employee_Attrition[[#This Row],[Department]]</f>
        <v>Life Sciences-Research &amp; Development</v>
      </c>
      <c r="K587">
        <v>1</v>
      </c>
      <c r="L587">
        <v>811</v>
      </c>
      <c r="M587">
        <v>3</v>
      </c>
      <c r="N587" t="s">
        <v>47</v>
      </c>
      <c r="O587">
        <v>63</v>
      </c>
      <c r="P587">
        <v>4</v>
      </c>
      <c r="Q587">
        <v>1</v>
      </c>
      <c r="R587" t="s">
        <v>51</v>
      </c>
      <c r="S587">
        <v>1</v>
      </c>
      <c r="T587" t="s">
        <v>49</v>
      </c>
      <c r="U587">
        <v>1601</v>
      </c>
      <c r="V587" t="str" cm="1">
        <f t="array" ref="V58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87">
        <v>3445</v>
      </c>
      <c r="X587">
        <v>1</v>
      </c>
      <c r="Y587" t="s">
        <v>43</v>
      </c>
      <c r="Z587" t="s">
        <v>36</v>
      </c>
      <c r="AA587">
        <v>21</v>
      </c>
      <c r="AB587">
        <v>4</v>
      </c>
      <c r="AC587">
        <v>3</v>
      </c>
      <c r="AD587">
        <v>80</v>
      </c>
      <c r="AE587">
        <v>2</v>
      </c>
      <c r="AF587">
        <v>1</v>
      </c>
      <c r="AG587">
        <v>2</v>
      </c>
      <c r="AH587">
        <v>3</v>
      </c>
      <c r="AI587">
        <v>0</v>
      </c>
      <c r="AJ587">
        <v>0</v>
      </c>
      <c r="AK587">
        <v>0</v>
      </c>
      <c r="AL587" t="str" cm="1">
        <f t="array" ref="AL58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87">
        <v>0</v>
      </c>
    </row>
    <row r="588" spans="1:39" x14ac:dyDescent="0.25">
      <c r="A588">
        <v>24</v>
      </c>
      <c r="B588" t="s">
        <v>44</v>
      </c>
      <c r="C588" t="s">
        <v>56</v>
      </c>
      <c r="D588">
        <v>1092</v>
      </c>
      <c r="E588" t="s">
        <v>46</v>
      </c>
      <c r="G588">
        <v>9</v>
      </c>
      <c r="H588">
        <v>3</v>
      </c>
      <c r="I588" t="s">
        <v>39</v>
      </c>
      <c r="J588" t="str">
        <f>WA_Fn_UseC__HR_Employee_Attrition[[#This Row],[EducationField]]&amp;"-"&amp;WA_Fn_UseC__HR_Employee_Attrition[[#This Row],[Department]]</f>
        <v>Life Sciences-Research &amp; Development</v>
      </c>
      <c r="K588">
        <v>1</v>
      </c>
      <c r="L588">
        <v>812</v>
      </c>
      <c r="M588">
        <v>3</v>
      </c>
      <c r="N588" t="s">
        <v>47</v>
      </c>
      <c r="O588">
        <v>60</v>
      </c>
      <c r="P588">
        <v>2</v>
      </c>
      <c r="Q588">
        <v>1</v>
      </c>
      <c r="R588" t="s">
        <v>51</v>
      </c>
      <c r="S588">
        <v>2</v>
      </c>
      <c r="T588" t="s">
        <v>53</v>
      </c>
      <c r="U588">
        <v>2694</v>
      </c>
      <c r="V588" t="str" cm="1">
        <f t="array" ref="V58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88">
        <v>26551</v>
      </c>
      <c r="X588">
        <v>1</v>
      </c>
      <c r="Y588" t="s">
        <v>43</v>
      </c>
      <c r="Z588" t="s">
        <v>44</v>
      </c>
      <c r="AA588">
        <v>11</v>
      </c>
      <c r="AB588">
        <v>3</v>
      </c>
      <c r="AC588">
        <v>3</v>
      </c>
      <c r="AD588">
        <v>80</v>
      </c>
      <c r="AE588">
        <v>3</v>
      </c>
      <c r="AF588">
        <v>1</v>
      </c>
      <c r="AG588">
        <v>4</v>
      </c>
      <c r="AH588">
        <v>3</v>
      </c>
      <c r="AI588">
        <v>1</v>
      </c>
      <c r="AJ588">
        <v>0</v>
      </c>
      <c r="AK588">
        <v>0</v>
      </c>
      <c r="AL588" t="str" cm="1">
        <f t="array" ref="AL58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88">
        <v>0</v>
      </c>
    </row>
    <row r="589" spans="1:39" x14ac:dyDescent="0.25">
      <c r="A589">
        <v>52</v>
      </c>
      <c r="B589" t="s">
        <v>44</v>
      </c>
      <c r="C589" t="s">
        <v>37</v>
      </c>
      <c r="D589">
        <v>1325</v>
      </c>
      <c r="E589" t="s">
        <v>46</v>
      </c>
      <c r="G589">
        <v>11</v>
      </c>
      <c r="H589">
        <v>4</v>
      </c>
      <c r="I589" t="s">
        <v>39</v>
      </c>
      <c r="J589" t="str">
        <f>WA_Fn_UseC__HR_Employee_Attrition[[#This Row],[EducationField]]&amp;"-"&amp;WA_Fn_UseC__HR_Employee_Attrition[[#This Row],[Department]]</f>
        <v>Life Sciences-Research &amp; Development</v>
      </c>
      <c r="K589">
        <v>1</v>
      </c>
      <c r="L589">
        <v>813</v>
      </c>
      <c r="M589">
        <v>4</v>
      </c>
      <c r="N589" t="s">
        <v>40</v>
      </c>
      <c r="O589">
        <v>82</v>
      </c>
      <c r="P589">
        <v>3</v>
      </c>
      <c r="Q589">
        <v>2</v>
      </c>
      <c r="R589" t="s">
        <v>51</v>
      </c>
      <c r="S589">
        <v>3</v>
      </c>
      <c r="T589" t="s">
        <v>49</v>
      </c>
      <c r="U589">
        <v>3149</v>
      </c>
      <c r="V589" t="str" cm="1">
        <f t="array" ref="V58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89">
        <v>21821</v>
      </c>
      <c r="X589">
        <v>8</v>
      </c>
      <c r="Y589" t="s">
        <v>43</v>
      </c>
      <c r="Z589" t="s">
        <v>44</v>
      </c>
      <c r="AA589">
        <v>20</v>
      </c>
      <c r="AB589">
        <v>4</v>
      </c>
      <c r="AC589">
        <v>2</v>
      </c>
      <c r="AD589">
        <v>80</v>
      </c>
      <c r="AE589">
        <v>1</v>
      </c>
      <c r="AF589">
        <v>9</v>
      </c>
      <c r="AG589">
        <v>3</v>
      </c>
      <c r="AH589">
        <v>3</v>
      </c>
      <c r="AI589">
        <v>5</v>
      </c>
      <c r="AJ589">
        <v>2</v>
      </c>
      <c r="AK589">
        <v>1</v>
      </c>
      <c r="AL589" t="str" cm="1">
        <f t="array" ref="AL58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89">
        <v>4</v>
      </c>
    </row>
    <row r="590" spans="1:39" x14ac:dyDescent="0.25">
      <c r="A590">
        <v>50</v>
      </c>
      <c r="B590" t="s">
        <v>44</v>
      </c>
      <c r="C590" t="s">
        <v>37</v>
      </c>
      <c r="D590">
        <v>691</v>
      </c>
      <c r="E590" t="s">
        <v>46</v>
      </c>
      <c r="G590">
        <v>2</v>
      </c>
      <c r="H590">
        <v>3</v>
      </c>
      <c r="I590" t="s">
        <v>52</v>
      </c>
      <c r="J590" t="str">
        <f>WA_Fn_UseC__HR_Employee_Attrition[[#This Row],[EducationField]]&amp;"-"&amp;WA_Fn_UseC__HR_Employee_Attrition[[#This Row],[Department]]</f>
        <v>Medical-Research &amp; Development</v>
      </c>
      <c r="K590">
        <v>1</v>
      </c>
      <c r="L590">
        <v>815</v>
      </c>
      <c r="M590">
        <v>3</v>
      </c>
      <c r="N590" t="s">
        <v>47</v>
      </c>
      <c r="O590">
        <v>64</v>
      </c>
      <c r="P590">
        <v>3</v>
      </c>
      <c r="Q590">
        <v>4</v>
      </c>
      <c r="R590" t="s">
        <v>59</v>
      </c>
      <c r="S590">
        <v>3</v>
      </c>
      <c r="T590" t="s">
        <v>49</v>
      </c>
      <c r="U590">
        <v>17639</v>
      </c>
      <c r="V590" t="str" cm="1">
        <f t="array" ref="V59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90">
        <v>6881</v>
      </c>
      <c r="X590">
        <v>5</v>
      </c>
      <c r="Y590" t="s">
        <v>43</v>
      </c>
      <c r="Z590" t="s">
        <v>44</v>
      </c>
      <c r="AA590">
        <v>16</v>
      </c>
      <c r="AB590">
        <v>3</v>
      </c>
      <c r="AC590">
        <v>4</v>
      </c>
      <c r="AD590">
        <v>80</v>
      </c>
      <c r="AE590">
        <v>0</v>
      </c>
      <c r="AF590">
        <v>30</v>
      </c>
      <c r="AG590">
        <v>3</v>
      </c>
      <c r="AH590">
        <v>3</v>
      </c>
      <c r="AI590">
        <v>4</v>
      </c>
      <c r="AJ590">
        <v>3</v>
      </c>
      <c r="AK590">
        <v>0</v>
      </c>
      <c r="AL590" t="str" cm="1">
        <f t="array" ref="AL59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90">
        <v>3</v>
      </c>
    </row>
    <row r="591" spans="1:39" x14ac:dyDescent="0.25">
      <c r="A591">
        <v>29</v>
      </c>
      <c r="B591" t="s">
        <v>36</v>
      </c>
      <c r="C591" t="s">
        <v>37</v>
      </c>
      <c r="D591">
        <v>805</v>
      </c>
      <c r="E591" t="s">
        <v>46</v>
      </c>
      <c r="G591">
        <v>1</v>
      </c>
      <c r="H591">
        <v>2</v>
      </c>
      <c r="I591" t="s">
        <v>39</v>
      </c>
      <c r="J591" t="str">
        <f>WA_Fn_UseC__HR_Employee_Attrition[[#This Row],[EducationField]]&amp;"-"&amp;WA_Fn_UseC__HR_Employee_Attrition[[#This Row],[Department]]</f>
        <v>Life Sciences-Research &amp; Development</v>
      </c>
      <c r="K591">
        <v>1</v>
      </c>
      <c r="L591">
        <v>816</v>
      </c>
      <c r="M591">
        <v>2</v>
      </c>
      <c r="N591" t="s">
        <v>40</v>
      </c>
      <c r="O591">
        <v>36</v>
      </c>
      <c r="P591">
        <v>2</v>
      </c>
      <c r="Q591">
        <v>1</v>
      </c>
      <c r="R591" t="s">
        <v>51</v>
      </c>
      <c r="S591">
        <v>1</v>
      </c>
      <c r="T591" t="s">
        <v>49</v>
      </c>
      <c r="U591">
        <v>2319</v>
      </c>
      <c r="V591" t="str" cm="1">
        <f t="array" ref="V59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91">
        <v>6689</v>
      </c>
      <c r="X591">
        <v>1</v>
      </c>
      <c r="Y591" t="s">
        <v>43</v>
      </c>
      <c r="Z591" t="s">
        <v>36</v>
      </c>
      <c r="AA591">
        <v>11</v>
      </c>
      <c r="AB591">
        <v>3</v>
      </c>
      <c r="AC591">
        <v>4</v>
      </c>
      <c r="AD591">
        <v>80</v>
      </c>
      <c r="AE591">
        <v>1</v>
      </c>
      <c r="AF591">
        <v>1</v>
      </c>
      <c r="AG591">
        <v>1</v>
      </c>
      <c r="AH591">
        <v>3</v>
      </c>
      <c r="AI591">
        <v>1</v>
      </c>
      <c r="AJ591">
        <v>0</v>
      </c>
      <c r="AK591">
        <v>0</v>
      </c>
      <c r="AL591" t="str" cm="1">
        <f t="array" ref="AL59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91">
        <v>0</v>
      </c>
    </row>
    <row r="592" spans="1:39" x14ac:dyDescent="0.25">
      <c r="A592">
        <v>33</v>
      </c>
      <c r="B592" t="s">
        <v>44</v>
      </c>
      <c r="C592" t="s">
        <v>37</v>
      </c>
      <c r="D592">
        <v>213</v>
      </c>
      <c r="E592" t="s">
        <v>46</v>
      </c>
      <c r="G592">
        <v>7</v>
      </c>
      <c r="H592">
        <v>3</v>
      </c>
      <c r="I592" t="s">
        <v>52</v>
      </c>
      <c r="J592" t="str">
        <f>WA_Fn_UseC__HR_Employee_Attrition[[#This Row],[EducationField]]&amp;"-"&amp;WA_Fn_UseC__HR_Employee_Attrition[[#This Row],[Department]]</f>
        <v>Medical-Research &amp; Development</v>
      </c>
      <c r="K592">
        <v>1</v>
      </c>
      <c r="L592">
        <v>817</v>
      </c>
      <c r="M592">
        <v>3</v>
      </c>
      <c r="N592" t="s">
        <v>47</v>
      </c>
      <c r="O592">
        <v>49</v>
      </c>
      <c r="P592">
        <v>3</v>
      </c>
      <c r="Q592">
        <v>3</v>
      </c>
      <c r="R592" t="s">
        <v>59</v>
      </c>
      <c r="S592">
        <v>3</v>
      </c>
      <c r="T592" t="s">
        <v>49</v>
      </c>
      <c r="U592">
        <v>11691</v>
      </c>
      <c r="V592" t="str" cm="1">
        <f t="array" ref="V59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92">
        <v>25995</v>
      </c>
      <c r="X592">
        <v>0</v>
      </c>
      <c r="Y592" t="s">
        <v>43</v>
      </c>
      <c r="Z592" t="s">
        <v>44</v>
      </c>
      <c r="AA592">
        <v>11</v>
      </c>
      <c r="AB592">
        <v>3</v>
      </c>
      <c r="AC592">
        <v>4</v>
      </c>
      <c r="AD592">
        <v>80</v>
      </c>
      <c r="AE592">
        <v>0</v>
      </c>
      <c r="AF592">
        <v>14</v>
      </c>
      <c r="AG592">
        <v>3</v>
      </c>
      <c r="AH592">
        <v>4</v>
      </c>
      <c r="AI592">
        <v>13</v>
      </c>
      <c r="AJ592">
        <v>9</v>
      </c>
      <c r="AK592">
        <v>3</v>
      </c>
      <c r="AL592" t="str" cm="1">
        <f t="array" ref="AL59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92">
        <v>7</v>
      </c>
    </row>
    <row r="593" spans="1:39" x14ac:dyDescent="0.25">
      <c r="A593">
        <v>33</v>
      </c>
      <c r="B593" t="s">
        <v>36</v>
      </c>
      <c r="C593" t="s">
        <v>37</v>
      </c>
      <c r="D593">
        <v>118</v>
      </c>
      <c r="E593" t="s">
        <v>38</v>
      </c>
      <c r="G593">
        <v>16</v>
      </c>
      <c r="H593">
        <v>3</v>
      </c>
      <c r="I593" t="s">
        <v>60</v>
      </c>
      <c r="J593" t="str">
        <f>WA_Fn_UseC__HR_Employee_Attrition[[#This Row],[EducationField]]&amp;"-"&amp;WA_Fn_UseC__HR_Employee_Attrition[[#This Row],[Department]]</f>
        <v>Marketing-Sales</v>
      </c>
      <c r="K593">
        <v>1</v>
      </c>
      <c r="L593">
        <v>819</v>
      </c>
      <c r="M593">
        <v>1</v>
      </c>
      <c r="N593" t="s">
        <v>40</v>
      </c>
      <c r="O593">
        <v>69</v>
      </c>
      <c r="P593">
        <v>3</v>
      </c>
      <c r="Q593">
        <v>2</v>
      </c>
      <c r="R593" t="s">
        <v>41</v>
      </c>
      <c r="S593">
        <v>1</v>
      </c>
      <c r="T593" t="s">
        <v>42</v>
      </c>
      <c r="U593">
        <v>5324</v>
      </c>
      <c r="V593" t="str" cm="1">
        <f t="array" ref="V59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93">
        <v>26507</v>
      </c>
      <c r="X593">
        <v>5</v>
      </c>
      <c r="Y593" t="s">
        <v>43</v>
      </c>
      <c r="Z593" t="s">
        <v>44</v>
      </c>
      <c r="AA593">
        <v>15</v>
      </c>
      <c r="AB593">
        <v>3</v>
      </c>
      <c r="AC593">
        <v>3</v>
      </c>
      <c r="AD593">
        <v>80</v>
      </c>
      <c r="AE593">
        <v>0</v>
      </c>
      <c r="AF593">
        <v>6</v>
      </c>
      <c r="AG593">
        <v>3</v>
      </c>
      <c r="AH593">
        <v>3</v>
      </c>
      <c r="AI593">
        <v>3</v>
      </c>
      <c r="AJ593">
        <v>2</v>
      </c>
      <c r="AK593">
        <v>0</v>
      </c>
      <c r="AL593" t="str" cm="1">
        <f t="array" ref="AL59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93">
        <v>2</v>
      </c>
    </row>
    <row r="594" spans="1:39" x14ac:dyDescent="0.25">
      <c r="A594">
        <v>47</v>
      </c>
      <c r="B594" t="s">
        <v>44</v>
      </c>
      <c r="C594" t="s">
        <v>37</v>
      </c>
      <c r="D594">
        <v>202</v>
      </c>
      <c r="E594" t="s">
        <v>46</v>
      </c>
      <c r="G594">
        <v>2</v>
      </c>
      <c r="H594">
        <v>2</v>
      </c>
      <c r="I594" t="s">
        <v>50</v>
      </c>
      <c r="J594" t="str">
        <f>WA_Fn_UseC__HR_Employee_Attrition[[#This Row],[EducationField]]&amp;"-"&amp;WA_Fn_UseC__HR_Employee_Attrition[[#This Row],[Department]]</f>
        <v>Other-Research &amp; Development</v>
      </c>
      <c r="K594">
        <v>1</v>
      </c>
      <c r="L594">
        <v>820</v>
      </c>
      <c r="M594">
        <v>3</v>
      </c>
      <c r="N594" t="s">
        <v>40</v>
      </c>
      <c r="O594">
        <v>33</v>
      </c>
      <c r="P594">
        <v>3</v>
      </c>
      <c r="Q594">
        <v>4</v>
      </c>
      <c r="R594" t="s">
        <v>57</v>
      </c>
      <c r="S594">
        <v>4</v>
      </c>
      <c r="T594" t="s">
        <v>49</v>
      </c>
      <c r="U594">
        <v>16752</v>
      </c>
      <c r="V594" t="str" cm="1">
        <f t="array" ref="V59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94">
        <v>12982</v>
      </c>
      <c r="X594">
        <v>1</v>
      </c>
      <c r="Y594" t="s">
        <v>43</v>
      </c>
      <c r="Z594" t="s">
        <v>36</v>
      </c>
      <c r="AA594">
        <v>11</v>
      </c>
      <c r="AB594">
        <v>3</v>
      </c>
      <c r="AC594">
        <v>3</v>
      </c>
      <c r="AD594">
        <v>80</v>
      </c>
      <c r="AE594">
        <v>1</v>
      </c>
      <c r="AF594">
        <v>26</v>
      </c>
      <c r="AG594">
        <v>3</v>
      </c>
      <c r="AH594">
        <v>2</v>
      </c>
      <c r="AI594">
        <v>26</v>
      </c>
      <c r="AJ594">
        <v>14</v>
      </c>
      <c r="AK594">
        <v>3</v>
      </c>
      <c r="AL594" t="str" cm="1">
        <f t="array" ref="AL59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94">
        <v>0</v>
      </c>
    </row>
    <row r="595" spans="1:39" x14ac:dyDescent="0.25">
      <c r="A595">
        <v>36</v>
      </c>
      <c r="B595" t="s">
        <v>44</v>
      </c>
      <c r="C595" t="s">
        <v>37</v>
      </c>
      <c r="D595">
        <v>676</v>
      </c>
      <c r="E595" t="s">
        <v>46</v>
      </c>
      <c r="G595">
        <v>1</v>
      </c>
      <c r="H595">
        <v>3</v>
      </c>
      <c r="I595" t="s">
        <v>50</v>
      </c>
      <c r="J595" t="str">
        <f>WA_Fn_UseC__HR_Employee_Attrition[[#This Row],[EducationField]]&amp;"-"&amp;WA_Fn_UseC__HR_Employee_Attrition[[#This Row],[Department]]</f>
        <v>Other-Research &amp; Development</v>
      </c>
      <c r="K595">
        <v>1</v>
      </c>
      <c r="L595">
        <v>823</v>
      </c>
      <c r="M595">
        <v>3</v>
      </c>
      <c r="N595" t="s">
        <v>40</v>
      </c>
      <c r="O595">
        <v>35</v>
      </c>
      <c r="P595">
        <v>3</v>
      </c>
      <c r="Q595">
        <v>2</v>
      </c>
      <c r="R595" t="s">
        <v>54</v>
      </c>
      <c r="S595">
        <v>2</v>
      </c>
      <c r="T595" t="s">
        <v>49</v>
      </c>
      <c r="U595">
        <v>5228</v>
      </c>
      <c r="V595" t="str" cm="1">
        <f t="array" ref="V59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595">
        <v>23361</v>
      </c>
      <c r="X595">
        <v>0</v>
      </c>
      <c r="Y595" t="s">
        <v>43</v>
      </c>
      <c r="Z595" t="s">
        <v>44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10</v>
      </c>
      <c r="AG595">
        <v>2</v>
      </c>
      <c r="AH595">
        <v>3</v>
      </c>
      <c r="AI595">
        <v>9</v>
      </c>
      <c r="AJ595">
        <v>7</v>
      </c>
      <c r="AK595">
        <v>0</v>
      </c>
      <c r="AL595" t="str" cm="1">
        <f t="array" ref="AL59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595">
        <v>5</v>
      </c>
    </row>
    <row r="596" spans="1:39" x14ac:dyDescent="0.25">
      <c r="A596">
        <v>29</v>
      </c>
      <c r="B596" t="s">
        <v>44</v>
      </c>
      <c r="C596" t="s">
        <v>37</v>
      </c>
      <c r="D596">
        <v>1252</v>
      </c>
      <c r="E596" t="s">
        <v>46</v>
      </c>
      <c r="G596">
        <v>23</v>
      </c>
      <c r="H596">
        <v>2</v>
      </c>
      <c r="I596" t="s">
        <v>39</v>
      </c>
      <c r="J596" t="str">
        <f>WA_Fn_UseC__HR_Employee_Attrition[[#This Row],[EducationField]]&amp;"-"&amp;WA_Fn_UseC__HR_Employee_Attrition[[#This Row],[Department]]</f>
        <v>Life Sciences-Research &amp; Development</v>
      </c>
      <c r="K596">
        <v>1</v>
      </c>
      <c r="L596">
        <v>824</v>
      </c>
      <c r="M596">
        <v>3</v>
      </c>
      <c r="N596" t="s">
        <v>47</v>
      </c>
      <c r="O596">
        <v>81</v>
      </c>
      <c r="P596">
        <v>4</v>
      </c>
      <c r="Q596">
        <v>1</v>
      </c>
      <c r="R596" t="s">
        <v>48</v>
      </c>
      <c r="S596">
        <v>3</v>
      </c>
      <c r="T596" t="s">
        <v>49</v>
      </c>
      <c r="U596">
        <v>2700</v>
      </c>
      <c r="V596" t="str" cm="1">
        <f t="array" ref="V59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96">
        <v>23779</v>
      </c>
      <c r="X596">
        <v>1</v>
      </c>
      <c r="Y596" t="s">
        <v>43</v>
      </c>
      <c r="Z596" t="s">
        <v>44</v>
      </c>
      <c r="AA596">
        <v>24</v>
      </c>
      <c r="AB596">
        <v>4</v>
      </c>
      <c r="AC596">
        <v>3</v>
      </c>
      <c r="AD596">
        <v>80</v>
      </c>
      <c r="AE596">
        <v>1</v>
      </c>
      <c r="AF596">
        <v>10</v>
      </c>
      <c r="AG596">
        <v>3</v>
      </c>
      <c r="AH596">
        <v>3</v>
      </c>
      <c r="AI596">
        <v>10</v>
      </c>
      <c r="AJ596">
        <v>7</v>
      </c>
      <c r="AK596">
        <v>0</v>
      </c>
      <c r="AL596" t="str" cm="1">
        <f t="array" ref="AL59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96">
        <v>7</v>
      </c>
    </row>
    <row r="597" spans="1:39" x14ac:dyDescent="0.25">
      <c r="A597">
        <v>58</v>
      </c>
      <c r="B597" t="s">
        <v>36</v>
      </c>
      <c r="C597" t="s">
        <v>37</v>
      </c>
      <c r="D597">
        <v>286</v>
      </c>
      <c r="E597" t="s">
        <v>46</v>
      </c>
      <c r="G597">
        <v>2</v>
      </c>
      <c r="H597">
        <v>4</v>
      </c>
      <c r="I597" t="s">
        <v>39</v>
      </c>
      <c r="J597" t="str">
        <f>WA_Fn_UseC__HR_Employee_Attrition[[#This Row],[EducationField]]&amp;"-"&amp;WA_Fn_UseC__HR_Employee_Attrition[[#This Row],[Department]]</f>
        <v>Life Sciences-Research &amp; Development</v>
      </c>
      <c r="K597">
        <v>1</v>
      </c>
      <c r="L597">
        <v>825</v>
      </c>
      <c r="M597">
        <v>4</v>
      </c>
      <c r="N597" t="s">
        <v>47</v>
      </c>
      <c r="O597">
        <v>31</v>
      </c>
      <c r="P597">
        <v>3</v>
      </c>
      <c r="Q597">
        <v>5</v>
      </c>
      <c r="R597" t="s">
        <v>59</v>
      </c>
      <c r="S597">
        <v>2</v>
      </c>
      <c r="T597" t="s">
        <v>42</v>
      </c>
      <c r="U597">
        <v>19246</v>
      </c>
      <c r="V597" t="str" cm="1">
        <f t="array" ref="V59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97">
        <v>25761</v>
      </c>
      <c r="X597">
        <v>7</v>
      </c>
      <c r="Y597" t="s">
        <v>43</v>
      </c>
      <c r="Z597" t="s">
        <v>36</v>
      </c>
      <c r="AA597">
        <v>12</v>
      </c>
      <c r="AB597">
        <v>3</v>
      </c>
      <c r="AC597">
        <v>4</v>
      </c>
      <c r="AD597">
        <v>80</v>
      </c>
      <c r="AE597">
        <v>0</v>
      </c>
      <c r="AF597">
        <v>40</v>
      </c>
      <c r="AG597">
        <v>2</v>
      </c>
      <c r="AH597">
        <v>3</v>
      </c>
      <c r="AI597">
        <v>31</v>
      </c>
      <c r="AJ597">
        <v>15</v>
      </c>
      <c r="AK597">
        <v>13</v>
      </c>
      <c r="AL597" t="str" cm="1">
        <f t="array" ref="AL59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97">
        <v>8</v>
      </c>
    </row>
    <row r="598" spans="1:39" x14ac:dyDescent="0.25">
      <c r="A598">
        <v>35</v>
      </c>
      <c r="B598" t="s">
        <v>44</v>
      </c>
      <c r="C598" t="s">
        <v>37</v>
      </c>
      <c r="D598">
        <v>1258</v>
      </c>
      <c r="E598" t="s">
        <v>46</v>
      </c>
      <c r="G598">
        <v>1</v>
      </c>
      <c r="H598">
        <v>4</v>
      </c>
      <c r="I598" t="s">
        <v>39</v>
      </c>
      <c r="J598" t="str">
        <f>WA_Fn_UseC__HR_Employee_Attrition[[#This Row],[EducationField]]&amp;"-"&amp;WA_Fn_UseC__HR_Employee_Attrition[[#This Row],[Department]]</f>
        <v>Life Sciences-Research &amp; Development</v>
      </c>
      <c r="K598">
        <v>1</v>
      </c>
      <c r="L598">
        <v>826</v>
      </c>
      <c r="M598">
        <v>4</v>
      </c>
      <c r="N598" t="s">
        <v>40</v>
      </c>
      <c r="O598">
        <v>40</v>
      </c>
      <c r="P598">
        <v>4</v>
      </c>
      <c r="Q598">
        <v>1</v>
      </c>
      <c r="R598" t="s">
        <v>48</v>
      </c>
      <c r="S598">
        <v>3</v>
      </c>
      <c r="T598" t="s">
        <v>42</v>
      </c>
      <c r="U598">
        <v>2506</v>
      </c>
      <c r="V598" t="str" cm="1">
        <f t="array" ref="V59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598">
        <v>13301</v>
      </c>
      <c r="X598">
        <v>3</v>
      </c>
      <c r="Y598" t="s">
        <v>43</v>
      </c>
      <c r="Z598" t="s">
        <v>44</v>
      </c>
      <c r="AA598">
        <v>13</v>
      </c>
      <c r="AB598">
        <v>3</v>
      </c>
      <c r="AC598">
        <v>3</v>
      </c>
      <c r="AD598">
        <v>80</v>
      </c>
      <c r="AE598">
        <v>0</v>
      </c>
      <c r="AF598">
        <v>7</v>
      </c>
      <c r="AG598">
        <v>0</v>
      </c>
      <c r="AH598">
        <v>3</v>
      </c>
      <c r="AI598">
        <v>2</v>
      </c>
      <c r="AJ598">
        <v>2</v>
      </c>
      <c r="AK598">
        <v>2</v>
      </c>
      <c r="AL598" t="str" cm="1">
        <f t="array" ref="AL59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598">
        <v>2</v>
      </c>
    </row>
    <row r="599" spans="1:39" x14ac:dyDescent="0.25">
      <c r="A599">
        <v>42</v>
      </c>
      <c r="B599" t="s">
        <v>44</v>
      </c>
      <c r="C599" t="s">
        <v>37</v>
      </c>
      <c r="D599">
        <v>932</v>
      </c>
      <c r="E599" t="s">
        <v>46</v>
      </c>
      <c r="G599">
        <v>1</v>
      </c>
      <c r="H599">
        <v>2</v>
      </c>
      <c r="I599" t="s">
        <v>39</v>
      </c>
      <c r="J599" t="str">
        <f>WA_Fn_UseC__HR_Employee_Attrition[[#This Row],[EducationField]]&amp;"-"&amp;WA_Fn_UseC__HR_Employee_Attrition[[#This Row],[Department]]</f>
        <v>Life Sciences-Research &amp; Development</v>
      </c>
      <c r="K599">
        <v>1</v>
      </c>
      <c r="L599">
        <v>827</v>
      </c>
      <c r="M599">
        <v>4</v>
      </c>
      <c r="N599" t="s">
        <v>40</v>
      </c>
      <c r="O599">
        <v>43</v>
      </c>
      <c r="P599">
        <v>2</v>
      </c>
      <c r="Q599">
        <v>2</v>
      </c>
      <c r="R599" t="s">
        <v>54</v>
      </c>
      <c r="S599">
        <v>4</v>
      </c>
      <c r="T599" t="s">
        <v>49</v>
      </c>
      <c r="U599">
        <v>6062</v>
      </c>
      <c r="V599" t="str" cm="1">
        <f t="array" ref="V59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599">
        <v>4051</v>
      </c>
      <c r="X599">
        <v>9</v>
      </c>
      <c r="Y599" t="s">
        <v>43</v>
      </c>
      <c r="Z599" t="s">
        <v>36</v>
      </c>
      <c r="AA599">
        <v>13</v>
      </c>
      <c r="AB599">
        <v>3</v>
      </c>
      <c r="AC599">
        <v>4</v>
      </c>
      <c r="AD599">
        <v>80</v>
      </c>
      <c r="AE599">
        <v>1</v>
      </c>
      <c r="AF599">
        <v>8</v>
      </c>
      <c r="AG599">
        <v>4</v>
      </c>
      <c r="AH599">
        <v>3</v>
      </c>
      <c r="AI599">
        <v>4</v>
      </c>
      <c r="AJ599">
        <v>3</v>
      </c>
      <c r="AK599">
        <v>0</v>
      </c>
      <c r="AL599" t="str" cm="1">
        <f t="array" ref="AL59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599">
        <v>2</v>
      </c>
    </row>
    <row r="600" spans="1:39" x14ac:dyDescent="0.25">
      <c r="A600">
        <v>28</v>
      </c>
      <c r="B600" t="s">
        <v>36</v>
      </c>
      <c r="C600" t="s">
        <v>37</v>
      </c>
      <c r="D600">
        <v>890</v>
      </c>
      <c r="E600" t="s">
        <v>46</v>
      </c>
      <c r="G600">
        <v>2</v>
      </c>
      <c r="H600">
        <v>4</v>
      </c>
      <c r="I600" t="s">
        <v>52</v>
      </c>
      <c r="J600" t="str">
        <f>WA_Fn_UseC__HR_Employee_Attrition[[#This Row],[EducationField]]&amp;"-"&amp;WA_Fn_UseC__HR_Employee_Attrition[[#This Row],[Department]]</f>
        <v>Medical-Research &amp; Development</v>
      </c>
      <c r="K600">
        <v>1</v>
      </c>
      <c r="L600">
        <v>828</v>
      </c>
      <c r="M600">
        <v>3</v>
      </c>
      <c r="N600" t="s">
        <v>47</v>
      </c>
      <c r="O600">
        <v>46</v>
      </c>
      <c r="P600">
        <v>3</v>
      </c>
      <c r="Q600">
        <v>1</v>
      </c>
      <c r="R600" t="s">
        <v>48</v>
      </c>
      <c r="S600">
        <v>3</v>
      </c>
      <c r="T600" t="s">
        <v>42</v>
      </c>
      <c r="U600">
        <v>4382</v>
      </c>
      <c r="V600" t="str" cm="1">
        <f t="array" ref="V60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00">
        <v>16374</v>
      </c>
      <c r="X600">
        <v>6</v>
      </c>
      <c r="Y600" t="s">
        <v>43</v>
      </c>
      <c r="Z600" t="s">
        <v>44</v>
      </c>
      <c r="AA600">
        <v>17</v>
      </c>
      <c r="AB600">
        <v>3</v>
      </c>
      <c r="AC600">
        <v>4</v>
      </c>
      <c r="AD600">
        <v>80</v>
      </c>
      <c r="AE600">
        <v>0</v>
      </c>
      <c r="AF600">
        <v>5</v>
      </c>
      <c r="AG600">
        <v>3</v>
      </c>
      <c r="AH600">
        <v>2</v>
      </c>
      <c r="AI600">
        <v>2</v>
      </c>
      <c r="AJ600">
        <v>2</v>
      </c>
      <c r="AK600">
        <v>2</v>
      </c>
      <c r="AL600" t="str" cm="1">
        <f t="array" ref="AL60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00">
        <v>1</v>
      </c>
    </row>
    <row r="601" spans="1:39" x14ac:dyDescent="0.25">
      <c r="A601">
        <v>36</v>
      </c>
      <c r="B601" t="s">
        <v>44</v>
      </c>
      <c r="C601" t="s">
        <v>37</v>
      </c>
      <c r="D601">
        <v>1041</v>
      </c>
      <c r="E601" t="s">
        <v>62</v>
      </c>
      <c r="G601">
        <v>13</v>
      </c>
      <c r="H601">
        <v>3</v>
      </c>
      <c r="I601" t="s">
        <v>62</v>
      </c>
      <c r="J601" t="str">
        <f>WA_Fn_UseC__HR_Employee_Attrition[[#This Row],[EducationField]]&amp;"-"&amp;WA_Fn_UseC__HR_Employee_Attrition[[#This Row],[Department]]</f>
        <v>Human Resources-Human Resources</v>
      </c>
      <c r="K601">
        <v>1</v>
      </c>
      <c r="L601">
        <v>829</v>
      </c>
      <c r="M601">
        <v>3</v>
      </c>
      <c r="N601" t="s">
        <v>47</v>
      </c>
      <c r="O601">
        <v>36</v>
      </c>
      <c r="P601">
        <v>3</v>
      </c>
      <c r="Q601">
        <v>1</v>
      </c>
      <c r="R601" t="s">
        <v>62</v>
      </c>
      <c r="S601">
        <v>2</v>
      </c>
      <c r="T601" t="s">
        <v>49</v>
      </c>
      <c r="U601">
        <v>2143</v>
      </c>
      <c r="V601" t="str" cm="1">
        <f t="array" ref="V60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01">
        <v>25527</v>
      </c>
      <c r="X601">
        <v>4</v>
      </c>
      <c r="Y601" t="s">
        <v>43</v>
      </c>
      <c r="Z601" t="s">
        <v>44</v>
      </c>
      <c r="AA601">
        <v>13</v>
      </c>
      <c r="AB601">
        <v>3</v>
      </c>
      <c r="AC601">
        <v>2</v>
      </c>
      <c r="AD601">
        <v>80</v>
      </c>
      <c r="AE601">
        <v>1</v>
      </c>
      <c r="AF601">
        <v>8</v>
      </c>
      <c r="AG601">
        <v>2</v>
      </c>
      <c r="AH601">
        <v>3</v>
      </c>
      <c r="AI601">
        <v>5</v>
      </c>
      <c r="AJ601">
        <v>2</v>
      </c>
      <c r="AK601">
        <v>0</v>
      </c>
      <c r="AL601" t="str" cm="1">
        <f t="array" ref="AL60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01">
        <v>4</v>
      </c>
    </row>
    <row r="602" spans="1:39" x14ac:dyDescent="0.25">
      <c r="A602">
        <v>32</v>
      </c>
      <c r="B602" t="s">
        <v>44</v>
      </c>
      <c r="C602" t="s">
        <v>37</v>
      </c>
      <c r="D602">
        <v>859</v>
      </c>
      <c r="E602" t="s">
        <v>46</v>
      </c>
      <c r="G602">
        <v>4</v>
      </c>
      <c r="H602">
        <v>3</v>
      </c>
      <c r="I602" t="s">
        <v>39</v>
      </c>
      <c r="J602" t="str">
        <f>WA_Fn_UseC__HR_Employee_Attrition[[#This Row],[EducationField]]&amp;"-"&amp;WA_Fn_UseC__HR_Employee_Attrition[[#This Row],[Department]]</f>
        <v>Life Sciences-Research &amp; Development</v>
      </c>
      <c r="K602">
        <v>1</v>
      </c>
      <c r="L602">
        <v>830</v>
      </c>
      <c r="M602">
        <v>3</v>
      </c>
      <c r="N602" t="s">
        <v>40</v>
      </c>
      <c r="O602">
        <v>98</v>
      </c>
      <c r="P602">
        <v>2</v>
      </c>
      <c r="Q602">
        <v>2</v>
      </c>
      <c r="R602" t="s">
        <v>54</v>
      </c>
      <c r="S602">
        <v>3</v>
      </c>
      <c r="T602" t="s">
        <v>49</v>
      </c>
      <c r="U602">
        <v>6162</v>
      </c>
      <c r="V602" t="str" cm="1">
        <f t="array" ref="V60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02">
        <v>19124</v>
      </c>
      <c r="X602">
        <v>1</v>
      </c>
      <c r="Y602" t="s">
        <v>43</v>
      </c>
      <c r="Z602" t="s">
        <v>44</v>
      </c>
      <c r="AA602">
        <v>12</v>
      </c>
      <c r="AB602">
        <v>3</v>
      </c>
      <c r="AC602">
        <v>3</v>
      </c>
      <c r="AD602">
        <v>80</v>
      </c>
      <c r="AE602">
        <v>1</v>
      </c>
      <c r="AF602">
        <v>14</v>
      </c>
      <c r="AG602">
        <v>3</v>
      </c>
      <c r="AH602">
        <v>3</v>
      </c>
      <c r="AI602">
        <v>14</v>
      </c>
      <c r="AJ602">
        <v>13</v>
      </c>
      <c r="AK602">
        <v>6</v>
      </c>
      <c r="AL602" t="str" cm="1">
        <f t="array" ref="AL60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02">
        <v>8</v>
      </c>
    </row>
    <row r="603" spans="1:39" x14ac:dyDescent="0.25">
      <c r="A603">
        <v>40</v>
      </c>
      <c r="B603" t="s">
        <v>44</v>
      </c>
      <c r="C603" t="s">
        <v>45</v>
      </c>
      <c r="D603">
        <v>720</v>
      </c>
      <c r="E603" t="s">
        <v>46</v>
      </c>
      <c r="G603">
        <v>16</v>
      </c>
      <c r="H603">
        <v>4</v>
      </c>
      <c r="I603" t="s">
        <v>52</v>
      </c>
      <c r="J603" t="str">
        <f>WA_Fn_UseC__HR_Employee_Attrition[[#This Row],[EducationField]]&amp;"-"&amp;WA_Fn_UseC__HR_Employee_Attrition[[#This Row],[Department]]</f>
        <v>Medical-Research &amp; Development</v>
      </c>
      <c r="K603">
        <v>1</v>
      </c>
      <c r="L603">
        <v>832</v>
      </c>
      <c r="M603">
        <v>1</v>
      </c>
      <c r="N603" t="s">
        <v>47</v>
      </c>
      <c r="O603">
        <v>51</v>
      </c>
      <c r="P603">
        <v>2</v>
      </c>
      <c r="Q603">
        <v>2</v>
      </c>
      <c r="R603" t="s">
        <v>51</v>
      </c>
      <c r="S603">
        <v>3</v>
      </c>
      <c r="T603" t="s">
        <v>42</v>
      </c>
      <c r="U603">
        <v>5094</v>
      </c>
      <c r="V603" t="str" cm="1">
        <f t="array" ref="V60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03">
        <v>11983</v>
      </c>
      <c r="X603">
        <v>6</v>
      </c>
      <c r="Y603" t="s">
        <v>43</v>
      </c>
      <c r="Z603" t="s">
        <v>44</v>
      </c>
      <c r="AA603">
        <v>14</v>
      </c>
      <c r="AB603">
        <v>3</v>
      </c>
      <c r="AC603">
        <v>4</v>
      </c>
      <c r="AD603">
        <v>80</v>
      </c>
      <c r="AE603">
        <v>0</v>
      </c>
      <c r="AF603">
        <v>10</v>
      </c>
      <c r="AG603">
        <v>6</v>
      </c>
      <c r="AH603">
        <v>3</v>
      </c>
      <c r="AI603">
        <v>1</v>
      </c>
      <c r="AJ603">
        <v>0</v>
      </c>
      <c r="AK603">
        <v>0</v>
      </c>
      <c r="AL603" t="str" cm="1">
        <f t="array" ref="AL60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03">
        <v>0</v>
      </c>
    </row>
    <row r="604" spans="1:39" x14ac:dyDescent="0.25">
      <c r="A604">
        <v>30</v>
      </c>
      <c r="B604" t="s">
        <v>44</v>
      </c>
      <c r="C604" t="s">
        <v>37</v>
      </c>
      <c r="D604">
        <v>946</v>
      </c>
      <c r="E604" t="s">
        <v>46</v>
      </c>
      <c r="G604">
        <v>2</v>
      </c>
      <c r="H604">
        <v>3</v>
      </c>
      <c r="I604" t="s">
        <v>52</v>
      </c>
      <c r="J604" t="str">
        <f>WA_Fn_UseC__HR_Employee_Attrition[[#This Row],[EducationField]]&amp;"-"&amp;WA_Fn_UseC__HR_Employee_Attrition[[#This Row],[Department]]</f>
        <v>Medical-Research &amp; Development</v>
      </c>
      <c r="K604">
        <v>1</v>
      </c>
      <c r="L604">
        <v>833</v>
      </c>
      <c r="M604">
        <v>3</v>
      </c>
      <c r="N604" t="s">
        <v>40</v>
      </c>
      <c r="O604">
        <v>52</v>
      </c>
      <c r="P604">
        <v>2</v>
      </c>
      <c r="Q604">
        <v>2</v>
      </c>
      <c r="R604" t="s">
        <v>54</v>
      </c>
      <c r="S604">
        <v>4</v>
      </c>
      <c r="T604" t="s">
        <v>42</v>
      </c>
      <c r="U604">
        <v>6877</v>
      </c>
      <c r="V604" t="str" cm="1">
        <f t="array" ref="V60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04">
        <v>20234</v>
      </c>
      <c r="X604">
        <v>5</v>
      </c>
      <c r="Y604" t="s">
        <v>43</v>
      </c>
      <c r="Z604" t="s">
        <v>36</v>
      </c>
      <c r="AA604">
        <v>24</v>
      </c>
      <c r="AB604">
        <v>4</v>
      </c>
      <c r="AC604">
        <v>2</v>
      </c>
      <c r="AD604">
        <v>80</v>
      </c>
      <c r="AE604">
        <v>0</v>
      </c>
      <c r="AF604">
        <v>12</v>
      </c>
      <c r="AG604">
        <v>4</v>
      </c>
      <c r="AH604">
        <v>2</v>
      </c>
      <c r="AI604">
        <v>0</v>
      </c>
      <c r="AJ604">
        <v>0</v>
      </c>
      <c r="AK604">
        <v>0</v>
      </c>
      <c r="AL604" t="str" cm="1">
        <f t="array" ref="AL60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04">
        <v>0</v>
      </c>
    </row>
    <row r="605" spans="1:39" x14ac:dyDescent="0.25">
      <c r="A605">
        <v>45</v>
      </c>
      <c r="B605" t="s">
        <v>44</v>
      </c>
      <c r="C605" t="s">
        <v>37</v>
      </c>
      <c r="D605">
        <v>252</v>
      </c>
      <c r="E605" t="s">
        <v>46</v>
      </c>
      <c r="G605">
        <v>2</v>
      </c>
      <c r="H605">
        <v>3</v>
      </c>
      <c r="I605" t="s">
        <v>39</v>
      </c>
      <c r="J605" t="str">
        <f>WA_Fn_UseC__HR_Employee_Attrition[[#This Row],[EducationField]]&amp;"-"&amp;WA_Fn_UseC__HR_Employee_Attrition[[#This Row],[Department]]</f>
        <v>Life Sciences-Research &amp; Development</v>
      </c>
      <c r="K605">
        <v>1</v>
      </c>
      <c r="L605">
        <v>834</v>
      </c>
      <c r="M605">
        <v>2</v>
      </c>
      <c r="N605" t="s">
        <v>40</v>
      </c>
      <c r="O605">
        <v>95</v>
      </c>
      <c r="P605">
        <v>2</v>
      </c>
      <c r="Q605">
        <v>1</v>
      </c>
      <c r="R605" t="s">
        <v>48</v>
      </c>
      <c r="S605">
        <v>3</v>
      </c>
      <c r="T605" t="s">
        <v>42</v>
      </c>
      <c r="U605">
        <v>2274</v>
      </c>
      <c r="V605" t="str" cm="1">
        <f t="array" ref="V60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05">
        <v>6153</v>
      </c>
      <c r="X605">
        <v>1</v>
      </c>
      <c r="Y605" t="s">
        <v>43</v>
      </c>
      <c r="Z605" t="s">
        <v>44</v>
      </c>
      <c r="AA605">
        <v>14</v>
      </c>
      <c r="AB605">
        <v>3</v>
      </c>
      <c r="AC605">
        <v>4</v>
      </c>
      <c r="AD605">
        <v>80</v>
      </c>
      <c r="AE605">
        <v>0</v>
      </c>
      <c r="AF605">
        <v>1</v>
      </c>
      <c r="AG605">
        <v>3</v>
      </c>
      <c r="AH605">
        <v>3</v>
      </c>
      <c r="AI605">
        <v>1</v>
      </c>
      <c r="AJ605">
        <v>0</v>
      </c>
      <c r="AK605">
        <v>0</v>
      </c>
      <c r="AL605" t="str" cm="1">
        <f t="array" ref="AL60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05">
        <v>0</v>
      </c>
    </row>
    <row r="606" spans="1:39" x14ac:dyDescent="0.25">
      <c r="A606">
        <v>42</v>
      </c>
      <c r="B606" t="s">
        <v>44</v>
      </c>
      <c r="C606" t="s">
        <v>37</v>
      </c>
      <c r="D606">
        <v>933</v>
      </c>
      <c r="E606" t="s">
        <v>46</v>
      </c>
      <c r="G606">
        <v>29</v>
      </c>
      <c r="H606">
        <v>3</v>
      </c>
      <c r="I606" t="s">
        <v>39</v>
      </c>
      <c r="J606" t="str">
        <f>WA_Fn_UseC__HR_Employee_Attrition[[#This Row],[EducationField]]&amp;"-"&amp;WA_Fn_UseC__HR_Employee_Attrition[[#This Row],[Department]]</f>
        <v>Life Sciences-Research &amp; Development</v>
      </c>
      <c r="K606">
        <v>1</v>
      </c>
      <c r="L606">
        <v>836</v>
      </c>
      <c r="M606">
        <v>2</v>
      </c>
      <c r="N606" t="s">
        <v>47</v>
      </c>
      <c r="O606">
        <v>98</v>
      </c>
      <c r="P606">
        <v>3</v>
      </c>
      <c r="Q606">
        <v>2</v>
      </c>
      <c r="R606" t="s">
        <v>54</v>
      </c>
      <c r="S606">
        <v>2</v>
      </c>
      <c r="T606" t="s">
        <v>49</v>
      </c>
      <c r="U606">
        <v>4434</v>
      </c>
      <c r="V606" t="str" cm="1">
        <f t="array" ref="V60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06">
        <v>11806</v>
      </c>
      <c r="X606">
        <v>1</v>
      </c>
      <c r="Y606" t="s">
        <v>43</v>
      </c>
      <c r="Z606" t="s">
        <v>44</v>
      </c>
      <c r="AA606">
        <v>13</v>
      </c>
      <c r="AB606">
        <v>3</v>
      </c>
      <c r="AC606">
        <v>4</v>
      </c>
      <c r="AD606">
        <v>80</v>
      </c>
      <c r="AE606">
        <v>1</v>
      </c>
      <c r="AF606">
        <v>10</v>
      </c>
      <c r="AG606">
        <v>3</v>
      </c>
      <c r="AH606">
        <v>2</v>
      </c>
      <c r="AI606">
        <v>9</v>
      </c>
      <c r="AJ606">
        <v>8</v>
      </c>
      <c r="AK606">
        <v>7</v>
      </c>
      <c r="AL606" t="str" cm="1">
        <f t="array" ref="AL60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06">
        <v>8</v>
      </c>
    </row>
    <row r="607" spans="1:39" x14ac:dyDescent="0.25">
      <c r="A607">
        <v>38</v>
      </c>
      <c r="B607" t="s">
        <v>44</v>
      </c>
      <c r="C607" t="s">
        <v>45</v>
      </c>
      <c r="D607">
        <v>471</v>
      </c>
      <c r="E607" t="s">
        <v>46</v>
      </c>
      <c r="G607">
        <v>12</v>
      </c>
      <c r="H607">
        <v>3</v>
      </c>
      <c r="I607" t="s">
        <v>39</v>
      </c>
      <c r="J607" t="str">
        <f>WA_Fn_UseC__HR_Employee_Attrition[[#This Row],[EducationField]]&amp;"-"&amp;WA_Fn_UseC__HR_Employee_Attrition[[#This Row],[Department]]</f>
        <v>Life Sciences-Research &amp; Development</v>
      </c>
      <c r="K607">
        <v>1</v>
      </c>
      <c r="L607">
        <v>837</v>
      </c>
      <c r="M607">
        <v>1</v>
      </c>
      <c r="N607" t="s">
        <v>47</v>
      </c>
      <c r="O607">
        <v>45</v>
      </c>
      <c r="P607">
        <v>2</v>
      </c>
      <c r="Q607">
        <v>2</v>
      </c>
      <c r="R607" t="s">
        <v>55</v>
      </c>
      <c r="S607">
        <v>1</v>
      </c>
      <c r="T607" t="s">
        <v>53</v>
      </c>
      <c r="U607">
        <v>6288</v>
      </c>
      <c r="V607" t="str" cm="1">
        <f t="array" ref="V60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07">
        <v>4284</v>
      </c>
      <c r="X607">
        <v>2</v>
      </c>
      <c r="Y607" t="s">
        <v>43</v>
      </c>
      <c r="Z607" t="s">
        <v>44</v>
      </c>
      <c r="AA607">
        <v>15</v>
      </c>
      <c r="AB607">
        <v>3</v>
      </c>
      <c r="AC607">
        <v>3</v>
      </c>
      <c r="AD607">
        <v>80</v>
      </c>
      <c r="AE607">
        <v>1</v>
      </c>
      <c r="AF607">
        <v>13</v>
      </c>
      <c r="AG607">
        <v>3</v>
      </c>
      <c r="AH607">
        <v>2</v>
      </c>
      <c r="AI607">
        <v>4</v>
      </c>
      <c r="AJ607">
        <v>3</v>
      </c>
      <c r="AK607">
        <v>1</v>
      </c>
      <c r="AL607" t="str" cm="1">
        <f t="array" ref="AL60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07">
        <v>2</v>
      </c>
    </row>
    <row r="608" spans="1:39" x14ac:dyDescent="0.25">
      <c r="A608">
        <v>34</v>
      </c>
      <c r="B608" t="s">
        <v>44</v>
      </c>
      <c r="C608" t="s">
        <v>45</v>
      </c>
      <c r="D608">
        <v>702</v>
      </c>
      <c r="E608" t="s">
        <v>46</v>
      </c>
      <c r="G608">
        <v>16</v>
      </c>
      <c r="H608">
        <v>4</v>
      </c>
      <c r="I608" t="s">
        <v>39</v>
      </c>
      <c r="J608" t="str">
        <f>WA_Fn_UseC__HR_Employee_Attrition[[#This Row],[EducationField]]&amp;"-"&amp;WA_Fn_UseC__HR_Employee_Attrition[[#This Row],[Department]]</f>
        <v>Life Sciences-Research &amp; Development</v>
      </c>
      <c r="K608">
        <v>1</v>
      </c>
      <c r="L608">
        <v>838</v>
      </c>
      <c r="M608">
        <v>3</v>
      </c>
      <c r="N608" t="s">
        <v>40</v>
      </c>
      <c r="O608">
        <v>100</v>
      </c>
      <c r="P608">
        <v>2</v>
      </c>
      <c r="Q608">
        <v>1</v>
      </c>
      <c r="R608" t="s">
        <v>48</v>
      </c>
      <c r="S608">
        <v>4</v>
      </c>
      <c r="T608" t="s">
        <v>42</v>
      </c>
      <c r="U608">
        <v>2553</v>
      </c>
      <c r="V608" t="str" cm="1">
        <f t="array" ref="V60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08">
        <v>8306</v>
      </c>
      <c r="X608">
        <v>1</v>
      </c>
      <c r="Y608" t="s">
        <v>43</v>
      </c>
      <c r="Z608" t="s">
        <v>44</v>
      </c>
      <c r="AA608">
        <v>16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5</v>
      </c>
      <c r="AJ608">
        <v>2</v>
      </c>
      <c r="AK608">
        <v>1</v>
      </c>
      <c r="AL608" t="str" cm="1">
        <f t="array" ref="AL60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08">
        <v>3</v>
      </c>
    </row>
    <row r="609" spans="1:39" x14ac:dyDescent="0.25">
      <c r="A609">
        <v>49</v>
      </c>
      <c r="B609" t="s">
        <v>36</v>
      </c>
      <c r="C609" t="s">
        <v>37</v>
      </c>
      <c r="D609">
        <v>1184</v>
      </c>
      <c r="E609" t="s">
        <v>38</v>
      </c>
      <c r="G609">
        <v>11</v>
      </c>
      <c r="H609">
        <v>3</v>
      </c>
      <c r="I609" t="s">
        <v>60</v>
      </c>
      <c r="J609" t="str">
        <f>WA_Fn_UseC__HR_Employee_Attrition[[#This Row],[EducationField]]&amp;"-"&amp;WA_Fn_UseC__HR_Employee_Attrition[[#This Row],[Department]]</f>
        <v>Marketing-Sales</v>
      </c>
      <c r="K609">
        <v>1</v>
      </c>
      <c r="L609">
        <v>840</v>
      </c>
      <c r="M609">
        <v>3</v>
      </c>
      <c r="N609" t="s">
        <v>40</v>
      </c>
      <c r="O609">
        <v>43</v>
      </c>
      <c r="P609">
        <v>3</v>
      </c>
      <c r="Q609">
        <v>3</v>
      </c>
      <c r="R609" t="s">
        <v>41</v>
      </c>
      <c r="S609">
        <v>4</v>
      </c>
      <c r="T609" t="s">
        <v>49</v>
      </c>
      <c r="U609">
        <v>7654</v>
      </c>
      <c r="V609" t="str" cm="1">
        <f t="array" ref="V60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09">
        <v>5860</v>
      </c>
      <c r="X609">
        <v>1</v>
      </c>
      <c r="Y609" t="s">
        <v>43</v>
      </c>
      <c r="Z609" t="s">
        <v>44</v>
      </c>
      <c r="AA609">
        <v>18</v>
      </c>
      <c r="AB609">
        <v>3</v>
      </c>
      <c r="AC609">
        <v>1</v>
      </c>
      <c r="AD609">
        <v>80</v>
      </c>
      <c r="AE609">
        <v>2</v>
      </c>
      <c r="AF609">
        <v>9</v>
      </c>
      <c r="AG609">
        <v>3</v>
      </c>
      <c r="AH609">
        <v>4</v>
      </c>
      <c r="AI609">
        <v>9</v>
      </c>
      <c r="AJ609">
        <v>8</v>
      </c>
      <c r="AK609">
        <v>7</v>
      </c>
      <c r="AL609" t="str" cm="1">
        <f t="array" ref="AL60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09">
        <v>7</v>
      </c>
    </row>
    <row r="610" spans="1:39" x14ac:dyDescent="0.25">
      <c r="A610">
        <v>55</v>
      </c>
      <c r="B610" t="s">
        <v>36</v>
      </c>
      <c r="C610" t="s">
        <v>37</v>
      </c>
      <c r="D610">
        <v>436</v>
      </c>
      <c r="E610" t="s">
        <v>38</v>
      </c>
      <c r="G610">
        <v>2</v>
      </c>
      <c r="H610">
        <v>1</v>
      </c>
      <c r="I610" t="s">
        <v>52</v>
      </c>
      <c r="J610" t="str">
        <f>WA_Fn_UseC__HR_Employee_Attrition[[#This Row],[EducationField]]&amp;"-"&amp;WA_Fn_UseC__HR_Employee_Attrition[[#This Row],[Department]]</f>
        <v>Medical-Sales</v>
      </c>
      <c r="K610">
        <v>1</v>
      </c>
      <c r="L610">
        <v>842</v>
      </c>
      <c r="M610">
        <v>3</v>
      </c>
      <c r="N610" t="s">
        <v>47</v>
      </c>
      <c r="O610">
        <v>37</v>
      </c>
      <c r="P610">
        <v>3</v>
      </c>
      <c r="Q610">
        <v>2</v>
      </c>
      <c r="R610" t="s">
        <v>41</v>
      </c>
      <c r="S610">
        <v>4</v>
      </c>
      <c r="T610" t="s">
        <v>42</v>
      </c>
      <c r="U610">
        <v>5160</v>
      </c>
      <c r="V610" t="str" cm="1">
        <f t="array" ref="V61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10">
        <v>21519</v>
      </c>
      <c r="X610">
        <v>4</v>
      </c>
      <c r="Y610" t="s">
        <v>43</v>
      </c>
      <c r="Z610" t="s">
        <v>44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12</v>
      </c>
      <c r="AG610">
        <v>3</v>
      </c>
      <c r="AH610">
        <v>2</v>
      </c>
      <c r="AI610">
        <v>9</v>
      </c>
      <c r="AJ610">
        <v>7</v>
      </c>
      <c r="AK610">
        <v>7</v>
      </c>
      <c r="AL610" t="str" cm="1">
        <f t="array" ref="AL61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10">
        <v>3</v>
      </c>
    </row>
    <row r="611" spans="1:39" x14ac:dyDescent="0.25">
      <c r="A611">
        <v>43</v>
      </c>
      <c r="B611" t="s">
        <v>44</v>
      </c>
      <c r="C611" t="s">
        <v>37</v>
      </c>
      <c r="D611">
        <v>589</v>
      </c>
      <c r="E611" t="s">
        <v>46</v>
      </c>
      <c r="G611">
        <v>14</v>
      </c>
      <c r="H611">
        <v>2</v>
      </c>
      <c r="I611" t="s">
        <v>39</v>
      </c>
      <c r="J611" t="str">
        <f>WA_Fn_UseC__HR_Employee_Attrition[[#This Row],[EducationField]]&amp;"-"&amp;WA_Fn_UseC__HR_Employee_Attrition[[#This Row],[Department]]</f>
        <v>Life Sciences-Research &amp; Development</v>
      </c>
      <c r="K611">
        <v>1</v>
      </c>
      <c r="L611">
        <v>843</v>
      </c>
      <c r="M611">
        <v>2</v>
      </c>
      <c r="N611" t="s">
        <v>47</v>
      </c>
      <c r="O611">
        <v>94</v>
      </c>
      <c r="P611">
        <v>3</v>
      </c>
      <c r="Q611">
        <v>4</v>
      </c>
      <c r="R611" t="s">
        <v>59</v>
      </c>
      <c r="S611">
        <v>1</v>
      </c>
      <c r="T611" t="s">
        <v>49</v>
      </c>
      <c r="U611">
        <v>17159</v>
      </c>
      <c r="V611" t="str" cm="1">
        <f t="array" ref="V61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11">
        <v>5200</v>
      </c>
      <c r="X611">
        <v>6</v>
      </c>
      <c r="Y611" t="s">
        <v>43</v>
      </c>
      <c r="Z611" t="s">
        <v>44</v>
      </c>
      <c r="AA611">
        <v>24</v>
      </c>
      <c r="AB611">
        <v>4</v>
      </c>
      <c r="AC611">
        <v>3</v>
      </c>
      <c r="AD611">
        <v>80</v>
      </c>
      <c r="AE611">
        <v>1</v>
      </c>
      <c r="AF611">
        <v>22</v>
      </c>
      <c r="AG611">
        <v>3</v>
      </c>
      <c r="AH611">
        <v>3</v>
      </c>
      <c r="AI611">
        <v>4</v>
      </c>
      <c r="AJ611">
        <v>1</v>
      </c>
      <c r="AK611">
        <v>1</v>
      </c>
      <c r="AL611" t="str" cm="1">
        <f t="array" ref="AL61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11">
        <v>0</v>
      </c>
    </row>
    <row r="612" spans="1:39" x14ac:dyDescent="0.25">
      <c r="A612">
        <v>27</v>
      </c>
      <c r="B612" t="s">
        <v>44</v>
      </c>
      <c r="C612" t="s">
        <v>37</v>
      </c>
      <c r="D612">
        <v>269</v>
      </c>
      <c r="E612" t="s">
        <v>46</v>
      </c>
      <c r="G612">
        <v>5</v>
      </c>
      <c r="H612">
        <v>1</v>
      </c>
      <c r="I612" t="s">
        <v>61</v>
      </c>
      <c r="J612" t="str">
        <f>WA_Fn_UseC__HR_Employee_Attrition[[#This Row],[EducationField]]&amp;"-"&amp;WA_Fn_UseC__HR_Employee_Attrition[[#This Row],[Department]]</f>
        <v>Technical Degree-Research &amp; Development</v>
      </c>
      <c r="K612">
        <v>1</v>
      </c>
      <c r="L612">
        <v>844</v>
      </c>
      <c r="M612">
        <v>3</v>
      </c>
      <c r="N612" t="s">
        <v>47</v>
      </c>
      <c r="O612">
        <v>42</v>
      </c>
      <c r="P612">
        <v>2</v>
      </c>
      <c r="Q612">
        <v>3</v>
      </c>
      <c r="R612" t="s">
        <v>59</v>
      </c>
      <c r="S612">
        <v>4</v>
      </c>
      <c r="T612" t="s">
        <v>53</v>
      </c>
      <c r="U612">
        <v>12808</v>
      </c>
      <c r="V612" t="str" cm="1">
        <f t="array" ref="V61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12">
        <v>8842</v>
      </c>
      <c r="X612">
        <v>1</v>
      </c>
      <c r="Y612" t="s">
        <v>43</v>
      </c>
      <c r="Z612" t="s">
        <v>36</v>
      </c>
      <c r="AA612">
        <v>16</v>
      </c>
      <c r="AB612">
        <v>3</v>
      </c>
      <c r="AC612">
        <v>2</v>
      </c>
      <c r="AD612">
        <v>80</v>
      </c>
      <c r="AE612">
        <v>1</v>
      </c>
      <c r="AF612">
        <v>9</v>
      </c>
      <c r="AG612">
        <v>3</v>
      </c>
      <c r="AH612">
        <v>3</v>
      </c>
      <c r="AI612">
        <v>9</v>
      </c>
      <c r="AJ612">
        <v>8</v>
      </c>
      <c r="AK612">
        <v>0</v>
      </c>
      <c r="AL612" t="str" cm="1">
        <f t="array" ref="AL61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12">
        <v>8</v>
      </c>
    </row>
    <row r="613" spans="1:39" x14ac:dyDescent="0.25">
      <c r="A613">
        <v>35</v>
      </c>
      <c r="B613" t="s">
        <v>44</v>
      </c>
      <c r="C613" t="s">
        <v>37</v>
      </c>
      <c r="D613">
        <v>950</v>
      </c>
      <c r="E613" t="s">
        <v>46</v>
      </c>
      <c r="G613">
        <v>7</v>
      </c>
      <c r="H613">
        <v>3</v>
      </c>
      <c r="I613" t="s">
        <v>50</v>
      </c>
      <c r="J613" t="str">
        <f>WA_Fn_UseC__HR_Employee_Attrition[[#This Row],[EducationField]]&amp;"-"&amp;WA_Fn_UseC__HR_Employee_Attrition[[#This Row],[Department]]</f>
        <v>Other-Research &amp; Development</v>
      </c>
      <c r="K613">
        <v>1</v>
      </c>
      <c r="L613">
        <v>845</v>
      </c>
      <c r="M613">
        <v>3</v>
      </c>
      <c r="N613" t="s">
        <v>47</v>
      </c>
      <c r="O613">
        <v>59</v>
      </c>
      <c r="P613">
        <v>3</v>
      </c>
      <c r="Q613">
        <v>3</v>
      </c>
      <c r="R613" t="s">
        <v>54</v>
      </c>
      <c r="S613">
        <v>3</v>
      </c>
      <c r="T613" t="s">
        <v>42</v>
      </c>
      <c r="U613">
        <v>10221</v>
      </c>
      <c r="V613" t="str" cm="1">
        <f t="array" ref="V61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13">
        <v>18869</v>
      </c>
      <c r="X613">
        <v>3</v>
      </c>
      <c r="Y613" t="s">
        <v>43</v>
      </c>
      <c r="Z613" t="s">
        <v>44</v>
      </c>
      <c r="AA613">
        <v>21</v>
      </c>
      <c r="AB613">
        <v>4</v>
      </c>
      <c r="AC613">
        <v>2</v>
      </c>
      <c r="AD613">
        <v>80</v>
      </c>
      <c r="AE613">
        <v>0</v>
      </c>
      <c r="AF613">
        <v>17</v>
      </c>
      <c r="AG613">
        <v>3</v>
      </c>
      <c r="AH613">
        <v>4</v>
      </c>
      <c r="AI613">
        <v>8</v>
      </c>
      <c r="AJ613">
        <v>5</v>
      </c>
      <c r="AK613">
        <v>1</v>
      </c>
      <c r="AL613" t="str" cm="1">
        <f t="array" ref="AL61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13">
        <v>6</v>
      </c>
    </row>
    <row r="614" spans="1:39" x14ac:dyDescent="0.25">
      <c r="A614">
        <v>28</v>
      </c>
      <c r="B614" t="s">
        <v>44</v>
      </c>
      <c r="C614" t="s">
        <v>37</v>
      </c>
      <c r="D614">
        <v>760</v>
      </c>
      <c r="E614" t="s">
        <v>38</v>
      </c>
      <c r="G614">
        <v>2</v>
      </c>
      <c r="H614">
        <v>4</v>
      </c>
      <c r="I614" t="s">
        <v>60</v>
      </c>
      <c r="J614" t="str">
        <f>WA_Fn_UseC__HR_Employee_Attrition[[#This Row],[EducationField]]&amp;"-"&amp;WA_Fn_UseC__HR_Employee_Attrition[[#This Row],[Department]]</f>
        <v>Marketing-Sales</v>
      </c>
      <c r="K614">
        <v>1</v>
      </c>
      <c r="L614">
        <v>846</v>
      </c>
      <c r="M614">
        <v>2</v>
      </c>
      <c r="N614" t="s">
        <v>40</v>
      </c>
      <c r="O614">
        <v>81</v>
      </c>
      <c r="P614">
        <v>3</v>
      </c>
      <c r="Q614">
        <v>2</v>
      </c>
      <c r="R614" t="s">
        <v>41</v>
      </c>
      <c r="S614">
        <v>2</v>
      </c>
      <c r="T614" t="s">
        <v>49</v>
      </c>
      <c r="U614">
        <v>4779</v>
      </c>
      <c r="V614" t="str" cm="1">
        <f t="array" ref="V61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14">
        <v>3698</v>
      </c>
      <c r="X614">
        <v>1</v>
      </c>
      <c r="Y614" t="s">
        <v>43</v>
      </c>
      <c r="Z614" t="s">
        <v>36</v>
      </c>
      <c r="AA614">
        <v>20</v>
      </c>
      <c r="AB614">
        <v>4</v>
      </c>
      <c r="AC614">
        <v>1</v>
      </c>
      <c r="AD614">
        <v>80</v>
      </c>
      <c r="AE614">
        <v>0</v>
      </c>
      <c r="AF614">
        <v>8</v>
      </c>
      <c r="AG614">
        <v>2</v>
      </c>
      <c r="AH614">
        <v>3</v>
      </c>
      <c r="AI614">
        <v>8</v>
      </c>
      <c r="AJ614">
        <v>7</v>
      </c>
      <c r="AK614">
        <v>7</v>
      </c>
      <c r="AL614" t="str" cm="1">
        <f t="array" ref="AL61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14">
        <v>5</v>
      </c>
    </row>
    <row r="615" spans="1:39" x14ac:dyDescent="0.25">
      <c r="A615">
        <v>34</v>
      </c>
      <c r="B615" t="s">
        <v>44</v>
      </c>
      <c r="C615" t="s">
        <v>37</v>
      </c>
      <c r="D615">
        <v>829</v>
      </c>
      <c r="E615" t="s">
        <v>62</v>
      </c>
      <c r="G615">
        <v>3</v>
      </c>
      <c r="H615">
        <v>2</v>
      </c>
      <c r="I615" t="s">
        <v>62</v>
      </c>
      <c r="J615" t="str">
        <f>WA_Fn_UseC__HR_Employee_Attrition[[#This Row],[EducationField]]&amp;"-"&amp;WA_Fn_UseC__HR_Employee_Attrition[[#This Row],[Department]]</f>
        <v>Human Resources-Human Resources</v>
      </c>
      <c r="K615">
        <v>1</v>
      </c>
      <c r="L615">
        <v>847</v>
      </c>
      <c r="M615">
        <v>3</v>
      </c>
      <c r="N615" t="s">
        <v>47</v>
      </c>
      <c r="O615">
        <v>88</v>
      </c>
      <c r="P615">
        <v>3</v>
      </c>
      <c r="Q615">
        <v>1</v>
      </c>
      <c r="R615" t="s">
        <v>62</v>
      </c>
      <c r="S615">
        <v>4</v>
      </c>
      <c r="T615" t="s">
        <v>49</v>
      </c>
      <c r="U615">
        <v>3737</v>
      </c>
      <c r="V615" t="str" cm="1">
        <f t="array" ref="V61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15">
        <v>2243</v>
      </c>
      <c r="X615">
        <v>0</v>
      </c>
      <c r="Y615" t="s">
        <v>43</v>
      </c>
      <c r="Z615" t="s">
        <v>44</v>
      </c>
      <c r="AA615">
        <v>19</v>
      </c>
      <c r="AB615">
        <v>3</v>
      </c>
      <c r="AC615">
        <v>3</v>
      </c>
      <c r="AD615">
        <v>80</v>
      </c>
      <c r="AE615">
        <v>1</v>
      </c>
      <c r="AF615">
        <v>4</v>
      </c>
      <c r="AG615">
        <v>1</v>
      </c>
      <c r="AH615">
        <v>1</v>
      </c>
      <c r="AI615">
        <v>3</v>
      </c>
      <c r="AJ615">
        <v>2</v>
      </c>
      <c r="AK615">
        <v>0</v>
      </c>
      <c r="AL615" t="str" cm="1">
        <f t="array" ref="AL61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15">
        <v>2</v>
      </c>
    </row>
    <row r="616" spans="1:39" x14ac:dyDescent="0.25">
      <c r="A616">
        <v>26</v>
      </c>
      <c r="B616" t="s">
        <v>36</v>
      </c>
      <c r="C616" t="s">
        <v>45</v>
      </c>
      <c r="D616">
        <v>887</v>
      </c>
      <c r="E616" t="s">
        <v>46</v>
      </c>
      <c r="G616">
        <v>5</v>
      </c>
      <c r="H616">
        <v>2</v>
      </c>
      <c r="I616" t="s">
        <v>52</v>
      </c>
      <c r="J616" t="str">
        <f>WA_Fn_UseC__HR_Employee_Attrition[[#This Row],[EducationField]]&amp;"-"&amp;WA_Fn_UseC__HR_Employee_Attrition[[#This Row],[Department]]</f>
        <v>Medical-Research &amp; Development</v>
      </c>
      <c r="K616">
        <v>1</v>
      </c>
      <c r="L616">
        <v>848</v>
      </c>
      <c r="M616">
        <v>3</v>
      </c>
      <c r="N616" t="s">
        <v>40</v>
      </c>
      <c r="O616">
        <v>88</v>
      </c>
      <c r="P616">
        <v>2</v>
      </c>
      <c r="Q616">
        <v>1</v>
      </c>
      <c r="R616" t="s">
        <v>48</v>
      </c>
      <c r="S616">
        <v>3</v>
      </c>
      <c r="T616" t="s">
        <v>49</v>
      </c>
      <c r="U616">
        <v>2366</v>
      </c>
      <c r="V616" t="str" cm="1">
        <f t="array" ref="V61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16">
        <v>20898</v>
      </c>
      <c r="X616">
        <v>1</v>
      </c>
      <c r="Y616" t="s">
        <v>43</v>
      </c>
      <c r="Z616" t="s">
        <v>36</v>
      </c>
      <c r="AA616">
        <v>14</v>
      </c>
      <c r="AB616">
        <v>3</v>
      </c>
      <c r="AC616">
        <v>1</v>
      </c>
      <c r="AD616">
        <v>80</v>
      </c>
      <c r="AE616">
        <v>1</v>
      </c>
      <c r="AF616">
        <v>8</v>
      </c>
      <c r="AG616">
        <v>2</v>
      </c>
      <c r="AH616">
        <v>3</v>
      </c>
      <c r="AI616">
        <v>8</v>
      </c>
      <c r="AJ616">
        <v>7</v>
      </c>
      <c r="AK616">
        <v>1</v>
      </c>
      <c r="AL616" t="str" cm="1">
        <f t="array" ref="AL61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16">
        <v>7</v>
      </c>
    </row>
    <row r="617" spans="1:39" x14ac:dyDescent="0.25">
      <c r="A617">
        <v>27</v>
      </c>
      <c r="B617" t="s">
        <v>44</v>
      </c>
      <c r="C617" t="s">
        <v>56</v>
      </c>
      <c r="D617">
        <v>443</v>
      </c>
      <c r="E617" t="s">
        <v>46</v>
      </c>
      <c r="G617">
        <v>3</v>
      </c>
      <c r="H617">
        <v>3</v>
      </c>
      <c r="I617" t="s">
        <v>52</v>
      </c>
      <c r="J617" t="str">
        <f>WA_Fn_UseC__HR_Employee_Attrition[[#This Row],[EducationField]]&amp;"-"&amp;WA_Fn_UseC__HR_Employee_Attrition[[#This Row],[Department]]</f>
        <v>Medical-Research &amp; Development</v>
      </c>
      <c r="K617">
        <v>1</v>
      </c>
      <c r="L617">
        <v>850</v>
      </c>
      <c r="M617">
        <v>4</v>
      </c>
      <c r="N617" t="s">
        <v>47</v>
      </c>
      <c r="O617">
        <v>50</v>
      </c>
      <c r="P617">
        <v>3</v>
      </c>
      <c r="Q617">
        <v>1</v>
      </c>
      <c r="R617" t="s">
        <v>48</v>
      </c>
      <c r="S617">
        <v>4</v>
      </c>
      <c r="T617" t="s">
        <v>49</v>
      </c>
      <c r="U617">
        <v>1706</v>
      </c>
      <c r="V617" t="str" cm="1">
        <f t="array" ref="V61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17">
        <v>16571</v>
      </c>
      <c r="X617">
        <v>1</v>
      </c>
      <c r="Y617" t="s">
        <v>43</v>
      </c>
      <c r="Z617" t="s">
        <v>44</v>
      </c>
      <c r="AA617">
        <v>11</v>
      </c>
      <c r="AB617">
        <v>3</v>
      </c>
      <c r="AC617">
        <v>3</v>
      </c>
      <c r="AD617">
        <v>80</v>
      </c>
      <c r="AE617">
        <v>3</v>
      </c>
      <c r="AF617">
        <v>0</v>
      </c>
      <c r="AG617">
        <v>6</v>
      </c>
      <c r="AH617">
        <v>2</v>
      </c>
      <c r="AI617">
        <v>0</v>
      </c>
      <c r="AJ617">
        <v>0</v>
      </c>
      <c r="AK617">
        <v>0</v>
      </c>
      <c r="AL617" t="str" cm="1">
        <f t="array" ref="AL61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17">
        <v>0</v>
      </c>
    </row>
    <row r="618" spans="1:39" x14ac:dyDescent="0.25">
      <c r="A618">
        <v>51</v>
      </c>
      <c r="B618" t="s">
        <v>44</v>
      </c>
      <c r="C618" t="s">
        <v>37</v>
      </c>
      <c r="D618">
        <v>1318</v>
      </c>
      <c r="E618" t="s">
        <v>38</v>
      </c>
      <c r="G618">
        <v>26</v>
      </c>
      <c r="H618">
        <v>4</v>
      </c>
      <c r="I618" t="s">
        <v>60</v>
      </c>
      <c r="J618" t="str">
        <f>WA_Fn_UseC__HR_Employee_Attrition[[#This Row],[EducationField]]&amp;"-"&amp;WA_Fn_UseC__HR_Employee_Attrition[[#This Row],[Department]]</f>
        <v>Marketing-Sales</v>
      </c>
      <c r="K618">
        <v>1</v>
      </c>
      <c r="L618">
        <v>851</v>
      </c>
      <c r="M618">
        <v>1</v>
      </c>
      <c r="N618" t="s">
        <v>40</v>
      </c>
      <c r="O618">
        <v>66</v>
      </c>
      <c r="P618">
        <v>3</v>
      </c>
      <c r="Q618">
        <v>4</v>
      </c>
      <c r="R618" t="s">
        <v>57</v>
      </c>
      <c r="S618">
        <v>3</v>
      </c>
      <c r="T618" t="s">
        <v>49</v>
      </c>
      <c r="U618">
        <v>16307</v>
      </c>
      <c r="V618" t="str" cm="1">
        <f t="array" ref="V61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18">
        <v>5594</v>
      </c>
      <c r="X618">
        <v>2</v>
      </c>
      <c r="Y618" t="s">
        <v>43</v>
      </c>
      <c r="Z618" t="s">
        <v>44</v>
      </c>
      <c r="AA618">
        <v>14</v>
      </c>
      <c r="AB618">
        <v>3</v>
      </c>
      <c r="AC618">
        <v>3</v>
      </c>
      <c r="AD618">
        <v>80</v>
      </c>
      <c r="AE618">
        <v>1</v>
      </c>
      <c r="AF618">
        <v>29</v>
      </c>
      <c r="AG618">
        <v>2</v>
      </c>
      <c r="AH618">
        <v>2</v>
      </c>
      <c r="AI618">
        <v>20</v>
      </c>
      <c r="AJ618">
        <v>6</v>
      </c>
      <c r="AK618">
        <v>4</v>
      </c>
      <c r="AL618" t="str" cm="1">
        <f t="array" ref="AL61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18">
        <v>17</v>
      </c>
    </row>
    <row r="619" spans="1:39" x14ac:dyDescent="0.25">
      <c r="A619">
        <v>44</v>
      </c>
      <c r="B619" t="s">
        <v>44</v>
      </c>
      <c r="C619" t="s">
        <v>37</v>
      </c>
      <c r="D619">
        <v>625</v>
      </c>
      <c r="E619" t="s">
        <v>46</v>
      </c>
      <c r="G619">
        <v>4</v>
      </c>
      <c r="H619">
        <v>3</v>
      </c>
      <c r="I619" t="s">
        <v>52</v>
      </c>
      <c r="J619" t="str">
        <f>WA_Fn_UseC__HR_Employee_Attrition[[#This Row],[EducationField]]&amp;"-"&amp;WA_Fn_UseC__HR_Employee_Attrition[[#This Row],[Department]]</f>
        <v>Medical-Research &amp; Development</v>
      </c>
      <c r="K619">
        <v>1</v>
      </c>
      <c r="L619">
        <v>852</v>
      </c>
      <c r="M619">
        <v>4</v>
      </c>
      <c r="N619" t="s">
        <v>47</v>
      </c>
      <c r="O619">
        <v>50</v>
      </c>
      <c r="P619">
        <v>3</v>
      </c>
      <c r="Q619">
        <v>2</v>
      </c>
      <c r="R619" t="s">
        <v>55</v>
      </c>
      <c r="S619">
        <v>2</v>
      </c>
      <c r="T619" t="s">
        <v>42</v>
      </c>
      <c r="U619">
        <v>5933</v>
      </c>
      <c r="V619" t="str" cm="1">
        <f t="array" ref="V61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19">
        <v>5197</v>
      </c>
      <c r="X619">
        <v>9</v>
      </c>
      <c r="Y619" t="s">
        <v>43</v>
      </c>
      <c r="Z619" t="s">
        <v>44</v>
      </c>
      <c r="AA619">
        <v>12</v>
      </c>
      <c r="AB619">
        <v>3</v>
      </c>
      <c r="AC619">
        <v>4</v>
      </c>
      <c r="AD619">
        <v>80</v>
      </c>
      <c r="AE619">
        <v>0</v>
      </c>
      <c r="AF619">
        <v>10</v>
      </c>
      <c r="AG619">
        <v>2</v>
      </c>
      <c r="AH619">
        <v>2</v>
      </c>
      <c r="AI619">
        <v>5</v>
      </c>
      <c r="AJ619">
        <v>2</v>
      </c>
      <c r="AK619">
        <v>2</v>
      </c>
      <c r="AL619" t="str" cm="1">
        <f t="array" ref="AL61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19">
        <v>3</v>
      </c>
    </row>
    <row r="620" spans="1:39" x14ac:dyDescent="0.25">
      <c r="A620">
        <v>25</v>
      </c>
      <c r="B620" t="s">
        <v>44</v>
      </c>
      <c r="C620" t="s">
        <v>37</v>
      </c>
      <c r="D620">
        <v>180</v>
      </c>
      <c r="E620" t="s">
        <v>46</v>
      </c>
      <c r="G620">
        <v>2</v>
      </c>
      <c r="H620">
        <v>1</v>
      </c>
      <c r="I620" t="s">
        <v>52</v>
      </c>
      <c r="J620" t="str">
        <f>WA_Fn_UseC__HR_Employee_Attrition[[#This Row],[EducationField]]&amp;"-"&amp;WA_Fn_UseC__HR_Employee_Attrition[[#This Row],[Department]]</f>
        <v>Medical-Research &amp; Development</v>
      </c>
      <c r="K620">
        <v>1</v>
      </c>
      <c r="L620">
        <v>854</v>
      </c>
      <c r="M620">
        <v>1</v>
      </c>
      <c r="N620" t="s">
        <v>47</v>
      </c>
      <c r="O620">
        <v>65</v>
      </c>
      <c r="P620">
        <v>4</v>
      </c>
      <c r="Q620">
        <v>1</v>
      </c>
      <c r="R620" t="s">
        <v>48</v>
      </c>
      <c r="S620">
        <v>1</v>
      </c>
      <c r="T620" t="s">
        <v>42</v>
      </c>
      <c r="U620">
        <v>3424</v>
      </c>
      <c r="V620" t="str" cm="1">
        <f t="array" ref="V62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20">
        <v>21632</v>
      </c>
      <c r="X620">
        <v>7</v>
      </c>
      <c r="Y620" t="s">
        <v>43</v>
      </c>
      <c r="Z620" t="s">
        <v>44</v>
      </c>
      <c r="AA620">
        <v>13</v>
      </c>
      <c r="AB620">
        <v>3</v>
      </c>
      <c r="AC620">
        <v>3</v>
      </c>
      <c r="AD620">
        <v>80</v>
      </c>
      <c r="AE620">
        <v>0</v>
      </c>
      <c r="AF620">
        <v>6</v>
      </c>
      <c r="AG620">
        <v>3</v>
      </c>
      <c r="AH620">
        <v>2</v>
      </c>
      <c r="AI620">
        <v>4</v>
      </c>
      <c r="AJ620">
        <v>3</v>
      </c>
      <c r="AK620">
        <v>0</v>
      </c>
      <c r="AL620" t="str" cm="1">
        <f t="array" ref="AL62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20">
        <v>1</v>
      </c>
    </row>
    <row r="621" spans="1:39" x14ac:dyDescent="0.25">
      <c r="A621">
        <v>33</v>
      </c>
      <c r="B621" t="s">
        <v>44</v>
      </c>
      <c r="C621" t="s">
        <v>37</v>
      </c>
      <c r="D621">
        <v>586</v>
      </c>
      <c r="E621" t="s">
        <v>38</v>
      </c>
      <c r="G621">
        <v>1</v>
      </c>
      <c r="H621">
        <v>3</v>
      </c>
      <c r="I621" t="s">
        <v>52</v>
      </c>
      <c r="J621" t="str">
        <f>WA_Fn_UseC__HR_Employee_Attrition[[#This Row],[EducationField]]&amp;"-"&amp;WA_Fn_UseC__HR_Employee_Attrition[[#This Row],[Department]]</f>
        <v>Medical-Sales</v>
      </c>
      <c r="K621">
        <v>1</v>
      </c>
      <c r="L621">
        <v>855</v>
      </c>
      <c r="M621">
        <v>1</v>
      </c>
      <c r="N621" t="s">
        <v>47</v>
      </c>
      <c r="O621">
        <v>48</v>
      </c>
      <c r="P621">
        <v>4</v>
      </c>
      <c r="Q621">
        <v>2</v>
      </c>
      <c r="R621" t="s">
        <v>41</v>
      </c>
      <c r="S621">
        <v>1</v>
      </c>
      <c r="T621" t="s">
        <v>53</v>
      </c>
      <c r="U621">
        <v>4037</v>
      </c>
      <c r="V621" t="str" cm="1">
        <f t="array" ref="V62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21">
        <v>21816</v>
      </c>
      <c r="X621">
        <v>1</v>
      </c>
      <c r="Y621" t="s">
        <v>43</v>
      </c>
      <c r="Z621" t="s">
        <v>44</v>
      </c>
      <c r="AA621">
        <v>22</v>
      </c>
      <c r="AB621">
        <v>4</v>
      </c>
      <c r="AC621">
        <v>1</v>
      </c>
      <c r="AD621">
        <v>80</v>
      </c>
      <c r="AE621">
        <v>1</v>
      </c>
      <c r="AF621">
        <v>9</v>
      </c>
      <c r="AG621">
        <v>5</v>
      </c>
      <c r="AH621">
        <v>3</v>
      </c>
      <c r="AI621">
        <v>9</v>
      </c>
      <c r="AJ621">
        <v>8</v>
      </c>
      <c r="AK621">
        <v>0</v>
      </c>
      <c r="AL621" t="str" cm="1">
        <f t="array" ref="AL62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21">
        <v>8</v>
      </c>
    </row>
    <row r="622" spans="1:39" x14ac:dyDescent="0.25">
      <c r="A622">
        <v>35</v>
      </c>
      <c r="B622" t="s">
        <v>44</v>
      </c>
      <c r="C622" t="s">
        <v>37</v>
      </c>
      <c r="D622">
        <v>1343</v>
      </c>
      <c r="E622" t="s">
        <v>46</v>
      </c>
      <c r="G622">
        <v>27</v>
      </c>
      <c r="H622">
        <v>1</v>
      </c>
      <c r="I622" t="s">
        <v>52</v>
      </c>
      <c r="J622" t="str">
        <f>WA_Fn_UseC__HR_Employee_Attrition[[#This Row],[EducationField]]&amp;"-"&amp;WA_Fn_UseC__HR_Employee_Attrition[[#This Row],[Department]]</f>
        <v>Medical-Research &amp; Development</v>
      </c>
      <c r="K622">
        <v>1</v>
      </c>
      <c r="L622">
        <v>856</v>
      </c>
      <c r="M622">
        <v>3</v>
      </c>
      <c r="N622" t="s">
        <v>40</v>
      </c>
      <c r="O622">
        <v>53</v>
      </c>
      <c r="P622">
        <v>2</v>
      </c>
      <c r="Q622">
        <v>1</v>
      </c>
      <c r="R622" t="s">
        <v>48</v>
      </c>
      <c r="S622">
        <v>1</v>
      </c>
      <c r="T622" t="s">
        <v>42</v>
      </c>
      <c r="U622">
        <v>2559</v>
      </c>
      <c r="V622" t="str" cm="1">
        <f t="array" ref="V62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22">
        <v>17852</v>
      </c>
      <c r="X622">
        <v>1</v>
      </c>
      <c r="Y622" t="s">
        <v>43</v>
      </c>
      <c r="Z622" t="s">
        <v>44</v>
      </c>
      <c r="AA622">
        <v>11</v>
      </c>
      <c r="AB622">
        <v>3</v>
      </c>
      <c r="AC622">
        <v>4</v>
      </c>
      <c r="AD622">
        <v>80</v>
      </c>
      <c r="AE622">
        <v>0</v>
      </c>
      <c r="AF622">
        <v>6</v>
      </c>
      <c r="AG622">
        <v>3</v>
      </c>
      <c r="AH622">
        <v>2</v>
      </c>
      <c r="AI622">
        <v>6</v>
      </c>
      <c r="AJ622">
        <v>5</v>
      </c>
      <c r="AK622">
        <v>1</v>
      </c>
      <c r="AL622" t="str" cm="1">
        <f t="array" ref="AL62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22">
        <v>1</v>
      </c>
    </row>
    <row r="623" spans="1:39" x14ac:dyDescent="0.25">
      <c r="A623">
        <v>36</v>
      </c>
      <c r="B623" t="s">
        <v>44</v>
      </c>
      <c r="C623" t="s">
        <v>37</v>
      </c>
      <c r="D623">
        <v>928</v>
      </c>
      <c r="E623" t="s">
        <v>38</v>
      </c>
      <c r="G623">
        <v>1</v>
      </c>
      <c r="H623">
        <v>2</v>
      </c>
      <c r="I623" t="s">
        <v>39</v>
      </c>
      <c r="J623" t="str">
        <f>WA_Fn_UseC__HR_Employee_Attrition[[#This Row],[EducationField]]&amp;"-"&amp;WA_Fn_UseC__HR_Employee_Attrition[[#This Row],[Department]]</f>
        <v>Life Sciences-Sales</v>
      </c>
      <c r="K623">
        <v>1</v>
      </c>
      <c r="L623">
        <v>857</v>
      </c>
      <c r="M623">
        <v>2</v>
      </c>
      <c r="N623" t="s">
        <v>47</v>
      </c>
      <c r="O623">
        <v>56</v>
      </c>
      <c r="P623">
        <v>3</v>
      </c>
      <c r="Q623">
        <v>2</v>
      </c>
      <c r="R623" t="s">
        <v>41</v>
      </c>
      <c r="S623">
        <v>4</v>
      </c>
      <c r="T623" t="s">
        <v>49</v>
      </c>
      <c r="U623">
        <v>6201</v>
      </c>
      <c r="V623" t="str" cm="1">
        <f t="array" ref="V62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23">
        <v>2823</v>
      </c>
      <c r="X623">
        <v>1</v>
      </c>
      <c r="Y623" t="s">
        <v>43</v>
      </c>
      <c r="Z623" t="s">
        <v>36</v>
      </c>
      <c r="AA623">
        <v>14</v>
      </c>
      <c r="AB623">
        <v>3</v>
      </c>
      <c r="AC623">
        <v>4</v>
      </c>
      <c r="AD623">
        <v>80</v>
      </c>
      <c r="AE623">
        <v>1</v>
      </c>
      <c r="AF623">
        <v>18</v>
      </c>
      <c r="AG623">
        <v>1</v>
      </c>
      <c r="AH623">
        <v>2</v>
      </c>
      <c r="AI623">
        <v>18</v>
      </c>
      <c r="AJ623">
        <v>14</v>
      </c>
      <c r="AK623">
        <v>4</v>
      </c>
      <c r="AL623" t="str" cm="1">
        <f t="array" ref="AL62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23">
        <v>11</v>
      </c>
    </row>
    <row r="624" spans="1:39" x14ac:dyDescent="0.25">
      <c r="A624">
        <v>32</v>
      </c>
      <c r="B624" t="s">
        <v>44</v>
      </c>
      <c r="C624" t="s">
        <v>37</v>
      </c>
      <c r="D624">
        <v>117</v>
      </c>
      <c r="E624" t="s">
        <v>38</v>
      </c>
      <c r="G624">
        <v>13</v>
      </c>
      <c r="H624">
        <v>4</v>
      </c>
      <c r="I624" t="s">
        <v>39</v>
      </c>
      <c r="J624" t="str">
        <f>WA_Fn_UseC__HR_Employee_Attrition[[#This Row],[EducationField]]&amp;"-"&amp;WA_Fn_UseC__HR_Employee_Attrition[[#This Row],[Department]]</f>
        <v>Life Sciences-Sales</v>
      </c>
      <c r="K624">
        <v>1</v>
      </c>
      <c r="L624">
        <v>859</v>
      </c>
      <c r="M624">
        <v>2</v>
      </c>
      <c r="N624" t="s">
        <v>47</v>
      </c>
      <c r="O624">
        <v>73</v>
      </c>
      <c r="P624">
        <v>3</v>
      </c>
      <c r="Q624">
        <v>2</v>
      </c>
      <c r="R624" t="s">
        <v>41</v>
      </c>
      <c r="S624">
        <v>4</v>
      </c>
      <c r="T624" t="s">
        <v>53</v>
      </c>
      <c r="U624">
        <v>4403</v>
      </c>
      <c r="V624" t="str" cm="1">
        <f t="array" ref="V62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24">
        <v>9250</v>
      </c>
      <c r="X624">
        <v>2</v>
      </c>
      <c r="Y624" t="s">
        <v>43</v>
      </c>
      <c r="Z624" t="s">
        <v>44</v>
      </c>
      <c r="AA624">
        <v>11</v>
      </c>
      <c r="AB624">
        <v>3</v>
      </c>
      <c r="AC624">
        <v>3</v>
      </c>
      <c r="AD624">
        <v>80</v>
      </c>
      <c r="AE624">
        <v>1</v>
      </c>
      <c r="AF624">
        <v>8</v>
      </c>
      <c r="AG624">
        <v>3</v>
      </c>
      <c r="AH624">
        <v>2</v>
      </c>
      <c r="AI624">
        <v>5</v>
      </c>
      <c r="AJ624">
        <v>2</v>
      </c>
      <c r="AK624">
        <v>0</v>
      </c>
      <c r="AL624" t="str" cm="1">
        <f t="array" ref="AL62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24">
        <v>3</v>
      </c>
    </row>
    <row r="625" spans="1:39" x14ac:dyDescent="0.25">
      <c r="A625">
        <v>30</v>
      </c>
      <c r="B625" t="s">
        <v>44</v>
      </c>
      <c r="C625" t="s">
        <v>45</v>
      </c>
      <c r="D625">
        <v>1012</v>
      </c>
      <c r="E625" t="s">
        <v>46</v>
      </c>
      <c r="G625">
        <v>5</v>
      </c>
      <c r="H625">
        <v>4</v>
      </c>
      <c r="I625" t="s">
        <v>39</v>
      </c>
      <c r="J625" t="str">
        <f>WA_Fn_UseC__HR_Employee_Attrition[[#This Row],[EducationField]]&amp;"-"&amp;WA_Fn_UseC__HR_Employee_Attrition[[#This Row],[Department]]</f>
        <v>Life Sciences-Research &amp; Development</v>
      </c>
      <c r="K625">
        <v>1</v>
      </c>
      <c r="L625">
        <v>861</v>
      </c>
      <c r="M625">
        <v>2</v>
      </c>
      <c r="N625" t="s">
        <v>47</v>
      </c>
      <c r="O625">
        <v>75</v>
      </c>
      <c r="P625">
        <v>2</v>
      </c>
      <c r="Q625">
        <v>1</v>
      </c>
      <c r="R625" t="s">
        <v>48</v>
      </c>
      <c r="S625">
        <v>4</v>
      </c>
      <c r="T625" t="s">
        <v>53</v>
      </c>
      <c r="U625">
        <v>3761</v>
      </c>
      <c r="V625" t="str" cm="1">
        <f t="array" ref="V62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25">
        <v>2373</v>
      </c>
      <c r="X625">
        <v>9</v>
      </c>
      <c r="Y625" t="s">
        <v>43</v>
      </c>
      <c r="Z625" t="s">
        <v>44</v>
      </c>
      <c r="AA625">
        <v>12</v>
      </c>
      <c r="AB625">
        <v>3</v>
      </c>
      <c r="AC625">
        <v>2</v>
      </c>
      <c r="AD625">
        <v>80</v>
      </c>
      <c r="AE625">
        <v>1</v>
      </c>
      <c r="AF625">
        <v>10</v>
      </c>
      <c r="AG625">
        <v>3</v>
      </c>
      <c r="AH625">
        <v>2</v>
      </c>
      <c r="AI625">
        <v>5</v>
      </c>
      <c r="AJ625">
        <v>4</v>
      </c>
      <c r="AK625">
        <v>0</v>
      </c>
      <c r="AL625" t="str" cm="1">
        <f t="array" ref="AL62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25">
        <v>3</v>
      </c>
    </row>
    <row r="626" spans="1:39" x14ac:dyDescent="0.25">
      <c r="A626">
        <v>53</v>
      </c>
      <c r="B626" t="s">
        <v>44</v>
      </c>
      <c r="C626" t="s">
        <v>37</v>
      </c>
      <c r="D626">
        <v>661</v>
      </c>
      <c r="E626" t="s">
        <v>38</v>
      </c>
      <c r="G626">
        <v>7</v>
      </c>
      <c r="H626">
        <v>2</v>
      </c>
      <c r="I626" t="s">
        <v>60</v>
      </c>
      <c r="J626" t="str">
        <f>WA_Fn_UseC__HR_Employee_Attrition[[#This Row],[EducationField]]&amp;"-"&amp;WA_Fn_UseC__HR_Employee_Attrition[[#This Row],[Department]]</f>
        <v>Marketing-Sales</v>
      </c>
      <c r="K626">
        <v>1</v>
      </c>
      <c r="L626">
        <v>862</v>
      </c>
      <c r="M626">
        <v>1</v>
      </c>
      <c r="N626" t="s">
        <v>40</v>
      </c>
      <c r="O626">
        <v>78</v>
      </c>
      <c r="P626">
        <v>2</v>
      </c>
      <c r="Q626">
        <v>3</v>
      </c>
      <c r="R626" t="s">
        <v>41</v>
      </c>
      <c r="S626">
        <v>4</v>
      </c>
      <c r="T626" t="s">
        <v>49</v>
      </c>
      <c r="U626">
        <v>10934</v>
      </c>
      <c r="V626" t="str" cm="1">
        <f t="array" ref="V62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26">
        <v>20715</v>
      </c>
      <c r="X626">
        <v>7</v>
      </c>
      <c r="Y626" t="s">
        <v>43</v>
      </c>
      <c r="Z626" t="s">
        <v>36</v>
      </c>
      <c r="AA626">
        <v>18</v>
      </c>
      <c r="AB626">
        <v>3</v>
      </c>
      <c r="AC626">
        <v>4</v>
      </c>
      <c r="AD626">
        <v>80</v>
      </c>
      <c r="AE626">
        <v>1</v>
      </c>
      <c r="AF626">
        <v>35</v>
      </c>
      <c r="AG626">
        <v>3</v>
      </c>
      <c r="AH626">
        <v>3</v>
      </c>
      <c r="AI626">
        <v>5</v>
      </c>
      <c r="AJ626">
        <v>2</v>
      </c>
      <c r="AK626">
        <v>0</v>
      </c>
      <c r="AL626" t="str" cm="1">
        <f t="array" ref="AL62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26">
        <v>4</v>
      </c>
    </row>
    <row r="627" spans="1:39" x14ac:dyDescent="0.25">
      <c r="A627">
        <v>45</v>
      </c>
      <c r="B627" t="s">
        <v>44</v>
      </c>
      <c r="C627" t="s">
        <v>37</v>
      </c>
      <c r="D627">
        <v>930</v>
      </c>
      <c r="E627" t="s">
        <v>38</v>
      </c>
      <c r="G627">
        <v>9</v>
      </c>
      <c r="H627">
        <v>3</v>
      </c>
      <c r="I627" t="s">
        <v>60</v>
      </c>
      <c r="J627" t="str">
        <f>WA_Fn_UseC__HR_Employee_Attrition[[#This Row],[EducationField]]&amp;"-"&amp;WA_Fn_UseC__HR_Employee_Attrition[[#This Row],[Department]]</f>
        <v>Marketing-Sales</v>
      </c>
      <c r="K627">
        <v>1</v>
      </c>
      <c r="L627">
        <v>864</v>
      </c>
      <c r="M627">
        <v>4</v>
      </c>
      <c r="N627" t="s">
        <v>47</v>
      </c>
      <c r="O627">
        <v>74</v>
      </c>
      <c r="P627">
        <v>3</v>
      </c>
      <c r="Q627">
        <v>3</v>
      </c>
      <c r="R627" t="s">
        <v>41</v>
      </c>
      <c r="S627">
        <v>1</v>
      </c>
      <c r="T627" t="s">
        <v>53</v>
      </c>
      <c r="U627">
        <v>10761</v>
      </c>
      <c r="V627" t="str" cm="1">
        <f t="array" ref="V62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27">
        <v>19239</v>
      </c>
      <c r="X627">
        <v>4</v>
      </c>
      <c r="Y627" t="s">
        <v>43</v>
      </c>
      <c r="Z627" t="s">
        <v>36</v>
      </c>
      <c r="AA627">
        <v>12</v>
      </c>
      <c r="AB627">
        <v>3</v>
      </c>
      <c r="AC627">
        <v>3</v>
      </c>
      <c r="AD627">
        <v>80</v>
      </c>
      <c r="AE627">
        <v>1</v>
      </c>
      <c r="AF627">
        <v>18</v>
      </c>
      <c r="AG627">
        <v>2</v>
      </c>
      <c r="AH627">
        <v>3</v>
      </c>
      <c r="AI627">
        <v>5</v>
      </c>
      <c r="AJ627">
        <v>4</v>
      </c>
      <c r="AK627">
        <v>0</v>
      </c>
      <c r="AL627" t="str" cm="1">
        <f t="array" ref="AL62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27">
        <v>2</v>
      </c>
    </row>
    <row r="628" spans="1:39" x14ac:dyDescent="0.25">
      <c r="A628">
        <v>32</v>
      </c>
      <c r="B628" t="s">
        <v>44</v>
      </c>
      <c r="C628" t="s">
        <v>37</v>
      </c>
      <c r="D628">
        <v>638</v>
      </c>
      <c r="E628" t="s">
        <v>46</v>
      </c>
      <c r="G628">
        <v>8</v>
      </c>
      <c r="H628">
        <v>2</v>
      </c>
      <c r="I628" t="s">
        <v>52</v>
      </c>
      <c r="J628" t="str">
        <f>WA_Fn_UseC__HR_Employee_Attrition[[#This Row],[EducationField]]&amp;"-"&amp;WA_Fn_UseC__HR_Employee_Attrition[[#This Row],[Department]]</f>
        <v>Medical-Research &amp; Development</v>
      </c>
      <c r="K628">
        <v>1</v>
      </c>
      <c r="L628">
        <v>865</v>
      </c>
      <c r="M628">
        <v>3</v>
      </c>
      <c r="N628" t="s">
        <v>40</v>
      </c>
      <c r="O628">
        <v>91</v>
      </c>
      <c r="P628">
        <v>4</v>
      </c>
      <c r="Q628">
        <v>2</v>
      </c>
      <c r="R628" t="s">
        <v>48</v>
      </c>
      <c r="S628">
        <v>3</v>
      </c>
      <c r="T628" t="s">
        <v>49</v>
      </c>
      <c r="U628">
        <v>5175</v>
      </c>
      <c r="V628" t="str" cm="1">
        <f t="array" ref="V62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28">
        <v>22162</v>
      </c>
      <c r="X628">
        <v>5</v>
      </c>
      <c r="Y628" t="s">
        <v>43</v>
      </c>
      <c r="Z628" t="s">
        <v>44</v>
      </c>
      <c r="AA628">
        <v>12</v>
      </c>
      <c r="AB628">
        <v>3</v>
      </c>
      <c r="AC628">
        <v>3</v>
      </c>
      <c r="AD628">
        <v>80</v>
      </c>
      <c r="AE628">
        <v>1</v>
      </c>
      <c r="AF628">
        <v>9</v>
      </c>
      <c r="AG628">
        <v>3</v>
      </c>
      <c r="AH628">
        <v>2</v>
      </c>
      <c r="AI628">
        <v>5</v>
      </c>
      <c r="AJ628">
        <v>3</v>
      </c>
      <c r="AK628">
        <v>1</v>
      </c>
      <c r="AL628" t="str" cm="1">
        <f t="array" ref="AL62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28">
        <v>3</v>
      </c>
    </row>
    <row r="629" spans="1:39" x14ac:dyDescent="0.25">
      <c r="A629">
        <v>52</v>
      </c>
      <c r="B629" t="s">
        <v>44</v>
      </c>
      <c r="C629" t="s">
        <v>45</v>
      </c>
      <c r="D629">
        <v>890</v>
      </c>
      <c r="E629" t="s">
        <v>46</v>
      </c>
      <c r="G629">
        <v>25</v>
      </c>
      <c r="H629">
        <v>4</v>
      </c>
      <c r="I629" t="s">
        <v>52</v>
      </c>
      <c r="J629" t="str">
        <f>WA_Fn_UseC__HR_Employee_Attrition[[#This Row],[EducationField]]&amp;"-"&amp;WA_Fn_UseC__HR_Employee_Attrition[[#This Row],[Department]]</f>
        <v>Medical-Research &amp; Development</v>
      </c>
      <c r="K629">
        <v>1</v>
      </c>
      <c r="L629">
        <v>867</v>
      </c>
      <c r="M629">
        <v>3</v>
      </c>
      <c r="N629" t="s">
        <v>40</v>
      </c>
      <c r="O629">
        <v>81</v>
      </c>
      <c r="P629">
        <v>2</v>
      </c>
      <c r="Q629">
        <v>4</v>
      </c>
      <c r="R629" t="s">
        <v>54</v>
      </c>
      <c r="S629">
        <v>4</v>
      </c>
      <c r="T629" t="s">
        <v>49</v>
      </c>
      <c r="U629">
        <v>13826</v>
      </c>
      <c r="V629" t="str" cm="1">
        <f t="array" ref="V62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29">
        <v>19028</v>
      </c>
      <c r="X629">
        <v>3</v>
      </c>
      <c r="Y629" t="s">
        <v>43</v>
      </c>
      <c r="Z629" t="s">
        <v>44</v>
      </c>
      <c r="AA629">
        <v>22</v>
      </c>
      <c r="AB629">
        <v>4</v>
      </c>
      <c r="AC629">
        <v>3</v>
      </c>
      <c r="AD629">
        <v>80</v>
      </c>
      <c r="AE629">
        <v>0</v>
      </c>
      <c r="AF629">
        <v>31</v>
      </c>
      <c r="AG629">
        <v>3</v>
      </c>
      <c r="AH629">
        <v>3</v>
      </c>
      <c r="AI629">
        <v>9</v>
      </c>
      <c r="AJ629">
        <v>8</v>
      </c>
      <c r="AK629">
        <v>0</v>
      </c>
      <c r="AL629" t="str" cm="1">
        <f t="array" ref="AL62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29">
        <v>0</v>
      </c>
    </row>
    <row r="630" spans="1:39" x14ac:dyDescent="0.25">
      <c r="A630">
        <v>37</v>
      </c>
      <c r="B630" t="s">
        <v>44</v>
      </c>
      <c r="C630" t="s">
        <v>37</v>
      </c>
      <c r="D630">
        <v>342</v>
      </c>
      <c r="E630" t="s">
        <v>38</v>
      </c>
      <c r="G630">
        <v>16</v>
      </c>
      <c r="H630">
        <v>4</v>
      </c>
      <c r="I630" t="s">
        <v>60</v>
      </c>
      <c r="J630" t="str">
        <f>WA_Fn_UseC__HR_Employee_Attrition[[#This Row],[EducationField]]&amp;"-"&amp;WA_Fn_UseC__HR_Employee_Attrition[[#This Row],[Department]]</f>
        <v>Marketing-Sales</v>
      </c>
      <c r="K630">
        <v>1</v>
      </c>
      <c r="L630">
        <v>868</v>
      </c>
      <c r="M630">
        <v>4</v>
      </c>
      <c r="N630" t="s">
        <v>47</v>
      </c>
      <c r="O630">
        <v>66</v>
      </c>
      <c r="P630">
        <v>2</v>
      </c>
      <c r="Q630">
        <v>2</v>
      </c>
      <c r="R630" t="s">
        <v>41</v>
      </c>
      <c r="S630">
        <v>3</v>
      </c>
      <c r="T630" t="s">
        <v>53</v>
      </c>
      <c r="U630">
        <v>6334</v>
      </c>
      <c r="V630" t="str" cm="1">
        <f t="array" ref="V63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30">
        <v>24558</v>
      </c>
      <c r="X630">
        <v>4</v>
      </c>
      <c r="Y630" t="s">
        <v>43</v>
      </c>
      <c r="Z630" t="s">
        <v>44</v>
      </c>
      <c r="AA630">
        <v>19</v>
      </c>
      <c r="AB630">
        <v>3</v>
      </c>
      <c r="AC630">
        <v>4</v>
      </c>
      <c r="AD630">
        <v>80</v>
      </c>
      <c r="AE630">
        <v>2</v>
      </c>
      <c r="AF630">
        <v>9</v>
      </c>
      <c r="AG630">
        <v>2</v>
      </c>
      <c r="AH630">
        <v>3</v>
      </c>
      <c r="AI630">
        <v>1</v>
      </c>
      <c r="AJ630">
        <v>0</v>
      </c>
      <c r="AK630">
        <v>0</v>
      </c>
      <c r="AL630" t="str" cm="1">
        <f t="array" ref="AL63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30">
        <v>0</v>
      </c>
    </row>
    <row r="631" spans="1:39" x14ac:dyDescent="0.25">
      <c r="A631">
        <v>28</v>
      </c>
      <c r="B631" t="s">
        <v>44</v>
      </c>
      <c r="C631" t="s">
        <v>37</v>
      </c>
      <c r="D631">
        <v>1169</v>
      </c>
      <c r="E631" t="s">
        <v>62</v>
      </c>
      <c r="G631">
        <v>8</v>
      </c>
      <c r="H631">
        <v>2</v>
      </c>
      <c r="I631" t="s">
        <v>52</v>
      </c>
      <c r="J631" t="str">
        <f>WA_Fn_UseC__HR_Employee_Attrition[[#This Row],[EducationField]]&amp;"-"&amp;WA_Fn_UseC__HR_Employee_Attrition[[#This Row],[Department]]</f>
        <v>Medical-Human Resources</v>
      </c>
      <c r="K631">
        <v>1</v>
      </c>
      <c r="L631">
        <v>869</v>
      </c>
      <c r="M631">
        <v>2</v>
      </c>
      <c r="N631" t="s">
        <v>47</v>
      </c>
      <c r="O631">
        <v>63</v>
      </c>
      <c r="P631">
        <v>2</v>
      </c>
      <c r="Q631">
        <v>1</v>
      </c>
      <c r="R631" t="s">
        <v>62</v>
      </c>
      <c r="S631">
        <v>4</v>
      </c>
      <c r="T631" t="s">
        <v>53</v>
      </c>
      <c r="U631">
        <v>4936</v>
      </c>
      <c r="V631" t="str" cm="1">
        <f t="array" ref="V63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31">
        <v>23965</v>
      </c>
      <c r="X631">
        <v>1</v>
      </c>
      <c r="Y631" t="s">
        <v>43</v>
      </c>
      <c r="Z631" t="s">
        <v>44</v>
      </c>
      <c r="AA631">
        <v>13</v>
      </c>
      <c r="AB631">
        <v>3</v>
      </c>
      <c r="AC631">
        <v>4</v>
      </c>
      <c r="AD631">
        <v>80</v>
      </c>
      <c r="AE631">
        <v>1</v>
      </c>
      <c r="AF631">
        <v>6</v>
      </c>
      <c r="AG631">
        <v>6</v>
      </c>
      <c r="AH631">
        <v>3</v>
      </c>
      <c r="AI631">
        <v>5</v>
      </c>
      <c r="AJ631">
        <v>1</v>
      </c>
      <c r="AK631">
        <v>0</v>
      </c>
      <c r="AL631" t="str" cm="1">
        <f t="array" ref="AL63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31">
        <v>4</v>
      </c>
    </row>
    <row r="632" spans="1:39" x14ac:dyDescent="0.25">
      <c r="A632">
        <v>22</v>
      </c>
      <c r="B632" t="s">
        <v>44</v>
      </c>
      <c r="C632" t="s">
        <v>37</v>
      </c>
      <c r="D632">
        <v>1230</v>
      </c>
      <c r="E632" t="s">
        <v>46</v>
      </c>
      <c r="G632">
        <v>1</v>
      </c>
      <c r="H632">
        <v>2</v>
      </c>
      <c r="I632" t="s">
        <v>39</v>
      </c>
      <c r="J632" t="str">
        <f>WA_Fn_UseC__HR_Employee_Attrition[[#This Row],[EducationField]]&amp;"-"&amp;WA_Fn_UseC__HR_Employee_Attrition[[#This Row],[Department]]</f>
        <v>Life Sciences-Research &amp; Development</v>
      </c>
      <c r="K632">
        <v>1</v>
      </c>
      <c r="L632">
        <v>872</v>
      </c>
      <c r="M632">
        <v>4</v>
      </c>
      <c r="N632" t="s">
        <v>47</v>
      </c>
      <c r="O632">
        <v>33</v>
      </c>
      <c r="P632">
        <v>2</v>
      </c>
      <c r="Q632">
        <v>2</v>
      </c>
      <c r="R632" t="s">
        <v>54</v>
      </c>
      <c r="S632">
        <v>4</v>
      </c>
      <c r="T632" t="s">
        <v>49</v>
      </c>
      <c r="U632">
        <v>4775</v>
      </c>
      <c r="V632" t="str" cm="1">
        <f t="array" ref="V63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32">
        <v>19146</v>
      </c>
      <c r="X632">
        <v>6</v>
      </c>
      <c r="Y632" t="s">
        <v>43</v>
      </c>
      <c r="Z632" t="s">
        <v>44</v>
      </c>
      <c r="AA632">
        <v>22</v>
      </c>
      <c r="AB632">
        <v>4</v>
      </c>
      <c r="AC632">
        <v>1</v>
      </c>
      <c r="AD632">
        <v>80</v>
      </c>
      <c r="AE632">
        <v>2</v>
      </c>
      <c r="AF632">
        <v>4</v>
      </c>
      <c r="AG632">
        <v>2</v>
      </c>
      <c r="AH632">
        <v>1</v>
      </c>
      <c r="AI632">
        <v>2</v>
      </c>
      <c r="AJ632">
        <v>2</v>
      </c>
      <c r="AK632">
        <v>2</v>
      </c>
      <c r="AL632" t="str" cm="1">
        <f t="array" ref="AL63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32">
        <v>2</v>
      </c>
    </row>
    <row r="633" spans="1:39" x14ac:dyDescent="0.25">
      <c r="A633">
        <v>44</v>
      </c>
      <c r="B633" t="s">
        <v>44</v>
      </c>
      <c r="C633" t="s">
        <v>37</v>
      </c>
      <c r="D633">
        <v>986</v>
      </c>
      <c r="E633" t="s">
        <v>46</v>
      </c>
      <c r="G633">
        <v>8</v>
      </c>
      <c r="H633">
        <v>4</v>
      </c>
      <c r="I633" t="s">
        <v>39</v>
      </c>
      <c r="J633" t="str">
        <f>WA_Fn_UseC__HR_Employee_Attrition[[#This Row],[EducationField]]&amp;"-"&amp;WA_Fn_UseC__HR_Employee_Attrition[[#This Row],[Department]]</f>
        <v>Life Sciences-Research &amp; Development</v>
      </c>
      <c r="K633">
        <v>1</v>
      </c>
      <c r="L633">
        <v>874</v>
      </c>
      <c r="M633">
        <v>1</v>
      </c>
      <c r="N633" t="s">
        <v>47</v>
      </c>
      <c r="O633">
        <v>62</v>
      </c>
      <c r="P633">
        <v>4</v>
      </c>
      <c r="Q633">
        <v>1</v>
      </c>
      <c r="R633" t="s">
        <v>51</v>
      </c>
      <c r="S633">
        <v>4</v>
      </c>
      <c r="T633" t="s">
        <v>49</v>
      </c>
      <c r="U633">
        <v>2818</v>
      </c>
      <c r="V633" t="str" cm="1">
        <f t="array" ref="V63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33">
        <v>5044</v>
      </c>
      <c r="X633">
        <v>2</v>
      </c>
      <c r="Y633" t="s">
        <v>43</v>
      </c>
      <c r="Z633" t="s">
        <v>36</v>
      </c>
      <c r="AA633">
        <v>24</v>
      </c>
      <c r="AB633">
        <v>4</v>
      </c>
      <c r="AC633">
        <v>3</v>
      </c>
      <c r="AD633">
        <v>80</v>
      </c>
      <c r="AE633">
        <v>1</v>
      </c>
      <c r="AF633">
        <v>10</v>
      </c>
      <c r="AG633">
        <v>2</v>
      </c>
      <c r="AH633">
        <v>2</v>
      </c>
      <c r="AI633">
        <v>3</v>
      </c>
      <c r="AJ633">
        <v>2</v>
      </c>
      <c r="AK633">
        <v>0</v>
      </c>
      <c r="AL633" t="str" cm="1">
        <f t="array" ref="AL63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33">
        <v>2</v>
      </c>
    </row>
    <row r="634" spans="1:39" x14ac:dyDescent="0.25">
      <c r="A634">
        <v>42</v>
      </c>
      <c r="B634" t="s">
        <v>44</v>
      </c>
      <c r="C634" t="s">
        <v>45</v>
      </c>
      <c r="D634">
        <v>1271</v>
      </c>
      <c r="E634" t="s">
        <v>46</v>
      </c>
      <c r="G634">
        <v>2</v>
      </c>
      <c r="H634">
        <v>1</v>
      </c>
      <c r="I634" t="s">
        <v>52</v>
      </c>
      <c r="J634" t="str">
        <f>WA_Fn_UseC__HR_Employee_Attrition[[#This Row],[EducationField]]&amp;"-"&amp;WA_Fn_UseC__HR_Employee_Attrition[[#This Row],[Department]]</f>
        <v>Medical-Research &amp; Development</v>
      </c>
      <c r="K634">
        <v>1</v>
      </c>
      <c r="L634">
        <v>875</v>
      </c>
      <c r="M634">
        <v>2</v>
      </c>
      <c r="N634" t="s">
        <v>47</v>
      </c>
      <c r="O634">
        <v>35</v>
      </c>
      <c r="P634">
        <v>3</v>
      </c>
      <c r="Q634">
        <v>1</v>
      </c>
      <c r="R634" t="s">
        <v>48</v>
      </c>
      <c r="S634">
        <v>4</v>
      </c>
      <c r="T634" t="s">
        <v>42</v>
      </c>
      <c r="U634">
        <v>2515</v>
      </c>
      <c r="V634" t="str" cm="1">
        <f t="array" ref="V63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34">
        <v>9068</v>
      </c>
      <c r="X634">
        <v>5</v>
      </c>
      <c r="Y634" t="s">
        <v>43</v>
      </c>
      <c r="Z634" t="s">
        <v>36</v>
      </c>
      <c r="AA634">
        <v>14</v>
      </c>
      <c r="AB634">
        <v>3</v>
      </c>
      <c r="AC634">
        <v>4</v>
      </c>
      <c r="AD634">
        <v>80</v>
      </c>
      <c r="AE634">
        <v>0</v>
      </c>
      <c r="AF634">
        <v>8</v>
      </c>
      <c r="AG634">
        <v>2</v>
      </c>
      <c r="AH634">
        <v>3</v>
      </c>
      <c r="AI634">
        <v>2</v>
      </c>
      <c r="AJ634">
        <v>1</v>
      </c>
      <c r="AK634">
        <v>2</v>
      </c>
      <c r="AL634" t="str" cm="1">
        <f t="array" ref="AL63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34">
        <v>2</v>
      </c>
    </row>
    <row r="635" spans="1:39" x14ac:dyDescent="0.25">
      <c r="A635">
        <v>36</v>
      </c>
      <c r="B635" t="s">
        <v>44</v>
      </c>
      <c r="C635" t="s">
        <v>37</v>
      </c>
      <c r="D635">
        <v>1278</v>
      </c>
      <c r="E635" t="s">
        <v>62</v>
      </c>
      <c r="G635">
        <v>8</v>
      </c>
      <c r="H635">
        <v>3</v>
      </c>
      <c r="I635" t="s">
        <v>39</v>
      </c>
      <c r="J635" t="str">
        <f>WA_Fn_UseC__HR_Employee_Attrition[[#This Row],[EducationField]]&amp;"-"&amp;WA_Fn_UseC__HR_Employee_Attrition[[#This Row],[Department]]</f>
        <v>Life Sciences-Human Resources</v>
      </c>
      <c r="K635">
        <v>1</v>
      </c>
      <c r="L635">
        <v>878</v>
      </c>
      <c r="M635">
        <v>1</v>
      </c>
      <c r="N635" t="s">
        <v>47</v>
      </c>
      <c r="O635">
        <v>77</v>
      </c>
      <c r="P635">
        <v>2</v>
      </c>
      <c r="Q635">
        <v>1</v>
      </c>
      <c r="R635" t="s">
        <v>62</v>
      </c>
      <c r="S635">
        <v>1</v>
      </c>
      <c r="T635" t="s">
        <v>49</v>
      </c>
      <c r="U635">
        <v>2342</v>
      </c>
      <c r="V635" t="str" cm="1">
        <f t="array" ref="V63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35">
        <v>8635</v>
      </c>
      <c r="X635">
        <v>0</v>
      </c>
      <c r="Y635" t="s">
        <v>43</v>
      </c>
      <c r="Z635" t="s">
        <v>44</v>
      </c>
      <c r="AA635">
        <v>21</v>
      </c>
      <c r="AB635">
        <v>4</v>
      </c>
      <c r="AC635">
        <v>3</v>
      </c>
      <c r="AD635">
        <v>80</v>
      </c>
      <c r="AE635">
        <v>0</v>
      </c>
      <c r="AF635">
        <v>6</v>
      </c>
      <c r="AG635">
        <v>3</v>
      </c>
      <c r="AH635">
        <v>3</v>
      </c>
      <c r="AI635">
        <v>5</v>
      </c>
      <c r="AJ635">
        <v>4</v>
      </c>
      <c r="AK635">
        <v>0</v>
      </c>
      <c r="AL635" t="str" cm="1">
        <f t="array" ref="AL63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35">
        <v>3</v>
      </c>
    </row>
    <row r="636" spans="1:39" x14ac:dyDescent="0.25">
      <c r="A636">
        <v>25</v>
      </c>
      <c r="B636" t="s">
        <v>44</v>
      </c>
      <c r="C636" t="s">
        <v>37</v>
      </c>
      <c r="D636">
        <v>141</v>
      </c>
      <c r="E636" t="s">
        <v>38</v>
      </c>
      <c r="G636">
        <v>3</v>
      </c>
      <c r="H636">
        <v>1</v>
      </c>
      <c r="I636" t="s">
        <v>50</v>
      </c>
      <c r="J636" t="str">
        <f>WA_Fn_UseC__HR_Employee_Attrition[[#This Row],[EducationField]]&amp;"-"&amp;WA_Fn_UseC__HR_Employee_Attrition[[#This Row],[Department]]</f>
        <v>Other-Sales</v>
      </c>
      <c r="K636">
        <v>1</v>
      </c>
      <c r="L636">
        <v>879</v>
      </c>
      <c r="M636">
        <v>3</v>
      </c>
      <c r="N636" t="s">
        <v>47</v>
      </c>
      <c r="O636">
        <v>98</v>
      </c>
      <c r="P636">
        <v>3</v>
      </c>
      <c r="Q636">
        <v>2</v>
      </c>
      <c r="R636" t="s">
        <v>41</v>
      </c>
      <c r="S636">
        <v>1</v>
      </c>
      <c r="T636" t="s">
        <v>49</v>
      </c>
      <c r="U636">
        <v>4194</v>
      </c>
      <c r="V636" t="str" cm="1">
        <f t="array" ref="V63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36">
        <v>14363</v>
      </c>
      <c r="X636">
        <v>1</v>
      </c>
      <c r="Y636" t="s">
        <v>43</v>
      </c>
      <c r="Z636" t="s">
        <v>36</v>
      </c>
      <c r="AA636">
        <v>18</v>
      </c>
      <c r="AB636">
        <v>3</v>
      </c>
      <c r="AC636">
        <v>4</v>
      </c>
      <c r="AD636">
        <v>80</v>
      </c>
      <c r="AE636">
        <v>0</v>
      </c>
      <c r="AF636">
        <v>5</v>
      </c>
      <c r="AG636">
        <v>3</v>
      </c>
      <c r="AH636">
        <v>3</v>
      </c>
      <c r="AI636">
        <v>5</v>
      </c>
      <c r="AJ636">
        <v>3</v>
      </c>
      <c r="AK636">
        <v>0</v>
      </c>
      <c r="AL636" t="str" cm="1">
        <f t="array" ref="AL63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36">
        <v>3</v>
      </c>
    </row>
    <row r="637" spans="1:39" x14ac:dyDescent="0.25">
      <c r="A637">
        <v>35</v>
      </c>
      <c r="B637" t="s">
        <v>44</v>
      </c>
      <c r="C637" t="s">
        <v>37</v>
      </c>
      <c r="D637">
        <v>607</v>
      </c>
      <c r="E637" t="s">
        <v>46</v>
      </c>
      <c r="G637">
        <v>9</v>
      </c>
      <c r="H637">
        <v>3</v>
      </c>
      <c r="I637" t="s">
        <v>39</v>
      </c>
      <c r="J637" t="str">
        <f>WA_Fn_UseC__HR_Employee_Attrition[[#This Row],[EducationField]]&amp;"-"&amp;WA_Fn_UseC__HR_Employee_Attrition[[#This Row],[Department]]</f>
        <v>Life Sciences-Research &amp; Development</v>
      </c>
      <c r="K637">
        <v>1</v>
      </c>
      <c r="L637">
        <v>880</v>
      </c>
      <c r="M637">
        <v>4</v>
      </c>
      <c r="N637" t="s">
        <v>40</v>
      </c>
      <c r="O637">
        <v>66</v>
      </c>
      <c r="P637">
        <v>2</v>
      </c>
      <c r="Q637">
        <v>3</v>
      </c>
      <c r="R637" t="s">
        <v>54</v>
      </c>
      <c r="S637">
        <v>3</v>
      </c>
      <c r="T637" t="s">
        <v>49</v>
      </c>
      <c r="U637">
        <v>10685</v>
      </c>
      <c r="V637" t="str" cm="1">
        <f t="array" ref="V63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37">
        <v>23457</v>
      </c>
      <c r="X637">
        <v>1</v>
      </c>
      <c r="Y637" t="s">
        <v>43</v>
      </c>
      <c r="Z637" t="s">
        <v>36</v>
      </c>
      <c r="AA637">
        <v>20</v>
      </c>
      <c r="AB637">
        <v>4</v>
      </c>
      <c r="AC637">
        <v>2</v>
      </c>
      <c r="AD637">
        <v>80</v>
      </c>
      <c r="AE637">
        <v>1</v>
      </c>
      <c r="AF637">
        <v>17</v>
      </c>
      <c r="AG637">
        <v>2</v>
      </c>
      <c r="AH637">
        <v>3</v>
      </c>
      <c r="AI637">
        <v>17</v>
      </c>
      <c r="AJ637">
        <v>14</v>
      </c>
      <c r="AK637">
        <v>5</v>
      </c>
      <c r="AL637" t="str" cm="1">
        <f t="array" ref="AL63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37">
        <v>15</v>
      </c>
    </row>
    <row r="638" spans="1:39" x14ac:dyDescent="0.25">
      <c r="A638">
        <v>35</v>
      </c>
      <c r="B638" t="s">
        <v>36</v>
      </c>
      <c r="C638" t="s">
        <v>45</v>
      </c>
      <c r="D638">
        <v>130</v>
      </c>
      <c r="E638" t="s">
        <v>46</v>
      </c>
      <c r="G638">
        <v>25</v>
      </c>
      <c r="H638">
        <v>4</v>
      </c>
      <c r="I638" t="s">
        <v>39</v>
      </c>
      <c r="J638" t="str">
        <f>WA_Fn_UseC__HR_Employee_Attrition[[#This Row],[EducationField]]&amp;"-"&amp;WA_Fn_UseC__HR_Employee_Attrition[[#This Row],[Department]]</f>
        <v>Life Sciences-Research &amp; Development</v>
      </c>
      <c r="K638">
        <v>1</v>
      </c>
      <c r="L638">
        <v>881</v>
      </c>
      <c r="M638">
        <v>4</v>
      </c>
      <c r="N638" t="s">
        <v>40</v>
      </c>
      <c r="O638">
        <v>96</v>
      </c>
      <c r="P638">
        <v>3</v>
      </c>
      <c r="Q638">
        <v>1</v>
      </c>
      <c r="R638" t="s">
        <v>48</v>
      </c>
      <c r="S638">
        <v>2</v>
      </c>
      <c r="T638" t="s">
        <v>53</v>
      </c>
      <c r="U638">
        <v>2022</v>
      </c>
      <c r="V638" t="str" cm="1">
        <f t="array" ref="V63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38">
        <v>16612</v>
      </c>
      <c r="X638">
        <v>1</v>
      </c>
      <c r="Y638" t="s">
        <v>43</v>
      </c>
      <c r="Z638" t="s">
        <v>36</v>
      </c>
      <c r="AA638">
        <v>19</v>
      </c>
      <c r="AB638">
        <v>3</v>
      </c>
      <c r="AC638">
        <v>1</v>
      </c>
      <c r="AD638">
        <v>80</v>
      </c>
      <c r="AE638">
        <v>1</v>
      </c>
      <c r="AF638">
        <v>10</v>
      </c>
      <c r="AG638">
        <v>3</v>
      </c>
      <c r="AH638">
        <v>2</v>
      </c>
      <c r="AI638">
        <v>10</v>
      </c>
      <c r="AJ638">
        <v>2</v>
      </c>
      <c r="AK638">
        <v>7</v>
      </c>
      <c r="AL638" t="str" cm="1">
        <f t="array" ref="AL63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38">
        <v>8</v>
      </c>
    </row>
    <row r="639" spans="1:39" x14ac:dyDescent="0.25">
      <c r="A639">
        <v>32</v>
      </c>
      <c r="B639" t="s">
        <v>44</v>
      </c>
      <c r="C639" t="s">
        <v>56</v>
      </c>
      <c r="D639">
        <v>300</v>
      </c>
      <c r="E639" t="s">
        <v>46</v>
      </c>
      <c r="G639">
        <v>1</v>
      </c>
      <c r="H639">
        <v>3</v>
      </c>
      <c r="I639" t="s">
        <v>39</v>
      </c>
      <c r="J639" t="str">
        <f>WA_Fn_UseC__HR_Employee_Attrition[[#This Row],[EducationField]]&amp;"-"&amp;WA_Fn_UseC__HR_Employee_Attrition[[#This Row],[Department]]</f>
        <v>Life Sciences-Research &amp; Development</v>
      </c>
      <c r="K639">
        <v>1</v>
      </c>
      <c r="L639">
        <v>882</v>
      </c>
      <c r="M639">
        <v>4</v>
      </c>
      <c r="N639" t="s">
        <v>47</v>
      </c>
      <c r="O639">
        <v>61</v>
      </c>
      <c r="P639">
        <v>3</v>
      </c>
      <c r="Q639">
        <v>1</v>
      </c>
      <c r="R639" t="s">
        <v>51</v>
      </c>
      <c r="S639">
        <v>4</v>
      </c>
      <c r="T639" t="s">
        <v>53</v>
      </c>
      <c r="U639">
        <v>2314</v>
      </c>
      <c r="V639" t="str" cm="1">
        <f t="array" ref="V63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39">
        <v>9148</v>
      </c>
      <c r="X639">
        <v>0</v>
      </c>
      <c r="Y639" t="s">
        <v>43</v>
      </c>
      <c r="Z639" t="s">
        <v>44</v>
      </c>
      <c r="AA639">
        <v>12</v>
      </c>
      <c r="AB639">
        <v>3</v>
      </c>
      <c r="AC639">
        <v>2</v>
      </c>
      <c r="AD639">
        <v>80</v>
      </c>
      <c r="AE639">
        <v>1</v>
      </c>
      <c r="AF639">
        <v>4</v>
      </c>
      <c r="AG639">
        <v>2</v>
      </c>
      <c r="AH639">
        <v>3</v>
      </c>
      <c r="AI639">
        <v>3</v>
      </c>
      <c r="AJ639">
        <v>0</v>
      </c>
      <c r="AK639">
        <v>0</v>
      </c>
      <c r="AL639" t="str" cm="1">
        <f t="array" ref="AL63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39">
        <v>2</v>
      </c>
    </row>
    <row r="640" spans="1:39" x14ac:dyDescent="0.25">
      <c r="A640">
        <v>25</v>
      </c>
      <c r="B640" t="s">
        <v>44</v>
      </c>
      <c r="C640" t="s">
        <v>37</v>
      </c>
      <c r="D640">
        <v>583</v>
      </c>
      <c r="E640" t="s">
        <v>38</v>
      </c>
      <c r="G640">
        <v>4</v>
      </c>
      <c r="H640">
        <v>1</v>
      </c>
      <c r="I640" t="s">
        <v>60</v>
      </c>
      <c r="J640" t="str">
        <f>WA_Fn_UseC__HR_Employee_Attrition[[#This Row],[EducationField]]&amp;"-"&amp;WA_Fn_UseC__HR_Employee_Attrition[[#This Row],[Department]]</f>
        <v>Marketing-Sales</v>
      </c>
      <c r="K640">
        <v>1</v>
      </c>
      <c r="L640">
        <v>885</v>
      </c>
      <c r="M640">
        <v>3</v>
      </c>
      <c r="N640" t="s">
        <v>47</v>
      </c>
      <c r="O640">
        <v>87</v>
      </c>
      <c r="P640">
        <v>2</v>
      </c>
      <c r="Q640">
        <v>2</v>
      </c>
      <c r="R640" t="s">
        <v>41</v>
      </c>
      <c r="S640">
        <v>1</v>
      </c>
      <c r="T640" t="s">
        <v>49</v>
      </c>
      <c r="U640">
        <v>4256</v>
      </c>
      <c r="V640" t="str" cm="1">
        <f t="array" ref="V64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40">
        <v>18154</v>
      </c>
      <c r="X640">
        <v>1</v>
      </c>
      <c r="Y640" t="s">
        <v>43</v>
      </c>
      <c r="Z640" t="s">
        <v>44</v>
      </c>
      <c r="AA640">
        <v>12</v>
      </c>
      <c r="AB640">
        <v>3</v>
      </c>
      <c r="AC640">
        <v>1</v>
      </c>
      <c r="AD640">
        <v>80</v>
      </c>
      <c r="AE640">
        <v>0</v>
      </c>
      <c r="AF640">
        <v>5</v>
      </c>
      <c r="AG640">
        <v>1</v>
      </c>
      <c r="AH640">
        <v>4</v>
      </c>
      <c r="AI640">
        <v>5</v>
      </c>
      <c r="AJ640">
        <v>2</v>
      </c>
      <c r="AK640">
        <v>0</v>
      </c>
      <c r="AL640" t="str" cm="1">
        <f t="array" ref="AL64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40">
        <v>3</v>
      </c>
    </row>
    <row r="641" spans="1:39" x14ac:dyDescent="0.25">
      <c r="A641">
        <v>49</v>
      </c>
      <c r="B641" t="s">
        <v>44</v>
      </c>
      <c r="C641" t="s">
        <v>37</v>
      </c>
      <c r="D641">
        <v>1418</v>
      </c>
      <c r="E641" t="s">
        <v>46</v>
      </c>
      <c r="G641">
        <v>1</v>
      </c>
      <c r="H641">
        <v>3</v>
      </c>
      <c r="I641" t="s">
        <v>61</v>
      </c>
      <c r="J641" t="str">
        <f>WA_Fn_UseC__HR_Employee_Attrition[[#This Row],[EducationField]]&amp;"-"&amp;WA_Fn_UseC__HR_Employee_Attrition[[#This Row],[Department]]</f>
        <v>Technical Degree-Research &amp; Development</v>
      </c>
      <c r="K641">
        <v>1</v>
      </c>
      <c r="L641">
        <v>887</v>
      </c>
      <c r="M641">
        <v>3</v>
      </c>
      <c r="N641" t="s">
        <v>40</v>
      </c>
      <c r="O641">
        <v>36</v>
      </c>
      <c r="P641">
        <v>3</v>
      </c>
      <c r="Q641">
        <v>1</v>
      </c>
      <c r="R641" t="s">
        <v>48</v>
      </c>
      <c r="S641">
        <v>1</v>
      </c>
      <c r="T641" t="s">
        <v>49</v>
      </c>
      <c r="U641">
        <v>3580</v>
      </c>
      <c r="V641" t="str" cm="1">
        <f t="array" ref="V64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41">
        <v>10554</v>
      </c>
      <c r="X641">
        <v>2</v>
      </c>
      <c r="Y641" t="s">
        <v>43</v>
      </c>
      <c r="Z641" t="s">
        <v>44</v>
      </c>
      <c r="AA641">
        <v>16</v>
      </c>
      <c r="AB641">
        <v>3</v>
      </c>
      <c r="AC641">
        <v>2</v>
      </c>
      <c r="AD641">
        <v>80</v>
      </c>
      <c r="AE641">
        <v>1</v>
      </c>
      <c r="AF641">
        <v>7</v>
      </c>
      <c r="AG641">
        <v>2</v>
      </c>
      <c r="AH641">
        <v>3</v>
      </c>
      <c r="AI641">
        <v>4</v>
      </c>
      <c r="AJ641">
        <v>2</v>
      </c>
      <c r="AK641">
        <v>0</v>
      </c>
      <c r="AL641" t="str" cm="1">
        <f t="array" ref="AL64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41">
        <v>2</v>
      </c>
    </row>
    <row r="642" spans="1:39" x14ac:dyDescent="0.25">
      <c r="A642">
        <v>24</v>
      </c>
      <c r="B642" t="s">
        <v>44</v>
      </c>
      <c r="C642" t="s">
        <v>56</v>
      </c>
      <c r="D642">
        <v>1269</v>
      </c>
      <c r="E642" t="s">
        <v>46</v>
      </c>
      <c r="G642">
        <v>4</v>
      </c>
      <c r="H642">
        <v>1</v>
      </c>
      <c r="I642" t="s">
        <v>39</v>
      </c>
      <c r="J642" t="str">
        <f>WA_Fn_UseC__HR_Employee_Attrition[[#This Row],[EducationField]]&amp;"-"&amp;WA_Fn_UseC__HR_Employee_Attrition[[#This Row],[Department]]</f>
        <v>Life Sciences-Research &amp; Development</v>
      </c>
      <c r="K642">
        <v>1</v>
      </c>
      <c r="L642">
        <v>888</v>
      </c>
      <c r="M642">
        <v>1</v>
      </c>
      <c r="N642" t="s">
        <v>47</v>
      </c>
      <c r="O642">
        <v>46</v>
      </c>
      <c r="P642">
        <v>2</v>
      </c>
      <c r="Q642">
        <v>1</v>
      </c>
      <c r="R642" t="s">
        <v>51</v>
      </c>
      <c r="S642">
        <v>4</v>
      </c>
      <c r="T642" t="s">
        <v>49</v>
      </c>
      <c r="U642">
        <v>3162</v>
      </c>
      <c r="V642" t="str" cm="1">
        <f t="array" ref="V64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42">
        <v>10778</v>
      </c>
      <c r="X642">
        <v>0</v>
      </c>
      <c r="Y642" t="s">
        <v>43</v>
      </c>
      <c r="Z642" t="s">
        <v>44</v>
      </c>
      <c r="AA642">
        <v>17</v>
      </c>
      <c r="AB642">
        <v>3</v>
      </c>
      <c r="AC642">
        <v>4</v>
      </c>
      <c r="AD642">
        <v>80</v>
      </c>
      <c r="AE642">
        <v>0</v>
      </c>
      <c r="AF642">
        <v>6</v>
      </c>
      <c r="AG642">
        <v>2</v>
      </c>
      <c r="AH642">
        <v>2</v>
      </c>
      <c r="AI642">
        <v>5</v>
      </c>
      <c r="AJ642">
        <v>2</v>
      </c>
      <c r="AK642">
        <v>3</v>
      </c>
      <c r="AL642" t="str" cm="1">
        <f t="array" ref="AL64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42">
        <v>4</v>
      </c>
    </row>
    <row r="643" spans="1:39" x14ac:dyDescent="0.25">
      <c r="A643">
        <v>32</v>
      </c>
      <c r="B643" t="s">
        <v>44</v>
      </c>
      <c r="C643" t="s">
        <v>45</v>
      </c>
      <c r="D643">
        <v>379</v>
      </c>
      <c r="E643" t="s">
        <v>38</v>
      </c>
      <c r="G643">
        <v>5</v>
      </c>
      <c r="H643">
        <v>2</v>
      </c>
      <c r="I643" t="s">
        <v>39</v>
      </c>
      <c r="J643" t="str">
        <f>WA_Fn_UseC__HR_Employee_Attrition[[#This Row],[EducationField]]&amp;"-"&amp;WA_Fn_UseC__HR_Employee_Attrition[[#This Row],[Department]]</f>
        <v>Life Sciences-Sales</v>
      </c>
      <c r="K643">
        <v>1</v>
      </c>
      <c r="L643">
        <v>889</v>
      </c>
      <c r="M643">
        <v>2</v>
      </c>
      <c r="N643" t="s">
        <v>47</v>
      </c>
      <c r="O643">
        <v>48</v>
      </c>
      <c r="P643">
        <v>3</v>
      </c>
      <c r="Q643">
        <v>2</v>
      </c>
      <c r="R643" t="s">
        <v>41</v>
      </c>
      <c r="S643">
        <v>2</v>
      </c>
      <c r="T643" t="s">
        <v>49</v>
      </c>
      <c r="U643">
        <v>6524</v>
      </c>
      <c r="V643" t="str" cm="1">
        <f t="array" ref="V64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43">
        <v>8891</v>
      </c>
      <c r="X643">
        <v>1</v>
      </c>
      <c r="Y643" t="s">
        <v>43</v>
      </c>
      <c r="Z643" t="s">
        <v>44</v>
      </c>
      <c r="AA643">
        <v>14</v>
      </c>
      <c r="AB643">
        <v>3</v>
      </c>
      <c r="AC643">
        <v>4</v>
      </c>
      <c r="AD643">
        <v>80</v>
      </c>
      <c r="AE643">
        <v>1</v>
      </c>
      <c r="AF643">
        <v>10</v>
      </c>
      <c r="AG643">
        <v>3</v>
      </c>
      <c r="AH643">
        <v>3</v>
      </c>
      <c r="AI643">
        <v>10</v>
      </c>
      <c r="AJ643">
        <v>8</v>
      </c>
      <c r="AK643">
        <v>5</v>
      </c>
      <c r="AL643" t="str" cm="1">
        <f t="array" ref="AL64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43">
        <v>3</v>
      </c>
    </row>
    <row r="644" spans="1:39" x14ac:dyDescent="0.25">
      <c r="A644">
        <v>38</v>
      </c>
      <c r="B644" t="s">
        <v>44</v>
      </c>
      <c r="C644" t="s">
        <v>37</v>
      </c>
      <c r="D644">
        <v>395</v>
      </c>
      <c r="E644" t="s">
        <v>38</v>
      </c>
      <c r="G644">
        <v>9</v>
      </c>
      <c r="H644">
        <v>3</v>
      </c>
      <c r="I644" t="s">
        <v>60</v>
      </c>
      <c r="J644" t="str">
        <f>WA_Fn_UseC__HR_Employee_Attrition[[#This Row],[EducationField]]&amp;"-"&amp;WA_Fn_UseC__HR_Employee_Attrition[[#This Row],[Department]]</f>
        <v>Marketing-Sales</v>
      </c>
      <c r="K644">
        <v>1</v>
      </c>
      <c r="L644">
        <v>893</v>
      </c>
      <c r="M644">
        <v>2</v>
      </c>
      <c r="N644" t="s">
        <v>47</v>
      </c>
      <c r="O644">
        <v>98</v>
      </c>
      <c r="P644">
        <v>2</v>
      </c>
      <c r="Q644">
        <v>1</v>
      </c>
      <c r="R644" t="s">
        <v>58</v>
      </c>
      <c r="S644">
        <v>2</v>
      </c>
      <c r="T644" t="s">
        <v>49</v>
      </c>
      <c r="U644">
        <v>2899</v>
      </c>
      <c r="V644" t="str" cm="1">
        <f t="array" ref="V64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44">
        <v>12102</v>
      </c>
      <c r="X644">
        <v>0</v>
      </c>
      <c r="Y644" t="s">
        <v>43</v>
      </c>
      <c r="Z644" t="s">
        <v>44</v>
      </c>
      <c r="AA644">
        <v>19</v>
      </c>
      <c r="AB644">
        <v>3</v>
      </c>
      <c r="AC644">
        <v>4</v>
      </c>
      <c r="AD644">
        <v>80</v>
      </c>
      <c r="AE644">
        <v>1</v>
      </c>
      <c r="AF644">
        <v>3</v>
      </c>
      <c r="AG644">
        <v>3</v>
      </c>
      <c r="AH644">
        <v>3</v>
      </c>
      <c r="AI644">
        <v>2</v>
      </c>
      <c r="AJ644">
        <v>2</v>
      </c>
      <c r="AK644">
        <v>1</v>
      </c>
      <c r="AL644" t="str" cm="1">
        <f t="array" ref="AL64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44">
        <v>2</v>
      </c>
    </row>
    <row r="645" spans="1:39" x14ac:dyDescent="0.25">
      <c r="A645">
        <v>42</v>
      </c>
      <c r="B645" t="s">
        <v>44</v>
      </c>
      <c r="C645" t="s">
        <v>37</v>
      </c>
      <c r="D645">
        <v>1265</v>
      </c>
      <c r="E645" t="s">
        <v>46</v>
      </c>
      <c r="G645">
        <v>3</v>
      </c>
      <c r="H645">
        <v>3</v>
      </c>
      <c r="I645" t="s">
        <v>39</v>
      </c>
      <c r="J645" t="str">
        <f>WA_Fn_UseC__HR_Employee_Attrition[[#This Row],[EducationField]]&amp;"-"&amp;WA_Fn_UseC__HR_Employee_Attrition[[#This Row],[Department]]</f>
        <v>Life Sciences-Research &amp; Development</v>
      </c>
      <c r="K645">
        <v>1</v>
      </c>
      <c r="L645">
        <v>894</v>
      </c>
      <c r="M645">
        <v>3</v>
      </c>
      <c r="N645" t="s">
        <v>40</v>
      </c>
      <c r="O645">
        <v>95</v>
      </c>
      <c r="P645">
        <v>4</v>
      </c>
      <c r="Q645">
        <v>2</v>
      </c>
      <c r="R645" t="s">
        <v>51</v>
      </c>
      <c r="S645">
        <v>4</v>
      </c>
      <c r="T645" t="s">
        <v>49</v>
      </c>
      <c r="U645">
        <v>5231</v>
      </c>
      <c r="V645" t="str" cm="1">
        <f t="array" ref="V64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45">
        <v>23726</v>
      </c>
      <c r="X645">
        <v>2</v>
      </c>
      <c r="Y645" t="s">
        <v>43</v>
      </c>
      <c r="Z645" t="s">
        <v>36</v>
      </c>
      <c r="AA645">
        <v>13</v>
      </c>
      <c r="AB645">
        <v>3</v>
      </c>
      <c r="AC645">
        <v>2</v>
      </c>
      <c r="AD645">
        <v>80</v>
      </c>
      <c r="AE645">
        <v>1</v>
      </c>
      <c r="AF645">
        <v>17</v>
      </c>
      <c r="AG645">
        <v>1</v>
      </c>
      <c r="AH645">
        <v>2</v>
      </c>
      <c r="AI645">
        <v>5</v>
      </c>
      <c r="AJ645">
        <v>3</v>
      </c>
      <c r="AK645">
        <v>1</v>
      </c>
      <c r="AL645" t="str" cm="1">
        <f t="array" ref="AL64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45">
        <v>3</v>
      </c>
    </row>
    <row r="646" spans="1:39" x14ac:dyDescent="0.25">
      <c r="A646">
        <v>31</v>
      </c>
      <c r="B646" t="s">
        <v>44</v>
      </c>
      <c r="C646" t="s">
        <v>37</v>
      </c>
      <c r="D646">
        <v>1222</v>
      </c>
      <c r="E646" t="s">
        <v>46</v>
      </c>
      <c r="G646">
        <v>11</v>
      </c>
      <c r="H646">
        <v>4</v>
      </c>
      <c r="I646" t="s">
        <v>39</v>
      </c>
      <c r="J646" t="str">
        <f>WA_Fn_UseC__HR_Employee_Attrition[[#This Row],[EducationField]]&amp;"-"&amp;WA_Fn_UseC__HR_Employee_Attrition[[#This Row],[Department]]</f>
        <v>Life Sciences-Research &amp; Development</v>
      </c>
      <c r="K646">
        <v>1</v>
      </c>
      <c r="L646">
        <v>895</v>
      </c>
      <c r="M646">
        <v>4</v>
      </c>
      <c r="N646" t="s">
        <v>47</v>
      </c>
      <c r="O646">
        <v>48</v>
      </c>
      <c r="P646">
        <v>3</v>
      </c>
      <c r="Q646">
        <v>1</v>
      </c>
      <c r="R646" t="s">
        <v>48</v>
      </c>
      <c r="S646">
        <v>4</v>
      </c>
      <c r="T646" t="s">
        <v>49</v>
      </c>
      <c r="U646">
        <v>2356</v>
      </c>
      <c r="V646" t="str" cm="1">
        <f t="array" ref="V64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46">
        <v>14871</v>
      </c>
      <c r="X646">
        <v>3</v>
      </c>
      <c r="Y646" t="s">
        <v>43</v>
      </c>
      <c r="Z646" t="s">
        <v>36</v>
      </c>
      <c r="AA646">
        <v>19</v>
      </c>
      <c r="AB646">
        <v>3</v>
      </c>
      <c r="AC646">
        <v>2</v>
      </c>
      <c r="AD646">
        <v>80</v>
      </c>
      <c r="AE646">
        <v>1</v>
      </c>
      <c r="AF646">
        <v>8</v>
      </c>
      <c r="AG646">
        <v>2</v>
      </c>
      <c r="AH646">
        <v>3</v>
      </c>
      <c r="AI646">
        <v>6</v>
      </c>
      <c r="AJ646">
        <v>4</v>
      </c>
      <c r="AK646">
        <v>0</v>
      </c>
      <c r="AL646" t="str" cm="1">
        <f t="array" ref="AL64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46">
        <v>2</v>
      </c>
    </row>
    <row r="647" spans="1:39" x14ac:dyDescent="0.25">
      <c r="A647">
        <v>29</v>
      </c>
      <c r="B647" t="s">
        <v>36</v>
      </c>
      <c r="C647" t="s">
        <v>37</v>
      </c>
      <c r="D647">
        <v>341</v>
      </c>
      <c r="E647" t="s">
        <v>38</v>
      </c>
      <c r="G647">
        <v>1</v>
      </c>
      <c r="H647">
        <v>3</v>
      </c>
      <c r="I647" t="s">
        <v>52</v>
      </c>
      <c r="J647" t="str">
        <f>WA_Fn_UseC__HR_Employee_Attrition[[#This Row],[EducationField]]&amp;"-"&amp;WA_Fn_UseC__HR_Employee_Attrition[[#This Row],[Department]]</f>
        <v>Medical-Sales</v>
      </c>
      <c r="K647">
        <v>1</v>
      </c>
      <c r="L647">
        <v>896</v>
      </c>
      <c r="M647">
        <v>2</v>
      </c>
      <c r="N647" t="s">
        <v>40</v>
      </c>
      <c r="O647">
        <v>48</v>
      </c>
      <c r="P647">
        <v>2</v>
      </c>
      <c r="Q647">
        <v>1</v>
      </c>
      <c r="R647" t="s">
        <v>58</v>
      </c>
      <c r="S647">
        <v>3</v>
      </c>
      <c r="T647" t="s">
        <v>53</v>
      </c>
      <c r="U647">
        <v>2800</v>
      </c>
      <c r="V647" t="str" cm="1">
        <f t="array" ref="V64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47">
        <v>23522</v>
      </c>
      <c r="X647">
        <v>6</v>
      </c>
      <c r="Y647" t="s">
        <v>43</v>
      </c>
      <c r="Z647" t="s">
        <v>36</v>
      </c>
      <c r="AA647">
        <v>19</v>
      </c>
      <c r="AB647">
        <v>3</v>
      </c>
      <c r="AC647">
        <v>3</v>
      </c>
      <c r="AD647">
        <v>80</v>
      </c>
      <c r="AE647">
        <v>3</v>
      </c>
      <c r="AF647">
        <v>5</v>
      </c>
      <c r="AG647">
        <v>3</v>
      </c>
      <c r="AH647">
        <v>3</v>
      </c>
      <c r="AI647">
        <v>3</v>
      </c>
      <c r="AJ647">
        <v>2</v>
      </c>
      <c r="AK647">
        <v>0</v>
      </c>
      <c r="AL647" t="str" cm="1">
        <f t="array" ref="AL64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47">
        <v>2</v>
      </c>
    </row>
    <row r="648" spans="1:39" x14ac:dyDescent="0.25">
      <c r="A648">
        <v>53</v>
      </c>
      <c r="B648" t="s">
        <v>44</v>
      </c>
      <c r="C648" t="s">
        <v>37</v>
      </c>
      <c r="D648">
        <v>868</v>
      </c>
      <c r="E648" t="s">
        <v>38</v>
      </c>
      <c r="G648">
        <v>8</v>
      </c>
      <c r="H648">
        <v>3</v>
      </c>
      <c r="I648" t="s">
        <v>60</v>
      </c>
      <c r="J648" t="str">
        <f>WA_Fn_UseC__HR_Employee_Attrition[[#This Row],[EducationField]]&amp;"-"&amp;WA_Fn_UseC__HR_Employee_Attrition[[#This Row],[Department]]</f>
        <v>Marketing-Sales</v>
      </c>
      <c r="K648">
        <v>1</v>
      </c>
      <c r="L648">
        <v>897</v>
      </c>
      <c r="M648">
        <v>1</v>
      </c>
      <c r="N648" t="s">
        <v>47</v>
      </c>
      <c r="O648">
        <v>73</v>
      </c>
      <c r="P648">
        <v>3</v>
      </c>
      <c r="Q648">
        <v>4</v>
      </c>
      <c r="R648" t="s">
        <v>41</v>
      </c>
      <c r="S648">
        <v>4</v>
      </c>
      <c r="T648" t="s">
        <v>49</v>
      </c>
      <c r="U648">
        <v>11836</v>
      </c>
      <c r="V648" t="str" cm="1">
        <f t="array" ref="V64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48">
        <v>22789</v>
      </c>
      <c r="X648">
        <v>5</v>
      </c>
      <c r="Y648" t="s">
        <v>43</v>
      </c>
      <c r="Z648" t="s">
        <v>44</v>
      </c>
      <c r="AA648">
        <v>14</v>
      </c>
      <c r="AB648">
        <v>3</v>
      </c>
      <c r="AC648">
        <v>3</v>
      </c>
      <c r="AD648">
        <v>80</v>
      </c>
      <c r="AE648">
        <v>1</v>
      </c>
      <c r="AF648">
        <v>28</v>
      </c>
      <c r="AG648">
        <v>3</v>
      </c>
      <c r="AH648">
        <v>3</v>
      </c>
      <c r="AI648">
        <v>2</v>
      </c>
      <c r="AJ648">
        <v>0</v>
      </c>
      <c r="AK648">
        <v>2</v>
      </c>
      <c r="AL648" t="str" cm="1">
        <f t="array" ref="AL64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48">
        <v>2</v>
      </c>
    </row>
    <row r="649" spans="1:39" x14ac:dyDescent="0.25">
      <c r="A649">
        <v>35</v>
      </c>
      <c r="B649" t="s">
        <v>44</v>
      </c>
      <c r="C649" t="s">
        <v>37</v>
      </c>
      <c r="D649">
        <v>672</v>
      </c>
      <c r="E649" t="s">
        <v>46</v>
      </c>
      <c r="G649">
        <v>25</v>
      </c>
      <c r="H649">
        <v>3</v>
      </c>
      <c r="I649" t="s">
        <v>61</v>
      </c>
      <c r="J649" t="str">
        <f>WA_Fn_UseC__HR_Employee_Attrition[[#This Row],[EducationField]]&amp;"-"&amp;WA_Fn_UseC__HR_Employee_Attrition[[#This Row],[Department]]</f>
        <v>Technical Degree-Research &amp; Development</v>
      </c>
      <c r="K649">
        <v>1</v>
      </c>
      <c r="L649">
        <v>899</v>
      </c>
      <c r="M649">
        <v>4</v>
      </c>
      <c r="N649" t="s">
        <v>47</v>
      </c>
      <c r="O649">
        <v>78</v>
      </c>
      <c r="P649">
        <v>2</v>
      </c>
      <c r="Q649">
        <v>3</v>
      </c>
      <c r="R649" t="s">
        <v>54</v>
      </c>
      <c r="S649">
        <v>2</v>
      </c>
      <c r="T649" t="s">
        <v>49</v>
      </c>
      <c r="U649">
        <v>10903</v>
      </c>
      <c r="V649" t="str" cm="1">
        <f t="array" ref="V64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49">
        <v>9129</v>
      </c>
      <c r="X649">
        <v>3</v>
      </c>
      <c r="Y649" t="s">
        <v>43</v>
      </c>
      <c r="Z649" t="s">
        <v>44</v>
      </c>
      <c r="AA649">
        <v>16</v>
      </c>
      <c r="AB649">
        <v>3</v>
      </c>
      <c r="AC649">
        <v>1</v>
      </c>
      <c r="AD649">
        <v>80</v>
      </c>
      <c r="AE649">
        <v>0</v>
      </c>
      <c r="AF649">
        <v>16</v>
      </c>
      <c r="AG649">
        <v>2</v>
      </c>
      <c r="AH649">
        <v>3</v>
      </c>
      <c r="AI649">
        <v>13</v>
      </c>
      <c r="AJ649">
        <v>10</v>
      </c>
      <c r="AK649">
        <v>4</v>
      </c>
      <c r="AL649" t="str" cm="1">
        <f t="array" ref="AL64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49">
        <v>8</v>
      </c>
    </row>
    <row r="650" spans="1:39" x14ac:dyDescent="0.25">
      <c r="A650">
        <v>37</v>
      </c>
      <c r="B650" t="s">
        <v>44</v>
      </c>
      <c r="C650" t="s">
        <v>45</v>
      </c>
      <c r="D650">
        <v>1231</v>
      </c>
      <c r="E650" t="s">
        <v>38</v>
      </c>
      <c r="G650">
        <v>21</v>
      </c>
      <c r="H650">
        <v>2</v>
      </c>
      <c r="I650" t="s">
        <v>52</v>
      </c>
      <c r="J650" t="str">
        <f>WA_Fn_UseC__HR_Employee_Attrition[[#This Row],[EducationField]]&amp;"-"&amp;WA_Fn_UseC__HR_Employee_Attrition[[#This Row],[Department]]</f>
        <v>Medical-Sales</v>
      </c>
      <c r="K650">
        <v>1</v>
      </c>
      <c r="L650">
        <v>900</v>
      </c>
      <c r="M650">
        <v>3</v>
      </c>
      <c r="N650" t="s">
        <v>40</v>
      </c>
      <c r="O650">
        <v>54</v>
      </c>
      <c r="P650">
        <v>3</v>
      </c>
      <c r="Q650">
        <v>1</v>
      </c>
      <c r="R650" t="s">
        <v>58</v>
      </c>
      <c r="S650">
        <v>4</v>
      </c>
      <c r="T650" t="s">
        <v>49</v>
      </c>
      <c r="U650">
        <v>2973</v>
      </c>
      <c r="V650" t="str" cm="1">
        <f t="array" ref="V65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50">
        <v>21222</v>
      </c>
      <c r="X650">
        <v>5</v>
      </c>
      <c r="Y650" t="s">
        <v>43</v>
      </c>
      <c r="Z650" t="s">
        <v>44</v>
      </c>
      <c r="AA650">
        <v>15</v>
      </c>
      <c r="AB650">
        <v>3</v>
      </c>
      <c r="AC650">
        <v>2</v>
      </c>
      <c r="AD650">
        <v>80</v>
      </c>
      <c r="AE650">
        <v>1</v>
      </c>
      <c r="AF650">
        <v>10</v>
      </c>
      <c r="AG650">
        <v>3</v>
      </c>
      <c r="AH650">
        <v>3</v>
      </c>
      <c r="AI650">
        <v>5</v>
      </c>
      <c r="AJ650">
        <v>4</v>
      </c>
      <c r="AK650">
        <v>0</v>
      </c>
      <c r="AL650" t="str" cm="1">
        <f t="array" ref="AL65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50">
        <v>0</v>
      </c>
    </row>
    <row r="651" spans="1:39" x14ac:dyDescent="0.25">
      <c r="A651">
        <v>53</v>
      </c>
      <c r="B651" t="s">
        <v>44</v>
      </c>
      <c r="C651" t="s">
        <v>37</v>
      </c>
      <c r="D651">
        <v>102</v>
      </c>
      <c r="E651" t="s">
        <v>46</v>
      </c>
      <c r="G651">
        <v>23</v>
      </c>
      <c r="H651">
        <v>4</v>
      </c>
      <c r="I651" t="s">
        <v>39</v>
      </c>
      <c r="J651" t="str">
        <f>WA_Fn_UseC__HR_Employee_Attrition[[#This Row],[EducationField]]&amp;"-"&amp;WA_Fn_UseC__HR_Employee_Attrition[[#This Row],[Department]]</f>
        <v>Life Sciences-Research &amp; Development</v>
      </c>
      <c r="K651">
        <v>1</v>
      </c>
      <c r="L651">
        <v>901</v>
      </c>
      <c r="M651">
        <v>4</v>
      </c>
      <c r="N651" t="s">
        <v>40</v>
      </c>
      <c r="O651">
        <v>72</v>
      </c>
      <c r="P651">
        <v>3</v>
      </c>
      <c r="Q651">
        <v>4</v>
      </c>
      <c r="R651" t="s">
        <v>59</v>
      </c>
      <c r="S651">
        <v>4</v>
      </c>
      <c r="T651" t="s">
        <v>42</v>
      </c>
      <c r="U651">
        <v>14275</v>
      </c>
      <c r="V651" t="str" cm="1">
        <f t="array" ref="V65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51">
        <v>20206</v>
      </c>
      <c r="X651">
        <v>6</v>
      </c>
      <c r="Y651" t="s">
        <v>43</v>
      </c>
      <c r="Z651" t="s">
        <v>44</v>
      </c>
      <c r="AA651">
        <v>18</v>
      </c>
      <c r="AB651">
        <v>3</v>
      </c>
      <c r="AC651">
        <v>3</v>
      </c>
      <c r="AD651">
        <v>80</v>
      </c>
      <c r="AE651">
        <v>0</v>
      </c>
      <c r="AF651">
        <v>33</v>
      </c>
      <c r="AG651">
        <v>0</v>
      </c>
      <c r="AH651">
        <v>3</v>
      </c>
      <c r="AI651">
        <v>12</v>
      </c>
      <c r="AJ651">
        <v>9</v>
      </c>
      <c r="AK651">
        <v>3</v>
      </c>
      <c r="AL651" t="str" cm="1">
        <f t="array" ref="AL65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51">
        <v>8</v>
      </c>
    </row>
    <row r="652" spans="1:39" x14ac:dyDescent="0.25">
      <c r="A652">
        <v>43</v>
      </c>
      <c r="B652" t="s">
        <v>44</v>
      </c>
      <c r="C652" t="s">
        <v>45</v>
      </c>
      <c r="D652">
        <v>422</v>
      </c>
      <c r="E652" t="s">
        <v>46</v>
      </c>
      <c r="G652">
        <v>1</v>
      </c>
      <c r="H652">
        <v>3</v>
      </c>
      <c r="I652" t="s">
        <v>39</v>
      </c>
      <c r="J652" t="str">
        <f>WA_Fn_UseC__HR_Employee_Attrition[[#This Row],[EducationField]]&amp;"-"&amp;WA_Fn_UseC__HR_Employee_Attrition[[#This Row],[Department]]</f>
        <v>Life Sciences-Research &amp; Development</v>
      </c>
      <c r="K652">
        <v>1</v>
      </c>
      <c r="L652">
        <v>902</v>
      </c>
      <c r="M652">
        <v>4</v>
      </c>
      <c r="N652" t="s">
        <v>40</v>
      </c>
      <c r="O652">
        <v>33</v>
      </c>
      <c r="P652">
        <v>3</v>
      </c>
      <c r="Q652">
        <v>2</v>
      </c>
      <c r="R652" t="s">
        <v>55</v>
      </c>
      <c r="S652">
        <v>4</v>
      </c>
      <c r="T652" t="s">
        <v>49</v>
      </c>
      <c r="U652">
        <v>5562</v>
      </c>
      <c r="V652" t="str" cm="1">
        <f t="array" ref="V65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52">
        <v>21782</v>
      </c>
      <c r="X652">
        <v>4</v>
      </c>
      <c r="Y652" t="s">
        <v>43</v>
      </c>
      <c r="Z652" t="s">
        <v>44</v>
      </c>
      <c r="AA652">
        <v>13</v>
      </c>
      <c r="AB652">
        <v>3</v>
      </c>
      <c r="AC652">
        <v>2</v>
      </c>
      <c r="AD652">
        <v>80</v>
      </c>
      <c r="AE652">
        <v>1</v>
      </c>
      <c r="AF652">
        <v>12</v>
      </c>
      <c r="AG652">
        <v>2</v>
      </c>
      <c r="AH652">
        <v>2</v>
      </c>
      <c r="AI652">
        <v>5</v>
      </c>
      <c r="AJ652">
        <v>2</v>
      </c>
      <c r="AK652">
        <v>2</v>
      </c>
      <c r="AL652" t="str" cm="1">
        <f t="array" ref="AL65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52">
        <v>2</v>
      </c>
    </row>
    <row r="653" spans="1:39" x14ac:dyDescent="0.25">
      <c r="A653">
        <v>47</v>
      </c>
      <c r="B653" t="s">
        <v>44</v>
      </c>
      <c r="C653" t="s">
        <v>37</v>
      </c>
      <c r="D653">
        <v>249</v>
      </c>
      <c r="E653" t="s">
        <v>38</v>
      </c>
      <c r="G653">
        <v>2</v>
      </c>
      <c r="H653">
        <v>2</v>
      </c>
      <c r="I653" t="s">
        <v>60</v>
      </c>
      <c r="J653" t="str">
        <f>WA_Fn_UseC__HR_Employee_Attrition[[#This Row],[EducationField]]&amp;"-"&amp;WA_Fn_UseC__HR_Employee_Attrition[[#This Row],[Department]]</f>
        <v>Marketing-Sales</v>
      </c>
      <c r="K653">
        <v>1</v>
      </c>
      <c r="L653">
        <v>903</v>
      </c>
      <c r="M653">
        <v>3</v>
      </c>
      <c r="N653" t="s">
        <v>40</v>
      </c>
      <c r="O653">
        <v>35</v>
      </c>
      <c r="P653">
        <v>3</v>
      </c>
      <c r="Q653">
        <v>2</v>
      </c>
      <c r="R653" t="s">
        <v>41</v>
      </c>
      <c r="S653">
        <v>4</v>
      </c>
      <c r="T653" t="s">
        <v>49</v>
      </c>
      <c r="U653">
        <v>4537</v>
      </c>
      <c r="V653" t="str" cm="1">
        <f t="array" ref="V65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53">
        <v>17783</v>
      </c>
      <c r="X653">
        <v>0</v>
      </c>
      <c r="Y653" t="s">
        <v>43</v>
      </c>
      <c r="Z653" t="s">
        <v>36</v>
      </c>
      <c r="AA653">
        <v>22</v>
      </c>
      <c r="AB653">
        <v>4</v>
      </c>
      <c r="AC653">
        <v>1</v>
      </c>
      <c r="AD653">
        <v>80</v>
      </c>
      <c r="AE653">
        <v>1</v>
      </c>
      <c r="AF653">
        <v>8</v>
      </c>
      <c r="AG653">
        <v>2</v>
      </c>
      <c r="AH653">
        <v>3</v>
      </c>
      <c r="AI653">
        <v>7</v>
      </c>
      <c r="AJ653">
        <v>6</v>
      </c>
      <c r="AK653">
        <v>7</v>
      </c>
      <c r="AL653" t="str" cm="1">
        <f t="array" ref="AL65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53">
        <v>7</v>
      </c>
    </row>
    <row r="654" spans="1:39" x14ac:dyDescent="0.25">
      <c r="A654">
        <v>37</v>
      </c>
      <c r="B654" t="s">
        <v>44</v>
      </c>
      <c r="C654" t="s">
        <v>56</v>
      </c>
      <c r="D654">
        <v>1252</v>
      </c>
      <c r="E654" t="s">
        <v>38</v>
      </c>
      <c r="G654">
        <v>19</v>
      </c>
      <c r="H654">
        <v>2</v>
      </c>
      <c r="I654" t="s">
        <v>52</v>
      </c>
      <c r="J654" t="str">
        <f>WA_Fn_UseC__HR_Employee_Attrition[[#This Row],[EducationField]]&amp;"-"&amp;WA_Fn_UseC__HR_Employee_Attrition[[#This Row],[Department]]</f>
        <v>Medical-Sales</v>
      </c>
      <c r="K654">
        <v>1</v>
      </c>
      <c r="L654">
        <v>904</v>
      </c>
      <c r="M654">
        <v>1</v>
      </c>
      <c r="N654" t="s">
        <v>47</v>
      </c>
      <c r="O654">
        <v>32</v>
      </c>
      <c r="P654">
        <v>3</v>
      </c>
      <c r="Q654">
        <v>3</v>
      </c>
      <c r="R654" t="s">
        <v>41</v>
      </c>
      <c r="S654">
        <v>2</v>
      </c>
      <c r="T654" t="s">
        <v>42</v>
      </c>
      <c r="U654">
        <v>7642</v>
      </c>
      <c r="V654" t="str" cm="1">
        <f t="array" ref="V65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54">
        <v>4814</v>
      </c>
      <c r="X654">
        <v>1</v>
      </c>
      <c r="Y654" t="s">
        <v>43</v>
      </c>
      <c r="Z654" t="s">
        <v>36</v>
      </c>
      <c r="AA654">
        <v>13</v>
      </c>
      <c r="AB654">
        <v>3</v>
      </c>
      <c r="AC654">
        <v>4</v>
      </c>
      <c r="AD654">
        <v>80</v>
      </c>
      <c r="AE654">
        <v>0</v>
      </c>
      <c r="AF654">
        <v>10</v>
      </c>
      <c r="AG654">
        <v>2</v>
      </c>
      <c r="AH654">
        <v>3</v>
      </c>
      <c r="AI654">
        <v>10</v>
      </c>
      <c r="AJ654">
        <v>0</v>
      </c>
      <c r="AK654">
        <v>0</v>
      </c>
      <c r="AL654" t="str" cm="1">
        <f t="array" ref="AL65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54">
        <v>9</v>
      </c>
    </row>
    <row r="655" spans="1:39" x14ac:dyDescent="0.25">
      <c r="A655">
        <v>50</v>
      </c>
      <c r="B655" t="s">
        <v>44</v>
      </c>
      <c r="C655" t="s">
        <v>56</v>
      </c>
      <c r="D655">
        <v>881</v>
      </c>
      <c r="E655" t="s">
        <v>46</v>
      </c>
      <c r="G655">
        <v>2</v>
      </c>
      <c r="H655">
        <v>4</v>
      </c>
      <c r="I655" t="s">
        <v>39</v>
      </c>
      <c r="J655" t="str">
        <f>WA_Fn_UseC__HR_Employee_Attrition[[#This Row],[EducationField]]&amp;"-"&amp;WA_Fn_UseC__HR_Employee_Attrition[[#This Row],[Department]]</f>
        <v>Life Sciences-Research &amp; Development</v>
      </c>
      <c r="K655">
        <v>1</v>
      </c>
      <c r="L655">
        <v>905</v>
      </c>
      <c r="M655">
        <v>1</v>
      </c>
      <c r="N655" t="s">
        <v>47</v>
      </c>
      <c r="O655">
        <v>98</v>
      </c>
      <c r="P655">
        <v>3</v>
      </c>
      <c r="Q655">
        <v>4</v>
      </c>
      <c r="R655" t="s">
        <v>57</v>
      </c>
      <c r="S655">
        <v>1</v>
      </c>
      <c r="T655" t="s">
        <v>53</v>
      </c>
      <c r="U655">
        <v>17924</v>
      </c>
      <c r="V655" t="str" cm="1">
        <f t="array" ref="V65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55">
        <v>4544</v>
      </c>
      <c r="X655">
        <v>1</v>
      </c>
      <c r="Y655" t="s">
        <v>43</v>
      </c>
      <c r="Z655" t="s">
        <v>44</v>
      </c>
      <c r="AA655">
        <v>11</v>
      </c>
      <c r="AB655">
        <v>3</v>
      </c>
      <c r="AC655">
        <v>4</v>
      </c>
      <c r="AD655">
        <v>80</v>
      </c>
      <c r="AE655">
        <v>1</v>
      </c>
      <c r="AF655">
        <v>31</v>
      </c>
      <c r="AG655">
        <v>3</v>
      </c>
      <c r="AH655">
        <v>3</v>
      </c>
      <c r="AI655">
        <v>31</v>
      </c>
      <c r="AJ655">
        <v>6</v>
      </c>
      <c r="AK655">
        <v>14</v>
      </c>
      <c r="AL655" t="str" cm="1">
        <f t="array" ref="AL65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55">
        <v>7</v>
      </c>
    </row>
    <row r="656" spans="1:39" x14ac:dyDescent="0.25">
      <c r="A656">
        <v>39</v>
      </c>
      <c r="B656" t="s">
        <v>44</v>
      </c>
      <c r="C656" t="s">
        <v>37</v>
      </c>
      <c r="D656">
        <v>1383</v>
      </c>
      <c r="E656" t="s">
        <v>62</v>
      </c>
      <c r="G656">
        <v>2</v>
      </c>
      <c r="H656">
        <v>3</v>
      </c>
      <c r="I656" t="s">
        <v>39</v>
      </c>
      <c r="J656" t="str">
        <f>WA_Fn_UseC__HR_Employee_Attrition[[#This Row],[EducationField]]&amp;"-"&amp;WA_Fn_UseC__HR_Employee_Attrition[[#This Row],[Department]]</f>
        <v>Life Sciences-Human Resources</v>
      </c>
      <c r="K656">
        <v>1</v>
      </c>
      <c r="L656">
        <v>909</v>
      </c>
      <c r="M656">
        <v>4</v>
      </c>
      <c r="N656" t="s">
        <v>40</v>
      </c>
      <c r="O656">
        <v>42</v>
      </c>
      <c r="P656">
        <v>2</v>
      </c>
      <c r="Q656">
        <v>2</v>
      </c>
      <c r="R656" t="s">
        <v>62</v>
      </c>
      <c r="S656">
        <v>4</v>
      </c>
      <c r="T656" t="s">
        <v>49</v>
      </c>
      <c r="U656">
        <v>5204</v>
      </c>
      <c r="V656" t="str" cm="1">
        <f t="array" ref="V65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56">
        <v>7790</v>
      </c>
      <c r="X656">
        <v>8</v>
      </c>
      <c r="Y656" t="s">
        <v>43</v>
      </c>
      <c r="Z656" t="s">
        <v>44</v>
      </c>
      <c r="AA656">
        <v>11</v>
      </c>
      <c r="AB656">
        <v>3</v>
      </c>
      <c r="AC656">
        <v>3</v>
      </c>
      <c r="AD656">
        <v>80</v>
      </c>
      <c r="AE656">
        <v>2</v>
      </c>
      <c r="AF656">
        <v>13</v>
      </c>
      <c r="AG656">
        <v>2</v>
      </c>
      <c r="AH656">
        <v>3</v>
      </c>
      <c r="AI656">
        <v>5</v>
      </c>
      <c r="AJ656">
        <v>4</v>
      </c>
      <c r="AK656">
        <v>0</v>
      </c>
      <c r="AL656" t="str" cm="1">
        <f t="array" ref="AL65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56">
        <v>4</v>
      </c>
    </row>
    <row r="657" spans="1:39" x14ac:dyDescent="0.25">
      <c r="A657">
        <v>33</v>
      </c>
      <c r="B657" t="s">
        <v>44</v>
      </c>
      <c r="C657" t="s">
        <v>37</v>
      </c>
      <c r="D657">
        <v>1075</v>
      </c>
      <c r="E657" t="s">
        <v>62</v>
      </c>
      <c r="G657">
        <v>3</v>
      </c>
      <c r="H657">
        <v>2</v>
      </c>
      <c r="I657" t="s">
        <v>62</v>
      </c>
      <c r="J657" t="str">
        <f>WA_Fn_UseC__HR_Employee_Attrition[[#This Row],[EducationField]]&amp;"-"&amp;WA_Fn_UseC__HR_Employee_Attrition[[#This Row],[Department]]</f>
        <v>Human Resources-Human Resources</v>
      </c>
      <c r="K657">
        <v>1</v>
      </c>
      <c r="L657">
        <v>910</v>
      </c>
      <c r="M657">
        <v>4</v>
      </c>
      <c r="N657" t="s">
        <v>47</v>
      </c>
      <c r="O657">
        <v>57</v>
      </c>
      <c r="P657">
        <v>3</v>
      </c>
      <c r="Q657">
        <v>1</v>
      </c>
      <c r="R657" t="s">
        <v>62</v>
      </c>
      <c r="S657">
        <v>2</v>
      </c>
      <c r="T657" t="s">
        <v>53</v>
      </c>
      <c r="U657">
        <v>2277</v>
      </c>
      <c r="V657" t="str" cm="1">
        <f t="array" ref="V65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57">
        <v>22650</v>
      </c>
      <c r="X657">
        <v>3</v>
      </c>
      <c r="Y657" t="s">
        <v>43</v>
      </c>
      <c r="Z657" t="s">
        <v>36</v>
      </c>
      <c r="AA657">
        <v>11</v>
      </c>
      <c r="AB657">
        <v>3</v>
      </c>
      <c r="AC657">
        <v>3</v>
      </c>
      <c r="AD657">
        <v>80</v>
      </c>
      <c r="AE657">
        <v>1</v>
      </c>
      <c r="AF657">
        <v>7</v>
      </c>
      <c r="AG657">
        <v>4</v>
      </c>
      <c r="AH657">
        <v>4</v>
      </c>
      <c r="AI657">
        <v>4</v>
      </c>
      <c r="AJ657">
        <v>3</v>
      </c>
      <c r="AK657">
        <v>0</v>
      </c>
      <c r="AL657" t="str" cm="1">
        <f t="array" ref="AL65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57">
        <v>3</v>
      </c>
    </row>
    <row r="658" spans="1:39" x14ac:dyDescent="0.25">
      <c r="A658">
        <v>32</v>
      </c>
      <c r="B658" t="s">
        <v>36</v>
      </c>
      <c r="C658" t="s">
        <v>37</v>
      </c>
      <c r="D658">
        <v>374</v>
      </c>
      <c r="E658" t="s">
        <v>46</v>
      </c>
      <c r="G658">
        <v>25</v>
      </c>
      <c r="H658">
        <v>4</v>
      </c>
      <c r="I658" t="s">
        <v>39</v>
      </c>
      <c r="J658" t="str">
        <f>WA_Fn_UseC__HR_Employee_Attrition[[#This Row],[EducationField]]&amp;"-"&amp;WA_Fn_UseC__HR_Employee_Attrition[[#This Row],[Department]]</f>
        <v>Life Sciences-Research &amp; Development</v>
      </c>
      <c r="K658">
        <v>1</v>
      </c>
      <c r="L658">
        <v>911</v>
      </c>
      <c r="M658">
        <v>1</v>
      </c>
      <c r="N658" t="s">
        <v>47</v>
      </c>
      <c r="O658">
        <v>87</v>
      </c>
      <c r="P658">
        <v>3</v>
      </c>
      <c r="Q658">
        <v>1</v>
      </c>
      <c r="R658" t="s">
        <v>51</v>
      </c>
      <c r="S658">
        <v>4</v>
      </c>
      <c r="T658" t="s">
        <v>42</v>
      </c>
      <c r="U658">
        <v>2795</v>
      </c>
      <c r="V658" t="str" cm="1">
        <f t="array" ref="V65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58">
        <v>18016</v>
      </c>
      <c r="X658">
        <v>1</v>
      </c>
      <c r="Y658" t="s">
        <v>43</v>
      </c>
      <c r="Z658" t="s">
        <v>36</v>
      </c>
      <c r="AA658">
        <v>24</v>
      </c>
      <c r="AB658">
        <v>4</v>
      </c>
      <c r="AC658">
        <v>3</v>
      </c>
      <c r="AD658">
        <v>80</v>
      </c>
      <c r="AE658">
        <v>0</v>
      </c>
      <c r="AF658">
        <v>1</v>
      </c>
      <c r="AG658">
        <v>2</v>
      </c>
      <c r="AH658">
        <v>1</v>
      </c>
      <c r="AI658">
        <v>1</v>
      </c>
      <c r="AJ658">
        <v>0</v>
      </c>
      <c r="AK658">
        <v>0</v>
      </c>
      <c r="AL658" t="str" cm="1">
        <f t="array" ref="AL65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58">
        <v>1</v>
      </c>
    </row>
    <row r="659" spans="1:39" x14ac:dyDescent="0.25">
      <c r="A659">
        <v>29</v>
      </c>
      <c r="B659" t="s">
        <v>44</v>
      </c>
      <c r="C659" t="s">
        <v>37</v>
      </c>
      <c r="D659">
        <v>1086</v>
      </c>
      <c r="E659" t="s">
        <v>46</v>
      </c>
      <c r="G659">
        <v>7</v>
      </c>
      <c r="H659">
        <v>1</v>
      </c>
      <c r="I659" t="s">
        <v>52</v>
      </c>
      <c r="J659" t="str">
        <f>WA_Fn_UseC__HR_Employee_Attrition[[#This Row],[EducationField]]&amp;"-"&amp;WA_Fn_UseC__HR_Employee_Attrition[[#This Row],[Department]]</f>
        <v>Medical-Research &amp; Development</v>
      </c>
      <c r="K659">
        <v>1</v>
      </c>
      <c r="L659">
        <v>912</v>
      </c>
      <c r="M659">
        <v>1</v>
      </c>
      <c r="N659" t="s">
        <v>40</v>
      </c>
      <c r="O659">
        <v>62</v>
      </c>
      <c r="P659">
        <v>2</v>
      </c>
      <c r="Q659">
        <v>1</v>
      </c>
      <c r="R659" t="s">
        <v>51</v>
      </c>
      <c r="S659">
        <v>4</v>
      </c>
      <c r="T659" t="s">
        <v>53</v>
      </c>
      <c r="U659">
        <v>2532</v>
      </c>
      <c r="V659" t="str" cm="1">
        <f t="array" ref="V65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59">
        <v>6054</v>
      </c>
      <c r="X659">
        <v>6</v>
      </c>
      <c r="Y659" t="s">
        <v>43</v>
      </c>
      <c r="Z659" t="s">
        <v>44</v>
      </c>
      <c r="AA659">
        <v>14</v>
      </c>
      <c r="AB659">
        <v>3</v>
      </c>
      <c r="AC659">
        <v>3</v>
      </c>
      <c r="AD659">
        <v>80</v>
      </c>
      <c r="AE659">
        <v>3</v>
      </c>
      <c r="AF659">
        <v>8</v>
      </c>
      <c r="AG659">
        <v>5</v>
      </c>
      <c r="AH659">
        <v>3</v>
      </c>
      <c r="AI659">
        <v>4</v>
      </c>
      <c r="AJ659">
        <v>3</v>
      </c>
      <c r="AK659">
        <v>0</v>
      </c>
      <c r="AL659" t="str" cm="1">
        <f t="array" ref="AL65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59">
        <v>3</v>
      </c>
    </row>
    <row r="660" spans="1:39" x14ac:dyDescent="0.25">
      <c r="A660">
        <v>44</v>
      </c>
      <c r="B660" t="s">
        <v>44</v>
      </c>
      <c r="C660" t="s">
        <v>37</v>
      </c>
      <c r="D660">
        <v>661</v>
      </c>
      <c r="E660" t="s">
        <v>46</v>
      </c>
      <c r="G660">
        <v>9</v>
      </c>
      <c r="H660">
        <v>2</v>
      </c>
      <c r="I660" t="s">
        <v>39</v>
      </c>
      <c r="J660" t="str">
        <f>WA_Fn_UseC__HR_Employee_Attrition[[#This Row],[EducationField]]&amp;"-"&amp;WA_Fn_UseC__HR_Employee_Attrition[[#This Row],[Department]]</f>
        <v>Life Sciences-Research &amp; Development</v>
      </c>
      <c r="K660">
        <v>1</v>
      </c>
      <c r="L660">
        <v>913</v>
      </c>
      <c r="M660">
        <v>2</v>
      </c>
      <c r="N660" t="s">
        <v>47</v>
      </c>
      <c r="O660">
        <v>61</v>
      </c>
      <c r="P660">
        <v>3</v>
      </c>
      <c r="Q660">
        <v>1</v>
      </c>
      <c r="R660" t="s">
        <v>48</v>
      </c>
      <c r="S660">
        <v>1</v>
      </c>
      <c r="T660" t="s">
        <v>49</v>
      </c>
      <c r="U660">
        <v>2559</v>
      </c>
      <c r="V660" t="str" cm="1">
        <f t="array" ref="V66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60">
        <v>7508</v>
      </c>
      <c r="X660">
        <v>1</v>
      </c>
      <c r="Y660" t="s">
        <v>43</v>
      </c>
      <c r="Z660" t="s">
        <v>36</v>
      </c>
      <c r="AA660">
        <v>13</v>
      </c>
      <c r="AB660">
        <v>3</v>
      </c>
      <c r="AC660">
        <v>4</v>
      </c>
      <c r="AD660">
        <v>80</v>
      </c>
      <c r="AE660">
        <v>0</v>
      </c>
      <c r="AF660">
        <v>8</v>
      </c>
      <c r="AG660">
        <v>0</v>
      </c>
      <c r="AH660">
        <v>3</v>
      </c>
      <c r="AI660">
        <v>8</v>
      </c>
      <c r="AJ660">
        <v>7</v>
      </c>
      <c r="AK660">
        <v>7</v>
      </c>
      <c r="AL660" t="str" cm="1">
        <f t="array" ref="AL66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60">
        <v>1</v>
      </c>
    </row>
    <row r="661" spans="1:39" x14ac:dyDescent="0.25">
      <c r="A661">
        <v>28</v>
      </c>
      <c r="B661" t="s">
        <v>44</v>
      </c>
      <c r="C661" t="s">
        <v>37</v>
      </c>
      <c r="D661">
        <v>821</v>
      </c>
      <c r="E661" t="s">
        <v>38</v>
      </c>
      <c r="G661">
        <v>5</v>
      </c>
      <c r="H661">
        <v>4</v>
      </c>
      <c r="I661" t="s">
        <v>52</v>
      </c>
      <c r="J661" t="str">
        <f>WA_Fn_UseC__HR_Employee_Attrition[[#This Row],[EducationField]]&amp;"-"&amp;WA_Fn_UseC__HR_Employee_Attrition[[#This Row],[Department]]</f>
        <v>Medical-Sales</v>
      </c>
      <c r="K661">
        <v>1</v>
      </c>
      <c r="L661">
        <v>916</v>
      </c>
      <c r="M661">
        <v>1</v>
      </c>
      <c r="N661" t="s">
        <v>47</v>
      </c>
      <c r="O661">
        <v>98</v>
      </c>
      <c r="P661">
        <v>3</v>
      </c>
      <c r="Q661">
        <v>2</v>
      </c>
      <c r="R661" t="s">
        <v>41</v>
      </c>
      <c r="S661">
        <v>4</v>
      </c>
      <c r="T661" t="s">
        <v>42</v>
      </c>
      <c r="U661">
        <v>4908</v>
      </c>
      <c r="V661" t="str" cm="1">
        <f t="array" ref="V66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61">
        <v>24252</v>
      </c>
      <c r="X661">
        <v>1</v>
      </c>
      <c r="Y661" t="s">
        <v>43</v>
      </c>
      <c r="Z661" t="s">
        <v>44</v>
      </c>
      <c r="AA661">
        <v>14</v>
      </c>
      <c r="AB661">
        <v>3</v>
      </c>
      <c r="AC661">
        <v>2</v>
      </c>
      <c r="AD661">
        <v>80</v>
      </c>
      <c r="AE661">
        <v>0</v>
      </c>
      <c r="AF661">
        <v>4</v>
      </c>
      <c r="AG661">
        <v>3</v>
      </c>
      <c r="AH661">
        <v>3</v>
      </c>
      <c r="AI661">
        <v>4</v>
      </c>
      <c r="AJ661">
        <v>2</v>
      </c>
      <c r="AK661">
        <v>0</v>
      </c>
      <c r="AL661" t="str" cm="1">
        <f t="array" ref="AL66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61">
        <v>2</v>
      </c>
    </row>
    <row r="662" spans="1:39" x14ac:dyDescent="0.25">
      <c r="A662">
        <v>58</v>
      </c>
      <c r="B662" t="s">
        <v>36</v>
      </c>
      <c r="C662" t="s">
        <v>45</v>
      </c>
      <c r="D662">
        <v>781</v>
      </c>
      <c r="E662" t="s">
        <v>46</v>
      </c>
      <c r="G662">
        <v>2</v>
      </c>
      <c r="H662">
        <v>1</v>
      </c>
      <c r="I662" t="s">
        <v>39</v>
      </c>
      <c r="J662" t="str">
        <f>WA_Fn_UseC__HR_Employee_Attrition[[#This Row],[EducationField]]&amp;"-"&amp;WA_Fn_UseC__HR_Employee_Attrition[[#This Row],[Department]]</f>
        <v>Life Sciences-Research &amp; Development</v>
      </c>
      <c r="K662">
        <v>1</v>
      </c>
      <c r="L662">
        <v>918</v>
      </c>
      <c r="M662">
        <v>4</v>
      </c>
      <c r="N662" t="s">
        <v>47</v>
      </c>
      <c r="O662">
        <v>57</v>
      </c>
      <c r="P662">
        <v>2</v>
      </c>
      <c r="Q662">
        <v>1</v>
      </c>
      <c r="R662" t="s">
        <v>51</v>
      </c>
      <c r="S662">
        <v>4</v>
      </c>
      <c r="T662" t="s">
        <v>53</v>
      </c>
      <c r="U662">
        <v>2380</v>
      </c>
      <c r="V662" t="str" cm="1">
        <f t="array" ref="V66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62">
        <v>13384</v>
      </c>
      <c r="X662">
        <v>9</v>
      </c>
      <c r="Y662" t="s">
        <v>43</v>
      </c>
      <c r="Z662" t="s">
        <v>36</v>
      </c>
      <c r="AA662">
        <v>14</v>
      </c>
      <c r="AB662">
        <v>3</v>
      </c>
      <c r="AC662">
        <v>4</v>
      </c>
      <c r="AD662">
        <v>80</v>
      </c>
      <c r="AE662">
        <v>1</v>
      </c>
      <c r="AF662">
        <v>3</v>
      </c>
      <c r="AG662">
        <v>3</v>
      </c>
      <c r="AH662">
        <v>2</v>
      </c>
      <c r="AI662">
        <v>1</v>
      </c>
      <c r="AJ662">
        <v>0</v>
      </c>
      <c r="AK662">
        <v>0</v>
      </c>
      <c r="AL662" t="str" cm="1">
        <f t="array" ref="AL66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62">
        <v>0</v>
      </c>
    </row>
    <row r="663" spans="1:39" x14ac:dyDescent="0.25">
      <c r="A663">
        <v>43</v>
      </c>
      <c r="B663" t="s">
        <v>44</v>
      </c>
      <c r="C663" t="s">
        <v>37</v>
      </c>
      <c r="D663">
        <v>177</v>
      </c>
      <c r="E663" t="s">
        <v>46</v>
      </c>
      <c r="G663">
        <v>8</v>
      </c>
      <c r="H663">
        <v>3</v>
      </c>
      <c r="I663" t="s">
        <v>39</v>
      </c>
      <c r="J663" t="str">
        <f>WA_Fn_UseC__HR_Employee_Attrition[[#This Row],[EducationField]]&amp;"-"&amp;WA_Fn_UseC__HR_Employee_Attrition[[#This Row],[Department]]</f>
        <v>Life Sciences-Research &amp; Development</v>
      </c>
      <c r="K663">
        <v>1</v>
      </c>
      <c r="L663">
        <v>920</v>
      </c>
      <c r="M663">
        <v>1</v>
      </c>
      <c r="N663" t="s">
        <v>40</v>
      </c>
      <c r="O663">
        <v>55</v>
      </c>
      <c r="P663">
        <v>3</v>
      </c>
      <c r="Q663">
        <v>2</v>
      </c>
      <c r="R663" t="s">
        <v>54</v>
      </c>
      <c r="S663">
        <v>2</v>
      </c>
      <c r="T663" t="s">
        <v>53</v>
      </c>
      <c r="U663">
        <v>4765</v>
      </c>
      <c r="V663" t="str" cm="1">
        <f t="array" ref="V66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63">
        <v>23814</v>
      </c>
      <c r="X663">
        <v>4</v>
      </c>
      <c r="Y663" t="s">
        <v>43</v>
      </c>
      <c r="Z663" t="s">
        <v>44</v>
      </c>
      <c r="AA663">
        <v>21</v>
      </c>
      <c r="AB663">
        <v>4</v>
      </c>
      <c r="AC663">
        <v>3</v>
      </c>
      <c r="AD663">
        <v>80</v>
      </c>
      <c r="AE663">
        <v>1</v>
      </c>
      <c r="AF663">
        <v>4</v>
      </c>
      <c r="AG663">
        <v>2</v>
      </c>
      <c r="AH663">
        <v>4</v>
      </c>
      <c r="AI663">
        <v>1</v>
      </c>
      <c r="AJ663">
        <v>0</v>
      </c>
      <c r="AK663">
        <v>0</v>
      </c>
      <c r="AL663" t="str" cm="1">
        <f t="array" ref="AL66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63">
        <v>0</v>
      </c>
    </row>
    <row r="664" spans="1:39" x14ac:dyDescent="0.25">
      <c r="A664">
        <v>20</v>
      </c>
      <c r="B664" t="s">
        <v>36</v>
      </c>
      <c r="C664" t="s">
        <v>37</v>
      </c>
      <c r="D664">
        <v>500</v>
      </c>
      <c r="E664" t="s">
        <v>38</v>
      </c>
      <c r="G664">
        <v>2</v>
      </c>
      <c r="H664">
        <v>3</v>
      </c>
      <c r="I664" t="s">
        <v>52</v>
      </c>
      <c r="J664" t="str">
        <f>WA_Fn_UseC__HR_Employee_Attrition[[#This Row],[EducationField]]&amp;"-"&amp;WA_Fn_UseC__HR_Employee_Attrition[[#This Row],[Department]]</f>
        <v>Medical-Sales</v>
      </c>
      <c r="K664">
        <v>1</v>
      </c>
      <c r="L664">
        <v>922</v>
      </c>
      <c r="M664">
        <v>3</v>
      </c>
      <c r="N664" t="s">
        <v>40</v>
      </c>
      <c r="O664">
        <v>49</v>
      </c>
      <c r="P664">
        <v>2</v>
      </c>
      <c r="Q664">
        <v>1</v>
      </c>
      <c r="R664" t="s">
        <v>58</v>
      </c>
      <c r="S664">
        <v>3</v>
      </c>
      <c r="T664" t="s">
        <v>42</v>
      </c>
      <c r="U664">
        <v>2044</v>
      </c>
      <c r="V664" t="str" cm="1">
        <f t="array" ref="V66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64">
        <v>22052</v>
      </c>
      <c r="X664">
        <v>1</v>
      </c>
      <c r="Y664" t="s">
        <v>43</v>
      </c>
      <c r="Z664" t="s">
        <v>44</v>
      </c>
      <c r="AA664">
        <v>13</v>
      </c>
      <c r="AB664">
        <v>3</v>
      </c>
      <c r="AC664">
        <v>4</v>
      </c>
      <c r="AD664">
        <v>80</v>
      </c>
      <c r="AE664">
        <v>0</v>
      </c>
      <c r="AF664">
        <v>2</v>
      </c>
      <c r="AG664">
        <v>3</v>
      </c>
      <c r="AH664">
        <v>2</v>
      </c>
      <c r="AI664">
        <v>2</v>
      </c>
      <c r="AJ664">
        <v>2</v>
      </c>
      <c r="AK664">
        <v>0</v>
      </c>
      <c r="AL664" t="str" cm="1">
        <f t="array" ref="AL66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64">
        <v>2</v>
      </c>
    </row>
    <row r="665" spans="1:39" x14ac:dyDescent="0.25">
      <c r="A665">
        <v>21</v>
      </c>
      <c r="B665" t="s">
        <v>36</v>
      </c>
      <c r="C665" t="s">
        <v>37</v>
      </c>
      <c r="D665">
        <v>1427</v>
      </c>
      <c r="E665" t="s">
        <v>46</v>
      </c>
      <c r="G665">
        <v>18</v>
      </c>
      <c r="H665">
        <v>1</v>
      </c>
      <c r="I665" t="s">
        <v>50</v>
      </c>
      <c r="J665" t="str">
        <f>WA_Fn_UseC__HR_Employee_Attrition[[#This Row],[EducationField]]&amp;"-"&amp;WA_Fn_UseC__HR_Employee_Attrition[[#This Row],[Department]]</f>
        <v>Other-Research &amp; Development</v>
      </c>
      <c r="K665">
        <v>1</v>
      </c>
      <c r="L665">
        <v>923</v>
      </c>
      <c r="M665">
        <v>4</v>
      </c>
      <c r="N665" t="s">
        <v>40</v>
      </c>
      <c r="O665">
        <v>65</v>
      </c>
      <c r="P665">
        <v>3</v>
      </c>
      <c r="Q665">
        <v>1</v>
      </c>
      <c r="R665" t="s">
        <v>48</v>
      </c>
      <c r="S665">
        <v>4</v>
      </c>
      <c r="T665" t="s">
        <v>42</v>
      </c>
      <c r="U665">
        <v>2693</v>
      </c>
      <c r="V665" t="str" cm="1">
        <f t="array" ref="V66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65">
        <v>8870</v>
      </c>
      <c r="X665">
        <v>1</v>
      </c>
      <c r="Y665" t="s">
        <v>43</v>
      </c>
      <c r="Z665" t="s">
        <v>44</v>
      </c>
      <c r="AA665">
        <v>19</v>
      </c>
      <c r="AB665">
        <v>3</v>
      </c>
      <c r="AC665">
        <v>1</v>
      </c>
      <c r="AD665">
        <v>80</v>
      </c>
      <c r="AE665">
        <v>0</v>
      </c>
      <c r="AF665">
        <v>1</v>
      </c>
      <c r="AG665">
        <v>3</v>
      </c>
      <c r="AH665">
        <v>2</v>
      </c>
      <c r="AI665">
        <v>1</v>
      </c>
      <c r="AJ665">
        <v>0</v>
      </c>
      <c r="AK665">
        <v>0</v>
      </c>
      <c r="AL665" t="str" cm="1">
        <f t="array" ref="AL66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65">
        <v>0</v>
      </c>
    </row>
    <row r="666" spans="1:39" x14ac:dyDescent="0.25">
      <c r="A666">
        <v>36</v>
      </c>
      <c r="B666" t="s">
        <v>44</v>
      </c>
      <c r="C666" t="s">
        <v>37</v>
      </c>
      <c r="D666">
        <v>1425</v>
      </c>
      <c r="E666" t="s">
        <v>46</v>
      </c>
      <c r="G666">
        <v>14</v>
      </c>
      <c r="H666">
        <v>1</v>
      </c>
      <c r="I666" t="s">
        <v>39</v>
      </c>
      <c r="J666" t="str">
        <f>WA_Fn_UseC__HR_Employee_Attrition[[#This Row],[EducationField]]&amp;"-"&amp;WA_Fn_UseC__HR_Employee_Attrition[[#This Row],[Department]]</f>
        <v>Life Sciences-Research &amp; Development</v>
      </c>
      <c r="K666">
        <v>1</v>
      </c>
      <c r="L666">
        <v>924</v>
      </c>
      <c r="M666">
        <v>3</v>
      </c>
      <c r="N666" t="s">
        <v>47</v>
      </c>
      <c r="O666">
        <v>68</v>
      </c>
      <c r="P666">
        <v>3</v>
      </c>
      <c r="Q666">
        <v>2</v>
      </c>
      <c r="R666" t="s">
        <v>55</v>
      </c>
      <c r="S666">
        <v>4</v>
      </c>
      <c r="T666" t="s">
        <v>49</v>
      </c>
      <c r="U666">
        <v>6586</v>
      </c>
      <c r="V666" t="str" cm="1">
        <f t="array" ref="V66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66">
        <v>4821</v>
      </c>
      <c r="X666">
        <v>0</v>
      </c>
      <c r="Y666" t="s">
        <v>43</v>
      </c>
      <c r="Z666" t="s">
        <v>36</v>
      </c>
      <c r="AA666">
        <v>17</v>
      </c>
      <c r="AB666">
        <v>3</v>
      </c>
      <c r="AC666">
        <v>1</v>
      </c>
      <c r="AD666">
        <v>80</v>
      </c>
      <c r="AE666">
        <v>1</v>
      </c>
      <c r="AF666">
        <v>17</v>
      </c>
      <c r="AG666">
        <v>2</v>
      </c>
      <c r="AH666">
        <v>2</v>
      </c>
      <c r="AI666">
        <v>16</v>
      </c>
      <c r="AJ666">
        <v>8</v>
      </c>
      <c r="AK666">
        <v>4</v>
      </c>
      <c r="AL666" t="str" cm="1">
        <f t="array" ref="AL66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66">
        <v>11</v>
      </c>
    </row>
    <row r="667" spans="1:39" x14ac:dyDescent="0.25">
      <c r="A667">
        <v>47</v>
      </c>
      <c r="B667" t="s">
        <v>44</v>
      </c>
      <c r="C667" t="s">
        <v>37</v>
      </c>
      <c r="D667">
        <v>1454</v>
      </c>
      <c r="E667" t="s">
        <v>38</v>
      </c>
      <c r="G667">
        <v>2</v>
      </c>
      <c r="H667">
        <v>4</v>
      </c>
      <c r="I667" t="s">
        <v>39</v>
      </c>
      <c r="J667" t="str">
        <f>WA_Fn_UseC__HR_Employee_Attrition[[#This Row],[EducationField]]&amp;"-"&amp;WA_Fn_UseC__HR_Employee_Attrition[[#This Row],[Department]]</f>
        <v>Life Sciences-Sales</v>
      </c>
      <c r="K667">
        <v>1</v>
      </c>
      <c r="L667">
        <v>925</v>
      </c>
      <c r="M667">
        <v>4</v>
      </c>
      <c r="N667" t="s">
        <v>40</v>
      </c>
      <c r="O667">
        <v>65</v>
      </c>
      <c r="P667">
        <v>2</v>
      </c>
      <c r="Q667">
        <v>1</v>
      </c>
      <c r="R667" t="s">
        <v>58</v>
      </c>
      <c r="S667">
        <v>4</v>
      </c>
      <c r="T667" t="s">
        <v>42</v>
      </c>
      <c r="U667">
        <v>3294</v>
      </c>
      <c r="V667" t="str" cm="1">
        <f t="array" ref="V66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67">
        <v>13137</v>
      </c>
      <c r="X667">
        <v>1</v>
      </c>
      <c r="Y667" t="s">
        <v>43</v>
      </c>
      <c r="Z667" t="s">
        <v>36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3</v>
      </c>
      <c r="AG667">
        <v>3</v>
      </c>
      <c r="AH667">
        <v>2</v>
      </c>
      <c r="AI667">
        <v>3</v>
      </c>
      <c r="AJ667">
        <v>2</v>
      </c>
      <c r="AK667">
        <v>1</v>
      </c>
      <c r="AL667" t="str" cm="1">
        <f t="array" ref="AL66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67">
        <v>2</v>
      </c>
    </row>
    <row r="668" spans="1:39" x14ac:dyDescent="0.25">
      <c r="A668">
        <v>22</v>
      </c>
      <c r="B668" t="s">
        <v>36</v>
      </c>
      <c r="C668" t="s">
        <v>37</v>
      </c>
      <c r="D668">
        <v>617</v>
      </c>
      <c r="E668" t="s">
        <v>46</v>
      </c>
      <c r="G668">
        <v>3</v>
      </c>
      <c r="H668">
        <v>1</v>
      </c>
      <c r="I668" t="s">
        <v>39</v>
      </c>
      <c r="J668" t="str">
        <f>WA_Fn_UseC__HR_Employee_Attrition[[#This Row],[EducationField]]&amp;"-"&amp;WA_Fn_UseC__HR_Employee_Attrition[[#This Row],[Department]]</f>
        <v>Life Sciences-Research &amp; Development</v>
      </c>
      <c r="K668">
        <v>1</v>
      </c>
      <c r="L668">
        <v>926</v>
      </c>
      <c r="M668">
        <v>2</v>
      </c>
      <c r="N668" t="s">
        <v>40</v>
      </c>
      <c r="O668">
        <v>34</v>
      </c>
      <c r="P668">
        <v>3</v>
      </c>
      <c r="Q668">
        <v>2</v>
      </c>
      <c r="R668" t="s">
        <v>54</v>
      </c>
      <c r="S668">
        <v>3</v>
      </c>
      <c r="T668" t="s">
        <v>49</v>
      </c>
      <c r="U668">
        <v>4171</v>
      </c>
      <c r="V668" t="str" cm="1">
        <f t="array" ref="V66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68">
        <v>10022</v>
      </c>
      <c r="X668">
        <v>0</v>
      </c>
      <c r="Y668" t="s">
        <v>43</v>
      </c>
      <c r="Z668" t="s">
        <v>36</v>
      </c>
      <c r="AA668">
        <v>19</v>
      </c>
      <c r="AB668">
        <v>3</v>
      </c>
      <c r="AC668">
        <v>1</v>
      </c>
      <c r="AD668">
        <v>80</v>
      </c>
      <c r="AE668">
        <v>1</v>
      </c>
      <c r="AF668">
        <v>4</v>
      </c>
      <c r="AG668">
        <v>3</v>
      </c>
      <c r="AH668">
        <v>4</v>
      </c>
      <c r="AI668">
        <v>3</v>
      </c>
      <c r="AJ668">
        <v>2</v>
      </c>
      <c r="AK668">
        <v>0</v>
      </c>
      <c r="AL668" t="str" cm="1">
        <f t="array" ref="AL66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68">
        <v>2</v>
      </c>
    </row>
    <row r="669" spans="1:39" x14ac:dyDescent="0.25">
      <c r="A669">
        <v>41</v>
      </c>
      <c r="B669" t="s">
        <v>36</v>
      </c>
      <c r="C669" t="s">
        <v>37</v>
      </c>
      <c r="D669">
        <v>1085</v>
      </c>
      <c r="E669" t="s">
        <v>46</v>
      </c>
      <c r="G669">
        <v>2</v>
      </c>
      <c r="H669">
        <v>4</v>
      </c>
      <c r="I669" t="s">
        <v>39</v>
      </c>
      <c r="J669" t="str">
        <f>WA_Fn_UseC__HR_Employee_Attrition[[#This Row],[EducationField]]&amp;"-"&amp;WA_Fn_UseC__HR_Employee_Attrition[[#This Row],[Department]]</f>
        <v>Life Sciences-Research &amp; Development</v>
      </c>
      <c r="K669">
        <v>1</v>
      </c>
      <c r="L669">
        <v>927</v>
      </c>
      <c r="M669">
        <v>2</v>
      </c>
      <c r="N669" t="s">
        <v>40</v>
      </c>
      <c r="O669">
        <v>57</v>
      </c>
      <c r="P669">
        <v>1</v>
      </c>
      <c r="Q669">
        <v>1</v>
      </c>
      <c r="R669" t="s">
        <v>51</v>
      </c>
      <c r="S669">
        <v>4</v>
      </c>
      <c r="T669" t="s">
        <v>53</v>
      </c>
      <c r="U669">
        <v>2778</v>
      </c>
      <c r="V669" t="str" cm="1">
        <f t="array" ref="V66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69">
        <v>17725</v>
      </c>
      <c r="X669">
        <v>4</v>
      </c>
      <c r="Y669" t="s">
        <v>43</v>
      </c>
      <c r="Z669" t="s">
        <v>36</v>
      </c>
      <c r="AA669">
        <v>13</v>
      </c>
      <c r="AB669">
        <v>3</v>
      </c>
      <c r="AC669">
        <v>3</v>
      </c>
      <c r="AD669">
        <v>80</v>
      </c>
      <c r="AE669">
        <v>1</v>
      </c>
      <c r="AF669">
        <v>10</v>
      </c>
      <c r="AG669">
        <v>1</v>
      </c>
      <c r="AH669">
        <v>2</v>
      </c>
      <c r="AI669">
        <v>7</v>
      </c>
      <c r="AJ669">
        <v>7</v>
      </c>
      <c r="AK669">
        <v>1</v>
      </c>
      <c r="AL669" t="str" cm="1">
        <f t="array" ref="AL66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69">
        <v>0</v>
      </c>
    </row>
    <row r="670" spans="1:39" x14ac:dyDescent="0.25">
      <c r="A670">
        <v>28</v>
      </c>
      <c r="B670" t="s">
        <v>44</v>
      </c>
      <c r="C670" t="s">
        <v>37</v>
      </c>
      <c r="D670">
        <v>995</v>
      </c>
      <c r="E670" t="s">
        <v>46</v>
      </c>
      <c r="G670">
        <v>9</v>
      </c>
      <c r="H670">
        <v>3</v>
      </c>
      <c r="I670" t="s">
        <v>52</v>
      </c>
      <c r="J670" t="str">
        <f>WA_Fn_UseC__HR_Employee_Attrition[[#This Row],[EducationField]]&amp;"-"&amp;WA_Fn_UseC__HR_Employee_Attrition[[#This Row],[Department]]</f>
        <v>Medical-Research &amp; Development</v>
      </c>
      <c r="K670">
        <v>1</v>
      </c>
      <c r="L670">
        <v>930</v>
      </c>
      <c r="M670">
        <v>3</v>
      </c>
      <c r="N670" t="s">
        <v>40</v>
      </c>
      <c r="O670">
        <v>77</v>
      </c>
      <c r="P670">
        <v>3</v>
      </c>
      <c r="Q670">
        <v>1</v>
      </c>
      <c r="R670" t="s">
        <v>48</v>
      </c>
      <c r="S670">
        <v>3</v>
      </c>
      <c r="T670" t="s">
        <v>53</v>
      </c>
      <c r="U670">
        <v>2377</v>
      </c>
      <c r="V670" t="str" cm="1">
        <f t="array" ref="V67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70">
        <v>9834</v>
      </c>
      <c r="X670">
        <v>5</v>
      </c>
      <c r="Y670" t="s">
        <v>43</v>
      </c>
      <c r="Z670" t="s">
        <v>44</v>
      </c>
      <c r="AA670">
        <v>18</v>
      </c>
      <c r="AB670">
        <v>3</v>
      </c>
      <c r="AC670">
        <v>2</v>
      </c>
      <c r="AD670">
        <v>80</v>
      </c>
      <c r="AE670">
        <v>1</v>
      </c>
      <c r="AF670">
        <v>6</v>
      </c>
      <c r="AG670">
        <v>2</v>
      </c>
      <c r="AH670">
        <v>3</v>
      </c>
      <c r="AI670">
        <v>2</v>
      </c>
      <c r="AJ670">
        <v>2</v>
      </c>
      <c r="AK670">
        <v>2</v>
      </c>
      <c r="AL670" t="str" cm="1">
        <f t="array" ref="AL67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70">
        <v>2</v>
      </c>
    </row>
    <row r="671" spans="1:39" x14ac:dyDescent="0.25">
      <c r="A671">
        <v>39</v>
      </c>
      <c r="B671" t="s">
        <v>36</v>
      </c>
      <c r="C671" t="s">
        <v>37</v>
      </c>
      <c r="D671">
        <v>1122</v>
      </c>
      <c r="E671" t="s">
        <v>46</v>
      </c>
      <c r="G671">
        <v>6</v>
      </c>
      <c r="H671">
        <v>3</v>
      </c>
      <c r="I671" t="s">
        <v>52</v>
      </c>
      <c r="J671" t="str">
        <f>WA_Fn_UseC__HR_Employee_Attrition[[#This Row],[EducationField]]&amp;"-"&amp;WA_Fn_UseC__HR_Employee_Attrition[[#This Row],[Department]]</f>
        <v>Medical-Research &amp; Development</v>
      </c>
      <c r="K671">
        <v>1</v>
      </c>
      <c r="L671">
        <v>932</v>
      </c>
      <c r="M671">
        <v>4</v>
      </c>
      <c r="N671" t="s">
        <v>47</v>
      </c>
      <c r="O671">
        <v>70</v>
      </c>
      <c r="P671">
        <v>3</v>
      </c>
      <c r="Q671">
        <v>1</v>
      </c>
      <c r="R671" t="s">
        <v>51</v>
      </c>
      <c r="S671">
        <v>1</v>
      </c>
      <c r="T671" t="s">
        <v>49</v>
      </c>
      <c r="U671">
        <v>2404</v>
      </c>
      <c r="V671" t="str" cm="1">
        <f t="array" ref="V67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71">
        <v>4303</v>
      </c>
      <c r="X671">
        <v>7</v>
      </c>
      <c r="Y671" t="s">
        <v>43</v>
      </c>
      <c r="Z671" t="s">
        <v>36</v>
      </c>
      <c r="AA671">
        <v>21</v>
      </c>
      <c r="AB671">
        <v>4</v>
      </c>
      <c r="AC671">
        <v>4</v>
      </c>
      <c r="AD671">
        <v>80</v>
      </c>
      <c r="AE671">
        <v>0</v>
      </c>
      <c r="AF671">
        <v>8</v>
      </c>
      <c r="AG671">
        <v>2</v>
      </c>
      <c r="AH671">
        <v>1</v>
      </c>
      <c r="AI671">
        <v>2</v>
      </c>
      <c r="AJ671">
        <v>2</v>
      </c>
      <c r="AK671">
        <v>2</v>
      </c>
      <c r="AL671" t="str" cm="1">
        <f t="array" ref="AL67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71">
        <v>2</v>
      </c>
    </row>
    <row r="672" spans="1:39" x14ac:dyDescent="0.25">
      <c r="A672">
        <v>27</v>
      </c>
      <c r="B672" t="s">
        <v>44</v>
      </c>
      <c r="C672" t="s">
        <v>37</v>
      </c>
      <c r="D672">
        <v>618</v>
      </c>
      <c r="E672" t="s">
        <v>46</v>
      </c>
      <c r="G672">
        <v>4</v>
      </c>
      <c r="H672">
        <v>3</v>
      </c>
      <c r="I672" t="s">
        <v>39</v>
      </c>
      <c r="J672" t="str">
        <f>WA_Fn_UseC__HR_Employee_Attrition[[#This Row],[EducationField]]&amp;"-"&amp;WA_Fn_UseC__HR_Employee_Attrition[[#This Row],[Department]]</f>
        <v>Life Sciences-Research &amp; Development</v>
      </c>
      <c r="K672">
        <v>1</v>
      </c>
      <c r="L672">
        <v>933</v>
      </c>
      <c r="M672">
        <v>2</v>
      </c>
      <c r="N672" t="s">
        <v>40</v>
      </c>
      <c r="O672">
        <v>76</v>
      </c>
      <c r="P672">
        <v>3</v>
      </c>
      <c r="Q672">
        <v>1</v>
      </c>
      <c r="R672" t="s">
        <v>48</v>
      </c>
      <c r="S672">
        <v>3</v>
      </c>
      <c r="T672" t="s">
        <v>42</v>
      </c>
      <c r="U672">
        <v>2318</v>
      </c>
      <c r="V672" t="str" cm="1">
        <f t="array" ref="V67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72">
        <v>17808</v>
      </c>
      <c r="X672">
        <v>1</v>
      </c>
      <c r="Y672" t="s">
        <v>43</v>
      </c>
      <c r="Z672" t="s">
        <v>44</v>
      </c>
      <c r="AA672">
        <v>19</v>
      </c>
      <c r="AB672">
        <v>3</v>
      </c>
      <c r="AC672">
        <v>3</v>
      </c>
      <c r="AD672">
        <v>80</v>
      </c>
      <c r="AE672">
        <v>0</v>
      </c>
      <c r="AF672">
        <v>1</v>
      </c>
      <c r="AG672">
        <v>2</v>
      </c>
      <c r="AH672">
        <v>3</v>
      </c>
      <c r="AI672">
        <v>1</v>
      </c>
      <c r="AJ672">
        <v>1</v>
      </c>
      <c r="AK672">
        <v>0</v>
      </c>
      <c r="AL672" t="str" cm="1">
        <f t="array" ref="AL67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72">
        <v>0</v>
      </c>
    </row>
    <row r="673" spans="1:39" x14ac:dyDescent="0.25">
      <c r="A673">
        <v>34</v>
      </c>
      <c r="B673" t="s">
        <v>44</v>
      </c>
      <c r="C673" t="s">
        <v>37</v>
      </c>
      <c r="D673">
        <v>546</v>
      </c>
      <c r="E673" t="s">
        <v>46</v>
      </c>
      <c r="G673">
        <v>10</v>
      </c>
      <c r="H673">
        <v>3</v>
      </c>
      <c r="I673" t="s">
        <v>39</v>
      </c>
      <c r="J673" t="str">
        <f>WA_Fn_UseC__HR_Employee_Attrition[[#This Row],[EducationField]]&amp;"-"&amp;WA_Fn_UseC__HR_Employee_Attrition[[#This Row],[Department]]</f>
        <v>Life Sciences-Research &amp; Development</v>
      </c>
      <c r="K673">
        <v>1</v>
      </c>
      <c r="L673">
        <v>934</v>
      </c>
      <c r="M673">
        <v>2</v>
      </c>
      <c r="N673" t="s">
        <v>47</v>
      </c>
      <c r="O673">
        <v>83</v>
      </c>
      <c r="P673">
        <v>3</v>
      </c>
      <c r="Q673">
        <v>1</v>
      </c>
      <c r="R673" t="s">
        <v>51</v>
      </c>
      <c r="S673">
        <v>2</v>
      </c>
      <c r="T673" t="s">
        <v>53</v>
      </c>
      <c r="U673">
        <v>2008</v>
      </c>
      <c r="V673" t="str" cm="1">
        <f t="array" ref="V67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73">
        <v>6896</v>
      </c>
      <c r="X673">
        <v>1</v>
      </c>
      <c r="Y673" t="s">
        <v>43</v>
      </c>
      <c r="Z673" t="s">
        <v>44</v>
      </c>
      <c r="AA673">
        <v>14</v>
      </c>
      <c r="AB673">
        <v>3</v>
      </c>
      <c r="AC673">
        <v>2</v>
      </c>
      <c r="AD673">
        <v>80</v>
      </c>
      <c r="AE673">
        <v>2</v>
      </c>
      <c r="AF673">
        <v>1</v>
      </c>
      <c r="AG673">
        <v>3</v>
      </c>
      <c r="AH673">
        <v>3</v>
      </c>
      <c r="AI673">
        <v>1</v>
      </c>
      <c r="AJ673">
        <v>0</v>
      </c>
      <c r="AK673">
        <v>1</v>
      </c>
      <c r="AL673" t="str" cm="1">
        <f t="array" ref="AL67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73">
        <v>0</v>
      </c>
    </row>
    <row r="674" spans="1:39" x14ac:dyDescent="0.25">
      <c r="A674">
        <v>42</v>
      </c>
      <c r="B674" t="s">
        <v>44</v>
      </c>
      <c r="C674" t="s">
        <v>37</v>
      </c>
      <c r="D674">
        <v>462</v>
      </c>
      <c r="E674" t="s">
        <v>38</v>
      </c>
      <c r="G674">
        <v>14</v>
      </c>
      <c r="H674">
        <v>2</v>
      </c>
      <c r="I674" t="s">
        <v>52</v>
      </c>
      <c r="J674" t="str">
        <f>WA_Fn_UseC__HR_Employee_Attrition[[#This Row],[EducationField]]&amp;"-"&amp;WA_Fn_UseC__HR_Employee_Attrition[[#This Row],[Department]]</f>
        <v>Medical-Sales</v>
      </c>
      <c r="K674">
        <v>1</v>
      </c>
      <c r="L674">
        <v>936</v>
      </c>
      <c r="M674">
        <v>3</v>
      </c>
      <c r="N674" t="s">
        <v>40</v>
      </c>
      <c r="O674">
        <v>68</v>
      </c>
      <c r="P674">
        <v>2</v>
      </c>
      <c r="Q674">
        <v>2</v>
      </c>
      <c r="R674" t="s">
        <v>41</v>
      </c>
      <c r="S674">
        <v>3</v>
      </c>
      <c r="T674" t="s">
        <v>42</v>
      </c>
      <c r="U674">
        <v>6244</v>
      </c>
      <c r="V674" t="str" cm="1">
        <f t="array" ref="V67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74">
        <v>7824</v>
      </c>
      <c r="X674">
        <v>7</v>
      </c>
      <c r="Y674" t="s">
        <v>43</v>
      </c>
      <c r="Z674" t="s">
        <v>44</v>
      </c>
      <c r="AA674">
        <v>17</v>
      </c>
      <c r="AB674">
        <v>3</v>
      </c>
      <c r="AC674">
        <v>1</v>
      </c>
      <c r="AD674">
        <v>80</v>
      </c>
      <c r="AE674">
        <v>0</v>
      </c>
      <c r="AF674">
        <v>10</v>
      </c>
      <c r="AG674">
        <v>6</v>
      </c>
      <c r="AH674">
        <v>3</v>
      </c>
      <c r="AI674">
        <v>5</v>
      </c>
      <c r="AJ674">
        <v>4</v>
      </c>
      <c r="AK674">
        <v>0</v>
      </c>
      <c r="AL674" t="str" cm="1">
        <f t="array" ref="AL67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74">
        <v>3</v>
      </c>
    </row>
    <row r="675" spans="1:39" x14ac:dyDescent="0.25">
      <c r="A675">
        <v>33</v>
      </c>
      <c r="B675" t="s">
        <v>44</v>
      </c>
      <c r="C675" t="s">
        <v>37</v>
      </c>
      <c r="D675">
        <v>1198</v>
      </c>
      <c r="E675" t="s">
        <v>46</v>
      </c>
      <c r="G675">
        <v>1</v>
      </c>
      <c r="H675">
        <v>4</v>
      </c>
      <c r="I675" t="s">
        <v>50</v>
      </c>
      <c r="J675" t="str">
        <f>WA_Fn_UseC__HR_Employee_Attrition[[#This Row],[EducationField]]&amp;"-"&amp;WA_Fn_UseC__HR_Employee_Attrition[[#This Row],[Department]]</f>
        <v>Other-Research &amp; Development</v>
      </c>
      <c r="K675">
        <v>1</v>
      </c>
      <c r="L675">
        <v>939</v>
      </c>
      <c r="M675">
        <v>3</v>
      </c>
      <c r="N675" t="s">
        <v>47</v>
      </c>
      <c r="O675">
        <v>100</v>
      </c>
      <c r="P675">
        <v>2</v>
      </c>
      <c r="Q675">
        <v>1</v>
      </c>
      <c r="R675" t="s">
        <v>48</v>
      </c>
      <c r="S675">
        <v>1</v>
      </c>
      <c r="T675" t="s">
        <v>42</v>
      </c>
      <c r="U675">
        <v>2799</v>
      </c>
      <c r="V675" t="str" cm="1">
        <f t="array" ref="V67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75">
        <v>3339</v>
      </c>
      <c r="X675">
        <v>3</v>
      </c>
      <c r="Y675" t="s">
        <v>43</v>
      </c>
      <c r="Z675" t="s">
        <v>36</v>
      </c>
      <c r="AA675">
        <v>11</v>
      </c>
      <c r="AB675">
        <v>3</v>
      </c>
      <c r="AC675">
        <v>2</v>
      </c>
      <c r="AD675">
        <v>80</v>
      </c>
      <c r="AE675">
        <v>0</v>
      </c>
      <c r="AF675">
        <v>6</v>
      </c>
      <c r="AG675">
        <v>1</v>
      </c>
      <c r="AH675">
        <v>3</v>
      </c>
      <c r="AI675">
        <v>3</v>
      </c>
      <c r="AJ675">
        <v>2</v>
      </c>
      <c r="AK675">
        <v>0</v>
      </c>
      <c r="AL675" t="str" cm="1">
        <f t="array" ref="AL67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75">
        <v>2</v>
      </c>
    </row>
    <row r="676" spans="1:39" x14ac:dyDescent="0.25">
      <c r="A676">
        <v>58</v>
      </c>
      <c r="B676" t="s">
        <v>44</v>
      </c>
      <c r="C676" t="s">
        <v>37</v>
      </c>
      <c r="D676">
        <v>1272</v>
      </c>
      <c r="E676" t="s">
        <v>46</v>
      </c>
      <c r="G676">
        <v>5</v>
      </c>
      <c r="H676">
        <v>3</v>
      </c>
      <c r="I676" t="s">
        <v>61</v>
      </c>
      <c r="J676" t="str">
        <f>WA_Fn_UseC__HR_Employee_Attrition[[#This Row],[EducationField]]&amp;"-"&amp;WA_Fn_UseC__HR_Employee_Attrition[[#This Row],[Department]]</f>
        <v>Technical Degree-Research &amp; Development</v>
      </c>
      <c r="K676">
        <v>1</v>
      </c>
      <c r="L676">
        <v>940</v>
      </c>
      <c r="M676">
        <v>3</v>
      </c>
      <c r="N676" t="s">
        <v>40</v>
      </c>
      <c r="O676">
        <v>37</v>
      </c>
      <c r="P676">
        <v>2</v>
      </c>
      <c r="Q676">
        <v>3</v>
      </c>
      <c r="R676" t="s">
        <v>55</v>
      </c>
      <c r="S676">
        <v>2</v>
      </c>
      <c r="T676" t="s">
        <v>53</v>
      </c>
      <c r="U676">
        <v>10552</v>
      </c>
      <c r="V676" t="str" cm="1">
        <f t="array" ref="V67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76">
        <v>9255</v>
      </c>
      <c r="X676">
        <v>2</v>
      </c>
      <c r="Y676" t="s">
        <v>43</v>
      </c>
      <c r="Z676" t="s">
        <v>36</v>
      </c>
      <c r="AA676">
        <v>13</v>
      </c>
      <c r="AB676">
        <v>3</v>
      </c>
      <c r="AC676">
        <v>4</v>
      </c>
      <c r="AD676">
        <v>80</v>
      </c>
      <c r="AE676">
        <v>1</v>
      </c>
      <c r="AF676">
        <v>24</v>
      </c>
      <c r="AG676">
        <v>3</v>
      </c>
      <c r="AH676">
        <v>3</v>
      </c>
      <c r="AI676">
        <v>6</v>
      </c>
      <c r="AJ676">
        <v>0</v>
      </c>
      <c r="AK676">
        <v>0</v>
      </c>
      <c r="AL676" t="str" cm="1">
        <f t="array" ref="AL67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76">
        <v>4</v>
      </c>
    </row>
    <row r="677" spans="1:39" x14ac:dyDescent="0.25">
      <c r="A677">
        <v>31</v>
      </c>
      <c r="B677" t="s">
        <v>44</v>
      </c>
      <c r="C677" t="s">
        <v>37</v>
      </c>
      <c r="D677">
        <v>154</v>
      </c>
      <c r="E677" t="s">
        <v>38</v>
      </c>
      <c r="G677">
        <v>7</v>
      </c>
      <c r="H677">
        <v>4</v>
      </c>
      <c r="I677" t="s">
        <v>39</v>
      </c>
      <c r="J677" t="str">
        <f>WA_Fn_UseC__HR_Employee_Attrition[[#This Row],[EducationField]]&amp;"-"&amp;WA_Fn_UseC__HR_Employee_Attrition[[#This Row],[Department]]</f>
        <v>Life Sciences-Sales</v>
      </c>
      <c r="K677">
        <v>1</v>
      </c>
      <c r="L677">
        <v>941</v>
      </c>
      <c r="M677">
        <v>2</v>
      </c>
      <c r="N677" t="s">
        <v>47</v>
      </c>
      <c r="O677">
        <v>41</v>
      </c>
      <c r="P677">
        <v>2</v>
      </c>
      <c r="Q677">
        <v>1</v>
      </c>
      <c r="R677" t="s">
        <v>58</v>
      </c>
      <c r="S677">
        <v>3</v>
      </c>
      <c r="T677" t="s">
        <v>49</v>
      </c>
      <c r="U677">
        <v>2329</v>
      </c>
      <c r="V677" t="str" cm="1">
        <f t="array" ref="V67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77">
        <v>11737</v>
      </c>
      <c r="X677">
        <v>3</v>
      </c>
      <c r="Y677" t="s">
        <v>43</v>
      </c>
      <c r="Z677" t="s">
        <v>44</v>
      </c>
      <c r="AA677">
        <v>15</v>
      </c>
      <c r="AB677">
        <v>3</v>
      </c>
      <c r="AC677">
        <v>2</v>
      </c>
      <c r="AD677">
        <v>80</v>
      </c>
      <c r="AE677">
        <v>0</v>
      </c>
      <c r="AF677">
        <v>13</v>
      </c>
      <c r="AG677">
        <v>2</v>
      </c>
      <c r="AH677">
        <v>4</v>
      </c>
      <c r="AI677">
        <v>7</v>
      </c>
      <c r="AJ677">
        <v>7</v>
      </c>
      <c r="AK677">
        <v>5</v>
      </c>
      <c r="AL677" t="str" cm="1">
        <f t="array" ref="AL67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77">
        <v>2</v>
      </c>
    </row>
    <row r="678" spans="1:39" x14ac:dyDescent="0.25">
      <c r="A678">
        <v>35</v>
      </c>
      <c r="B678" t="s">
        <v>44</v>
      </c>
      <c r="C678" t="s">
        <v>37</v>
      </c>
      <c r="D678">
        <v>1137</v>
      </c>
      <c r="E678" t="s">
        <v>46</v>
      </c>
      <c r="G678">
        <v>21</v>
      </c>
      <c r="H678">
        <v>1</v>
      </c>
      <c r="I678" t="s">
        <v>39</v>
      </c>
      <c r="J678" t="str">
        <f>WA_Fn_UseC__HR_Employee_Attrition[[#This Row],[EducationField]]&amp;"-"&amp;WA_Fn_UseC__HR_Employee_Attrition[[#This Row],[Department]]</f>
        <v>Life Sciences-Research &amp; Development</v>
      </c>
      <c r="K678">
        <v>1</v>
      </c>
      <c r="L678">
        <v>942</v>
      </c>
      <c r="M678">
        <v>4</v>
      </c>
      <c r="N678" t="s">
        <v>40</v>
      </c>
      <c r="O678">
        <v>51</v>
      </c>
      <c r="P678">
        <v>3</v>
      </c>
      <c r="Q678">
        <v>2</v>
      </c>
      <c r="R678" t="s">
        <v>55</v>
      </c>
      <c r="S678">
        <v>4</v>
      </c>
      <c r="T678" t="s">
        <v>49</v>
      </c>
      <c r="U678">
        <v>4014</v>
      </c>
      <c r="V678" t="str" cm="1">
        <f t="array" ref="V67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78">
        <v>19170</v>
      </c>
      <c r="X678">
        <v>1</v>
      </c>
      <c r="Y678" t="s">
        <v>43</v>
      </c>
      <c r="Z678" t="s">
        <v>36</v>
      </c>
      <c r="AA678">
        <v>25</v>
      </c>
      <c r="AB678">
        <v>4</v>
      </c>
      <c r="AC678">
        <v>4</v>
      </c>
      <c r="AD678">
        <v>80</v>
      </c>
      <c r="AE678">
        <v>1</v>
      </c>
      <c r="AF678">
        <v>10</v>
      </c>
      <c r="AG678">
        <v>2</v>
      </c>
      <c r="AH678">
        <v>1</v>
      </c>
      <c r="AI678">
        <v>10</v>
      </c>
      <c r="AJ678">
        <v>6</v>
      </c>
      <c r="AK678">
        <v>0</v>
      </c>
      <c r="AL678" t="str" cm="1">
        <f t="array" ref="AL67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78">
        <v>7</v>
      </c>
    </row>
    <row r="679" spans="1:39" x14ac:dyDescent="0.25">
      <c r="A679">
        <v>49</v>
      </c>
      <c r="B679" t="s">
        <v>44</v>
      </c>
      <c r="C679" t="s">
        <v>37</v>
      </c>
      <c r="D679">
        <v>527</v>
      </c>
      <c r="E679" t="s">
        <v>46</v>
      </c>
      <c r="G679">
        <v>8</v>
      </c>
      <c r="H679">
        <v>2</v>
      </c>
      <c r="I679" t="s">
        <v>50</v>
      </c>
      <c r="J679" t="str">
        <f>WA_Fn_UseC__HR_Employee_Attrition[[#This Row],[EducationField]]&amp;"-"&amp;WA_Fn_UseC__HR_Employee_Attrition[[#This Row],[Department]]</f>
        <v>Other-Research &amp; Development</v>
      </c>
      <c r="K679">
        <v>1</v>
      </c>
      <c r="L679">
        <v>944</v>
      </c>
      <c r="M679">
        <v>1</v>
      </c>
      <c r="N679" t="s">
        <v>40</v>
      </c>
      <c r="O679">
        <v>51</v>
      </c>
      <c r="P679">
        <v>3</v>
      </c>
      <c r="Q679">
        <v>3</v>
      </c>
      <c r="R679" t="s">
        <v>51</v>
      </c>
      <c r="S679">
        <v>2</v>
      </c>
      <c r="T679" t="s">
        <v>49</v>
      </c>
      <c r="U679">
        <v>7403</v>
      </c>
      <c r="V679" t="str" cm="1">
        <f t="array" ref="V67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79">
        <v>22477</v>
      </c>
      <c r="X679">
        <v>4</v>
      </c>
      <c r="Y679" t="s">
        <v>43</v>
      </c>
      <c r="Z679" t="s">
        <v>44</v>
      </c>
      <c r="AA679">
        <v>11</v>
      </c>
      <c r="AB679">
        <v>3</v>
      </c>
      <c r="AC679">
        <v>3</v>
      </c>
      <c r="AD679">
        <v>80</v>
      </c>
      <c r="AE679">
        <v>1</v>
      </c>
      <c r="AF679">
        <v>29</v>
      </c>
      <c r="AG679">
        <v>3</v>
      </c>
      <c r="AH679">
        <v>2</v>
      </c>
      <c r="AI679">
        <v>26</v>
      </c>
      <c r="AJ679">
        <v>9</v>
      </c>
      <c r="AK679">
        <v>1</v>
      </c>
      <c r="AL679" t="str" cm="1">
        <f t="array" ref="AL67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79">
        <v>7</v>
      </c>
    </row>
    <row r="680" spans="1:39" x14ac:dyDescent="0.25">
      <c r="A680">
        <v>48</v>
      </c>
      <c r="B680" t="s">
        <v>44</v>
      </c>
      <c r="C680" t="s">
        <v>37</v>
      </c>
      <c r="D680">
        <v>1469</v>
      </c>
      <c r="E680" t="s">
        <v>46</v>
      </c>
      <c r="G680">
        <v>20</v>
      </c>
      <c r="H680">
        <v>4</v>
      </c>
      <c r="I680" t="s">
        <v>52</v>
      </c>
      <c r="J680" t="str">
        <f>WA_Fn_UseC__HR_Employee_Attrition[[#This Row],[EducationField]]&amp;"-"&amp;WA_Fn_UseC__HR_Employee_Attrition[[#This Row],[Department]]</f>
        <v>Medical-Research &amp; Development</v>
      </c>
      <c r="K680">
        <v>1</v>
      </c>
      <c r="L680">
        <v>945</v>
      </c>
      <c r="M680">
        <v>4</v>
      </c>
      <c r="N680" t="s">
        <v>47</v>
      </c>
      <c r="O680">
        <v>51</v>
      </c>
      <c r="P680">
        <v>3</v>
      </c>
      <c r="Q680">
        <v>1</v>
      </c>
      <c r="R680" t="s">
        <v>48</v>
      </c>
      <c r="S680">
        <v>3</v>
      </c>
      <c r="T680" t="s">
        <v>49</v>
      </c>
      <c r="U680">
        <v>2259</v>
      </c>
      <c r="V680" t="str" cm="1">
        <f t="array" ref="V68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80">
        <v>5543</v>
      </c>
      <c r="X680">
        <v>4</v>
      </c>
      <c r="Y680" t="s">
        <v>43</v>
      </c>
      <c r="Z680" t="s">
        <v>44</v>
      </c>
      <c r="AA680">
        <v>17</v>
      </c>
      <c r="AB680">
        <v>3</v>
      </c>
      <c r="AC680">
        <v>1</v>
      </c>
      <c r="AD680">
        <v>80</v>
      </c>
      <c r="AE680">
        <v>2</v>
      </c>
      <c r="AF680">
        <v>13</v>
      </c>
      <c r="AG680">
        <v>2</v>
      </c>
      <c r="AH680">
        <v>2</v>
      </c>
      <c r="AI680">
        <v>0</v>
      </c>
      <c r="AJ680">
        <v>0</v>
      </c>
      <c r="AK680">
        <v>0</v>
      </c>
      <c r="AL680" t="str" cm="1">
        <f t="array" ref="AL68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80">
        <v>0</v>
      </c>
    </row>
    <row r="681" spans="1:39" x14ac:dyDescent="0.25">
      <c r="A681">
        <v>31</v>
      </c>
      <c r="B681" t="s">
        <v>44</v>
      </c>
      <c r="C681" t="s">
        <v>56</v>
      </c>
      <c r="D681">
        <v>1188</v>
      </c>
      <c r="E681" t="s">
        <v>38</v>
      </c>
      <c r="G681">
        <v>20</v>
      </c>
      <c r="H681">
        <v>2</v>
      </c>
      <c r="I681" t="s">
        <v>60</v>
      </c>
      <c r="J681" t="str">
        <f>WA_Fn_UseC__HR_Employee_Attrition[[#This Row],[EducationField]]&amp;"-"&amp;WA_Fn_UseC__HR_Employee_Attrition[[#This Row],[Department]]</f>
        <v>Marketing-Sales</v>
      </c>
      <c r="K681">
        <v>1</v>
      </c>
      <c r="L681">
        <v>947</v>
      </c>
      <c r="M681">
        <v>4</v>
      </c>
      <c r="N681" t="s">
        <v>40</v>
      </c>
      <c r="O681">
        <v>45</v>
      </c>
      <c r="P681">
        <v>3</v>
      </c>
      <c r="Q681">
        <v>2</v>
      </c>
      <c r="R681" t="s">
        <v>41</v>
      </c>
      <c r="S681">
        <v>3</v>
      </c>
      <c r="T681" t="s">
        <v>49</v>
      </c>
      <c r="U681">
        <v>6932</v>
      </c>
      <c r="V681" t="str" cm="1">
        <f t="array" ref="V68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81">
        <v>24406</v>
      </c>
      <c r="X681">
        <v>1</v>
      </c>
      <c r="Y681" t="s">
        <v>43</v>
      </c>
      <c r="Z681" t="s">
        <v>44</v>
      </c>
      <c r="AA681">
        <v>13</v>
      </c>
      <c r="AB681">
        <v>3</v>
      </c>
      <c r="AC681">
        <v>4</v>
      </c>
      <c r="AD681">
        <v>80</v>
      </c>
      <c r="AE681">
        <v>1</v>
      </c>
      <c r="AF681">
        <v>9</v>
      </c>
      <c r="AG681">
        <v>2</v>
      </c>
      <c r="AH681">
        <v>2</v>
      </c>
      <c r="AI681">
        <v>9</v>
      </c>
      <c r="AJ681">
        <v>8</v>
      </c>
      <c r="AK681">
        <v>0</v>
      </c>
      <c r="AL681" t="str" cm="1">
        <f t="array" ref="AL68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81">
        <v>0</v>
      </c>
    </row>
    <row r="682" spans="1:39" x14ac:dyDescent="0.25">
      <c r="A682">
        <v>36</v>
      </c>
      <c r="B682" t="s">
        <v>44</v>
      </c>
      <c r="C682" t="s">
        <v>37</v>
      </c>
      <c r="D682">
        <v>188</v>
      </c>
      <c r="E682" t="s">
        <v>46</v>
      </c>
      <c r="G682">
        <v>7</v>
      </c>
      <c r="H682">
        <v>4</v>
      </c>
      <c r="I682" t="s">
        <v>50</v>
      </c>
      <c r="J682" t="str">
        <f>WA_Fn_UseC__HR_Employee_Attrition[[#This Row],[EducationField]]&amp;"-"&amp;WA_Fn_UseC__HR_Employee_Attrition[[#This Row],[Department]]</f>
        <v>Other-Research &amp; Development</v>
      </c>
      <c r="K682">
        <v>1</v>
      </c>
      <c r="L682">
        <v>949</v>
      </c>
      <c r="M682">
        <v>2</v>
      </c>
      <c r="N682" t="s">
        <v>47</v>
      </c>
      <c r="O682">
        <v>65</v>
      </c>
      <c r="P682">
        <v>3</v>
      </c>
      <c r="Q682">
        <v>1</v>
      </c>
      <c r="R682" t="s">
        <v>48</v>
      </c>
      <c r="S682">
        <v>4</v>
      </c>
      <c r="T682" t="s">
        <v>42</v>
      </c>
      <c r="U682">
        <v>4678</v>
      </c>
      <c r="V682" t="str" cm="1">
        <f t="array" ref="V68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82">
        <v>23293</v>
      </c>
      <c r="X682">
        <v>2</v>
      </c>
      <c r="Y682" t="s">
        <v>43</v>
      </c>
      <c r="Z682" t="s">
        <v>44</v>
      </c>
      <c r="AA682">
        <v>18</v>
      </c>
      <c r="AB682">
        <v>3</v>
      </c>
      <c r="AC682">
        <v>3</v>
      </c>
      <c r="AD682">
        <v>80</v>
      </c>
      <c r="AE682">
        <v>0</v>
      </c>
      <c r="AF682">
        <v>8</v>
      </c>
      <c r="AG682">
        <v>6</v>
      </c>
      <c r="AH682">
        <v>3</v>
      </c>
      <c r="AI682">
        <v>6</v>
      </c>
      <c r="AJ682">
        <v>2</v>
      </c>
      <c r="AK682">
        <v>0</v>
      </c>
      <c r="AL682" t="str" cm="1">
        <f t="array" ref="AL68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82">
        <v>1</v>
      </c>
    </row>
    <row r="683" spans="1:39" x14ac:dyDescent="0.25">
      <c r="A683">
        <v>38</v>
      </c>
      <c r="B683" t="s">
        <v>44</v>
      </c>
      <c r="C683" t="s">
        <v>37</v>
      </c>
      <c r="D683">
        <v>1333</v>
      </c>
      <c r="E683" t="s">
        <v>46</v>
      </c>
      <c r="G683">
        <v>1</v>
      </c>
      <c r="H683">
        <v>3</v>
      </c>
      <c r="I683" t="s">
        <v>61</v>
      </c>
      <c r="J683" t="str">
        <f>WA_Fn_UseC__HR_Employee_Attrition[[#This Row],[EducationField]]&amp;"-"&amp;WA_Fn_UseC__HR_Employee_Attrition[[#This Row],[Department]]</f>
        <v>Technical Degree-Research &amp; Development</v>
      </c>
      <c r="K683">
        <v>1</v>
      </c>
      <c r="L683">
        <v>950</v>
      </c>
      <c r="M683">
        <v>4</v>
      </c>
      <c r="N683" t="s">
        <v>40</v>
      </c>
      <c r="O683">
        <v>80</v>
      </c>
      <c r="P683">
        <v>3</v>
      </c>
      <c r="Q683">
        <v>3</v>
      </c>
      <c r="R683" t="s">
        <v>59</v>
      </c>
      <c r="S683">
        <v>1</v>
      </c>
      <c r="T683" t="s">
        <v>49</v>
      </c>
      <c r="U683">
        <v>13582</v>
      </c>
      <c r="V683" t="str" cm="1">
        <f t="array" ref="V68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83">
        <v>16292</v>
      </c>
      <c r="X683">
        <v>1</v>
      </c>
      <c r="Y683" t="s">
        <v>43</v>
      </c>
      <c r="Z683" t="s">
        <v>44</v>
      </c>
      <c r="AA683">
        <v>13</v>
      </c>
      <c r="AB683">
        <v>3</v>
      </c>
      <c r="AC683">
        <v>2</v>
      </c>
      <c r="AD683">
        <v>80</v>
      </c>
      <c r="AE683">
        <v>1</v>
      </c>
      <c r="AF683">
        <v>15</v>
      </c>
      <c r="AG683">
        <v>3</v>
      </c>
      <c r="AH683">
        <v>3</v>
      </c>
      <c r="AI683">
        <v>15</v>
      </c>
      <c r="AJ683">
        <v>12</v>
      </c>
      <c r="AK683">
        <v>5</v>
      </c>
      <c r="AL683" t="str" cm="1">
        <f t="array" ref="AL68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83">
        <v>11</v>
      </c>
    </row>
    <row r="684" spans="1:39" x14ac:dyDescent="0.25">
      <c r="A684">
        <v>32</v>
      </c>
      <c r="B684" t="s">
        <v>44</v>
      </c>
      <c r="C684" t="s">
        <v>56</v>
      </c>
      <c r="D684">
        <v>1184</v>
      </c>
      <c r="E684" t="s">
        <v>46</v>
      </c>
      <c r="G684">
        <v>1</v>
      </c>
      <c r="H684">
        <v>3</v>
      </c>
      <c r="I684" t="s">
        <v>39</v>
      </c>
      <c r="J684" t="str">
        <f>WA_Fn_UseC__HR_Employee_Attrition[[#This Row],[EducationField]]&amp;"-"&amp;WA_Fn_UseC__HR_Employee_Attrition[[#This Row],[Department]]</f>
        <v>Life Sciences-Research &amp; Development</v>
      </c>
      <c r="K684">
        <v>1</v>
      </c>
      <c r="L684">
        <v>951</v>
      </c>
      <c r="M684">
        <v>3</v>
      </c>
      <c r="N684" t="s">
        <v>40</v>
      </c>
      <c r="O684">
        <v>70</v>
      </c>
      <c r="P684">
        <v>2</v>
      </c>
      <c r="Q684">
        <v>1</v>
      </c>
      <c r="R684" t="s">
        <v>51</v>
      </c>
      <c r="S684">
        <v>2</v>
      </c>
      <c r="T684" t="s">
        <v>49</v>
      </c>
      <c r="U684">
        <v>2332</v>
      </c>
      <c r="V684" t="str" cm="1">
        <f t="array" ref="V68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84">
        <v>3974</v>
      </c>
      <c r="X684">
        <v>6</v>
      </c>
      <c r="Y684" t="s">
        <v>43</v>
      </c>
      <c r="Z684" t="s">
        <v>44</v>
      </c>
      <c r="AA684">
        <v>20</v>
      </c>
      <c r="AB684">
        <v>4</v>
      </c>
      <c r="AC684">
        <v>3</v>
      </c>
      <c r="AD684">
        <v>80</v>
      </c>
      <c r="AE684">
        <v>0</v>
      </c>
      <c r="AF684">
        <v>5</v>
      </c>
      <c r="AG684">
        <v>3</v>
      </c>
      <c r="AH684">
        <v>3</v>
      </c>
      <c r="AI684">
        <v>3</v>
      </c>
      <c r="AJ684">
        <v>0</v>
      </c>
      <c r="AK684">
        <v>0</v>
      </c>
      <c r="AL684" t="str" cm="1">
        <f t="array" ref="AL68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84">
        <v>2</v>
      </c>
    </row>
    <row r="685" spans="1:39" x14ac:dyDescent="0.25">
      <c r="A685">
        <v>25</v>
      </c>
      <c r="B685" t="s">
        <v>36</v>
      </c>
      <c r="C685" t="s">
        <v>37</v>
      </c>
      <c r="D685">
        <v>867</v>
      </c>
      <c r="E685" t="s">
        <v>38</v>
      </c>
      <c r="G685">
        <v>19</v>
      </c>
      <c r="H685">
        <v>2</v>
      </c>
      <c r="I685" t="s">
        <v>60</v>
      </c>
      <c r="J685" t="str">
        <f>WA_Fn_UseC__HR_Employee_Attrition[[#This Row],[EducationField]]&amp;"-"&amp;WA_Fn_UseC__HR_Employee_Attrition[[#This Row],[Department]]</f>
        <v>Marketing-Sales</v>
      </c>
      <c r="K685">
        <v>1</v>
      </c>
      <c r="L685">
        <v>952</v>
      </c>
      <c r="M685">
        <v>3</v>
      </c>
      <c r="N685" t="s">
        <v>47</v>
      </c>
      <c r="O685">
        <v>36</v>
      </c>
      <c r="P685">
        <v>2</v>
      </c>
      <c r="Q685">
        <v>1</v>
      </c>
      <c r="R685" t="s">
        <v>58</v>
      </c>
      <c r="S685">
        <v>2</v>
      </c>
      <c r="T685" t="s">
        <v>49</v>
      </c>
      <c r="U685">
        <v>2413</v>
      </c>
      <c r="V685" t="str" cm="1">
        <f t="array" ref="V68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85">
        <v>18798</v>
      </c>
      <c r="X685">
        <v>1</v>
      </c>
      <c r="Y685" t="s">
        <v>43</v>
      </c>
      <c r="Z685" t="s">
        <v>36</v>
      </c>
      <c r="AA685">
        <v>18</v>
      </c>
      <c r="AB685">
        <v>3</v>
      </c>
      <c r="AC685">
        <v>3</v>
      </c>
      <c r="AD685">
        <v>80</v>
      </c>
      <c r="AE685">
        <v>3</v>
      </c>
      <c r="AF685">
        <v>1</v>
      </c>
      <c r="AG685">
        <v>2</v>
      </c>
      <c r="AH685">
        <v>3</v>
      </c>
      <c r="AI685">
        <v>1</v>
      </c>
      <c r="AJ685">
        <v>0</v>
      </c>
      <c r="AK685">
        <v>0</v>
      </c>
      <c r="AL685" t="str" cm="1">
        <f t="array" ref="AL68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85">
        <v>0</v>
      </c>
    </row>
    <row r="686" spans="1:39" x14ac:dyDescent="0.25">
      <c r="A686">
        <v>40</v>
      </c>
      <c r="B686" t="s">
        <v>44</v>
      </c>
      <c r="C686" t="s">
        <v>37</v>
      </c>
      <c r="D686">
        <v>658</v>
      </c>
      <c r="E686" t="s">
        <v>38</v>
      </c>
      <c r="G686">
        <v>10</v>
      </c>
      <c r="H686">
        <v>4</v>
      </c>
      <c r="I686" t="s">
        <v>60</v>
      </c>
      <c r="J686" t="str">
        <f>WA_Fn_UseC__HR_Employee_Attrition[[#This Row],[EducationField]]&amp;"-"&amp;WA_Fn_UseC__HR_Employee_Attrition[[#This Row],[Department]]</f>
        <v>Marketing-Sales</v>
      </c>
      <c r="K686">
        <v>1</v>
      </c>
      <c r="L686">
        <v>954</v>
      </c>
      <c r="M686">
        <v>1</v>
      </c>
      <c r="N686" t="s">
        <v>47</v>
      </c>
      <c r="O686">
        <v>67</v>
      </c>
      <c r="P686">
        <v>2</v>
      </c>
      <c r="Q686">
        <v>3</v>
      </c>
      <c r="R686" t="s">
        <v>41</v>
      </c>
      <c r="S686">
        <v>2</v>
      </c>
      <c r="T686" t="s">
        <v>53</v>
      </c>
      <c r="U686">
        <v>9705</v>
      </c>
      <c r="V686" t="str" cm="1">
        <f t="array" ref="V68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86">
        <v>20652</v>
      </c>
      <c r="X686">
        <v>2</v>
      </c>
      <c r="Y686" t="s">
        <v>43</v>
      </c>
      <c r="Z686" t="s">
        <v>44</v>
      </c>
      <c r="AA686">
        <v>12</v>
      </c>
      <c r="AB686">
        <v>3</v>
      </c>
      <c r="AC686">
        <v>2</v>
      </c>
      <c r="AD686">
        <v>80</v>
      </c>
      <c r="AE686">
        <v>1</v>
      </c>
      <c r="AF686">
        <v>11</v>
      </c>
      <c r="AG686">
        <v>2</v>
      </c>
      <c r="AH686">
        <v>2</v>
      </c>
      <c r="AI686">
        <v>1</v>
      </c>
      <c r="AJ686">
        <v>0</v>
      </c>
      <c r="AK686">
        <v>0</v>
      </c>
      <c r="AL686" t="str" cm="1">
        <f t="array" ref="AL68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86">
        <v>0</v>
      </c>
    </row>
    <row r="687" spans="1:39" x14ac:dyDescent="0.25">
      <c r="A687">
        <v>26</v>
      </c>
      <c r="B687" t="s">
        <v>44</v>
      </c>
      <c r="C687" t="s">
        <v>45</v>
      </c>
      <c r="D687">
        <v>1283</v>
      </c>
      <c r="E687" t="s">
        <v>38</v>
      </c>
      <c r="G687">
        <v>1</v>
      </c>
      <c r="H687">
        <v>3</v>
      </c>
      <c r="I687" t="s">
        <v>52</v>
      </c>
      <c r="J687" t="str">
        <f>WA_Fn_UseC__HR_Employee_Attrition[[#This Row],[EducationField]]&amp;"-"&amp;WA_Fn_UseC__HR_Employee_Attrition[[#This Row],[Department]]</f>
        <v>Medical-Sales</v>
      </c>
      <c r="K687">
        <v>1</v>
      </c>
      <c r="L687">
        <v>956</v>
      </c>
      <c r="M687">
        <v>3</v>
      </c>
      <c r="N687" t="s">
        <v>47</v>
      </c>
      <c r="O687">
        <v>52</v>
      </c>
      <c r="P687">
        <v>2</v>
      </c>
      <c r="Q687">
        <v>2</v>
      </c>
      <c r="R687" t="s">
        <v>41</v>
      </c>
      <c r="S687">
        <v>1</v>
      </c>
      <c r="T687" t="s">
        <v>42</v>
      </c>
      <c r="U687">
        <v>4294</v>
      </c>
      <c r="V687" t="str" cm="1">
        <f t="array" ref="V68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87">
        <v>11148</v>
      </c>
      <c r="X687">
        <v>1</v>
      </c>
      <c r="Y687" t="s">
        <v>43</v>
      </c>
      <c r="Z687" t="s">
        <v>44</v>
      </c>
      <c r="AA687">
        <v>12</v>
      </c>
      <c r="AB687">
        <v>3</v>
      </c>
      <c r="AC687">
        <v>2</v>
      </c>
      <c r="AD687">
        <v>80</v>
      </c>
      <c r="AE687">
        <v>0</v>
      </c>
      <c r="AF687">
        <v>7</v>
      </c>
      <c r="AG687">
        <v>2</v>
      </c>
      <c r="AH687">
        <v>3</v>
      </c>
      <c r="AI687">
        <v>7</v>
      </c>
      <c r="AJ687">
        <v>7</v>
      </c>
      <c r="AK687">
        <v>0</v>
      </c>
      <c r="AL687" t="str" cm="1">
        <f t="array" ref="AL68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87">
        <v>7</v>
      </c>
    </row>
    <row r="688" spans="1:39" x14ac:dyDescent="0.25">
      <c r="A688">
        <v>41</v>
      </c>
      <c r="B688" t="s">
        <v>44</v>
      </c>
      <c r="C688" t="s">
        <v>37</v>
      </c>
      <c r="D688">
        <v>263</v>
      </c>
      <c r="E688" t="s">
        <v>46</v>
      </c>
      <c r="G688">
        <v>6</v>
      </c>
      <c r="H688">
        <v>3</v>
      </c>
      <c r="I688" t="s">
        <v>52</v>
      </c>
      <c r="J688" t="str">
        <f>WA_Fn_UseC__HR_Employee_Attrition[[#This Row],[EducationField]]&amp;"-"&amp;WA_Fn_UseC__HR_Employee_Attrition[[#This Row],[Department]]</f>
        <v>Medical-Research &amp; Development</v>
      </c>
      <c r="K688">
        <v>1</v>
      </c>
      <c r="L688">
        <v>957</v>
      </c>
      <c r="M688">
        <v>4</v>
      </c>
      <c r="N688" t="s">
        <v>47</v>
      </c>
      <c r="O688">
        <v>59</v>
      </c>
      <c r="P688">
        <v>3</v>
      </c>
      <c r="Q688">
        <v>1</v>
      </c>
      <c r="R688" t="s">
        <v>51</v>
      </c>
      <c r="S688">
        <v>1</v>
      </c>
      <c r="T688" t="s">
        <v>42</v>
      </c>
      <c r="U688">
        <v>4721</v>
      </c>
      <c r="V688" t="str" cm="1">
        <f t="array" ref="V68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88">
        <v>3119</v>
      </c>
      <c r="X688">
        <v>2</v>
      </c>
      <c r="Y688" t="s">
        <v>43</v>
      </c>
      <c r="Z688" t="s">
        <v>36</v>
      </c>
      <c r="AA688">
        <v>13</v>
      </c>
      <c r="AB688">
        <v>3</v>
      </c>
      <c r="AC688">
        <v>3</v>
      </c>
      <c r="AD688">
        <v>80</v>
      </c>
      <c r="AE688">
        <v>0</v>
      </c>
      <c r="AF688">
        <v>20</v>
      </c>
      <c r="AG688">
        <v>3</v>
      </c>
      <c r="AH688">
        <v>3</v>
      </c>
      <c r="AI688">
        <v>18</v>
      </c>
      <c r="AJ688">
        <v>13</v>
      </c>
      <c r="AK688">
        <v>2</v>
      </c>
      <c r="AL688" t="str" cm="1">
        <f t="array" ref="AL68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88">
        <v>17</v>
      </c>
    </row>
    <row r="689" spans="1:39" x14ac:dyDescent="0.25">
      <c r="A689">
        <v>36</v>
      </c>
      <c r="B689" t="s">
        <v>44</v>
      </c>
      <c r="C689" t="s">
        <v>37</v>
      </c>
      <c r="D689">
        <v>938</v>
      </c>
      <c r="E689" t="s">
        <v>46</v>
      </c>
      <c r="G689">
        <v>2</v>
      </c>
      <c r="H689">
        <v>4</v>
      </c>
      <c r="I689" t="s">
        <v>52</v>
      </c>
      <c r="J689" t="str">
        <f>WA_Fn_UseC__HR_Employee_Attrition[[#This Row],[EducationField]]&amp;"-"&amp;WA_Fn_UseC__HR_Employee_Attrition[[#This Row],[Department]]</f>
        <v>Medical-Research &amp; Development</v>
      </c>
      <c r="K689">
        <v>1</v>
      </c>
      <c r="L689">
        <v>958</v>
      </c>
      <c r="M689">
        <v>3</v>
      </c>
      <c r="N689" t="s">
        <v>47</v>
      </c>
      <c r="O689">
        <v>79</v>
      </c>
      <c r="P689">
        <v>3</v>
      </c>
      <c r="Q689">
        <v>1</v>
      </c>
      <c r="R689" t="s">
        <v>51</v>
      </c>
      <c r="S689">
        <v>3</v>
      </c>
      <c r="T689" t="s">
        <v>42</v>
      </c>
      <c r="U689">
        <v>2519</v>
      </c>
      <c r="V689" t="str" cm="1">
        <f t="array" ref="V68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89">
        <v>12287</v>
      </c>
      <c r="X689">
        <v>4</v>
      </c>
      <c r="Y689" t="s">
        <v>43</v>
      </c>
      <c r="Z689" t="s">
        <v>44</v>
      </c>
      <c r="AA689">
        <v>21</v>
      </c>
      <c r="AB689">
        <v>4</v>
      </c>
      <c r="AC689">
        <v>3</v>
      </c>
      <c r="AD689">
        <v>80</v>
      </c>
      <c r="AE689">
        <v>0</v>
      </c>
      <c r="AF689">
        <v>16</v>
      </c>
      <c r="AG689">
        <v>6</v>
      </c>
      <c r="AH689">
        <v>3</v>
      </c>
      <c r="AI689">
        <v>11</v>
      </c>
      <c r="AJ689">
        <v>8</v>
      </c>
      <c r="AK689">
        <v>3</v>
      </c>
      <c r="AL689" t="str" cm="1">
        <f t="array" ref="AL68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89">
        <v>9</v>
      </c>
    </row>
    <row r="690" spans="1:39" x14ac:dyDescent="0.25">
      <c r="A690">
        <v>19</v>
      </c>
      <c r="B690" t="s">
        <v>36</v>
      </c>
      <c r="C690" t="s">
        <v>37</v>
      </c>
      <c r="D690">
        <v>419</v>
      </c>
      <c r="E690" t="s">
        <v>38</v>
      </c>
      <c r="G690">
        <v>21</v>
      </c>
      <c r="H690">
        <v>3</v>
      </c>
      <c r="I690" t="s">
        <v>50</v>
      </c>
      <c r="J690" t="str">
        <f>WA_Fn_UseC__HR_Employee_Attrition[[#This Row],[EducationField]]&amp;"-"&amp;WA_Fn_UseC__HR_Employee_Attrition[[#This Row],[Department]]</f>
        <v>Other-Sales</v>
      </c>
      <c r="K690">
        <v>1</v>
      </c>
      <c r="L690">
        <v>959</v>
      </c>
      <c r="M690">
        <v>4</v>
      </c>
      <c r="N690" t="s">
        <v>47</v>
      </c>
      <c r="O690">
        <v>37</v>
      </c>
      <c r="P690">
        <v>2</v>
      </c>
      <c r="Q690">
        <v>1</v>
      </c>
      <c r="R690" t="s">
        <v>58</v>
      </c>
      <c r="S690">
        <v>2</v>
      </c>
      <c r="T690" t="s">
        <v>42</v>
      </c>
      <c r="U690">
        <v>2121</v>
      </c>
      <c r="V690" t="str" cm="1">
        <f t="array" ref="V69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90">
        <v>9947</v>
      </c>
      <c r="X690">
        <v>1</v>
      </c>
      <c r="Y690" t="s">
        <v>43</v>
      </c>
      <c r="Z690" t="s">
        <v>36</v>
      </c>
      <c r="AA690">
        <v>13</v>
      </c>
      <c r="AB690">
        <v>3</v>
      </c>
      <c r="AC690">
        <v>2</v>
      </c>
      <c r="AD690">
        <v>80</v>
      </c>
      <c r="AE690">
        <v>0</v>
      </c>
      <c r="AF690">
        <v>1</v>
      </c>
      <c r="AG690">
        <v>3</v>
      </c>
      <c r="AH690">
        <v>4</v>
      </c>
      <c r="AI690">
        <v>1</v>
      </c>
      <c r="AJ690">
        <v>0</v>
      </c>
      <c r="AK690">
        <v>0</v>
      </c>
      <c r="AL690" t="str" cm="1">
        <f t="array" ref="AL69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90">
        <v>0</v>
      </c>
    </row>
    <row r="691" spans="1:39" x14ac:dyDescent="0.25">
      <c r="A691">
        <v>20</v>
      </c>
      <c r="B691" t="s">
        <v>36</v>
      </c>
      <c r="C691" t="s">
        <v>37</v>
      </c>
      <c r="D691">
        <v>129</v>
      </c>
      <c r="E691" t="s">
        <v>46</v>
      </c>
      <c r="G691">
        <v>4</v>
      </c>
      <c r="H691">
        <v>3</v>
      </c>
      <c r="I691" t="s">
        <v>61</v>
      </c>
      <c r="J691" t="str">
        <f>WA_Fn_UseC__HR_Employee_Attrition[[#This Row],[EducationField]]&amp;"-"&amp;WA_Fn_UseC__HR_Employee_Attrition[[#This Row],[Department]]</f>
        <v>Technical Degree-Research &amp; Development</v>
      </c>
      <c r="K691">
        <v>1</v>
      </c>
      <c r="L691">
        <v>960</v>
      </c>
      <c r="M691">
        <v>1</v>
      </c>
      <c r="N691" t="s">
        <v>47</v>
      </c>
      <c r="O691">
        <v>84</v>
      </c>
      <c r="P691">
        <v>3</v>
      </c>
      <c r="Q691">
        <v>1</v>
      </c>
      <c r="R691" t="s">
        <v>51</v>
      </c>
      <c r="S691">
        <v>1</v>
      </c>
      <c r="T691" t="s">
        <v>42</v>
      </c>
      <c r="U691">
        <v>2973</v>
      </c>
      <c r="V691" t="str" cm="1">
        <f t="array" ref="V69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91">
        <v>13008</v>
      </c>
      <c r="X691">
        <v>1</v>
      </c>
      <c r="Y691" t="s">
        <v>43</v>
      </c>
      <c r="Z691" t="s">
        <v>44</v>
      </c>
      <c r="AA691">
        <v>19</v>
      </c>
      <c r="AB691">
        <v>3</v>
      </c>
      <c r="AC691">
        <v>2</v>
      </c>
      <c r="AD691">
        <v>80</v>
      </c>
      <c r="AE691">
        <v>0</v>
      </c>
      <c r="AF691">
        <v>1</v>
      </c>
      <c r="AG691">
        <v>2</v>
      </c>
      <c r="AH691">
        <v>3</v>
      </c>
      <c r="AI691">
        <v>1</v>
      </c>
      <c r="AJ691">
        <v>0</v>
      </c>
      <c r="AK691">
        <v>0</v>
      </c>
      <c r="AL691" t="str" cm="1">
        <f t="array" ref="AL69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91">
        <v>0</v>
      </c>
    </row>
    <row r="692" spans="1:39" x14ac:dyDescent="0.25">
      <c r="A692">
        <v>31</v>
      </c>
      <c r="B692" t="s">
        <v>44</v>
      </c>
      <c r="C692" t="s">
        <v>37</v>
      </c>
      <c r="D692">
        <v>616</v>
      </c>
      <c r="E692" t="s">
        <v>46</v>
      </c>
      <c r="G692">
        <v>12</v>
      </c>
      <c r="H692">
        <v>3</v>
      </c>
      <c r="I692" t="s">
        <v>52</v>
      </c>
      <c r="J692" t="str">
        <f>WA_Fn_UseC__HR_Employee_Attrition[[#This Row],[EducationField]]&amp;"-"&amp;WA_Fn_UseC__HR_Employee_Attrition[[#This Row],[Department]]</f>
        <v>Medical-Research &amp; Development</v>
      </c>
      <c r="K692">
        <v>1</v>
      </c>
      <c r="L692">
        <v>961</v>
      </c>
      <c r="M692">
        <v>4</v>
      </c>
      <c r="N692" t="s">
        <v>40</v>
      </c>
      <c r="O692">
        <v>41</v>
      </c>
      <c r="P692">
        <v>3</v>
      </c>
      <c r="Q692">
        <v>2</v>
      </c>
      <c r="R692" t="s">
        <v>55</v>
      </c>
      <c r="S692">
        <v>4</v>
      </c>
      <c r="T692" t="s">
        <v>49</v>
      </c>
      <c r="U692">
        <v>5855</v>
      </c>
      <c r="V692" t="str" cm="1">
        <f t="array" ref="V69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92">
        <v>17369</v>
      </c>
      <c r="X692">
        <v>0</v>
      </c>
      <c r="Y692" t="s">
        <v>43</v>
      </c>
      <c r="Z692" t="s">
        <v>36</v>
      </c>
      <c r="AA692">
        <v>11</v>
      </c>
      <c r="AB692">
        <v>3</v>
      </c>
      <c r="AC692">
        <v>3</v>
      </c>
      <c r="AD692">
        <v>80</v>
      </c>
      <c r="AE692">
        <v>2</v>
      </c>
      <c r="AF692">
        <v>10</v>
      </c>
      <c r="AG692">
        <v>2</v>
      </c>
      <c r="AH692">
        <v>1</v>
      </c>
      <c r="AI692">
        <v>9</v>
      </c>
      <c r="AJ692">
        <v>7</v>
      </c>
      <c r="AK692">
        <v>8</v>
      </c>
      <c r="AL692" t="str" cm="1">
        <f t="array" ref="AL69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92">
        <v>5</v>
      </c>
    </row>
    <row r="693" spans="1:39" x14ac:dyDescent="0.25">
      <c r="A693">
        <v>40</v>
      </c>
      <c r="B693" t="s">
        <v>44</v>
      </c>
      <c r="C693" t="s">
        <v>45</v>
      </c>
      <c r="D693">
        <v>1469</v>
      </c>
      <c r="E693" t="s">
        <v>46</v>
      </c>
      <c r="G693">
        <v>9</v>
      </c>
      <c r="H693">
        <v>4</v>
      </c>
      <c r="I693" t="s">
        <v>52</v>
      </c>
      <c r="J693" t="str">
        <f>WA_Fn_UseC__HR_Employee_Attrition[[#This Row],[EducationField]]&amp;"-"&amp;WA_Fn_UseC__HR_Employee_Attrition[[#This Row],[Department]]</f>
        <v>Medical-Research &amp; Development</v>
      </c>
      <c r="K693">
        <v>1</v>
      </c>
      <c r="L693">
        <v>964</v>
      </c>
      <c r="M693">
        <v>4</v>
      </c>
      <c r="N693" t="s">
        <v>47</v>
      </c>
      <c r="O693">
        <v>35</v>
      </c>
      <c r="P693">
        <v>3</v>
      </c>
      <c r="Q693">
        <v>1</v>
      </c>
      <c r="R693" t="s">
        <v>48</v>
      </c>
      <c r="S693">
        <v>2</v>
      </c>
      <c r="T693" t="s">
        <v>53</v>
      </c>
      <c r="U693">
        <v>3617</v>
      </c>
      <c r="V693" t="str" cm="1">
        <f t="array" ref="V69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93">
        <v>25063</v>
      </c>
      <c r="X693">
        <v>8</v>
      </c>
      <c r="Y693" t="s">
        <v>43</v>
      </c>
      <c r="Z693" t="s">
        <v>36</v>
      </c>
      <c r="AA693">
        <v>14</v>
      </c>
      <c r="AB693">
        <v>3</v>
      </c>
      <c r="AC693">
        <v>4</v>
      </c>
      <c r="AD693">
        <v>80</v>
      </c>
      <c r="AE693">
        <v>1</v>
      </c>
      <c r="AF693">
        <v>3</v>
      </c>
      <c r="AG693">
        <v>2</v>
      </c>
      <c r="AH693">
        <v>3</v>
      </c>
      <c r="AI693">
        <v>1</v>
      </c>
      <c r="AJ693">
        <v>1</v>
      </c>
      <c r="AK693">
        <v>0</v>
      </c>
      <c r="AL693" t="str" cm="1">
        <f t="array" ref="AL69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93">
        <v>0</v>
      </c>
    </row>
    <row r="694" spans="1:39" x14ac:dyDescent="0.25">
      <c r="A694">
        <v>32</v>
      </c>
      <c r="B694" t="s">
        <v>44</v>
      </c>
      <c r="C694" t="s">
        <v>37</v>
      </c>
      <c r="D694">
        <v>498</v>
      </c>
      <c r="E694" t="s">
        <v>46</v>
      </c>
      <c r="G694">
        <v>3</v>
      </c>
      <c r="H694">
        <v>4</v>
      </c>
      <c r="I694" t="s">
        <v>52</v>
      </c>
      <c r="J694" t="str">
        <f>WA_Fn_UseC__HR_Employee_Attrition[[#This Row],[EducationField]]&amp;"-"&amp;WA_Fn_UseC__HR_Employee_Attrition[[#This Row],[Department]]</f>
        <v>Medical-Research &amp; Development</v>
      </c>
      <c r="K694">
        <v>1</v>
      </c>
      <c r="L694">
        <v>966</v>
      </c>
      <c r="M694">
        <v>3</v>
      </c>
      <c r="N694" t="s">
        <v>40</v>
      </c>
      <c r="O694">
        <v>93</v>
      </c>
      <c r="P694">
        <v>3</v>
      </c>
      <c r="Q694">
        <v>2</v>
      </c>
      <c r="R694" t="s">
        <v>54</v>
      </c>
      <c r="S694">
        <v>1</v>
      </c>
      <c r="T694" t="s">
        <v>49</v>
      </c>
      <c r="U694">
        <v>6725</v>
      </c>
      <c r="V694" t="str" cm="1">
        <f t="array" ref="V69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94">
        <v>13554</v>
      </c>
      <c r="X694">
        <v>1</v>
      </c>
      <c r="Y694" t="s">
        <v>43</v>
      </c>
      <c r="Z694" t="s">
        <v>44</v>
      </c>
      <c r="AA694">
        <v>12</v>
      </c>
      <c r="AB694">
        <v>3</v>
      </c>
      <c r="AC694">
        <v>3</v>
      </c>
      <c r="AD694">
        <v>80</v>
      </c>
      <c r="AE694">
        <v>1</v>
      </c>
      <c r="AF694">
        <v>8</v>
      </c>
      <c r="AG694">
        <v>2</v>
      </c>
      <c r="AH694">
        <v>4</v>
      </c>
      <c r="AI694">
        <v>8</v>
      </c>
      <c r="AJ694">
        <v>7</v>
      </c>
      <c r="AK694">
        <v>6</v>
      </c>
      <c r="AL694" t="str" cm="1">
        <f t="array" ref="AL69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94">
        <v>3</v>
      </c>
    </row>
    <row r="695" spans="1:39" x14ac:dyDescent="0.25">
      <c r="A695">
        <v>36</v>
      </c>
      <c r="B695" t="s">
        <v>36</v>
      </c>
      <c r="C695" t="s">
        <v>37</v>
      </c>
      <c r="D695">
        <v>530</v>
      </c>
      <c r="E695" t="s">
        <v>38</v>
      </c>
      <c r="G695">
        <v>3</v>
      </c>
      <c r="H695">
        <v>1</v>
      </c>
      <c r="I695" t="s">
        <v>39</v>
      </c>
      <c r="J695" t="str">
        <f>WA_Fn_UseC__HR_Employee_Attrition[[#This Row],[EducationField]]&amp;"-"&amp;WA_Fn_UseC__HR_Employee_Attrition[[#This Row],[Department]]</f>
        <v>Life Sciences-Sales</v>
      </c>
      <c r="K695">
        <v>1</v>
      </c>
      <c r="L695">
        <v>967</v>
      </c>
      <c r="M695">
        <v>3</v>
      </c>
      <c r="N695" t="s">
        <v>47</v>
      </c>
      <c r="O695">
        <v>51</v>
      </c>
      <c r="P695">
        <v>2</v>
      </c>
      <c r="Q695">
        <v>3</v>
      </c>
      <c r="R695" t="s">
        <v>41</v>
      </c>
      <c r="S695">
        <v>4</v>
      </c>
      <c r="T695" t="s">
        <v>49</v>
      </c>
      <c r="U695">
        <v>10325</v>
      </c>
      <c r="V695" t="str" cm="1">
        <f t="array" ref="V69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95">
        <v>5518</v>
      </c>
      <c r="X695">
        <v>1</v>
      </c>
      <c r="Y695" t="s">
        <v>43</v>
      </c>
      <c r="Z695" t="s">
        <v>36</v>
      </c>
      <c r="AA695">
        <v>11</v>
      </c>
      <c r="AB695">
        <v>3</v>
      </c>
      <c r="AC695">
        <v>1</v>
      </c>
      <c r="AD695">
        <v>80</v>
      </c>
      <c r="AE695">
        <v>1</v>
      </c>
      <c r="AF695">
        <v>16</v>
      </c>
      <c r="AG695">
        <v>6</v>
      </c>
      <c r="AH695">
        <v>3</v>
      </c>
      <c r="AI695">
        <v>16</v>
      </c>
      <c r="AJ695">
        <v>7</v>
      </c>
      <c r="AK695">
        <v>3</v>
      </c>
      <c r="AL695" t="str" cm="1">
        <f t="array" ref="AL69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95">
        <v>7</v>
      </c>
    </row>
    <row r="696" spans="1:39" x14ac:dyDescent="0.25">
      <c r="A696">
        <v>33</v>
      </c>
      <c r="B696" t="s">
        <v>44</v>
      </c>
      <c r="C696" t="s">
        <v>37</v>
      </c>
      <c r="D696">
        <v>1069</v>
      </c>
      <c r="E696" t="s">
        <v>46</v>
      </c>
      <c r="G696">
        <v>1</v>
      </c>
      <c r="H696">
        <v>3</v>
      </c>
      <c r="I696" t="s">
        <v>39</v>
      </c>
      <c r="J696" t="str">
        <f>WA_Fn_UseC__HR_Employee_Attrition[[#This Row],[EducationField]]&amp;"-"&amp;WA_Fn_UseC__HR_Employee_Attrition[[#This Row],[Department]]</f>
        <v>Life Sciences-Research &amp; Development</v>
      </c>
      <c r="K696">
        <v>1</v>
      </c>
      <c r="L696">
        <v>969</v>
      </c>
      <c r="M696">
        <v>2</v>
      </c>
      <c r="N696" t="s">
        <v>40</v>
      </c>
      <c r="O696">
        <v>42</v>
      </c>
      <c r="P696">
        <v>2</v>
      </c>
      <c r="Q696">
        <v>2</v>
      </c>
      <c r="R696" t="s">
        <v>55</v>
      </c>
      <c r="S696">
        <v>4</v>
      </c>
      <c r="T696" t="s">
        <v>42</v>
      </c>
      <c r="U696">
        <v>6949</v>
      </c>
      <c r="V696" t="str" cm="1">
        <f t="array" ref="V69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96">
        <v>12291</v>
      </c>
      <c r="X696">
        <v>0</v>
      </c>
      <c r="Y696" t="s">
        <v>43</v>
      </c>
      <c r="Z696" t="s">
        <v>44</v>
      </c>
      <c r="AA696">
        <v>14</v>
      </c>
      <c r="AB696">
        <v>3</v>
      </c>
      <c r="AC696">
        <v>1</v>
      </c>
      <c r="AD696">
        <v>80</v>
      </c>
      <c r="AE696">
        <v>0</v>
      </c>
      <c r="AF696">
        <v>6</v>
      </c>
      <c r="AG696">
        <v>3</v>
      </c>
      <c r="AH696">
        <v>3</v>
      </c>
      <c r="AI696">
        <v>5</v>
      </c>
      <c r="AJ696">
        <v>0</v>
      </c>
      <c r="AK696">
        <v>1</v>
      </c>
      <c r="AL696" t="str" cm="1">
        <f t="array" ref="AL69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96">
        <v>4</v>
      </c>
    </row>
    <row r="697" spans="1:39" x14ac:dyDescent="0.25">
      <c r="A697">
        <v>37</v>
      </c>
      <c r="B697" t="s">
        <v>36</v>
      </c>
      <c r="C697" t="s">
        <v>37</v>
      </c>
      <c r="D697">
        <v>625</v>
      </c>
      <c r="E697" t="s">
        <v>38</v>
      </c>
      <c r="G697">
        <v>1</v>
      </c>
      <c r="H697">
        <v>4</v>
      </c>
      <c r="I697" t="s">
        <v>39</v>
      </c>
      <c r="J697" t="str">
        <f>WA_Fn_UseC__HR_Employee_Attrition[[#This Row],[EducationField]]&amp;"-"&amp;WA_Fn_UseC__HR_Employee_Attrition[[#This Row],[Department]]</f>
        <v>Life Sciences-Sales</v>
      </c>
      <c r="K697">
        <v>1</v>
      </c>
      <c r="L697">
        <v>970</v>
      </c>
      <c r="M697">
        <v>1</v>
      </c>
      <c r="N697" t="s">
        <v>47</v>
      </c>
      <c r="O697">
        <v>46</v>
      </c>
      <c r="P697">
        <v>2</v>
      </c>
      <c r="Q697">
        <v>3</v>
      </c>
      <c r="R697" t="s">
        <v>41</v>
      </c>
      <c r="S697">
        <v>3</v>
      </c>
      <c r="T697" t="s">
        <v>49</v>
      </c>
      <c r="U697">
        <v>10609</v>
      </c>
      <c r="V697" t="str" cm="1">
        <f t="array" ref="V69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697">
        <v>14922</v>
      </c>
      <c r="X697">
        <v>5</v>
      </c>
      <c r="Y697" t="s">
        <v>43</v>
      </c>
      <c r="Z697" t="s">
        <v>44</v>
      </c>
      <c r="AA697">
        <v>11</v>
      </c>
      <c r="AB697">
        <v>3</v>
      </c>
      <c r="AC697">
        <v>3</v>
      </c>
      <c r="AD697">
        <v>80</v>
      </c>
      <c r="AE697">
        <v>0</v>
      </c>
      <c r="AF697">
        <v>17</v>
      </c>
      <c r="AG697">
        <v>2</v>
      </c>
      <c r="AH697">
        <v>1</v>
      </c>
      <c r="AI697">
        <v>14</v>
      </c>
      <c r="AJ697">
        <v>1</v>
      </c>
      <c r="AK697">
        <v>11</v>
      </c>
      <c r="AL697" t="str" cm="1">
        <f t="array" ref="AL69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697">
        <v>7</v>
      </c>
    </row>
    <row r="698" spans="1:39" x14ac:dyDescent="0.25">
      <c r="A698">
        <v>45</v>
      </c>
      <c r="B698" t="s">
        <v>44</v>
      </c>
      <c r="C698" t="s">
        <v>56</v>
      </c>
      <c r="D698">
        <v>805</v>
      </c>
      <c r="E698" t="s">
        <v>46</v>
      </c>
      <c r="G698">
        <v>4</v>
      </c>
      <c r="H698">
        <v>2</v>
      </c>
      <c r="I698" t="s">
        <v>39</v>
      </c>
      <c r="J698" t="str">
        <f>WA_Fn_UseC__HR_Employee_Attrition[[#This Row],[EducationField]]&amp;"-"&amp;WA_Fn_UseC__HR_Employee_Attrition[[#This Row],[Department]]</f>
        <v>Life Sciences-Research &amp; Development</v>
      </c>
      <c r="K698">
        <v>1</v>
      </c>
      <c r="L698">
        <v>972</v>
      </c>
      <c r="M698">
        <v>3</v>
      </c>
      <c r="N698" t="s">
        <v>47</v>
      </c>
      <c r="O698">
        <v>57</v>
      </c>
      <c r="P698">
        <v>3</v>
      </c>
      <c r="Q698">
        <v>2</v>
      </c>
      <c r="R698" t="s">
        <v>51</v>
      </c>
      <c r="S698">
        <v>2</v>
      </c>
      <c r="T698" t="s">
        <v>49</v>
      </c>
      <c r="U698">
        <v>4447</v>
      </c>
      <c r="V698" t="str" cm="1">
        <f t="array" ref="V69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698">
        <v>23163</v>
      </c>
      <c r="X698">
        <v>1</v>
      </c>
      <c r="Y698" t="s">
        <v>43</v>
      </c>
      <c r="Z698" t="s">
        <v>44</v>
      </c>
      <c r="AA698">
        <v>12</v>
      </c>
      <c r="AB698">
        <v>3</v>
      </c>
      <c r="AC698">
        <v>2</v>
      </c>
      <c r="AD698">
        <v>80</v>
      </c>
      <c r="AE698">
        <v>0</v>
      </c>
      <c r="AF698">
        <v>9</v>
      </c>
      <c r="AG698">
        <v>5</v>
      </c>
      <c r="AH698">
        <v>2</v>
      </c>
      <c r="AI698">
        <v>9</v>
      </c>
      <c r="AJ698">
        <v>7</v>
      </c>
      <c r="AK698">
        <v>0</v>
      </c>
      <c r="AL698" t="str" cm="1">
        <f t="array" ref="AL69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698">
        <v>8</v>
      </c>
    </row>
    <row r="699" spans="1:39" x14ac:dyDescent="0.25">
      <c r="A699">
        <v>29</v>
      </c>
      <c r="B699" t="s">
        <v>44</v>
      </c>
      <c r="C699" t="s">
        <v>45</v>
      </c>
      <c r="D699">
        <v>1404</v>
      </c>
      <c r="E699" t="s">
        <v>38</v>
      </c>
      <c r="G699">
        <v>20</v>
      </c>
      <c r="H699">
        <v>3</v>
      </c>
      <c r="I699" t="s">
        <v>61</v>
      </c>
      <c r="J699" t="str">
        <f>WA_Fn_UseC__HR_Employee_Attrition[[#This Row],[EducationField]]&amp;"-"&amp;WA_Fn_UseC__HR_Employee_Attrition[[#This Row],[Department]]</f>
        <v>Technical Degree-Sales</v>
      </c>
      <c r="K699">
        <v>1</v>
      </c>
      <c r="L699">
        <v>974</v>
      </c>
      <c r="M699">
        <v>3</v>
      </c>
      <c r="N699" t="s">
        <v>40</v>
      </c>
      <c r="O699">
        <v>84</v>
      </c>
      <c r="P699">
        <v>3</v>
      </c>
      <c r="Q699">
        <v>1</v>
      </c>
      <c r="R699" t="s">
        <v>58</v>
      </c>
      <c r="S699">
        <v>4</v>
      </c>
      <c r="T699" t="s">
        <v>49</v>
      </c>
      <c r="U699">
        <v>2157</v>
      </c>
      <c r="V699" t="str" cm="1">
        <f t="array" ref="V69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699">
        <v>18203</v>
      </c>
      <c r="X699">
        <v>1</v>
      </c>
      <c r="Y699" t="s">
        <v>43</v>
      </c>
      <c r="Z699" t="s">
        <v>44</v>
      </c>
      <c r="AA699">
        <v>15</v>
      </c>
      <c r="AB699">
        <v>3</v>
      </c>
      <c r="AC699">
        <v>2</v>
      </c>
      <c r="AD699">
        <v>80</v>
      </c>
      <c r="AE699">
        <v>1</v>
      </c>
      <c r="AF699">
        <v>3</v>
      </c>
      <c r="AG699">
        <v>5</v>
      </c>
      <c r="AH699">
        <v>3</v>
      </c>
      <c r="AI699">
        <v>3</v>
      </c>
      <c r="AJ699">
        <v>1</v>
      </c>
      <c r="AK699">
        <v>0</v>
      </c>
      <c r="AL699" t="str" cm="1">
        <f t="array" ref="AL69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699">
        <v>2</v>
      </c>
    </row>
    <row r="700" spans="1:39" x14ac:dyDescent="0.25">
      <c r="A700">
        <v>35</v>
      </c>
      <c r="B700" t="s">
        <v>44</v>
      </c>
      <c r="C700" t="s">
        <v>37</v>
      </c>
      <c r="D700">
        <v>1219</v>
      </c>
      <c r="E700" t="s">
        <v>38</v>
      </c>
      <c r="G700">
        <v>18</v>
      </c>
      <c r="H700">
        <v>3</v>
      </c>
      <c r="I700" t="s">
        <v>52</v>
      </c>
      <c r="J700" t="str">
        <f>WA_Fn_UseC__HR_Employee_Attrition[[#This Row],[EducationField]]&amp;"-"&amp;WA_Fn_UseC__HR_Employee_Attrition[[#This Row],[Department]]</f>
        <v>Medical-Sales</v>
      </c>
      <c r="K700">
        <v>1</v>
      </c>
      <c r="L700">
        <v>975</v>
      </c>
      <c r="M700">
        <v>3</v>
      </c>
      <c r="N700" t="s">
        <v>40</v>
      </c>
      <c r="O700">
        <v>86</v>
      </c>
      <c r="P700">
        <v>3</v>
      </c>
      <c r="Q700">
        <v>2</v>
      </c>
      <c r="R700" t="s">
        <v>41</v>
      </c>
      <c r="S700">
        <v>3</v>
      </c>
      <c r="T700" t="s">
        <v>49</v>
      </c>
      <c r="U700">
        <v>4601</v>
      </c>
      <c r="V700" t="str" cm="1">
        <f t="array" ref="V70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00">
        <v>6179</v>
      </c>
      <c r="X700">
        <v>1</v>
      </c>
      <c r="Y700" t="s">
        <v>43</v>
      </c>
      <c r="Z700" t="s">
        <v>44</v>
      </c>
      <c r="AA700">
        <v>16</v>
      </c>
      <c r="AB700">
        <v>3</v>
      </c>
      <c r="AC700">
        <v>2</v>
      </c>
      <c r="AD700">
        <v>80</v>
      </c>
      <c r="AE700">
        <v>0</v>
      </c>
      <c r="AF700">
        <v>5</v>
      </c>
      <c r="AG700">
        <v>3</v>
      </c>
      <c r="AH700">
        <v>3</v>
      </c>
      <c r="AI700">
        <v>5</v>
      </c>
      <c r="AJ700">
        <v>2</v>
      </c>
      <c r="AK700">
        <v>1</v>
      </c>
      <c r="AL700" t="str" cm="1">
        <f t="array" ref="AL70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00">
        <v>0</v>
      </c>
    </row>
    <row r="701" spans="1:39" x14ac:dyDescent="0.25">
      <c r="A701">
        <v>52</v>
      </c>
      <c r="B701" t="s">
        <v>44</v>
      </c>
      <c r="C701" t="s">
        <v>37</v>
      </c>
      <c r="D701">
        <v>1053</v>
      </c>
      <c r="E701" t="s">
        <v>46</v>
      </c>
      <c r="G701">
        <v>1</v>
      </c>
      <c r="H701">
        <v>2</v>
      </c>
      <c r="I701" t="s">
        <v>39</v>
      </c>
      <c r="J701" t="str">
        <f>WA_Fn_UseC__HR_Employee_Attrition[[#This Row],[EducationField]]&amp;"-"&amp;WA_Fn_UseC__HR_Employee_Attrition[[#This Row],[Department]]</f>
        <v>Life Sciences-Research &amp; Development</v>
      </c>
      <c r="K701">
        <v>1</v>
      </c>
      <c r="L701">
        <v>976</v>
      </c>
      <c r="M701">
        <v>4</v>
      </c>
      <c r="N701" t="s">
        <v>47</v>
      </c>
      <c r="O701">
        <v>70</v>
      </c>
      <c r="P701">
        <v>3</v>
      </c>
      <c r="Q701">
        <v>4</v>
      </c>
      <c r="R701" t="s">
        <v>57</v>
      </c>
      <c r="S701">
        <v>4</v>
      </c>
      <c r="T701" t="s">
        <v>49</v>
      </c>
      <c r="U701">
        <v>17099</v>
      </c>
      <c r="V701" t="str" cm="1">
        <f t="array" ref="V70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01">
        <v>13829</v>
      </c>
      <c r="X701">
        <v>2</v>
      </c>
      <c r="Y701" t="s">
        <v>43</v>
      </c>
      <c r="Z701" t="s">
        <v>44</v>
      </c>
      <c r="AA701">
        <v>15</v>
      </c>
      <c r="AB701">
        <v>3</v>
      </c>
      <c r="AC701">
        <v>2</v>
      </c>
      <c r="AD701">
        <v>80</v>
      </c>
      <c r="AE701">
        <v>1</v>
      </c>
      <c r="AF701">
        <v>26</v>
      </c>
      <c r="AG701">
        <v>2</v>
      </c>
      <c r="AH701">
        <v>2</v>
      </c>
      <c r="AI701">
        <v>9</v>
      </c>
      <c r="AJ701">
        <v>8</v>
      </c>
      <c r="AK701">
        <v>7</v>
      </c>
      <c r="AL701" t="str" cm="1">
        <f t="array" ref="AL70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01">
        <v>8</v>
      </c>
    </row>
    <row r="702" spans="1:39" x14ac:dyDescent="0.25">
      <c r="A702">
        <v>58</v>
      </c>
      <c r="B702" t="s">
        <v>36</v>
      </c>
      <c r="C702" t="s">
        <v>37</v>
      </c>
      <c r="D702">
        <v>289</v>
      </c>
      <c r="E702" t="s">
        <v>46</v>
      </c>
      <c r="G702">
        <v>2</v>
      </c>
      <c r="H702">
        <v>3</v>
      </c>
      <c r="I702" t="s">
        <v>61</v>
      </c>
      <c r="J702" t="str">
        <f>WA_Fn_UseC__HR_Employee_Attrition[[#This Row],[EducationField]]&amp;"-"&amp;WA_Fn_UseC__HR_Employee_Attrition[[#This Row],[Department]]</f>
        <v>Technical Degree-Research &amp; Development</v>
      </c>
      <c r="K702">
        <v>1</v>
      </c>
      <c r="L702">
        <v>977</v>
      </c>
      <c r="M702">
        <v>4</v>
      </c>
      <c r="N702" t="s">
        <v>47</v>
      </c>
      <c r="O702">
        <v>51</v>
      </c>
      <c r="P702">
        <v>3</v>
      </c>
      <c r="Q702">
        <v>1</v>
      </c>
      <c r="R702" t="s">
        <v>48</v>
      </c>
      <c r="S702">
        <v>3</v>
      </c>
      <c r="T702" t="s">
        <v>42</v>
      </c>
      <c r="U702">
        <v>2479</v>
      </c>
      <c r="V702" t="str" cm="1">
        <f t="array" ref="V70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02">
        <v>26227</v>
      </c>
      <c r="X702">
        <v>4</v>
      </c>
      <c r="Y702" t="s">
        <v>43</v>
      </c>
      <c r="Z702" t="s">
        <v>44</v>
      </c>
      <c r="AA702">
        <v>24</v>
      </c>
      <c r="AB702">
        <v>4</v>
      </c>
      <c r="AC702">
        <v>1</v>
      </c>
      <c r="AD702">
        <v>80</v>
      </c>
      <c r="AE702">
        <v>0</v>
      </c>
      <c r="AF702">
        <v>7</v>
      </c>
      <c r="AG702">
        <v>4</v>
      </c>
      <c r="AH702">
        <v>3</v>
      </c>
      <c r="AI702">
        <v>1</v>
      </c>
      <c r="AJ702">
        <v>0</v>
      </c>
      <c r="AK702">
        <v>0</v>
      </c>
      <c r="AL702" t="str" cm="1">
        <f t="array" ref="AL70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02">
        <v>0</v>
      </c>
    </row>
    <row r="703" spans="1:39" x14ac:dyDescent="0.25">
      <c r="A703">
        <v>53</v>
      </c>
      <c r="B703" t="s">
        <v>44</v>
      </c>
      <c r="C703" t="s">
        <v>37</v>
      </c>
      <c r="D703">
        <v>1376</v>
      </c>
      <c r="E703" t="s">
        <v>38</v>
      </c>
      <c r="G703">
        <v>2</v>
      </c>
      <c r="H703">
        <v>2</v>
      </c>
      <c r="I703" t="s">
        <v>52</v>
      </c>
      <c r="J703" t="str">
        <f>WA_Fn_UseC__HR_Employee_Attrition[[#This Row],[EducationField]]&amp;"-"&amp;WA_Fn_UseC__HR_Employee_Attrition[[#This Row],[Department]]</f>
        <v>Medical-Sales</v>
      </c>
      <c r="K703">
        <v>1</v>
      </c>
      <c r="L703">
        <v>981</v>
      </c>
      <c r="M703">
        <v>3</v>
      </c>
      <c r="N703" t="s">
        <v>47</v>
      </c>
      <c r="O703">
        <v>45</v>
      </c>
      <c r="P703">
        <v>3</v>
      </c>
      <c r="Q703">
        <v>4</v>
      </c>
      <c r="R703" t="s">
        <v>57</v>
      </c>
      <c r="S703">
        <v>3</v>
      </c>
      <c r="T703" t="s">
        <v>53</v>
      </c>
      <c r="U703">
        <v>14852</v>
      </c>
      <c r="V703" t="str" cm="1">
        <f t="array" ref="V70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03">
        <v>13938</v>
      </c>
      <c r="X703">
        <v>6</v>
      </c>
      <c r="Y703" t="s">
        <v>43</v>
      </c>
      <c r="Z703" t="s">
        <v>44</v>
      </c>
      <c r="AA703">
        <v>13</v>
      </c>
      <c r="AB703">
        <v>3</v>
      </c>
      <c r="AC703">
        <v>3</v>
      </c>
      <c r="AD703">
        <v>80</v>
      </c>
      <c r="AE703">
        <v>1</v>
      </c>
      <c r="AF703">
        <v>22</v>
      </c>
      <c r="AG703">
        <v>3</v>
      </c>
      <c r="AH703">
        <v>4</v>
      </c>
      <c r="AI703">
        <v>17</v>
      </c>
      <c r="AJ703">
        <v>13</v>
      </c>
      <c r="AK703">
        <v>15</v>
      </c>
      <c r="AL703" t="str" cm="1">
        <f t="array" ref="AL70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03">
        <v>2</v>
      </c>
    </row>
    <row r="704" spans="1:39" x14ac:dyDescent="0.25">
      <c r="A704">
        <v>30</v>
      </c>
      <c r="B704" t="s">
        <v>44</v>
      </c>
      <c r="C704" t="s">
        <v>37</v>
      </c>
      <c r="D704">
        <v>231</v>
      </c>
      <c r="E704" t="s">
        <v>38</v>
      </c>
      <c r="G704">
        <v>8</v>
      </c>
      <c r="H704">
        <v>2</v>
      </c>
      <c r="I704" t="s">
        <v>50</v>
      </c>
      <c r="J704" t="str">
        <f>WA_Fn_UseC__HR_Employee_Attrition[[#This Row],[EducationField]]&amp;"-"&amp;WA_Fn_UseC__HR_Employee_Attrition[[#This Row],[Department]]</f>
        <v>Other-Sales</v>
      </c>
      <c r="K704">
        <v>1</v>
      </c>
      <c r="L704">
        <v>982</v>
      </c>
      <c r="M704">
        <v>3</v>
      </c>
      <c r="N704" t="s">
        <v>47</v>
      </c>
      <c r="O704">
        <v>62</v>
      </c>
      <c r="P704">
        <v>3</v>
      </c>
      <c r="Q704">
        <v>3</v>
      </c>
      <c r="R704" t="s">
        <v>41</v>
      </c>
      <c r="S704">
        <v>3</v>
      </c>
      <c r="T704" t="s">
        <v>53</v>
      </c>
      <c r="U704">
        <v>7264</v>
      </c>
      <c r="V704" t="str" cm="1">
        <f t="array" ref="V70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04">
        <v>9977</v>
      </c>
      <c r="X704">
        <v>5</v>
      </c>
      <c r="Y704" t="s">
        <v>43</v>
      </c>
      <c r="Z704" t="s">
        <v>44</v>
      </c>
      <c r="AA704">
        <v>11</v>
      </c>
      <c r="AB704">
        <v>3</v>
      </c>
      <c r="AC704">
        <v>1</v>
      </c>
      <c r="AD704">
        <v>80</v>
      </c>
      <c r="AE704">
        <v>1</v>
      </c>
      <c r="AF704">
        <v>10</v>
      </c>
      <c r="AG704">
        <v>2</v>
      </c>
      <c r="AH704">
        <v>4</v>
      </c>
      <c r="AI704">
        <v>8</v>
      </c>
      <c r="AJ704">
        <v>4</v>
      </c>
      <c r="AK704">
        <v>7</v>
      </c>
      <c r="AL704" t="str" cm="1">
        <f t="array" ref="AL70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04">
        <v>7</v>
      </c>
    </row>
    <row r="705" spans="1:39" x14ac:dyDescent="0.25">
      <c r="A705">
        <v>38</v>
      </c>
      <c r="B705" t="s">
        <v>44</v>
      </c>
      <c r="C705" t="s">
        <v>56</v>
      </c>
      <c r="D705">
        <v>152</v>
      </c>
      <c r="E705" t="s">
        <v>38</v>
      </c>
      <c r="G705">
        <v>10</v>
      </c>
      <c r="H705">
        <v>3</v>
      </c>
      <c r="I705" t="s">
        <v>61</v>
      </c>
      <c r="J705" t="str">
        <f>WA_Fn_UseC__HR_Employee_Attrition[[#This Row],[EducationField]]&amp;"-"&amp;WA_Fn_UseC__HR_Employee_Attrition[[#This Row],[Department]]</f>
        <v>Technical Degree-Sales</v>
      </c>
      <c r="K705">
        <v>1</v>
      </c>
      <c r="L705">
        <v>983</v>
      </c>
      <c r="M705">
        <v>3</v>
      </c>
      <c r="N705" t="s">
        <v>40</v>
      </c>
      <c r="O705">
        <v>85</v>
      </c>
      <c r="P705">
        <v>3</v>
      </c>
      <c r="Q705">
        <v>2</v>
      </c>
      <c r="R705" t="s">
        <v>41</v>
      </c>
      <c r="S705">
        <v>4</v>
      </c>
      <c r="T705" t="s">
        <v>42</v>
      </c>
      <c r="U705">
        <v>5666</v>
      </c>
      <c r="V705" t="str" cm="1">
        <f t="array" ref="V70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05">
        <v>19899</v>
      </c>
      <c r="X705">
        <v>1</v>
      </c>
      <c r="Y705" t="s">
        <v>43</v>
      </c>
      <c r="Z705" t="s">
        <v>36</v>
      </c>
      <c r="AA705">
        <v>13</v>
      </c>
      <c r="AB705">
        <v>3</v>
      </c>
      <c r="AC705">
        <v>2</v>
      </c>
      <c r="AD705">
        <v>80</v>
      </c>
      <c r="AE705">
        <v>0</v>
      </c>
      <c r="AF705">
        <v>6</v>
      </c>
      <c r="AG705">
        <v>1</v>
      </c>
      <c r="AH705">
        <v>3</v>
      </c>
      <c r="AI705">
        <v>5</v>
      </c>
      <c r="AJ705">
        <v>3</v>
      </c>
      <c r="AK705">
        <v>1</v>
      </c>
      <c r="AL705" t="str" cm="1">
        <f t="array" ref="AL70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05">
        <v>3</v>
      </c>
    </row>
    <row r="706" spans="1:39" x14ac:dyDescent="0.25">
      <c r="A706">
        <v>35</v>
      </c>
      <c r="B706" t="s">
        <v>44</v>
      </c>
      <c r="C706" t="s">
        <v>37</v>
      </c>
      <c r="D706">
        <v>882</v>
      </c>
      <c r="E706" t="s">
        <v>38</v>
      </c>
      <c r="G706">
        <v>3</v>
      </c>
      <c r="H706">
        <v>4</v>
      </c>
      <c r="I706" t="s">
        <v>39</v>
      </c>
      <c r="J706" t="str">
        <f>WA_Fn_UseC__HR_Employee_Attrition[[#This Row],[EducationField]]&amp;"-"&amp;WA_Fn_UseC__HR_Employee_Attrition[[#This Row],[Department]]</f>
        <v>Life Sciences-Sales</v>
      </c>
      <c r="K706">
        <v>1</v>
      </c>
      <c r="L706">
        <v>984</v>
      </c>
      <c r="M706">
        <v>4</v>
      </c>
      <c r="N706" t="s">
        <v>47</v>
      </c>
      <c r="O706">
        <v>92</v>
      </c>
      <c r="P706">
        <v>3</v>
      </c>
      <c r="Q706">
        <v>3</v>
      </c>
      <c r="R706" t="s">
        <v>41</v>
      </c>
      <c r="S706">
        <v>4</v>
      </c>
      <c r="T706" t="s">
        <v>53</v>
      </c>
      <c r="U706">
        <v>7823</v>
      </c>
      <c r="V706" t="str" cm="1">
        <f t="array" ref="V70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06">
        <v>6812</v>
      </c>
      <c r="X706">
        <v>6</v>
      </c>
      <c r="Y706" t="s">
        <v>43</v>
      </c>
      <c r="Z706" t="s">
        <v>44</v>
      </c>
      <c r="AA706">
        <v>13</v>
      </c>
      <c r="AB706">
        <v>3</v>
      </c>
      <c r="AC706">
        <v>2</v>
      </c>
      <c r="AD706">
        <v>80</v>
      </c>
      <c r="AE706">
        <v>1</v>
      </c>
      <c r="AF706">
        <v>12</v>
      </c>
      <c r="AG706">
        <v>2</v>
      </c>
      <c r="AH706">
        <v>3</v>
      </c>
      <c r="AI706">
        <v>10</v>
      </c>
      <c r="AJ706">
        <v>9</v>
      </c>
      <c r="AK706">
        <v>0</v>
      </c>
      <c r="AL706" t="str" cm="1">
        <f t="array" ref="AL70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06">
        <v>8</v>
      </c>
    </row>
    <row r="707" spans="1:39" x14ac:dyDescent="0.25">
      <c r="A707">
        <v>39</v>
      </c>
      <c r="B707" t="s">
        <v>44</v>
      </c>
      <c r="C707" t="s">
        <v>37</v>
      </c>
      <c r="D707">
        <v>903</v>
      </c>
      <c r="E707" t="s">
        <v>38</v>
      </c>
      <c r="G707">
        <v>2</v>
      </c>
      <c r="H707">
        <v>5</v>
      </c>
      <c r="I707" t="s">
        <v>39</v>
      </c>
      <c r="J707" t="str">
        <f>WA_Fn_UseC__HR_Employee_Attrition[[#This Row],[EducationField]]&amp;"-"&amp;WA_Fn_UseC__HR_Employee_Attrition[[#This Row],[Department]]</f>
        <v>Life Sciences-Sales</v>
      </c>
      <c r="K707">
        <v>1</v>
      </c>
      <c r="L707">
        <v>985</v>
      </c>
      <c r="M707">
        <v>1</v>
      </c>
      <c r="N707" t="s">
        <v>47</v>
      </c>
      <c r="O707">
        <v>41</v>
      </c>
      <c r="P707">
        <v>4</v>
      </c>
      <c r="Q707">
        <v>3</v>
      </c>
      <c r="R707" t="s">
        <v>41</v>
      </c>
      <c r="S707">
        <v>3</v>
      </c>
      <c r="T707" t="s">
        <v>42</v>
      </c>
      <c r="U707">
        <v>7880</v>
      </c>
      <c r="V707" t="str" cm="1">
        <f t="array" ref="V70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07">
        <v>2560</v>
      </c>
      <c r="X707">
        <v>0</v>
      </c>
      <c r="Y707" t="s">
        <v>43</v>
      </c>
      <c r="Z707" t="s">
        <v>44</v>
      </c>
      <c r="AA707">
        <v>18</v>
      </c>
      <c r="AB707">
        <v>3</v>
      </c>
      <c r="AC707">
        <v>4</v>
      </c>
      <c r="AD707">
        <v>80</v>
      </c>
      <c r="AE707">
        <v>0</v>
      </c>
      <c r="AF707">
        <v>9</v>
      </c>
      <c r="AG707">
        <v>3</v>
      </c>
      <c r="AH707">
        <v>3</v>
      </c>
      <c r="AI707">
        <v>8</v>
      </c>
      <c r="AJ707">
        <v>7</v>
      </c>
      <c r="AK707">
        <v>0</v>
      </c>
      <c r="AL707" t="str" cm="1">
        <f t="array" ref="AL70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07">
        <v>7</v>
      </c>
    </row>
    <row r="708" spans="1:39" x14ac:dyDescent="0.25">
      <c r="A708">
        <v>40</v>
      </c>
      <c r="B708" t="s">
        <v>36</v>
      </c>
      <c r="C708" t="s">
        <v>56</v>
      </c>
      <c r="D708">
        <v>1479</v>
      </c>
      <c r="E708" t="s">
        <v>38</v>
      </c>
      <c r="G708">
        <v>24</v>
      </c>
      <c r="H708">
        <v>3</v>
      </c>
      <c r="I708" t="s">
        <v>39</v>
      </c>
      <c r="J708" t="str">
        <f>WA_Fn_UseC__HR_Employee_Attrition[[#This Row],[EducationField]]&amp;"-"&amp;WA_Fn_UseC__HR_Employee_Attrition[[#This Row],[Department]]</f>
        <v>Life Sciences-Sales</v>
      </c>
      <c r="K708">
        <v>1</v>
      </c>
      <c r="L708">
        <v>986</v>
      </c>
      <c r="M708">
        <v>2</v>
      </c>
      <c r="N708" t="s">
        <v>40</v>
      </c>
      <c r="O708">
        <v>100</v>
      </c>
      <c r="P708">
        <v>4</v>
      </c>
      <c r="Q708">
        <v>4</v>
      </c>
      <c r="R708" t="s">
        <v>41</v>
      </c>
      <c r="S708">
        <v>2</v>
      </c>
      <c r="T708" t="s">
        <v>42</v>
      </c>
      <c r="U708">
        <v>13194</v>
      </c>
      <c r="V708" t="str" cm="1">
        <f t="array" ref="V70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08">
        <v>17071</v>
      </c>
      <c r="X708">
        <v>4</v>
      </c>
      <c r="Y708" t="s">
        <v>43</v>
      </c>
      <c r="Z708" t="s">
        <v>36</v>
      </c>
      <c r="AA708">
        <v>16</v>
      </c>
      <c r="AB708">
        <v>3</v>
      </c>
      <c r="AC708">
        <v>4</v>
      </c>
      <c r="AD708">
        <v>80</v>
      </c>
      <c r="AE708">
        <v>0</v>
      </c>
      <c r="AF708">
        <v>22</v>
      </c>
      <c r="AG708">
        <v>2</v>
      </c>
      <c r="AH708">
        <v>2</v>
      </c>
      <c r="AI708">
        <v>1</v>
      </c>
      <c r="AJ708">
        <v>0</v>
      </c>
      <c r="AK708">
        <v>0</v>
      </c>
      <c r="AL708" t="str" cm="1">
        <f t="array" ref="AL70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08">
        <v>0</v>
      </c>
    </row>
    <row r="709" spans="1:39" x14ac:dyDescent="0.25">
      <c r="A709">
        <v>47</v>
      </c>
      <c r="B709" t="s">
        <v>44</v>
      </c>
      <c r="C709" t="s">
        <v>45</v>
      </c>
      <c r="D709">
        <v>1379</v>
      </c>
      <c r="E709" t="s">
        <v>46</v>
      </c>
      <c r="G709">
        <v>16</v>
      </c>
      <c r="H709">
        <v>4</v>
      </c>
      <c r="I709" t="s">
        <v>52</v>
      </c>
      <c r="J709" t="str">
        <f>WA_Fn_UseC__HR_Employee_Attrition[[#This Row],[EducationField]]&amp;"-"&amp;WA_Fn_UseC__HR_Employee_Attrition[[#This Row],[Department]]</f>
        <v>Medical-Research &amp; Development</v>
      </c>
      <c r="K709">
        <v>1</v>
      </c>
      <c r="L709">
        <v>987</v>
      </c>
      <c r="M709">
        <v>3</v>
      </c>
      <c r="N709" t="s">
        <v>47</v>
      </c>
      <c r="O709">
        <v>64</v>
      </c>
      <c r="P709">
        <v>4</v>
      </c>
      <c r="Q709">
        <v>2</v>
      </c>
      <c r="R709" t="s">
        <v>54</v>
      </c>
      <c r="S709">
        <v>3</v>
      </c>
      <c r="T709" t="s">
        <v>53</v>
      </c>
      <c r="U709">
        <v>5067</v>
      </c>
      <c r="V709" t="str" cm="1">
        <f t="array" ref="V70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09">
        <v>6759</v>
      </c>
      <c r="X709">
        <v>1</v>
      </c>
      <c r="Y709" t="s">
        <v>43</v>
      </c>
      <c r="Z709" t="s">
        <v>36</v>
      </c>
      <c r="AA709">
        <v>19</v>
      </c>
      <c r="AB709">
        <v>3</v>
      </c>
      <c r="AC709">
        <v>3</v>
      </c>
      <c r="AD709">
        <v>80</v>
      </c>
      <c r="AE709">
        <v>0</v>
      </c>
      <c r="AF709">
        <v>20</v>
      </c>
      <c r="AG709">
        <v>3</v>
      </c>
      <c r="AH709">
        <v>4</v>
      </c>
      <c r="AI709">
        <v>19</v>
      </c>
      <c r="AJ709">
        <v>10</v>
      </c>
      <c r="AK709">
        <v>2</v>
      </c>
      <c r="AL709" t="str" cm="1">
        <f t="array" ref="AL70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09">
        <v>7</v>
      </c>
    </row>
    <row r="710" spans="1:39" x14ac:dyDescent="0.25">
      <c r="A710">
        <v>36</v>
      </c>
      <c r="B710" t="s">
        <v>44</v>
      </c>
      <c r="C710" t="s">
        <v>56</v>
      </c>
      <c r="D710">
        <v>1229</v>
      </c>
      <c r="E710" t="s">
        <v>38</v>
      </c>
      <c r="G710">
        <v>8</v>
      </c>
      <c r="H710">
        <v>4</v>
      </c>
      <c r="I710" t="s">
        <v>61</v>
      </c>
      <c r="J710" t="str">
        <f>WA_Fn_UseC__HR_Employee_Attrition[[#This Row],[EducationField]]&amp;"-"&amp;WA_Fn_UseC__HR_Employee_Attrition[[#This Row],[Department]]</f>
        <v>Technical Degree-Sales</v>
      </c>
      <c r="K710">
        <v>1</v>
      </c>
      <c r="L710">
        <v>990</v>
      </c>
      <c r="M710">
        <v>1</v>
      </c>
      <c r="N710" t="s">
        <v>47</v>
      </c>
      <c r="O710">
        <v>84</v>
      </c>
      <c r="P710">
        <v>3</v>
      </c>
      <c r="Q710">
        <v>2</v>
      </c>
      <c r="R710" t="s">
        <v>41</v>
      </c>
      <c r="S710">
        <v>4</v>
      </c>
      <c r="T710" t="s">
        <v>53</v>
      </c>
      <c r="U710">
        <v>5079</v>
      </c>
      <c r="V710" t="str" cm="1">
        <f t="array" ref="V71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10">
        <v>25952</v>
      </c>
      <c r="X710">
        <v>4</v>
      </c>
      <c r="Y710" t="s">
        <v>43</v>
      </c>
      <c r="Z710" t="s">
        <v>44</v>
      </c>
      <c r="AA710">
        <v>13</v>
      </c>
      <c r="AB710">
        <v>3</v>
      </c>
      <c r="AC710">
        <v>4</v>
      </c>
      <c r="AD710">
        <v>80</v>
      </c>
      <c r="AE710">
        <v>2</v>
      </c>
      <c r="AF710">
        <v>12</v>
      </c>
      <c r="AG710">
        <v>3</v>
      </c>
      <c r="AH710">
        <v>3</v>
      </c>
      <c r="AI710">
        <v>7</v>
      </c>
      <c r="AJ710">
        <v>7</v>
      </c>
      <c r="AK710">
        <v>0</v>
      </c>
      <c r="AL710" t="str" cm="1">
        <f t="array" ref="AL71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10">
        <v>7</v>
      </c>
    </row>
    <row r="711" spans="1:39" x14ac:dyDescent="0.25">
      <c r="A711">
        <v>31</v>
      </c>
      <c r="B711" t="s">
        <v>36</v>
      </c>
      <c r="C711" t="s">
        <v>56</v>
      </c>
      <c r="D711">
        <v>335</v>
      </c>
      <c r="E711" t="s">
        <v>46</v>
      </c>
      <c r="G711">
        <v>9</v>
      </c>
      <c r="H711">
        <v>2</v>
      </c>
      <c r="I711" t="s">
        <v>52</v>
      </c>
      <c r="J711" t="str">
        <f>WA_Fn_UseC__HR_Employee_Attrition[[#This Row],[EducationField]]&amp;"-"&amp;WA_Fn_UseC__HR_Employee_Attrition[[#This Row],[Department]]</f>
        <v>Medical-Research &amp; Development</v>
      </c>
      <c r="K711">
        <v>1</v>
      </c>
      <c r="L711">
        <v>991</v>
      </c>
      <c r="M711">
        <v>3</v>
      </c>
      <c r="N711" t="s">
        <v>47</v>
      </c>
      <c r="O711">
        <v>46</v>
      </c>
      <c r="P711">
        <v>2</v>
      </c>
      <c r="Q711">
        <v>1</v>
      </c>
      <c r="R711" t="s">
        <v>48</v>
      </c>
      <c r="S711">
        <v>1</v>
      </c>
      <c r="T711" t="s">
        <v>42</v>
      </c>
      <c r="U711">
        <v>2321</v>
      </c>
      <c r="V711" t="str" cm="1">
        <f t="array" ref="V71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11">
        <v>10322</v>
      </c>
      <c r="X711">
        <v>0</v>
      </c>
      <c r="Y711" t="s">
        <v>43</v>
      </c>
      <c r="Z711" t="s">
        <v>36</v>
      </c>
      <c r="AA711">
        <v>22</v>
      </c>
      <c r="AB711">
        <v>4</v>
      </c>
      <c r="AC711">
        <v>1</v>
      </c>
      <c r="AD711">
        <v>80</v>
      </c>
      <c r="AE711">
        <v>0</v>
      </c>
      <c r="AF711">
        <v>4</v>
      </c>
      <c r="AG711">
        <v>0</v>
      </c>
      <c r="AH711">
        <v>3</v>
      </c>
      <c r="AI711">
        <v>3</v>
      </c>
      <c r="AJ711">
        <v>2</v>
      </c>
      <c r="AK711">
        <v>1</v>
      </c>
      <c r="AL711" t="str" cm="1">
        <f t="array" ref="AL71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11">
        <v>2</v>
      </c>
    </row>
    <row r="712" spans="1:39" x14ac:dyDescent="0.25">
      <c r="A712">
        <v>33</v>
      </c>
      <c r="B712" t="s">
        <v>44</v>
      </c>
      <c r="C712" t="s">
        <v>56</v>
      </c>
      <c r="D712">
        <v>722</v>
      </c>
      <c r="E712" t="s">
        <v>38</v>
      </c>
      <c r="G712">
        <v>17</v>
      </c>
      <c r="H712">
        <v>3</v>
      </c>
      <c r="I712" t="s">
        <v>39</v>
      </c>
      <c r="J712" t="str">
        <f>WA_Fn_UseC__HR_Employee_Attrition[[#This Row],[EducationField]]&amp;"-"&amp;WA_Fn_UseC__HR_Employee_Attrition[[#This Row],[Department]]</f>
        <v>Life Sciences-Sales</v>
      </c>
      <c r="K712">
        <v>1</v>
      </c>
      <c r="L712">
        <v>992</v>
      </c>
      <c r="M712">
        <v>4</v>
      </c>
      <c r="N712" t="s">
        <v>47</v>
      </c>
      <c r="O712">
        <v>38</v>
      </c>
      <c r="P712">
        <v>3</v>
      </c>
      <c r="Q712">
        <v>4</v>
      </c>
      <c r="R712" t="s">
        <v>57</v>
      </c>
      <c r="S712">
        <v>3</v>
      </c>
      <c r="T712" t="s">
        <v>42</v>
      </c>
      <c r="U712">
        <v>17444</v>
      </c>
      <c r="V712" t="str" cm="1">
        <f t="array" ref="V71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12">
        <v>20489</v>
      </c>
      <c r="X712">
        <v>1</v>
      </c>
      <c r="Y712" t="s">
        <v>43</v>
      </c>
      <c r="Z712" t="s">
        <v>44</v>
      </c>
      <c r="AA712">
        <v>11</v>
      </c>
      <c r="AB712">
        <v>3</v>
      </c>
      <c r="AC712">
        <v>4</v>
      </c>
      <c r="AD712">
        <v>80</v>
      </c>
      <c r="AE712">
        <v>0</v>
      </c>
      <c r="AF712">
        <v>10</v>
      </c>
      <c r="AG712">
        <v>2</v>
      </c>
      <c r="AH712">
        <v>3</v>
      </c>
      <c r="AI712">
        <v>10</v>
      </c>
      <c r="AJ712">
        <v>8</v>
      </c>
      <c r="AK712">
        <v>6</v>
      </c>
      <c r="AL712" t="str" cm="1">
        <f t="array" ref="AL71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12">
        <v>0</v>
      </c>
    </row>
    <row r="713" spans="1:39" x14ac:dyDescent="0.25">
      <c r="A713">
        <v>29</v>
      </c>
      <c r="B713" t="s">
        <v>36</v>
      </c>
      <c r="C713" t="s">
        <v>37</v>
      </c>
      <c r="D713">
        <v>906</v>
      </c>
      <c r="E713" t="s">
        <v>46</v>
      </c>
      <c r="G713">
        <v>10</v>
      </c>
      <c r="H713">
        <v>3</v>
      </c>
      <c r="I713" t="s">
        <v>39</v>
      </c>
      <c r="J713" t="str">
        <f>WA_Fn_UseC__HR_Employee_Attrition[[#This Row],[EducationField]]&amp;"-"&amp;WA_Fn_UseC__HR_Employee_Attrition[[#This Row],[Department]]</f>
        <v>Life Sciences-Research &amp; Development</v>
      </c>
      <c r="K713">
        <v>1</v>
      </c>
      <c r="L713">
        <v>994</v>
      </c>
      <c r="M713">
        <v>4</v>
      </c>
      <c r="N713" t="s">
        <v>40</v>
      </c>
      <c r="O713">
        <v>92</v>
      </c>
      <c r="P713">
        <v>2</v>
      </c>
      <c r="Q713">
        <v>1</v>
      </c>
      <c r="R713" t="s">
        <v>48</v>
      </c>
      <c r="S713">
        <v>1</v>
      </c>
      <c r="T713" t="s">
        <v>42</v>
      </c>
      <c r="U713">
        <v>2404</v>
      </c>
      <c r="V713" t="str" cm="1">
        <f t="array" ref="V71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13">
        <v>11479</v>
      </c>
      <c r="X713">
        <v>6</v>
      </c>
      <c r="Y713" t="s">
        <v>43</v>
      </c>
      <c r="Z713" t="s">
        <v>36</v>
      </c>
      <c r="AA713">
        <v>20</v>
      </c>
      <c r="AB713">
        <v>4</v>
      </c>
      <c r="AC713">
        <v>3</v>
      </c>
      <c r="AD713">
        <v>80</v>
      </c>
      <c r="AE713">
        <v>0</v>
      </c>
      <c r="AF713">
        <v>3</v>
      </c>
      <c r="AG713">
        <v>5</v>
      </c>
      <c r="AH713">
        <v>3</v>
      </c>
      <c r="AI713">
        <v>0</v>
      </c>
      <c r="AJ713">
        <v>0</v>
      </c>
      <c r="AK713">
        <v>0</v>
      </c>
      <c r="AL713" t="str" cm="1">
        <f t="array" ref="AL71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13">
        <v>0</v>
      </c>
    </row>
    <row r="714" spans="1:39" x14ac:dyDescent="0.25">
      <c r="A714">
        <v>33</v>
      </c>
      <c r="B714" t="s">
        <v>44</v>
      </c>
      <c r="C714" t="s">
        <v>37</v>
      </c>
      <c r="D714">
        <v>461</v>
      </c>
      <c r="E714" t="s">
        <v>46</v>
      </c>
      <c r="G714">
        <v>13</v>
      </c>
      <c r="H714">
        <v>1</v>
      </c>
      <c r="I714" t="s">
        <v>39</v>
      </c>
      <c r="J714" t="str">
        <f>WA_Fn_UseC__HR_Employee_Attrition[[#This Row],[EducationField]]&amp;"-"&amp;WA_Fn_UseC__HR_Employee_Attrition[[#This Row],[Department]]</f>
        <v>Life Sciences-Research &amp; Development</v>
      </c>
      <c r="K714">
        <v>1</v>
      </c>
      <c r="L714">
        <v>995</v>
      </c>
      <c r="M714">
        <v>2</v>
      </c>
      <c r="N714" t="s">
        <v>40</v>
      </c>
      <c r="O714">
        <v>53</v>
      </c>
      <c r="P714">
        <v>3</v>
      </c>
      <c r="Q714">
        <v>1</v>
      </c>
      <c r="R714" t="s">
        <v>48</v>
      </c>
      <c r="S714">
        <v>4</v>
      </c>
      <c r="T714" t="s">
        <v>42</v>
      </c>
      <c r="U714">
        <v>3452</v>
      </c>
      <c r="V714" t="str" cm="1">
        <f t="array" ref="V71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14">
        <v>17241</v>
      </c>
      <c r="X714">
        <v>3</v>
      </c>
      <c r="Y714" t="s">
        <v>43</v>
      </c>
      <c r="Z714" t="s">
        <v>44</v>
      </c>
      <c r="AA714">
        <v>18</v>
      </c>
      <c r="AB714">
        <v>3</v>
      </c>
      <c r="AC714">
        <v>1</v>
      </c>
      <c r="AD714">
        <v>80</v>
      </c>
      <c r="AE714">
        <v>0</v>
      </c>
      <c r="AF714">
        <v>5</v>
      </c>
      <c r="AG714">
        <v>4</v>
      </c>
      <c r="AH714">
        <v>3</v>
      </c>
      <c r="AI714">
        <v>3</v>
      </c>
      <c r="AJ714">
        <v>2</v>
      </c>
      <c r="AK714">
        <v>0</v>
      </c>
      <c r="AL714" t="str" cm="1">
        <f t="array" ref="AL71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14">
        <v>2</v>
      </c>
    </row>
    <row r="715" spans="1:39" x14ac:dyDescent="0.25">
      <c r="A715">
        <v>45</v>
      </c>
      <c r="B715" t="s">
        <v>44</v>
      </c>
      <c r="C715" t="s">
        <v>37</v>
      </c>
      <c r="D715">
        <v>974</v>
      </c>
      <c r="E715" t="s">
        <v>46</v>
      </c>
      <c r="G715">
        <v>1</v>
      </c>
      <c r="H715">
        <v>4</v>
      </c>
      <c r="I715" t="s">
        <v>52</v>
      </c>
      <c r="J715" t="str">
        <f>WA_Fn_UseC__HR_Employee_Attrition[[#This Row],[EducationField]]&amp;"-"&amp;WA_Fn_UseC__HR_Employee_Attrition[[#This Row],[Department]]</f>
        <v>Medical-Research &amp; Development</v>
      </c>
      <c r="K715">
        <v>1</v>
      </c>
      <c r="L715">
        <v>996</v>
      </c>
      <c r="M715">
        <v>4</v>
      </c>
      <c r="N715" t="s">
        <v>40</v>
      </c>
      <c r="O715">
        <v>91</v>
      </c>
      <c r="P715">
        <v>3</v>
      </c>
      <c r="Q715">
        <v>1</v>
      </c>
      <c r="R715" t="s">
        <v>51</v>
      </c>
      <c r="S715">
        <v>4</v>
      </c>
      <c r="T715" t="s">
        <v>53</v>
      </c>
      <c r="U715">
        <v>2270</v>
      </c>
      <c r="V715" t="str" cm="1">
        <f t="array" ref="V71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15">
        <v>11005</v>
      </c>
      <c r="X715">
        <v>3</v>
      </c>
      <c r="Y715" t="s">
        <v>43</v>
      </c>
      <c r="Z715" t="s">
        <v>44</v>
      </c>
      <c r="AA715">
        <v>14</v>
      </c>
      <c r="AB715">
        <v>3</v>
      </c>
      <c r="AC715">
        <v>4</v>
      </c>
      <c r="AD715">
        <v>80</v>
      </c>
      <c r="AE715">
        <v>2</v>
      </c>
      <c r="AF715">
        <v>8</v>
      </c>
      <c r="AG715">
        <v>2</v>
      </c>
      <c r="AH715">
        <v>3</v>
      </c>
      <c r="AI715">
        <v>5</v>
      </c>
      <c r="AJ715">
        <v>3</v>
      </c>
      <c r="AK715">
        <v>0</v>
      </c>
      <c r="AL715" t="str" cm="1">
        <f t="array" ref="AL71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15">
        <v>2</v>
      </c>
    </row>
    <row r="716" spans="1:39" x14ac:dyDescent="0.25">
      <c r="A716">
        <v>50</v>
      </c>
      <c r="B716" t="s">
        <v>44</v>
      </c>
      <c r="C716" t="s">
        <v>37</v>
      </c>
      <c r="D716">
        <v>1126</v>
      </c>
      <c r="E716" t="s">
        <v>46</v>
      </c>
      <c r="G716">
        <v>1</v>
      </c>
      <c r="H716">
        <v>2</v>
      </c>
      <c r="I716" t="s">
        <v>52</v>
      </c>
      <c r="J716" t="str">
        <f>WA_Fn_UseC__HR_Employee_Attrition[[#This Row],[EducationField]]&amp;"-"&amp;WA_Fn_UseC__HR_Employee_Attrition[[#This Row],[Department]]</f>
        <v>Medical-Research &amp; Development</v>
      </c>
      <c r="K716">
        <v>1</v>
      </c>
      <c r="L716">
        <v>997</v>
      </c>
      <c r="M716">
        <v>4</v>
      </c>
      <c r="N716" t="s">
        <v>47</v>
      </c>
      <c r="O716">
        <v>66</v>
      </c>
      <c r="P716">
        <v>3</v>
      </c>
      <c r="Q716">
        <v>4</v>
      </c>
      <c r="R716" t="s">
        <v>59</v>
      </c>
      <c r="S716">
        <v>4</v>
      </c>
      <c r="T716" t="s">
        <v>53</v>
      </c>
      <c r="U716">
        <v>17399</v>
      </c>
      <c r="V716" t="str" cm="1">
        <f t="array" ref="V71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16">
        <v>6615</v>
      </c>
      <c r="X716">
        <v>9</v>
      </c>
      <c r="Y716" t="s">
        <v>43</v>
      </c>
      <c r="Z716" t="s">
        <v>44</v>
      </c>
      <c r="AA716">
        <v>22</v>
      </c>
      <c r="AB716">
        <v>4</v>
      </c>
      <c r="AC716">
        <v>3</v>
      </c>
      <c r="AD716">
        <v>80</v>
      </c>
      <c r="AE716">
        <v>1</v>
      </c>
      <c r="AF716">
        <v>32</v>
      </c>
      <c r="AG716">
        <v>1</v>
      </c>
      <c r="AH716">
        <v>2</v>
      </c>
      <c r="AI716">
        <v>5</v>
      </c>
      <c r="AJ716">
        <v>4</v>
      </c>
      <c r="AK716">
        <v>1</v>
      </c>
      <c r="AL716" t="str" cm="1">
        <f t="array" ref="AL71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16">
        <v>3</v>
      </c>
    </row>
    <row r="717" spans="1:39" x14ac:dyDescent="0.25">
      <c r="A717">
        <v>33</v>
      </c>
      <c r="B717" t="s">
        <v>44</v>
      </c>
      <c r="C717" t="s">
        <v>45</v>
      </c>
      <c r="D717">
        <v>827</v>
      </c>
      <c r="E717" t="s">
        <v>46</v>
      </c>
      <c r="G717">
        <v>1</v>
      </c>
      <c r="H717">
        <v>4</v>
      </c>
      <c r="I717" t="s">
        <v>50</v>
      </c>
      <c r="J717" t="str">
        <f>WA_Fn_UseC__HR_Employee_Attrition[[#This Row],[EducationField]]&amp;"-"&amp;WA_Fn_UseC__HR_Employee_Attrition[[#This Row],[Department]]</f>
        <v>Other-Research &amp; Development</v>
      </c>
      <c r="K717">
        <v>1</v>
      </c>
      <c r="L717">
        <v>998</v>
      </c>
      <c r="M717">
        <v>3</v>
      </c>
      <c r="N717" t="s">
        <v>40</v>
      </c>
      <c r="O717">
        <v>84</v>
      </c>
      <c r="P717">
        <v>4</v>
      </c>
      <c r="Q717">
        <v>2</v>
      </c>
      <c r="R717" t="s">
        <v>55</v>
      </c>
      <c r="S717">
        <v>2</v>
      </c>
      <c r="T717" t="s">
        <v>49</v>
      </c>
      <c r="U717">
        <v>5488</v>
      </c>
      <c r="V717" t="str" cm="1">
        <f t="array" ref="V71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17">
        <v>20161</v>
      </c>
      <c r="X717">
        <v>1</v>
      </c>
      <c r="Y717" t="s">
        <v>43</v>
      </c>
      <c r="Z717" t="s">
        <v>36</v>
      </c>
      <c r="AA717">
        <v>13</v>
      </c>
      <c r="AB717">
        <v>3</v>
      </c>
      <c r="AC717">
        <v>1</v>
      </c>
      <c r="AD717">
        <v>80</v>
      </c>
      <c r="AE717">
        <v>1</v>
      </c>
      <c r="AF717">
        <v>6</v>
      </c>
      <c r="AG717">
        <v>2</v>
      </c>
      <c r="AH717">
        <v>3</v>
      </c>
      <c r="AI717">
        <v>6</v>
      </c>
      <c r="AJ717">
        <v>5</v>
      </c>
      <c r="AK717">
        <v>1</v>
      </c>
      <c r="AL717" t="str" cm="1">
        <f t="array" ref="AL71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17">
        <v>2</v>
      </c>
    </row>
    <row r="718" spans="1:39" x14ac:dyDescent="0.25">
      <c r="A718">
        <v>41</v>
      </c>
      <c r="B718" t="s">
        <v>44</v>
      </c>
      <c r="C718" t="s">
        <v>45</v>
      </c>
      <c r="D718">
        <v>840</v>
      </c>
      <c r="E718" t="s">
        <v>46</v>
      </c>
      <c r="G718">
        <v>9</v>
      </c>
      <c r="H718">
        <v>3</v>
      </c>
      <c r="I718" t="s">
        <v>52</v>
      </c>
      <c r="J718" t="str">
        <f>WA_Fn_UseC__HR_Employee_Attrition[[#This Row],[EducationField]]&amp;"-"&amp;WA_Fn_UseC__HR_Employee_Attrition[[#This Row],[Department]]</f>
        <v>Medical-Research &amp; Development</v>
      </c>
      <c r="K718">
        <v>1</v>
      </c>
      <c r="L718">
        <v>999</v>
      </c>
      <c r="M718">
        <v>1</v>
      </c>
      <c r="N718" t="s">
        <v>47</v>
      </c>
      <c r="O718">
        <v>64</v>
      </c>
      <c r="P718">
        <v>3</v>
      </c>
      <c r="Q718">
        <v>5</v>
      </c>
      <c r="R718" t="s">
        <v>59</v>
      </c>
      <c r="S718">
        <v>3</v>
      </c>
      <c r="T718" t="s">
        <v>53</v>
      </c>
      <c r="U718">
        <v>19419</v>
      </c>
      <c r="V718" t="str" cm="1">
        <f t="array" ref="V71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18">
        <v>3735</v>
      </c>
      <c r="X718">
        <v>2</v>
      </c>
      <c r="Y718" t="s">
        <v>43</v>
      </c>
      <c r="Z718" t="s">
        <v>44</v>
      </c>
      <c r="AA718">
        <v>17</v>
      </c>
      <c r="AB718">
        <v>3</v>
      </c>
      <c r="AC718">
        <v>2</v>
      </c>
      <c r="AD718">
        <v>80</v>
      </c>
      <c r="AE718">
        <v>1</v>
      </c>
      <c r="AF718">
        <v>21</v>
      </c>
      <c r="AG718">
        <v>2</v>
      </c>
      <c r="AH718">
        <v>4</v>
      </c>
      <c r="AI718">
        <v>18</v>
      </c>
      <c r="AJ718">
        <v>16</v>
      </c>
      <c r="AK718">
        <v>0</v>
      </c>
      <c r="AL718" t="str" cm="1">
        <f t="array" ref="AL71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18">
        <v>11</v>
      </c>
    </row>
    <row r="719" spans="1:39" x14ac:dyDescent="0.25">
      <c r="A719">
        <v>27</v>
      </c>
      <c r="B719" t="s">
        <v>44</v>
      </c>
      <c r="C719" t="s">
        <v>37</v>
      </c>
      <c r="D719">
        <v>1134</v>
      </c>
      <c r="E719" t="s">
        <v>46</v>
      </c>
      <c r="G719">
        <v>16</v>
      </c>
      <c r="H719">
        <v>4</v>
      </c>
      <c r="I719" t="s">
        <v>61</v>
      </c>
      <c r="J719" t="str">
        <f>WA_Fn_UseC__HR_Employee_Attrition[[#This Row],[EducationField]]&amp;"-"&amp;WA_Fn_UseC__HR_Employee_Attrition[[#This Row],[Department]]</f>
        <v>Technical Degree-Research &amp; Development</v>
      </c>
      <c r="K719">
        <v>1</v>
      </c>
      <c r="L719">
        <v>1001</v>
      </c>
      <c r="M719">
        <v>3</v>
      </c>
      <c r="N719" t="s">
        <v>40</v>
      </c>
      <c r="O719">
        <v>37</v>
      </c>
      <c r="P719">
        <v>3</v>
      </c>
      <c r="Q719">
        <v>1</v>
      </c>
      <c r="R719" t="s">
        <v>51</v>
      </c>
      <c r="S719">
        <v>2</v>
      </c>
      <c r="T719" t="s">
        <v>49</v>
      </c>
      <c r="U719">
        <v>2811</v>
      </c>
      <c r="V719" t="str" cm="1">
        <f t="array" ref="V71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19">
        <v>12086</v>
      </c>
      <c r="X719">
        <v>9</v>
      </c>
      <c r="Y719" t="s">
        <v>43</v>
      </c>
      <c r="Z719" t="s">
        <v>44</v>
      </c>
      <c r="AA719">
        <v>14</v>
      </c>
      <c r="AB719">
        <v>3</v>
      </c>
      <c r="AC719">
        <v>2</v>
      </c>
      <c r="AD719">
        <v>80</v>
      </c>
      <c r="AE719">
        <v>1</v>
      </c>
      <c r="AF719">
        <v>4</v>
      </c>
      <c r="AG719">
        <v>2</v>
      </c>
      <c r="AH719">
        <v>3</v>
      </c>
      <c r="AI719">
        <v>2</v>
      </c>
      <c r="AJ719">
        <v>2</v>
      </c>
      <c r="AK719">
        <v>2</v>
      </c>
      <c r="AL719" t="str" cm="1">
        <f t="array" ref="AL71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19">
        <v>2</v>
      </c>
    </row>
    <row r="720" spans="1:39" x14ac:dyDescent="0.25">
      <c r="A720">
        <v>45</v>
      </c>
      <c r="B720" t="s">
        <v>44</v>
      </c>
      <c r="C720" t="s">
        <v>56</v>
      </c>
      <c r="D720">
        <v>248</v>
      </c>
      <c r="E720" t="s">
        <v>46</v>
      </c>
      <c r="G720">
        <v>23</v>
      </c>
      <c r="H720">
        <v>2</v>
      </c>
      <c r="I720" t="s">
        <v>39</v>
      </c>
      <c r="J720" t="str">
        <f>WA_Fn_UseC__HR_Employee_Attrition[[#This Row],[EducationField]]&amp;"-"&amp;WA_Fn_UseC__HR_Employee_Attrition[[#This Row],[Department]]</f>
        <v>Life Sciences-Research &amp; Development</v>
      </c>
      <c r="K720">
        <v>1</v>
      </c>
      <c r="L720">
        <v>1002</v>
      </c>
      <c r="M720">
        <v>4</v>
      </c>
      <c r="N720" t="s">
        <v>47</v>
      </c>
      <c r="O720">
        <v>42</v>
      </c>
      <c r="P720">
        <v>3</v>
      </c>
      <c r="Q720">
        <v>2</v>
      </c>
      <c r="R720" t="s">
        <v>51</v>
      </c>
      <c r="S720">
        <v>1</v>
      </c>
      <c r="T720" t="s">
        <v>49</v>
      </c>
      <c r="U720">
        <v>3633</v>
      </c>
      <c r="V720" t="str" cm="1">
        <f t="array" ref="V72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20">
        <v>14039</v>
      </c>
      <c r="X720">
        <v>1</v>
      </c>
      <c r="Y720" t="s">
        <v>43</v>
      </c>
      <c r="Z720" t="s">
        <v>36</v>
      </c>
      <c r="AA720">
        <v>15</v>
      </c>
      <c r="AB720">
        <v>3</v>
      </c>
      <c r="AC720">
        <v>3</v>
      </c>
      <c r="AD720">
        <v>80</v>
      </c>
      <c r="AE720">
        <v>1</v>
      </c>
      <c r="AF720">
        <v>9</v>
      </c>
      <c r="AG720">
        <v>2</v>
      </c>
      <c r="AH720">
        <v>3</v>
      </c>
      <c r="AI720">
        <v>9</v>
      </c>
      <c r="AJ720">
        <v>8</v>
      </c>
      <c r="AK720">
        <v>0</v>
      </c>
      <c r="AL720" t="str" cm="1">
        <f t="array" ref="AL72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20">
        <v>8</v>
      </c>
    </row>
    <row r="721" spans="1:39" x14ac:dyDescent="0.25">
      <c r="A721">
        <v>47</v>
      </c>
      <c r="B721" t="s">
        <v>44</v>
      </c>
      <c r="C721" t="s">
        <v>37</v>
      </c>
      <c r="D721">
        <v>955</v>
      </c>
      <c r="E721" t="s">
        <v>38</v>
      </c>
      <c r="G721">
        <v>4</v>
      </c>
      <c r="H721">
        <v>2</v>
      </c>
      <c r="I721" t="s">
        <v>39</v>
      </c>
      <c r="J721" t="str">
        <f>WA_Fn_UseC__HR_Employee_Attrition[[#This Row],[EducationField]]&amp;"-"&amp;WA_Fn_UseC__HR_Employee_Attrition[[#This Row],[Department]]</f>
        <v>Life Sciences-Sales</v>
      </c>
      <c r="K721">
        <v>1</v>
      </c>
      <c r="L721">
        <v>1003</v>
      </c>
      <c r="M721">
        <v>4</v>
      </c>
      <c r="N721" t="s">
        <v>40</v>
      </c>
      <c r="O721">
        <v>83</v>
      </c>
      <c r="P721">
        <v>3</v>
      </c>
      <c r="Q721">
        <v>2</v>
      </c>
      <c r="R721" t="s">
        <v>41</v>
      </c>
      <c r="S721">
        <v>4</v>
      </c>
      <c r="T721" t="s">
        <v>42</v>
      </c>
      <c r="U721">
        <v>4163</v>
      </c>
      <c r="V721" t="str" cm="1">
        <f t="array" ref="V72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21">
        <v>8571</v>
      </c>
      <c r="X721">
        <v>1</v>
      </c>
      <c r="Y721" t="s">
        <v>43</v>
      </c>
      <c r="Z721" t="s">
        <v>36</v>
      </c>
      <c r="AA721">
        <v>17</v>
      </c>
      <c r="AB721">
        <v>3</v>
      </c>
      <c r="AC721">
        <v>3</v>
      </c>
      <c r="AD721">
        <v>80</v>
      </c>
      <c r="AE721">
        <v>0</v>
      </c>
      <c r="AF721">
        <v>9</v>
      </c>
      <c r="AG721">
        <v>0</v>
      </c>
      <c r="AH721">
        <v>3</v>
      </c>
      <c r="AI721">
        <v>9</v>
      </c>
      <c r="AJ721">
        <v>0</v>
      </c>
      <c r="AK721">
        <v>0</v>
      </c>
      <c r="AL721" t="str" cm="1">
        <f t="array" ref="AL72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21">
        <v>7</v>
      </c>
    </row>
    <row r="722" spans="1:39" x14ac:dyDescent="0.25">
      <c r="A722">
        <v>30</v>
      </c>
      <c r="B722" t="s">
        <v>36</v>
      </c>
      <c r="C722" t="s">
        <v>37</v>
      </c>
      <c r="D722">
        <v>138</v>
      </c>
      <c r="E722" t="s">
        <v>46</v>
      </c>
      <c r="G722">
        <v>22</v>
      </c>
      <c r="H722">
        <v>3</v>
      </c>
      <c r="I722" t="s">
        <v>39</v>
      </c>
      <c r="J722" t="str">
        <f>WA_Fn_UseC__HR_Employee_Attrition[[#This Row],[EducationField]]&amp;"-"&amp;WA_Fn_UseC__HR_Employee_Attrition[[#This Row],[Department]]</f>
        <v>Life Sciences-Research &amp; Development</v>
      </c>
      <c r="K722">
        <v>1</v>
      </c>
      <c r="L722">
        <v>1004</v>
      </c>
      <c r="M722">
        <v>1</v>
      </c>
      <c r="N722" t="s">
        <v>40</v>
      </c>
      <c r="O722">
        <v>48</v>
      </c>
      <c r="P722">
        <v>3</v>
      </c>
      <c r="Q722">
        <v>1</v>
      </c>
      <c r="R722" t="s">
        <v>48</v>
      </c>
      <c r="S722">
        <v>3</v>
      </c>
      <c r="T722" t="s">
        <v>49</v>
      </c>
      <c r="U722">
        <v>2132</v>
      </c>
      <c r="V722" t="str" cm="1">
        <f t="array" ref="V72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22">
        <v>11539</v>
      </c>
      <c r="X722">
        <v>4</v>
      </c>
      <c r="Y722" t="s">
        <v>43</v>
      </c>
      <c r="Z722" t="s">
        <v>36</v>
      </c>
      <c r="AA722">
        <v>11</v>
      </c>
      <c r="AB722">
        <v>3</v>
      </c>
      <c r="AC722">
        <v>2</v>
      </c>
      <c r="AD722">
        <v>80</v>
      </c>
      <c r="AE722">
        <v>0</v>
      </c>
      <c r="AF722">
        <v>7</v>
      </c>
      <c r="AG722">
        <v>2</v>
      </c>
      <c r="AH722">
        <v>3</v>
      </c>
      <c r="AI722">
        <v>5</v>
      </c>
      <c r="AJ722">
        <v>2</v>
      </c>
      <c r="AK722">
        <v>0</v>
      </c>
      <c r="AL722" t="str" cm="1">
        <f t="array" ref="AL72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22">
        <v>1</v>
      </c>
    </row>
    <row r="723" spans="1:39" x14ac:dyDescent="0.25">
      <c r="A723">
        <v>50</v>
      </c>
      <c r="B723" t="s">
        <v>44</v>
      </c>
      <c r="C723" t="s">
        <v>37</v>
      </c>
      <c r="D723">
        <v>939</v>
      </c>
      <c r="E723" t="s">
        <v>46</v>
      </c>
      <c r="G723">
        <v>24</v>
      </c>
      <c r="H723">
        <v>3</v>
      </c>
      <c r="I723" t="s">
        <v>39</v>
      </c>
      <c r="J723" t="str">
        <f>WA_Fn_UseC__HR_Employee_Attrition[[#This Row],[EducationField]]&amp;"-"&amp;WA_Fn_UseC__HR_Employee_Attrition[[#This Row],[Department]]</f>
        <v>Life Sciences-Research &amp; Development</v>
      </c>
      <c r="K723">
        <v>1</v>
      </c>
      <c r="L723">
        <v>1005</v>
      </c>
      <c r="M723">
        <v>4</v>
      </c>
      <c r="N723" t="s">
        <v>47</v>
      </c>
      <c r="O723">
        <v>95</v>
      </c>
      <c r="P723">
        <v>3</v>
      </c>
      <c r="Q723">
        <v>4</v>
      </c>
      <c r="R723" t="s">
        <v>54</v>
      </c>
      <c r="S723">
        <v>3</v>
      </c>
      <c r="T723" t="s">
        <v>49</v>
      </c>
      <c r="U723">
        <v>13973</v>
      </c>
      <c r="V723" t="str" cm="1">
        <f t="array" ref="V72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23">
        <v>4161</v>
      </c>
      <c r="X723">
        <v>3</v>
      </c>
      <c r="Y723" t="s">
        <v>43</v>
      </c>
      <c r="Z723" t="s">
        <v>36</v>
      </c>
      <c r="AA723">
        <v>18</v>
      </c>
      <c r="AB723">
        <v>3</v>
      </c>
      <c r="AC723">
        <v>4</v>
      </c>
      <c r="AD723">
        <v>80</v>
      </c>
      <c r="AE723">
        <v>1</v>
      </c>
      <c r="AF723">
        <v>22</v>
      </c>
      <c r="AG723">
        <v>2</v>
      </c>
      <c r="AH723">
        <v>3</v>
      </c>
      <c r="AI723">
        <v>12</v>
      </c>
      <c r="AJ723">
        <v>11</v>
      </c>
      <c r="AK723">
        <v>1</v>
      </c>
      <c r="AL723" t="str" cm="1">
        <f t="array" ref="AL72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23">
        <v>5</v>
      </c>
    </row>
    <row r="724" spans="1:39" x14ac:dyDescent="0.25">
      <c r="A724">
        <v>38</v>
      </c>
      <c r="B724" t="s">
        <v>44</v>
      </c>
      <c r="C724" t="s">
        <v>45</v>
      </c>
      <c r="D724">
        <v>1391</v>
      </c>
      <c r="E724" t="s">
        <v>46</v>
      </c>
      <c r="G724">
        <v>10</v>
      </c>
      <c r="H724">
        <v>1</v>
      </c>
      <c r="I724" t="s">
        <v>52</v>
      </c>
      <c r="J724" t="str">
        <f>WA_Fn_UseC__HR_Employee_Attrition[[#This Row],[EducationField]]&amp;"-"&amp;WA_Fn_UseC__HR_Employee_Attrition[[#This Row],[Department]]</f>
        <v>Medical-Research &amp; Development</v>
      </c>
      <c r="K724">
        <v>1</v>
      </c>
      <c r="L724">
        <v>1006</v>
      </c>
      <c r="M724">
        <v>3</v>
      </c>
      <c r="N724" t="s">
        <v>47</v>
      </c>
      <c r="O724">
        <v>66</v>
      </c>
      <c r="P724">
        <v>3</v>
      </c>
      <c r="Q724">
        <v>1</v>
      </c>
      <c r="R724" t="s">
        <v>48</v>
      </c>
      <c r="S724">
        <v>3</v>
      </c>
      <c r="T724" t="s">
        <v>49</v>
      </c>
      <c r="U724">
        <v>2684</v>
      </c>
      <c r="V724" t="str" cm="1">
        <f t="array" ref="V72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24">
        <v>12127</v>
      </c>
      <c r="X724">
        <v>0</v>
      </c>
      <c r="Y724" t="s">
        <v>43</v>
      </c>
      <c r="Z724" t="s">
        <v>44</v>
      </c>
      <c r="AA724">
        <v>17</v>
      </c>
      <c r="AB724">
        <v>3</v>
      </c>
      <c r="AC724">
        <v>2</v>
      </c>
      <c r="AD724">
        <v>80</v>
      </c>
      <c r="AE724">
        <v>1</v>
      </c>
      <c r="AF724">
        <v>3</v>
      </c>
      <c r="AG724">
        <v>0</v>
      </c>
      <c r="AH724">
        <v>2</v>
      </c>
      <c r="AI724">
        <v>2</v>
      </c>
      <c r="AJ724">
        <v>1</v>
      </c>
      <c r="AK724">
        <v>0</v>
      </c>
      <c r="AL724" t="str" cm="1">
        <f t="array" ref="AL72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24">
        <v>2</v>
      </c>
    </row>
    <row r="725" spans="1:39" x14ac:dyDescent="0.25">
      <c r="A725">
        <v>46</v>
      </c>
      <c r="B725" t="s">
        <v>44</v>
      </c>
      <c r="C725" t="s">
        <v>37</v>
      </c>
      <c r="D725">
        <v>566</v>
      </c>
      <c r="E725" t="s">
        <v>46</v>
      </c>
      <c r="G725">
        <v>7</v>
      </c>
      <c r="H725">
        <v>2</v>
      </c>
      <c r="I725" t="s">
        <v>52</v>
      </c>
      <c r="J725" t="str">
        <f>WA_Fn_UseC__HR_Employee_Attrition[[#This Row],[EducationField]]&amp;"-"&amp;WA_Fn_UseC__HR_Employee_Attrition[[#This Row],[Department]]</f>
        <v>Medical-Research &amp; Development</v>
      </c>
      <c r="K725">
        <v>1</v>
      </c>
      <c r="L725">
        <v>1007</v>
      </c>
      <c r="M725">
        <v>4</v>
      </c>
      <c r="N725" t="s">
        <v>47</v>
      </c>
      <c r="O725">
        <v>75</v>
      </c>
      <c r="P725">
        <v>3</v>
      </c>
      <c r="Q725">
        <v>3</v>
      </c>
      <c r="R725" t="s">
        <v>54</v>
      </c>
      <c r="S725">
        <v>3</v>
      </c>
      <c r="T725" t="s">
        <v>53</v>
      </c>
      <c r="U725">
        <v>10845</v>
      </c>
      <c r="V725" t="str" cm="1">
        <f t="array" ref="V72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25">
        <v>24208</v>
      </c>
      <c r="X725">
        <v>6</v>
      </c>
      <c r="Y725" t="s">
        <v>43</v>
      </c>
      <c r="Z725" t="s">
        <v>44</v>
      </c>
      <c r="AA725">
        <v>13</v>
      </c>
      <c r="AB725">
        <v>3</v>
      </c>
      <c r="AC725">
        <v>2</v>
      </c>
      <c r="AD725">
        <v>80</v>
      </c>
      <c r="AE725">
        <v>1</v>
      </c>
      <c r="AF725">
        <v>13</v>
      </c>
      <c r="AG725">
        <v>3</v>
      </c>
      <c r="AH725">
        <v>3</v>
      </c>
      <c r="AI725">
        <v>8</v>
      </c>
      <c r="AJ725">
        <v>7</v>
      </c>
      <c r="AK725">
        <v>0</v>
      </c>
      <c r="AL725" t="str" cm="1">
        <f t="array" ref="AL72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25">
        <v>7</v>
      </c>
    </row>
    <row r="726" spans="1:39" x14ac:dyDescent="0.25">
      <c r="A726">
        <v>24</v>
      </c>
      <c r="B726" t="s">
        <v>44</v>
      </c>
      <c r="C726" t="s">
        <v>37</v>
      </c>
      <c r="D726">
        <v>1206</v>
      </c>
      <c r="E726" t="s">
        <v>46</v>
      </c>
      <c r="G726">
        <v>17</v>
      </c>
      <c r="H726">
        <v>1</v>
      </c>
      <c r="I726" t="s">
        <v>52</v>
      </c>
      <c r="J726" t="str">
        <f>WA_Fn_UseC__HR_Employee_Attrition[[#This Row],[EducationField]]&amp;"-"&amp;WA_Fn_UseC__HR_Employee_Attrition[[#This Row],[Department]]</f>
        <v>Medical-Research &amp; Development</v>
      </c>
      <c r="K726">
        <v>1</v>
      </c>
      <c r="L726">
        <v>1009</v>
      </c>
      <c r="M726">
        <v>4</v>
      </c>
      <c r="N726" t="s">
        <v>40</v>
      </c>
      <c r="O726">
        <v>41</v>
      </c>
      <c r="P726">
        <v>2</v>
      </c>
      <c r="Q726">
        <v>2</v>
      </c>
      <c r="R726" t="s">
        <v>54</v>
      </c>
      <c r="S726">
        <v>3</v>
      </c>
      <c r="T726" t="s">
        <v>53</v>
      </c>
      <c r="U726">
        <v>4377</v>
      </c>
      <c r="V726" t="str" cm="1">
        <f t="array" ref="V72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26">
        <v>24117</v>
      </c>
      <c r="X726">
        <v>1</v>
      </c>
      <c r="Y726" t="s">
        <v>43</v>
      </c>
      <c r="Z726" t="s">
        <v>44</v>
      </c>
      <c r="AA726">
        <v>15</v>
      </c>
      <c r="AB726">
        <v>3</v>
      </c>
      <c r="AC726">
        <v>2</v>
      </c>
      <c r="AD726">
        <v>80</v>
      </c>
      <c r="AE726">
        <v>2</v>
      </c>
      <c r="AF726">
        <v>5</v>
      </c>
      <c r="AG726">
        <v>6</v>
      </c>
      <c r="AH726">
        <v>3</v>
      </c>
      <c r="AI726">
        <v>4</v>
      </c>
      <c r="AJ726">
        <v>2</v>
      </c>
      <c r="AK726">
        <v>3</v>
      </c>
      <c r="AL726" t="str" cm="1">
        <f t="array" ref="AL72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26">
        <v>2</v>
      </c>
    </row>
    <row r="727" spans="1:39" x14ac:dyDescent="0.25">
      <c r="A727">
        <v>35</v>
      </c>
      <c r="B727" t="s">
        <v>36</v>
      </c>
      <c r="C727" t="s">
        <v>37</v>
      </c>
      <c r="D727">
        <v>622</v>
      </c>
      <c r="E727" t="s">
        <v>46</v>
      </c>
      <c r="G727">
        <v>14</v>
      </c>
      <c r="H727">
        <v>4</v>
      </c>
      <c r="I727" t="s">
        <v>50</v>
      </c>
      <c r="J727" t="str">
        <f>WA_Fn_UseC__HR_Employee_Attrition[[#This Row],[EducationField]]&amp;"-"&amp;WA_Fn_UseC__HR_Employee_Attrition[[#This Row],[Department]]</f>
        <v>Other-Research &amp; Development</v>
      </c>
      <c r="K727">
        <v>1</v>
      </c>
      <c r="L727">
        <v>1010</v>
      </c>
      <c r="M727">
        <v>3</v>
      </c>
      <c r="N727" t="s">
        <v>47</v>
      </c>
      <c r="O727">
        <v>39</v>
      </c>
      <c r="P727">
        <v>2</v>
      </c>
      <c r="Q727">
        <v>1</v>
      </c>
      <c r="R727" t="s">
        <v>51</v>
      </c>
      <c r="S727">
        <v>2</v>
      </c>
      <c r="T727" t="s">
        <v>53</v>
      </c>
      <c r="U727">
        <v>3743</v>
      </c>
      <c r="V727" t="str" cm="1">
        <f t="array" ref="V72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27">
        <v>10074</v>
      </c>
      <c r="X727">
        <v>1</v>
      </c>
      <c r="Y727" t="s">
        <v>43</v>
      </c>
      <c r="Z727" t="s">
        <v>36</v>
      </c>
      <c r="AA727">
        <v>24</v>
      </c>
      <c r="AB727">
        <v>4</v>
      </c>
      <c r="AC727">
        <v>4</v>
      </c>
      <c r="AD727">
        <v>80</v>
      </c>
      <c r="AE727">
        <v>1</v>
      </c>
      <c r="AF727">
        <v>5</v>
      </c>
      <c r="AG727">
        <v>2</v>
      </c>
      <c r="AH727">
        <v>1</v>
      </c>
      <c r="AI727">
        <v>4</v>
      </c>
      <c r="AJ727">
        <v>2</v>
      </c>
      <c r="AK727">
        <v>0</v>
      </c>
      <c r="AL727" t="str" cm="1">
        <f t="array" ref="AL72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27">
        <v>2</v>
      </c>
    </row>
    <row r="728" spans="1:39" x14ac:dyDescent="0.25">
      <c r="A728">
        <v>31</v>
      </c>
      <c r="B728" t="s">
        <v>44</v>
      </c>
      <c r="C728" t="s">
        <v>45</v>
      </c>
      <c r="D728">
        <v>853</v>
      </c>
      <c r="E728" t="s">
        <v>46</v>
      </c>
      <c r="G728">
        <v>1</v>
      </c>
      <c r="H728">
        <v>1</v>
      </c>
      <c r="I728" t="s">
        <v>39</v>
      </c>
      <c r="J728" t="str">
        <f>WA_Fn_UseC__HR_Employee_Attrition[[#This Row],[EducationField]]&amp;"-"&amp;WA_Fn_UseC__HR_Employee_Attrition[[#This Row],[Department]]</f>
        <v>Life Sciences-Research &amp; Development</v>
      </c>
      <c r="K728">
        <v>1</v>
      </c>
      <c r="L728">
        <v>1011</v>
      </c>
      <c r="M728">
        <v>3</v>
      </c>
      <c r="N728" t="s">
        <v>40</v>
      </c>
      <c r="O728">
        <v>96</v>
      </c>
      <c r="P728">
        <v>3</v>
      </c>
      <c r="Q728">
        <v>2</v>
      </c>
      <c r="R728" t="s">
        <v>54</v>
      </c>
      <c r="S728">
        <v>1</v>
      </c>
      <c r="T728" t="s">
        <v>49</v>
      </c>
      <c r="U728">
        <v>4148</v>
      </c>
      <c r="V728" t="str" cm="1">
        <f t="array" ref="V72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28">
        <v>11275</v>
      </c>
      <c r="X728">
        <v>1</v>
      </c>
      <c r="Y728" t="s">
        <v>43</v>
      </c>
      <c r="Z728" t="s">
        <v>44</v>
      </c>
      <c r="AA728">
        <v>12</v>
      </c>
      <c r="AB728">
        <v>3</v>
      </c>
      <c r="AC728">
        <v>3</v>
      </c>
      <c r="AD728">
        <v>80</v>
      </c>
      <c r="AE728">
        <v>1</v>
      </c>
      <c r="AF728">
        <v>4</v>
      </c>
      <c r="AG728">
        <v>1</v>
      </c>
      <c r="AH728">
        <v>3</v>
      </c>
      <c r="AI728">
        <v>4</v>
      </c>
      <c r="AJ728">
        <v>3</v>
      </c>
      <c r="AK728">
        <v>0</v>
      </c>
      <c r="AL728" t="str" cm="1">
        <f t="array" ref="AL72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28">
        <v>3</v>
      </c>
    </row>
    <row r="729" spans="1:39" x14ac:dyDescent="0.25">
      <c r="A729">
        <v>18</v>
      </c>
      <c r="B729" t="s">
        <v>44</v>
      </c>
      <c r="C729" t="s">
        <v>56</v>
      </c>
      <c r="D729">
        <v>287</v>
      </c>
      <c r="E729" t="s">
        <v>46</v>
      </c>
      <c r="G729">
        <v>5</v>
      </c>
      <c r="H729">
        <v>2</v>
      </c>
      <c r="I729" t="s">
        <v>39</v>
      </c>
      <c r="J729" t="str">
        <f>WA_Fn_UseC__HR_Employee_Attrition[[#This Row],[EducationField]]&amp;"-"&amp;WA_Fn_UseC__HR_Employee_Attrition[[#This Row],[Department]]</f>
        <v>Life Sciences-Research &amp; Development</v>
      </c>
      <c r="K729">
        <v>1</v>
      </c>
      <c r="L729">
        <v>1012</v>
      </c>
      <c r="M729">
        <v>2</v>
      </c>
      <c r="N729" t="s">
        <v>47</v>
      </c>
      <c r="O729">
        <v>73</v>
      </c>
      <c r="P729">
        <v>3</v>
      </c>
      <c r="Q729">
        <v>1</v>
      </c>
      <c r="R729" t="s">
        <v>48</v>
      </c>
      <c r="S729">
        <v>4</v>
      </c>
      <c r="T729" t="s">
        <v>42</v>
      </c>
      <c r="U729">
        <v>1051</v>
      </c>
      <c r="V729" t="str" cm="1">
        <f t="array" ref="V72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29">
        <v>13493</v>
      </c>
      <c r="X729">
        <v>1</v>
      </c>
      <c r="Y729" t="s">
        <v>43</v>
      </c>
      <c r="Z729" t="s">
        <v>44</v>
      </c>
      <c r="AA729">
        <v>15</v>
      </c>
      <c r="AB729">
        <v>3</v>
      </c>
      <c r="AC729">
        <v>4</v>
      </c>
      <c r="AD729">
        <v>80</v>
      </c>
      <c r="AE729">
        <v>0</v>
      </c>
      <c r="AF729">
        <v>0</v>
      </c>
      <c r="AG729">
        <v>2</v>
      </c>
      <c r="AH729">
        <v>3</v>
      </c>
      <c r="AI729">
        <v>0</v>
      </c>
      <c r="AJ729">
        <v>0</v>
      </c>
      <c r="AK729">
        <v>0</v>
      </c>
      <c r="AL729" t="str" cm="1">
        <f t="array" ref="AL72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29">
        <v>0</v>
      </c>
    </row>
    <row r="730" spans="1:39" x14ac:dyDescent="0.25">
      <c r="A730">
        <v>54</v>
      </c>
      <c r="B730" t="s">
        <v>44</v>
      </c>
      <c r="C730" t="s">
        <v>37</v>
      </c>
      <c r="D730">
        <v>1441</v>
      </c>
      <c r="E730" t="s">
        <v>46</v>
      </c>
      <c r="G730">
        <v>17</v>
      </c>
      <c r="H730">
        <v>3</v>
      </c>
      <c r="I730" t="s">
        <v>61</v>
      </c>
      <c r="J730" t="str">
        <f>WA_Fn_UseC__HR_Employee_Attrition[[#This Row],[EducationField]]&amp;"-"&amp;WA_Fn_UseC__HR_Employee_Attrition[[#This Row],[Department]]</f>
        <v>Technical Degree-Research &amp; Development</v>
      </c>
      <c r="K730">
        <v>1</v>
      </c>
      <c r="L730">
        <v>1013</v>
      </c>
      <c r="M730">
        <v>3</v>
      </c>
      <c r="N730" t="s">
        <v>40</v>
      </c>
      <c r="O730">
        <v>56</v>
      </c>
      <c r="P730">
        <v>3</v>
      </c>
      <c r="Q730">
        <v>3</v>
      </c>
      <c r="R730" t="s">
        <v>54</v>
      </c>
      <c r="S730">
        <v>3</v>
      </c>
      <c r="T730" t="s">
        <v>49</v>
      </c>
      <c r="U730">
        <v>10739</v>
      </c>
      <c r="V730" t="str" cm="1">
        <f t="array" ref="V73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30">
        <v>13943</v>
      </c>
      <c r="X730">
        <v>8</v>
      </c>
      <c r="Y730" t="s">
        <v>43</v>
      </c>
      <c r="Z730" t="s">
        <v>44</v>
      </c>
      <c r="AA730">
        <v>11</v>
      </c>
      <c r="AB730">
        <v>3</v>
      </c>
      <c r="AC730">
        <v>3</v>
      </c>
      <c r="AD730">
        <v>80</v>
      </c>
      <c r="AE730">
        <v>1</v>
      </c>
      <c r="AF730">
        <v>22</v>
      </c>
      <c r="AG730">
        <v>2</v>
      </c>
      <c r="AH730">
        <v>3</v>
      </c>
      <c r="AI730">
        <v>10</v>
      </c>
      <c r="AJ730">
        <v>7</v>
      </c>
      <c r="AK730">
        <v>0</v>
      </c>
      <c r="AL730" t="str" cm="1">
        <f t="array" ref="AL73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30">
        <v>8</v>
      </c>
    </row>
    <row r="731" spans="1:39" x14ac:dyDescent="0.25">
      <c r="A731">
        <v>35</v>
      </c>
      <c r="B731" t="s">
        <v>44</v>
      </c>
      <c r="C731" t="s">
        <v>37</v>
      </c>
      <c r="D731">
        <v>583</v>
      </c>
      <c r="E731" t="s">
        <v>46</v>
      </c>
      <c r="G731">
        <v>25</v>
      </c>
      <c r="H731">
        <v>4</v>
      </c>
      <c r="I731" t="s">
        <v>52</v>
      </c>
      <c r="J731" t="str">
        <f>WA_Fn_UseC__HR_Employee_Attrition[[#This Row],[EducationField]]&amp;"-"&amp;WA_Fn_UseC__HR_Employee_Attrition[[#This Row],[Department]]</f>
        <v>Medical-Research &amp; Development</v>
      </c>
      <c r="K731">
        <v>1</v>
      </c>
      <c r="L731">
        <v>1014</v>
      </c>
      <c r="M731">
        <v>3</v>
      </c>
      <c r="N731" t="s">
        <v>40</v>
      </c>
      <c r="O731">
        <v>57</v>
      </c>
      <c r="P731">
        <v>3</v>
      </c>
      <c r="Q731">
        <v>3</v>
      </c>
      <c r="R731" t="s">
        <v>55</v>
      </c>
      <c r="S731">
        <v>3</v>
      </c>
      <c r="T731" t="s">
        <v>53</v>
      </c>
      <c r="U731">
        <v>10388</v>
      </c>
      <c r="V731" t="str" cm="1">
        <f t="array" ref="V73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31">
        <v>6975</v>
      </c>
      <c r="X731">
        <v>1</v>
      </c>
      <c r="Y731" t="s">
        <v>43</v>
      </c>
      <c r="Z731" t="s">
        <v>36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16</v>
      </c>
      <c r="AG731">
        <v>3</v>
      </c>
      <c r="AH731">
        <v>2</v>
      </c>
      <c r="AI731">
        <v>16</v>
      </c>
      <c r="AJ731">
        <v>10</v>
      </c>
      <c r="AK731">
        <v>10</v>
      </c>
      <c r="AL731" t="str" cm="1">
        <f t="array" ref="AL73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31">
        <v>1</v>
      </c>
    </row>
    <row r="732" spans="1:39" x14ac:dyDescent="0.25">
      <c r="A732">
        <v>30</v>
      </c>
      <c r="B732" t="s">
        <v>44</v>
      </c>
      <c r="C732" t="s">
        <v>37</v>
      </c>
      <c r="D732">
        <v>153</v>
      </c>
      <c r="E732" t="s">
        <v>46</v>
      </c>
      <c r="G732">
        <v>8</v>
      </c>
      <c r="H732">
        <v>2</v>
      </c>
      <c r="I732" t="s">
        <v>39</v>
      </c>
      <c r="J732" t="str">
        <f>WA_Fn_UseC__HR_Employee_Attrition[[#This Row],[EducationField]]&amp;"-"&amp;WA_Fn_UseC__HR_Employee_Attrition[[#This Row],[Department]]</f>
        <v>Life Sciences-Research &amp; Development</v>
      </c>
      <c r="K732">
        <v>1</v>
      </c>
      <c r="L732">
        <v>1015</v>
      </c>
      <c r="M732">
        <v>2</v>
      </c>
      <c r="N732" t="s">
        <v>40</v>
      </c>
      <c r="O732">
        <v>73</v>
      </c>
      <c r="P732">
        <v>4</v>
      </c>
      <c r="Q732">
        <v>3</v>
      </c>
      <c r="R732" t="s">
        <v>59</v>
      </c>
      <c r="S732">
        <v>1</v>
      </c>
      <c r="T732" t="s">
        <v>49</v>
      </c>
      <c r="U732">
        <v>11416</v>
      </c>
      <c r="V732" t="str" cm="1">
        <f t="array" ref="V73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32">
        <v>17802</v>
      </c>
      <c r="X732">
        <v>0</v>
      </c>
      <c r="Y732" t="s">
        <v>43</v>
      </c>
      <c r="Z732" t="s">
        <v>36</v>
      </c>
      <c r="AA732">
        <v>12</v>
      </c>
      <c r="AB732">
        <v>3</v>
      </c>
      <c r="AC732">
        <v>3</v>
      </c>
      <c r="AD732">
        <v>80</v>
      </c>
      <c r="AE732">
        <v>3</v>
      </c>
      <c r="AF732">
        <v>9</v>
      </c>
      <c r="AG732">
        <v>4</v>
      </c>
      <c r="AH732">
        <v>2</v>
      </c>
      <c r="AI732">
        <v>8</v>
      </c>
      <c r="AJ732">
        <v>7</v>
      </c>
      <c r="AK732">
        <v>1</v>
      </c>
      <c r="AL732" t="str" cm="1">
        <f t="array" ref="AL73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32">
        <v>7</v>
      </c>
    </row>
    <row r="733" spans="1:39" x14ac:dyDescent="0.25">
      <c r="A733">
        <v>20</v>
      </c>
      <c r="B733" t="s">
        <v>36</v>
      </c>
      <c r="C733" t="s">
        <v>37</v>
      </c>
      <c r="D733">
        <v>1097</v>
      </c>
      <c r="E733" t="s">
        <v>46</v>
      </c>
      <c r="G733">
        <v>11</v>
      </c>
      <c r="H733">
        <v>3</v>
      </c>
      <c r="I733" t="s">
        <v>52</v>
      </c>
      <c r="J733" t="str">
        <f>WA_Fn_UseC__HR_Employee_Attrition[[#This Row],[EducationField]]&amp;"-"&amp;WA_Fn_UseC__HR_Employee_Attrition[[#This Row],[Department]]</f>
        <v>Medical-Research &amp; Development</v>
      </c>
      <c r="K733">
        <v>1</v>
      </c>
      <c r="L733">
        <v>1016</v>
      </c>
      <c r="M733">
        <v>4</v>
      </c>
      <c r="N733" t="s">
        <v>40</v>
      </c>
      <c r="O733">
        <v>98</v>
      </c>
      <c r="P733">
        <v>2</v>
      </c>
      <c r="Q733">
        <v>1</v>
      </c>
      <c r="R733" t="s">
        <v>48</v>
      </c>
      <c r="S733">
        <v>1</v>
      </c>
      <c r="T733" t="s">
        <v>42</v>
      </c>
      <c r="U733">
        <v>2600</v>
      </c>
      <c r="V733" t="str" cm="1">
        <f t="array" ref="V73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33">
        <v>18275</v>
      </c>
      <c r="X733">
        <v>1</v>
      </c>
      <c r="Y733" t="s">
        <v>43</v>
      </c>
      <c r="Z733" t="s">
        <v>36</v>
      </c>
      <c r="AA733">
        <v>15</v>
      </c>
      <c r="AB733">
        <v>3</v>
      </c>
      <c r="AC733">
        <v>1</v>
      </c>
      <c r="AD733">
        <v>80</v>
      </c>
      <c r="AE733">
        <v>0</v>
      </c>
      <c r="AF733">
        <v>1</v>
      </c>
      <c r="AG733">
        <v>2</v>
      </c>
      <c r="AH733">
        <v>3</v>
      </c>
      <c r="AI733">
        <v>1</v>
      </c>
      <c r="AJ733">
        <v>0</v>
      </c>
      <c r="AK733">
        <v>0</v>
      </c>
      <c r="AL733" t="str" cm="1">
        <f t="array" ref="AL73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33">
        <v>0</v>
      </c>
    </row>
    <row r="734" spans="1:39" x14ac:dyDescent="0.25">
      <c r="A734">
        <v>30</v>
      </c>
      <c r="B734" t="s">
        <v>36</v>
      </c>
      <c r="C734" t="s">
        <v>45</v>
      </c>
      <c r="D734">
        <v>109</v>
      </c>
      <c r="E734" t="s">
        <v>46</v>
      </c>
      <c r="G734">
        <v>5</v>
      </c>
      <c r="H734">
        <v>3</v>
      </c>
      <c r="I734" t="s">
        <v>52</v>
      </c>
      <c r="J734" t="str">
        <f>WA_Fn_UseC__HR_Employee_Attrition[[#This Row],[EducationField]]&amp;"-"&amp;WA_Fn_UseC__HR_Employee_Attrition[[#This Row],[Department]]</f>
        <v>Medical-Research &amp; Development</v>
      </c>
      <c r="K734">
        <v>1</v>
      </c>
      <c r="L734">
        <v>1017</v>
      </c>
      <c r="M734">
        <v>2</v>
      </c>
      <c r="N734" t="s">
        <v>40</v>
      </c>
      <c r="O734">
        <v>60</v>
      </c>
      <c r="P734">
        <v>3</v>
      </c>
      <c r="Q734">
        <v>1</v>
      </c>
      <c r="R734" t="s">
        <v>51</v>
      </c>
      <c r="S734">
        <v>2</v>
      </c>
      <c r="T734" t="s">
        <v>42</v>
      </c>
      <c r="U734">
        <v>2422</v>
      </c>
      <c r="V734" t="str" cm="1">
        <f t="array" ref="V73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34">
        <v>25725</v>
      </c>
      <c r="X734">
        <v>0</v>
      </c>
      <c r="Y734" t="s">
        <v>43</v>
      </c>
      <c r="Z734" t="s">
        <v>44</v>
      </c>
      <c r="AA734">
        <v>17</v>
      </c>
      <c r="AB734">
        <v>3</v>
      </c>
      <c r="AC734">
        <v>1</v>
      </c>
      <c r="AD734">
        <v>80</v>
      </c>
      <c r="AE734">
        <v>0</v>
      </c>
      <c r="AF734">
        <v>4</v>
      </c>
      <c r="AG734">
        <v>3</v>
      </c>
      <c r="AH734">
        <v>3</v>
      </c>
      <c r="AI734">
        <v>3</v>
      </c>
      <c r="AJ734">
        <v>2</v>
      </c>
      <c r="AK734">
        <v>1</v>
      </c>
      <c r="AL734" t="str" cm="1">
        <f t="array" ref="AL73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34">
        <v>2</v>
      </c>
    </row>
    <row r="735" spans="1:39" x14ac:dyDescent="0.25">
      <c r="A735">
        <v>26</v>
      </c>
      <c r="B735" t="s">
        <v>44</v>
      </c>
      <c r="C735" t="s">
        <v>37</v>
      </c>
      <c r="D735">
        <v>1066</v>
      </c>
      <c r="E735" t="s">
        <v>46</v>
      </c>
      <c r="G735">
        <v>2</v>
      </c>
      <c r="H735">
        <v>2</v>
      </c>
      <c r="I735" t="s">
        <v>52</v>
      </c>
      <c r="J735" t="str">
        <f>WA_Fn_UseC__HR_Employee_Attrition[[#This Row],[EducationField]]&amp;"-"&amp;WA_Fn_UseC__HR_Employee_Attrition[[#This Row],[Department]]</f>
        <v>Medical-Research &amp; Development</v>
      </c>
      <c r="K735">
        <v>1</v>
      </c>
      <c r="L735">
        <v>1018</v>
      </c>
      <c r="M735">
        <v>4</v>
      </c>
      <c r="N735" t="s">
        <v>47</v>
      </c>
      <c r="O735">
        <v>32</v>
      </c>
      <c r="P735">
        <v>4</v>
      </c>
      <c r="Q735">
        <v>2</v>
      </c>
      <c r="R735" t="s">
        <v>54</v>
      </c>
      <c r="S735">
        <v>4</v>
      </c>
      <c r="T735" t="s">
        <v>49</v>
      </c>
      <c r="U735">
        <v>5472</v>
      </c>
      <c r="V735" t="str" cm="1">
        <f t="array" ref="V73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35">
        <v>3334</v>
      </c>
      <c r="X735">
        <v>1</v>
      </c>
      <c r="Y735" t="s">
        <v>43</v>
      </c>
      <c r="Z735" t="s">
        <v>44</v>
      </c>
      <c r="AA735">
        <v>12</v>
      </c>
      <c r="AB735">
        <v>3</v>
      </c>
      <c r="AC735">
        <v>2</v>
      </c>
      <c r="AD735">
        <v>80</v>
      </c>
      <c r="AE735">
        <v>0</v>
      </c>
      <c r="AF735">
        <v>8</v>
      </c>
      <c r="AG735">
        <v>2</v>
      </c>
      <c r="AH735">
        <v>3</v>
      </c>
      <c r="AI735">
        <v>8</v>
      </c>
      <c r="AJ735">
        <v>7</v>
      </c>
      <c r="AK735">
        <v>1</v>
      </c>
      <c r="AL735" t="str" cm="1">
        <f t="array" ref="AL73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35">
        <v>3</v>
      </c>
    </row>
    <row r="736" spans="1:39" x14ac:dyDescent="0.25">
      <c r="A736">
        <v>22</v>
      </c>
      <c r="B736" t="s">
        <v>44</v>
      </c>
      <c r="C736" t="s">
        <v>37</v>
      </c>
      <c r="D736">
        <v>217</v>
      </c>
      <c r="E736" t="s">
        <v>46</v>
      </c>
      <c r="G736">
        <v>8</v>
      </c>
      <c r="H736">
        <v>1</v>
      </c>
      <c r="I736" t="s">
        <v>39</v>
      </c>
      <c r="J736" t="str">
        <f>WA_Fn_UseC__HR_Employee_Attrition[[#This Row],[EducationField]]&amp;"-"&amp;WA_Fn_UseC__HR_Employee_Attrition[[#This Row],[Department]]</f>
        <v>Life Sciences-Research &amp; Development</v>
      </c>
      <c r="K736">
        <v>1</v>
      </c>
      <c r="L736">
        <v>1019</v>
      </c>
      <c r="M736">
        <v>2</v>
      </c>
      <c r="N736" t="s">
        <v>47</v>
      </c>
      <c r="O736">
        <v>94</v>
      </c>
      <c r="P736">
        <v>1</v>
      </c>
      <c r="Q736">
        <v>1</v>
      </c>
      <c r="R736" t="s">
        <v>51</v>
      </c>
      <c r="S736">
        <v>1</v>
      </c>
      <c r="T736" t="s">
        <v>49</v>
      </c>
      <c r="U736">
        <v>2451</v>
      </c>
      <c r="V736" t="str" cm="1">
        <f t="array" ref="V73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36">
        <v>6881</v>
      </c>
      <c r="X736">
        <v>1</v>
      </c>
      <c r="Y736" t="s">
        <v>43</v>
      </c>
      <c r="Z736" t="s">
        <v>44</v>
      </c>
      <c r="AA736">
        <v>15</v>
      </c>
      <c r="AB736">
        <v>3</v>
      </c>
      <c r="AC736">
        <v>1</v>
      </c>
      <c r="AD736">
        <v>80</v>
      </c>
      <c r="AE736">
        <v>1</v>
      </c>
      <c r="AF736">
        <v>4</v>
      </c>
      <c r="AG736">
        <v>3</v>
      </c>
      <c r="AH736">
        <v>2</v>
      </c>
      <c r="AI736">
        <v>4</v>
      </c>
      <c r="AJ736">
        <v>3</v>
      </c>
      <c r="AK736">
        <v>1</v>
      </c>
      <c r="AL736" t="str" cm="1">
        <f t="array" ref="AL73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36">
        <v>1</v>
      </c>
    </row>
    <row r="737" spans="1:39" x14ac:dyDescent="0.25">
      <c r="A737">
        <v>48</v>
      </c>
      <c r="B737" t="s">
        <v>44</v>
      </c>
      <c r="C737" t="s">
        <v>37</v>
      </c>
      <c r="D737">
        <v>277</v>
      </c>
      <c r="E737" t="s">
        <v>46</v>
      </c>
      <c r="G737">
        <v>6</v>
      </c>
      <c r="H737">
        <v>3</v>
      </c>
      <c r="I737" t="s">
        <v>39</v>
      </c>
      <c r="J737" t="str">
        <f>WA_Fn_UseC__HR_Employee_Attrition[[#This Row],[EducationField]]&amp;"-"&amp;WA_Fn_UseC__HR_Employee_Attrition[[#This Row],[Department]]</f>
        <v>Life Sciences-Research &amp; Development</v>
      </c>
      <c r="K737">
        <v>1</v>
      </c>
      <c r="L737">
        <v>1022</v>
      </c>
      <c r="M737">
        <v>1</v>
      </c>
      <c r="N737" t="s">
        <v>47</v>
      </c>
      <c r="O737">
        <v>97</v>
      </c>
      <c r="P737">
        <v>2</v>
      </c>
      <c r="Q737">
        <v>2</v>
      </c>
      <c r="R737" t="s">
        <v>55</v>
      </c>
      <c r="S737">
        <v>3</v>
      </c>
      <c r="T737" t="s">
        <v>42</v>
      </c>
      <c r="U737">
        <v>4240</v>
      </c>
      <c r="V737" t="str" cm="1">
        <f t="array" ref="V73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37">
        <v>13119</v>
      </c>
      <c r="X737">
        <v>2</v>
      </c>
      <c r="Y737" t="s">
        <v>43</v>
      </c>
      <c r="Z737" t="s">
        <v>44</v>
      </c>
      <c r="AA737">
        <v>13</v>
      </c>
      <c r="AB737">
        <v>3</v>
      </c>
      <c r="AC737">
        <v>4</v>
      </c>
      <c r="AD737">
        <v>80</v>
      </c>
      <c r="AE737">
        <v>0</v>
      </c>
      <c r="AF737">
        <v>19</v>
      </c>
      <c r="AG737">
        <v>0</v>
      </c>
      <c r="AH737">
        <v>3</v>
      </c>
      <c r="AI737">
        <v>2</v>
      </c>
      <c r="AJ737">
        <v>2</v>
      </c>
      <c r="AK737">
        <v>2</v>
      </c>
      <c r="AL737" t="str" cm="1">
        <f t="array" ref="AL73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37">
        <v>2</v>
      </c>
    </row>
    <row r="738" spans="1:39" x14ac:dyDescent="0.25">
      <c r="A738">
        <v>48</v>
      </c>
      <c r="B738" t="s">
        <v>44</v>
      </c>
      <c r="C738" t="s">
        <v>37</v>
      </c>
      <c r="D738">
        <v>1355</v>
      </c>
      <c r="E738" t="s">
        <v>46</v>
      </c>
      <c r="G738">
        <v>4</v>
      </c>
      <c r="H738">
        <v>4</v>
      </c>
      <c r="I738" t="s">
        <v>39</v>
      </c>
      <c r="J738" t="str">
        <f>WA_Fn_UseC__HR_Employee_Attrition[[#This Row],[EducationField]]&amp;"-"&amp;WA_Fn_UseC__HR_Employee_Attrition[[#This Row],[Department]]</f>
        <v>Life Sciences-Research &amp; Development</v>
      </c>
      <c r="K738">
        <v>1</v>
      </c>
      <c r="L738">
        <v>1024</v>
      </c>
      <c r="M738">
        <v>3</v>
      </c>
      <c r="N738" t="s">
        <v>47</v>
      </c>
      <c r="O738">
        <v>78</v>
      </c>
      <c r="P738">
        <v>2</v>
      </c>
      <c r="Q738">
        <v>3</v>
      </c>
      <c r="R738" t="s">
        <v>55</v>
      </c>
      <c r="S738">
        <v>3</v>
      </c>
      <c r="T738" t="s">
        <v>42</v>
      </c>
      <c r="U738">
        <v>10999</v>
      </c>
      <c r="V738" t="str" cm="1">
        <f t="array" ref="V73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38">
        <v>22245</v>
      </c>
      <c r="X738">
        <v>7</v>
      </c>
      <c r="Y738" t="s">
        <v>43</v>
      </c>
      <c r="Z738" t="s">
        <v>44</v>
      </c>
      <c r="AA738">
        <v>14</v>
      </c>
      <c r="AB738">
        <v>3</v>
      </c>
      <c r="AC738">
        <v>2</v>
      </c>
      <c r="AD738">
        <v>80</v>
      </c>
      <c r="AE738">
        <v>0</v>
      </c>
      <c r="AF738">
        <v>27</v>
      </c>
      <c r="AG738">
        <v>3</v>
      </c>
      <c r="AH738">
        <v>3</v>
      </c>
      <c r="AI738">
        <v>15</v>
      </c>
      <c r="AJ738">
        <v>11</v>
      </c>
      <c r="AK738">
        <v>4</v>
      </c>
      <c r="AL738" t="str" cm="1">
        <f t="array" ref="AL73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38">
        <v>8</v>
      </c>
    </row>
    <row r="739" spans="1:39" x14ac:dyDescent="0.25">
      <c r="A739">
        <v>41</v>
      </c>
      <c r="B739" t="s">
        <v>44</v>
      </c>
      <c r="C739" t="s">
        <v>37</v>
      </c>
      <c r="D739">
        <v>549</v>
      </c>
      <c r="E739" t="s">
        <v>46</v>
      </c>
      <c r="G739">
        <v>7</v>
      </c>
      <c r="H739">
        <v>2</v>
      </c>
      <c r="I739" t="s">
        <v>52</v>
      </c>
      <c r="J739" t="str">
        <f>WA_Fn_UseC__HR_Employee_Attrition[[#This Row],[EducationField]]&amp;"-"&amp;WA_Fn_UseC__HR_Employee_Attrition[[#This Row],[Department]]</f>
        <v>Medical-Research &amp; Development</v>
      </c>
      <c r="K739">
        <v>1</v>
      </c>
      <c r="L739">
        <v>1025</v>
      </c>
      <c r="M739">
        <v>4</v>
      </c>
      <c r="N739" t="s">
        <v>40</v>
      </c>
      <c r="O739">
        <v>42</v>
      </c>
      <c r="P739">
        <v>3</v>
      </c>
      <c r="Q739">
        <v>2</v>
      </c>
      <c r="R739" t="s">
        <v>54</v>
      </c>
      <c r="S739">
        <v>3</v>
      </c>
      <c r="T739" t="s">
        <v>42</v>
      </c>
      <c r="U739">
        <v>5003</v>
      </c>
      <c r="V739" t="str" cm="1">
        <f t="array" ref="V73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39">
        <v>23371</v>
      </c>
      <c r="X739">
        <v>6</v>
      </c>
      <c r="Y739" t="s">
        <v>43</v>
      </c>
      <c r="Z739" t="s">
        <v>44</v>
      </c>
      <c r="AA739">
        <v>14</v>
      </c>
      <c r="AB739">
        <v>3</v>
      </c>
      <c r="AC739">
        <v>2</v>
      </c>
      <c r="AD739">
        <v>80</v>
      </c>
      <c r="AE739">
        <v>0</v>
      </c>
      <c r="AF739">
        <v>8</v>
      </c>
      <c r="AG739">
        <v>6</v>
      </c>
      <c r="AH739">
        <v>3</v>
      </c>
      <c r="AI739">
        <v>2</v>
      </c>
      <c r="AJ739">
        <v>2</v>
      </c>
      <c r="AK739">
        <v>2</v>
      </c>
      <c r="AL739" t="str" cm="1">
        <f t="array" ref="AL73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39">
        <v>1</v>
      </c>
    </row>
    <row r="740" spans="1:39" x14ac:dyDescent="0.25">
      <c r="A740">
        <v>39</v>
      </c>
      <c r="B740" t="s">
        <v>44</v>
      </c>
      <c r="C740" t="s">
        <v>37</v>
      </c>
      <c r="D740">
        <v>466</v>
      </c>
      <c r="E740" t="s">
        <v>46</v>
      </c>
      <c r="G740">
        <v>1</v>
      </c>
      <c r="H740">
        <v>1</v>
      </c>
      <c r="I740" t="s">
        <v>39</v>
      </c>
      <c r="J740" t="str">
        <f>WA_Fn_UseC__HR_Employee_Attrition[[#This Row],[EducationField]]&amp;"-"&amp;WA_Fn_UseC__HR_Employee_Attrition[[#This Row],[Department]]</f>
        <v>Life Sciences-Research &amp; Development</v>
      </c>
      <c r="K740">
        <v>1</v>
      </c>
      <c r="L740">
        <v>1026</v>
      </c>
      <c r="M740">
        <v>4</v>
      </c>
      <c r="N740" t="s">
        <v>40</v>
      </c>
      <c r="O740">
        <v>65</v>
      </c>
      <c r="P740">
        <v>2</v>
      </c>
      <c r="Q740">
        <v>4</v>
      </c>
      <c r="R740" t="s">
        <v>54</v>
      </c>
      <c r="S740">
        <v>4</v>
      </c>
      <c r="T740" t="s">
        <v>49</v>
      </c>
      <c r="U740">
        <v>12742</v>
      </c>
      <c r="V740" t="str" cm="1">
        <f t="array" ref="V74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40">
        <v>7060</v>
      </c>
      <c r="X740">
        <v>1</v>
      </c>
      <c r="Y740" t="s">
        <v>43</v>
      </c>
      <c r="Z740" t="s">
        <v>44</v>
      </c>
      <c r="AA740">
        <v>16</v>
      </c>
      <c r="AB740">
        <v>3</v>
      </c>
      <c r="AC740">
        <v>3</v>
      </c>
      <c r="AD740">
        <v>80</v>
      </c>
      <c r="AE740">
        <v>1</v>
      </c>
      <c r="AF740">
        <v>21</v>
      </c>
      <c r="AG740">
        <v>3</v>
      </c>
      <c r="AH740">
        <v>3</v>
      </c>
      <c r="AI740">
        <v>21</v>
      </c>
      <c r="AJ740">
        <v>6</v>
      </c>
      <c r="AK740">
        <v>11</v>
      </c>
      <c r="AL740" t="str" cm="1">
        <f t="array" ref="AL74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40">
        <v>8</v>
      </c>
    </row>
    <row r="741" spans="1:39" x14ac:dyDescent="0.25">
      <c r="A741">
        <v>27</v>
      </c>
      <c r="B741" t="s">
        <v>44</v>
      </c>
      <c r="C741" t="s">
        <v>37</v>
      </c>
      <c r="D741">
        <v>1055</v>
      </c>
      <c r="E741" t="s">
        <v>46</v>
      </c>
      <c r="G741">
        <v>2</v>
      </c>
      <c r="H741">
        <v>4</v>
      </c>
      <c r="I741" t="s">
        <v>39</v>
      </c>
      <c r="J741" t="str">
        <f>WA_Fn_UseC__HR_Employee_Attrition[[#This Row],[EducationField]]&amp;"-"&amp;WA_Fn_UseC__HR_Employee_Attrition[[#This Row],[Department]]</f>
        <v>Life Sciences-Research &amp; Development</v>
      </c>
      <c r="K741">
        <v>1</v>
      </c>
      <c r="L741">
        <v>1027</v>
      </c>
      <c r="M741">
        <v>1</v>
      </c>
      <c r="N741" t="s">
        <v>40</v>
      </c>
      <c r="O741">
        <v>47</v>
      </c>
      <c r="P741">
        <v>3</v>
      </c>
      <c r="Q741">
        <v>2</v>
      </c>
      <c r="R741" t="s">
        <v>54</v>
      </c>
      <c r="S741">
        <v>4</v>
      </c>
      <c r="T741" t="s">
        <v>49</v>
      </c>
      <c r="U741">
        <v>4227</v>
      </c>
      <c r="V741" t="str" cm="1">
        <f t="array" ref="V74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41">
        <v>4658</v>
      </c>
      <c r="X741">
        <v>0</v>
      </c>
      <c r="Y741" t="s">
        <v>43</v>
      </c>
      <c r="Z741" t="s">
        <v>44</v>
      </c>
      <c r="AA741">
        <v>18</v>
      </c>
      <c r="AB741">
        <v>3</v>
      </c>
      <c r="AC741">
        <v>2</v>
      </c>
      <c r="AD741">
        <v>80</v>
      </c>
      <c r="AE741">
        <v>1</v>
      </c>
      <c r="AF741">
        <v>4</v>
      </c>
      <c r="AG741">
        <v>2</v>
      </c>
      <c r="AH741">
        <v>3</v>
      </c>
      <c r="AI741">
        <v>3</v>
      </c>
      <c r="AJ741">
        <v>2</v>
      </c>
      <c r="AK741">
        <v>2</v>
      </c>
      <c r="AL741" t="str" cm="1">
        <f t="array" ref="AL74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41">
        <v>2</v>
      </c>
    </row>
    <row r="742" spans="1:39" x14ac:dyDescent="0.25">
      <c r="A742">
        <v>35</v>
      </c>
      <c r="B742" t="s">
        <v>44</v>
      </c>
      <c r="C742" t="s">
        <v>37</v>
      </c>
      <c r="D742">
        <v>802</v>
      </c>
      <c r="E742" t="s">
        <v>46</v>
      </c>
      <c r="G742">
        <v>10</v>
      </c>
      <c r="H742">
        <v>3</v>
      </c>
      <c r="I742" t="s">
        <v>50</v>
      </c>
      <c r="J742" t="str">
        <f>WA_Fn_UseC__HR_Employee_Attrition[[#This Row],[EducationField]]&amp;"-"&amp;WA_Fn_UseC__HR_Employee_Attrition[[#This Row],[Department]]</f>
        <v>Other-Research &amp; Development</v>
      </c>
      <c r="K742">
        <v>1</v>
      </c>
      <c r="L742">
        <v>1028</v>
      </c>
      <c r="M742">
        <v>2</v>
      </c>
      <c r="N742" t="s">
        <v>47</v>
      </c>
      <c r="O742">
        <v>45</v>
      </c>
      <c r="P742">
        <v>3</v>
      </c>
      <c r="Q742">
        <v>1</v>
      </c>
      <c r="R742" t="s">
        <v>51</v>
      </c>
      <c r="S742">
        <v>4</v>
      </c>
      <c r="T742" t="s">
        <v>53</v>
      </c>
      <c r="U742">
        <v>3917</v>
      </c>
      <c r="V742" t="str" cm="1">
        <f t="array" ref="V74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42">
        <v>9541</v>
      </c>
      <c r="X742">
        <v>1</v>
      </c>
      <c r="Y742" t="s">
        <v>43</v>
      </c>
      <c r="Z742" t="s">
        <v>44</v>
      </c>
      <c r="AA742">
        <v>20</v>
      </c>
      <c r="AB742">
        <v>4</v>
      </c>
      <c r="AC742">
        <v>1</v>
      </c>
      <c r="AD742">
        <v>80</v>
      </c>
      <c r="AE742">
        <v>1</v>
      </c>
      <c r="AF742">
        <v>3</v>
      </c>
      <c r="AG742">
        <v>4</v>
      </c>
      <c r="AH742">
        <v>2</v>
      </c>
      <c r="AI742">
        <v>3</v>
      </c>
      <c r="AJ742">
        <v>2</v>
      </c>
      <c r="AK742">
        <v>1</v>
      </c>
      <c r="AL742" t="str" cm="1">
        <f t="array" ref="AL74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42">
        <v>2</v>
      </c>
    </row>
    <row r="743" spans="1:39" x14ac:dyDescent="0.25">
      <c r="A743">
        <v>42</v>
      </c>
      <c r="B743" t="s">
        <v>44</v>
      </c>
      <c r="C743" t="s">
        <v>37</v>
      </c>
      <c r="D743">
        <v>265</v>
      </c>
      <c r="E743" t="s">
        <v>38</v>
      </c>
      <c r="G743">
        <v>5</v>
      </c>
      <c r="H743">
        <v>2</v>
      </c>
      <c r="I743" t="s">
        <v>60</v>
      </c>
      <c r="J743" t="str">
        <f>WA_Fn_UseC__HR_Employee_Attrition[[#This Row],[EducationField]]&amp;"-"&amp;WA_Fn_UseC__HR_Employee_Attrition[[#This Row],[Department]]</f>
        <v>Marketing-Sales</v>
      </c>
      <c r="K743">
        <v>1</v>
      </c>
      <c r="L743">
        <v>1029</v>
      </c>
      <c r="M743">
        <v>4</v>
      </c>
      <c r="N743" t="s">
        <v>47</v>
      </c>
      <c r="O743">
        <v>90</v>
      </c>
      <c r="P743">
        <v>3</v>
      </c>
      <c r="Q743">
        <v>5</v>
      </c>
      <c r="R743" t="s">
        <v>57</v>
      </c>
      <c r="S743">
        <v>3</v>
      </c>
      <c r="T743" t="s">
        <v>49</v>
      </c>
      <c r="U743">
        <v>18303</v>
      </c>
      <c r="V743" t="str" cm="1">
        <f t="array" ref="V74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43">
        <v>7770</v>
      </c>
      <c r="X743">
        <v>6</v>
      </c>
      <c r="Y743" t="s">
        <v>43</v>
      </c>
      <c r="Z743" t="s">
        <v>44</v>
      </c>
      <c r="AA743">
        <v>13</v>
      </c>
      <c r="AB743">
        <v>3</v>
      </c>
      <c r="AC743">
        <v>2</v>
      </c>
      <c r="AD743">
        <v>80</v>
      </c>
      <c r="AE743">
        <v>0</v>
      </c>
      <c r="AF743">
        <v>21</v>
      </c>
      <c r="AG743">
        <v>3</v>
      </c>
      <c r="AH743">
        <v>4</v>
      </c>
      <c r="AI743">
        <v>1</v>
      </c>
      <c r="AJ743">
        <v>0</v>
      </c>
      <c r="AK743">
        <v>0</v>
      </c>
      <c r="AL743" t="str" cm="1">
        <f t="array" ref="AL74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43">
        <v>0</v>
      </c>
    </row>
    <row r="744" spans="1:39" x14ac:dyDescent="0.25">
      <c r="A744">
        <v>50</v>
      </c>
      <c r="B744" t="s">
        <v>44</v>
      </c>
      <c r="C744" t="s">
        <v>37</v>
      </c>
      <c r="D744">
        <v>804</v>
      </c>
      <c r="E744" t="s">
        <v>46</v>
      </c>
      <c r="G744">
        <v>9</v>
      </c>
      <c r="H744">
        <v>3</v>
      </c>
      <c r="I744" t="s">
        <v>39</v>
      </c>
      <c r="J744" t="str">
        <f>WA_Fn_UseC__HR_Employee_Attrition[[#This Row],[EducationField]]&amp;"-"&amp;WA_Fn_UseC__HR_Employee_Attrition[[#This Row],[Department]]</f>
        <v>Life Sciences-Research &amp; Development</v>
      </c>
      <c r="K744">
        <v>1</v>
      </c>
      <c r="L744">
        <v>1030</v>
      </c>
      <c r="M744">
        <v>1</v>
      </c>
      <c r="N744" t="s">
        <v>47</v>
      </c>
      <c r="O744">
        <v>64</v>
      </c>
      <c r="P744">
        <v>3</v>
      </c>
      <c r="Q744">
        <v>1</v>
      </c>
      <c r="R744" t="s">
        <v>51</v>
      </c>
      <c r="S744">
        <v>4</v>
      </c>
      <c r="T744" t="s">
        <v>49</v>
      </c>
      <c r="U744">
        <v>2380</v>
      </c>
      <c r="V744" t="str" cm="1">
        <f t="array" ref="V74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44">
        <v>20165</v>
      </c>
      <c r="X744">
        <v>4</v>
      </c>
      <c r="Y744" t="s">
        <v>43</v>
      </c>
      <c r="Z744" t="s">
        <v>44</v>
      </c>
      <c r="AA744">
        <v>18</v>
      </c>
      <c r="AB744">
        <v>3</v>
      </c>
      <c r="AC744">
        <v>2</v>
      </c>
      <c r="AD744">
        <v>80</v>
      </c>
      <c r="AE744">
        <v>0</v>
      </c>
      <c r="AF744">
        <v>8</v>
      </c>
      <c r="AG744">
        <v>5</v>
      </c>
      <c r="AH744">
        <v>3</v>
      </c>
      <c r="AI744">
        <v>1</v>
      </c>
      <c r="AJ744">
        <v>0</v>
      </c>
      <c r="AK744">
        <v>0</v>
      </c>
      <c r="AL744" t="str" cm="1">
        <f t="array" ref="AL74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44">
        <v>0</v>
      </c>
    </row>
    <row r="745" spans="1:39" x14ac:dyDescent="0.25">
      <c r="A745">
        <v>59</v>
      </c>
      <c r="B745" t="s">
        <v>44</v>
      </c>
      <c r="C745" t="s">
        <v>37</v>
      </c>
      <c r="D745">
        <v>715</v>
      </c>
      <c r="E745" t="s">
        <v>46</v>
      </c>
      <c r="G745">
        <v>2</v>
      </c>
      <c r="H745">
        <v>3</v>
      </c>
      <c r="I745" t="s">
        <v>39</v>
      </c>
      <c r="J745" t="str">
        <f>WA_Fn_UseC__HR_Employee_Attrition[[#This Row],[EducationField]]&amp;"-"&amp;WA_Fn_UseC__HR_Employee_Attrition[[#This Row],[Department]]</f>
        <v>Life Sciences-Research &amp; Development</v>
      </c>
      <c r="K745">
        <v>1</v>
      </c>
      <c r="L745">
        <v>1032</v>
      </c>
      <c r="M745">
        <v>3</v>
      </c>
      <c r="N745" t="s">
        <v>40</v>
      </c>
      <c r="O745">
        <v>69</v>
      </c>
      <c r="P745">
        <v>2</v>
      </c>
      <c r="Q745">
        <v>4</v>
      </c>
      <c r="R745" t="s">
        <v>54</v>
      </c>
      <c r="S745">
        <v>4</v>
      </c>
      <c r="T745" t="s">
        <v>42</v>
      </c>
      <c r="U745">
        <v>13726</v>
      </c>
      <c r="V745" t="str" cm="1">
        <f t="array" ref="V74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45">
        <v>21829</v>
      </c>
      <c r="X745">
        <v>3</v>
      </c>
      <c r="Y745" t="s">
        <v>43</v>
      </c>
      <c r="Z745" t="s">
        <v>36</v>
      </c>
      <c r="AA745">
        <v>13</v>
      </c>
      <c r="AB745">
        <v>3</v>
      </c>
      <c r="AC745">
        <v>1</v>
      </c>
      <c r="AD745">
        <v>80</v>
      </c>
      <c r="AE745">
        <v>0</v>
      </c>
      <c r="AF745">
        <v>30</v>
      </c>
      <c r="AG745">
        <v>4</v>
      </c>
      <c r="AH745">
        <v>3</v>
      </c>
      <c r="AI745">
        <v>5</v>
      </c>
      <c r="AJ745">
        <v>3</v>
      </c>
      <c r="AK745">
        <v>4</v>
      </c>
      <c r="AL745" t="str" cm="1">
        <f t="array" ref="AL74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45">
        <v>3</v>
      </c>
    </row>
    <row r="746" spans="1:39" x14ac:dyDescent="0.25">
      <c r="A746">
        <v>37</v>
      </c>
      <c r="B746" t="s">
        <v>36</v>
      </c>
      <c r="C746" t="s">
        <v>37</v>
      </c>
      <c r="D746">
        <v>1141</v>
      </c>
      <c r="E746" t="s">
        <v>46</v>
      </c>
      <c r="G746">
        <v>11</v>
      </c>
      <c r="H746">
        <v>2</v>
      </c>
      <c r="I746" t="s">
        <v>52</v>
      </c>
      <c r="J746" t="str">
        <f>WA_Fn_UseC__HR_Employee_Attrition[[#This Row],[EducationField]]&amp;"-"&amp;WA_Fn_UseC__HR_Employee_Attrition[[#This Row],[Department]]</f>
        <v>Medical-Research &amp; Development</v>
      </c>
      <c r="K746">
        <v>1</v>
      </c>
      <c r="L746">
        <v>1033</v>
      </c>
      <c r="M746">
        <v>1</v>
      </c>
      <c r="N746" t="s">
        <v>40</v>
      </c>
      <c r="O746">
        <v>61</v>
      </c>
      <c r="P746">
        <v>1</v>
      </c>
      <c r="Q746">
        <v>2</v>
      </c>
      <c r="R746" t="s">
        <v>55</v>
      </c>
      <c r="S746">
        <v>2</v>
      </c>
      <c r="T746" t="s">
        <v>49</v>
      </c>
      <c r="U746">
        <v>4777</v>
      </c>
      <c r="V746" t="str" cm="1">
        <f t="array" ref="V74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46">
        <v>14382</v>
      </c>
      <c r="X746">
        <v>5</v>
      </c>
      <c r="Y746" t="s">
        <v>43</v>
      </c>
      <c r="Z746" t="s">
        <v>44</v>
      </c>
      <c r="AA746">
        <v>15</v>
      </c>
      <c r="AB746">
        <v>3</v>
      </c>
      <c r="AC746">
        <v>1</v>
      </c>
      <c r="AD746">
        <v>80</v>
      </c>
      <c r="AE746">
        <v>0</v>
      </c>
      <c r="AF746">
        <v>15</v>
      </c>
      <c r="AG746">
        <v>2</v>
      </c>
      <c r="AH746">
        <v>1</v>
      </c>
      <c r="AI746">
        <v>1</v>
      </c>
      <c r="AJ746">
        <v>0</v>
      </c>
      <c r="AK746">
        <v>0</v>
      </c>
      <c r="AL746" t="str" cm="1">
        <f t="array" ref="AL74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46">
        <v>0</v>
      </c>
    </row>
    <row r="747" spans="1:39" x14ac:dyDescent="0.25">
      <c r="A747">
        <v>55</v>
      </c>
      <c r="B747" t="s">
        <v>44</v>
      </c>
      <c r="C747" t="s">
        <v>45</v>
      </c>
      <c r="D747">
        <v>135</v>
      </c>
      <c r="E747" t="s">
        <v>46</v>
      </c>
      <c r="G747">
        <v>18</v>
      </c>
      <c r="H747">
        <v>4</v>
      </c>
      <c r="I747" t="s">
        <v>52</v>
      </c>
      <c r="J747" t="str">
        <f>WA_Fn_UseC__HR_Employee_Attrition[[#This Row],[EducationField]]&amp;"-"&amp;WA_Fn_UseC__HR_Employee_Attrition[[#This Row],[Department]]</f>
        <v>Medical-Research &amp; Development</v>
      </c>
      <c r="K747">
        <v>1</v>
      </c>
      <c r="L747">
        <v>1034</v>
      </c>
      <c r="M747">
        <v>3</v>
      </c>
      <c r="N747" t="s">
        <v>47</v>
      </c>
      <c r="O747">
        <v>62</v>
      </c>
      <c r="P747">
        <v>3</v>
      </c>
      <c r="Q747">
        <v>2</v>
      </c>
      <c r="R747" t="s">
        <v>55</v>
      </c>
      <c r="S747">
        <v>2</v>
      </c>
      <c r="T747" t="s">
        <v>49</v>
      </c>
      <c r="U747">
        <v>6385</v>
      </c>
      <c r="V747" t="str" cm="1">
        <f t="array" ref="V74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47">
        <v>12992</v>
      </c>
      <c r="X747">
        <v>3</v>
      </c>
      <c r="Y747" t="s">
        <v>43</v>
      </c>
      <c r="Z747" t="s">
        <v>36</v>
      </c>
      <c r="AA747">
        <v>14</v>
      </c>
      <c r="AB747">
        <v>3</v>
      </c>
      <c r="AC747">
        <v>4</v>
      </c>
      <c r="AD747">
        <v>80</v>
      </c>
      <c r="AE747">
        <v>2</v>
      </c>
      <c r="AF747">
        <v>17</v>
      </c>
      <c r="AG747">
        <v>3</v>
      </c>
      <c r="AH747">
        <v>3</v>
      </c>
      <c r="AI747">
        <v>8</v>
      </c>
      <c r="AJ747">
        <v>7</v>
      </c>
      <c r="AK747">
        <v>6</v>
      </c>
      <c r="AL747" t="str" cm="1">
        <f t="array" ref="AL74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47">
        <v>7</v>
      </c>
    </row>
    <row r="748" spans="1:39" x14ac:dyDescent="0.25">
      <c r="A748">
        <v>41</v>
      </c>
      <c r="B748" t="s">
        <v>44</v>
      </c>
      <c r="C748" t="s">
        <v>56</v>
      </c>
      <c r="D748">
        <v>247</v>
      </c>
      <c r="E748" t="s">
        <v>46</v>
      </c>
      <c r="G748">
        <v>7</v>
      </c>
      <c r="H748">
        <v>1</v>
      </c>
      <c r="I748" t="s">
        <v>39</v>
      </c>
      <c r="J748" t="str">
        <f>WA_Fn_UseC__HR_Employee_Attrition[[#This Row],[EducationField]]&amp;"-"&amp;WA_Fn_UseC__HR_Employee_Attrition[[#This Row],[Department]]</f>
        <v>Life Sciences-Research &amp; Development</v>
      </c>
      <c r="K748">
        <v>1</v>
      </c>
      <c r="L748">
        <v>1035</v>
      </c>
      <c r="M748">
        <v>2</v>
      </c>
      <c r="N748" t="s">
        <v>40</v>
      </c>
      <c r="O748">
        <v>55</v>
      </c>
      <c r="P748">
        <v>1</v>
      </c>
      <c r="Q748">
        <v>5</v>
      </c>
      <c r="R748" t="s">
        <v>59</v>
      </c>
      <c r="S748">
        <v>3</v>
      </c>
      <c r="T748" t="s">
        <v>53</v>
      </c>
      <c r="U748">
        <v>19973</v>
      </c>
      <c r="V748" t="str" cm="1">
        <f t="array" ref="V74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48">
        <v>20284</v>
      </c>
      <c r="X748">
        <v>1</v>
      </c>
      <c r="Y748" t="s">
        <v>43</v>
      </c>
      <c r="Z748" t="s">
        <v>44</v>
      </c>
      <c r="AA748">
        <v>22</v>
      </c>
      <c r="AB748">
        <v>4</v>
      </c>
      <c r="AC748">
        <v>2</v>
      </c>
      <c r="AD748">
        <v>80</v>
      </c>
      <c r="AE748">
        <v>2</v>
      </c>
      <c r="AF748">
        <v>21</v>
      </c>
      <c r="AG748">
        <v>3</v>
      </c>
      <c r="AH748">
        <v>3</v>
      </c>
      <c r="AI748">
        <v>21</v>
      </c>
      <c r="AJ748">
        <v>16</v>
      </c>
      <c r="AK748">
        <v>5</v>
      </c>
      <c r="AL748" t="str" cm="1">
        <f t="array" ref="AL74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48">
        <v>10</v>
      </c>
    </row>
    <row r="749" spans="1:39" x14ac:dyDescent="0.25">
      <c r="A749">
        <v>38</v>
      </c>
      <c r="B749" t="s">
        <v>44</v>
      </c>
      <c r="C749" t="s">
        <v>37</v>
      </c>
      <c r="D749">
        <v>1035</v>
      </c>
      <c r="E749" t="s">
        <v>38</v>
      </c>
      <c r="G749">
        <v>3</v>
      </c>
      <c r="H749">
        <v>4</v>
      </c>
      <c r="I749" t="s">
        <v>39</v>
      </c>
      <c r="J749" t="str">
        <f>WA_Fn_UseC__HR_Employee_Attrition[[#This Row],[EducationField]]&amp;"-"&amp;WA_Fn_UseC__HR_Employee_Attrition[[#This Row],[Department]]</f>
        <v>Life Sciences-Sales</v>
      </c>
      <c r="K749">
        <v>1</v>
      </c>
      <c r="L749">
        <v>1036</v>
      </c>
      <c r="M749">
        <v>2</v>
      </c>
      <c r="N749" t="s">
        <v>47</v>
      </c>
      <c r="O749">
        <v>42</v>
      </c>
      <c r="P749">
        <v>3</v>
      </c>
      <c r="Q749">
        <v>2</v>
      </c>
      <c r="R749" t="s">
        <v>41</v>
      </c>
      <c r="S749">
        <v>4</v>
      </c>
      <c r="T749" t="s">
        <v>42</v>
      </c>
      <c r="U749">
        <v>6861</v>
      </c>
      <c r="V749" t="str" cm="1">
        <f t="array" ref="V74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49">
        <v>4981</v>
      </c>
      <c r="X749">
        <v>8</v>
      </c>
      <c r="Y749" t="s">
        <v>43</v>
      </c>
      <c r="Z749" t="s">
        <v>36</v>
      </c>
      <c r="AA749">
        <v>12</v>
      </c>
      <c r="AB749">
        <v>3</v>
      </c>
      <c r="AC749">
        <v>3</v>
      </c>
      <c r="AD749">
        <v>80</v>
      </c>
      <c r="AE749">
        <v>0</v>
      </c>
      <c r="AF749">
        <v>19</v>
      </c>
      <c r="AG749">
        <v>1</v>
      </c>
      <c r="AH749">
        <v>3</v>
      </c>
      <c r="AI749">
        <v>1</v>
      </c>
      <c r="AJ749">
        <v>0</v>
      </c>
      <c r="AK749">
        <v>0</v>
      </c>
      <c r="AL749" t="str" cm="1">
        <f t="array" ref="AL74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49">
        <v>0</v>
      </c>
    </row>
    <row r="750" spans="1:39" x14ac:dyDescent="0.25">
      <c r="A750">
        <v>26</v>
      </c>
      <c r="B750" t="s">
        <v>36</v>
      </c>
      <c r="C750" t="s">
        <v>56</v>
      </c>
      <c r="D750">
        <v>265</v>
      </c>
      <c r="E750" t="s">
        <v>38</v>
      </c>
      <c r="G750">
        <v>29</v>
      </c>
      <c r="H750">
        <v>2</v>
      </c>
      <c r="I750" t="s">
        <v>52</v>
      </c>
      <c r="J750" t="str">
        <f>WA_Fn_UseC__HR_Employee_Attrition[[#This Row],[EducationField]]&amp;"-"&amp;WA_Fn_UseC__HR_Employee_Attrition[[#This Row],[Department]]</f>
        <v>Medical-Sales</v>
      </c>
      <c r="K750">
        <v>1</v>
      </c>
      <c r="L750">
        <v>1037</v>
      </c>
      <c r="M750">
        <v>2</v>
      </c>
      <c r="N750" t="s">
        <v>47</v>
      </c>
      <c r="O750">
        <v>79</v>
      </c>
      <c r="P750">
        <v>1</v>
      </c>
      <c r="Q750">
        <v>2</v>
      </c>
      <c r="R750" t="s">
        <v>41</v>
      </c>
      <c r="S750">
        <v>1</v>
      </c>
      <c r="T750" t="s">
        <v>42</v>
      </c>
      <c r="U750">
        <v>4969</v>
      </c>
      <c r="V750" t="str" cm="1">
        <f t="array" ref="V75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50">
        <v>21813</v>
      </c>
      <c r="X750">
        <v>8</v>
      </c>
      <c r="Y750" t="s">
        <v>43</v>
      </c>
      <c r="Z750" t="s">
        <v>44</v>
      </c>
      <c r="AA750">
        <v>18</v>
      </c>
      <c r="AB750">
        <v>3</v>
      </c>
      <c r="AC750">
        <v>4</v>
      </c>
      <c r="AD750">
        <v>80</v>
      </c>
      <c r="AE750">
        <v>0</v>
      </c>
      <c r="AF750">
        <v>7</v>
      </c>
      <c r="AG750">
        <v>6</v>
      </c>
      <c r="AH750">
        <v>3</v>
      </c>
      <c r="AI750">
        <v>2</v>
      </c>
      <c r="AJ750">
        <v>2</v>
      </c>
      <c r="AK750">
        <v>2</v>
      </c>
      <c r="AL750" t="str" cm="1">
        <f t="array" ref="AL75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50">
        <v>2</v>
      </c>
    </row>
    <row r="751" spans="1:39" x14ac:dyDescent="0.25">
      <c r="A751">
        <v>52</v>
      </c>
      <c r="B751" t="s">
        <v>36</v>
      </c>
      <c r="C751" t="s">
        <v>37</v>
      </c>
      <c r="D751">
        <v>266</v>
      </c>
      <c r="E751" t="s">
        <v>38</v>
      </c>
      <c r="G751">
        <v>2</v>
      </c>
      <c r="H751">
        <v>1</v>
      </c>
      <c r="I751" t="s">
        <v>60</v>
      </c>
      <c r="J751" t="str">
        <f>WA_Fn_UseC__HR_Employee_Attrition[[#This Row],[EducationField]]&amp;"-"&amp;WA_Fn_UseC__HR_Employee_Attrition[[#This Row],[Department]]</f>
        <v>Marketing-Sales</v>
      </c>
      <c r="K751">
        <v>1</v>
      </c>
      <c r="L751">
        <v>1038</v>
      </c>
      <c r="M751">
        <v>1</v>
      </c>
      <c r="N751" t="s">
        <v>40</v>
      </c>
      <c r="O751">
        <v>57</v>
      </c>
      <c r="P751">
        <v>1</v>
      </c>
      <c r="Q751">
        <v>5</v>
      </c>
      <c r="R751" t="s">
        <v>57</v>
      </c>
      <c r="S751">
        <v>4</v>
      </c>
      <c r="T751" t="s">
        <v>49</v>
      </c>
      <c r="U751">
        <v>19845</v>
      </c>
      <c r="V751" t="str" cm="1">
        <f t="array" ref="V75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51">
        <v>25846</v>
      </c>
      <c r="X751">
        <v>1</v>
      </c>
      <c r="Y751" t="s">
        <v>43</v>
      </c>
      <c r="Z751" t="s">
        <v>44</v>
      </c>
      <c r="AA751">
        <v>15</v>
      </c>
      <c r="AB751">
        <v>3</v>
      </c>
      <c r="AC751">
        <v>4</v>
      </c>
      <c r="AD751">
        <v>80</v>
      </c>
      <c r="AE751">
        <v>1</v>
      </c>
      <c r="AF751">
        <v>33</v>
      </c>
      <c r="AG751">
        <v>3</v>
      </c>
      <c r="AH751">
        <v>3</v>
      </c>
      <c r="AI751">
        <v>32</v>
      </c>
      <c r="AJ751">
        <v>14</v>
      </c>
      <c r="AK751">
        <v>6</v>
      </c>
      <c r="AL751" t="str" cm="1">
        <f t="array" ref="AL75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51">
        <v>9</v>
      </c>
    </row>
    <row r="752" spans="1:39" x14ac:dyDescent="0.25">
      <c r="A752">
        <v>44</v>
      </c>
      <c r="B752" t="s">
        <v>44</v>
      </c>
      <c r="C752" t="s">
        <v>37</v>
      </c>
      <c r="D752">
        <v>1448</v>
      </c>
      <c r="E752" t="s">
        <v>38</v>
      </c>
      <c r="G752">
        <v>28</v>
      </c>
      <c r="H752">
        <v>3</v>
      </c>
      <c r="I752" t="s">
        <v>52</v>
      </c>
      <c r="J752" t="str">
        <f>WA_Fn_UseC__HR_Employee_Attrition[[#This Row],[EducationField]]&amp;"-"&amp;WA_Fn_UseC__HR_Employee_Attrition[[#This Row],[Department]]</f>
        <v>Medical-Sales</v>
      </c>
      <c r="K752">
        <v>1</v>
      </c>
      <c r="L752">
        <v>1039</v>
      </c>
      <c r="M752">
        <v>4</v>
      </c>
      <c r="N752" t="s">
        <v>40</v>
      </c>
      <c r="O752">
        <v>53</v>
      </c>
      <c r="P752">
        <v>4</v>
      </c>
      <c r="Q752">
        <v>4</v>
      </c>
      <c r="R752" t="s">
        <v>41</v>
      </c>
      <c r="S752">
        <v>4</v>
      </c>
      <c r="T752" t="s">
        <v>49</v>
      </c>
      <c r="U752">
        <v>13320</v>
      </c>
      <c r="V752" t="str" cm="1">
        <f t="array" ref="V75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52">
        <v>11737</v>
      </c>
      <c r="X752">
        <v>3</v>
      </c>
      <c r="Y752" t="s">
        <v>43</v>
      </c>
      <c r="Z752" t="s">
        <v>36</v>
      </c>
      <c r="AA752">
        <v>18</v>
      </c>
      <c r="AB752">
        <v>3</v>
      </c>
      <c r="AC752">
        <v>3</v>
      </c>
      <c r="AD752">
        <v>80</v>
      </c>
      <c r="AE752">
        <v>1</v>
      </c>
      <c r="AF752">
        <v>23</v>
      </c>
      <c r="AG752">
        <v>2</v>
      </c>
      <c r="AH752">
        <v>3</v>
      </c>
      <c r="AI752">
        <v>12</v>
      </c>
      <c r="AJ752">
        <v>11</v>
      </c>
      <c r="AK752">
        <v>11</v>
      </c>
      <c r="AL752" t="str" cm="1">
        <f t="array" ref="AL75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52">
        <v>11</v>
      </c>
    </row>
    <row r="753" spans="1:39" x14ac:dyDescent="0.25">
      <c r="A753">
        <v>50</v>
      </c>
      <c r="B753" t="s">
        <v>44</v>
      </c>
      <c r="C753" t="s">
        <v>56</v>
      </c>
      <c r="D753">
        <v>145</v>
      </c>
      <c r="E753" t="s">
        <v>38</v>
      </c>
      <c r="G753">
        <v>1</v>
      </c>
      <c r="H753">
        <v>3</v>
      </c>
      <c r="I753" t="s">
        <v>39</v>
      </c>
      <c r="J753" t="str">
        <f>WA_Fn_UseC__HR_Employee_Attrition[[#This Row],[EducationField]]&amp;"-"&amp;WA_Fn_UseC__HR_Employee_Attrition[[#This Row],[Department]]</f>
        <v>Life Sciences-Sales</v>
      </c>
      <c r="K753">
        <v>1</v>
      </c>
      <c r="L753">
        <v>1040</v>
      </c>
      <c r="M753">
        <v>4</v>
      </c>
      <c r="N753" t="s">
        <v>40</v>
      </c>
      <c r="O753">
        <v>95</v>
      </c>
      <c r="P753">
        <v>3</v>
      </c>
      <c r="Q753">
        <v>2</v>
      </c>
      <c r="R753" t="s">
        <v>41</v>
      </c>
      <c r="S753">
        <v>3</v>
      </c>
      <c r="T753" t="s">
        <v>49</v>
      </c>
      <c r="U753">
        <v>6347</v>
      </c>
      <c r="V753" t="str" cm="1">
        <f t="array" ref="V75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53">
        <v>24920</v>
      </c>
      <c r="X753">
        <v>0</v>
      </c>
      <c r="Y753" t="s">
        <v>43</v>
      </c>
      <c r="Z753" t="s">
        <v>44</v>
      </c>
      <c r="AA753">
        <v>12</v>
      </c>
      <c r="AB753">
        <v>3</v>
      </c>
      <c r="AC753">
        <v>1</v>
      </c>
      <c r="AD753">
        <v>80</v>
      </c>
      <c r="AE753">
        <v>1</v>
      </c>
      <c r="AF753">
        <v>19</v>
      </c>
      <c r="AG753">
        <v>3</v>
      </c>
      <c r="AH753">
        <v>3</v>
      </c>
      <c r="AI753">
        <v>18</v>
      </c>
      <c r="AJ753">
        <v>7</v>
      </c>
      <c r="AK753">
        <v>0</v>
      </c>
      <c r="AL753" t="str" cm="1">
        <f t="array" ref="AL75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53">
        <v>13</v>
      </c>
    </row>
    <row r="754" spans="1:39" x14ac:dyDescent="0.25">
      <c r="A754">
        <v>36</v>
      </c>
      <c r="B754" t="s">
        <v>36</v>
      </c>
      <c r="C754" t="s">
        <v>37</v>
      </c>
      <c r="D754">
        <v>885</v>
      </c>
      <c r="E754" t="s">
        <v>46</v>
      </c>
      <c r="G754">
        <v>16</v>
      </c>
      <c r="H754">
        <v>4</v>
      </c>
      <c r="I754" t="s">
        <v>39</v>
      </c>
      <c r="J754" t="str">
        <f>WA_Fn_UseC__HR_Employee_Attrition[[#This Row],[EducationField]]&amp;"-"&amp;WA_Fn_UseC__HR_Employee_Attrition[[#This Row],[Department]]</f>
        <v>Life Sciences-Research &amp; Development</v>
      </c>
      <c r="K754">
        <v>1</v>
      </c>
      <c r="L754">
        <v>1042</v>
      </c>
      <c r="M754">
        <v>3</v>
      </c>
      <c r="N754" t="s">
        <v>40</v>
      </c>
      <c r="O754">
        <v>43</v>
      </c>
      <c r="P754">
        <v>4</v>
      </c>
      <c r="Q754">
        <v>1</v>
      </c>
      <c r="R754" t="s">
        <v>51</v>
      </c>
      <c r="S754">
        <v>1</v>
      </c>
      <c r="T754" t="s">
        <v>42</v>
      </c>
      <c r="U754">
        <v>2743</v>
      </c>
      <c r="V754" t="str" cm="1">
        <f t="array" ref="V75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54">
        <v>8269</v>
      </c>
      <c r="X754">
        <v>1</v>
      </c>
      <c r="Y754" t="s">
        <v>43</v>
      </c>
      <c r="Z754" t="s">
        <v>44</v>
      </c>
      <c r="AA754">
        <v>16</v>
      </c>
      <c r="AB754">
        <v>3</v>
      </c>
      <c r="AC754">
        <v>3</v>
      </c>
      <c r="AD754">
        <v>80</v>
      </c>
      <c r="AE754">
        <v>0</v>
      </c>
      <c r="AF754">
        <v>18</v>
      </c>
      <c r="AG754">
        <v>1</v>
      </c>
      <c r="AH754">
        <v>3</v>
      </c>
      <c r="AI754">
        <v>17</v>
      </c>
      <c r="AJ754">
        <v>13</v>
      </c>
      <c r="AK754">
        <v>15</v>
      </c>
      <c r="AL754" t="str" cm="1">
        <f t="array" ref="AL75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54">
        <v>14</v>
      </c>
    </row>
    <row r="755" spans="1:39" x14ac:dyDescent="0.25">
      <c r="A755">
        <v>39</v>
      </c>
      <c r="B755" t="s">
        <v>44</v>
      </c>
      <c r="C755" t="s">
        <v>45</v>
      </c>
      <c r="D755">
        <v>945</v>
      </c>
      <c r="E755" t="s">
        <v>46</v>
      </c>
      <c r="G755">
        <v>22</v>
      </c>
      <c r="H755">
        <v>3</v>
      </c>
      <c r="I755" t="s">
        <v>52</v>
      </c>
      <c r="J755" t="str">
        <f>WA_Fn_UseC__HR_Employee_Attrition[[#This Row],[EducationField]]&amp;"-"&amp;WA_Fn_UseC__HR_Employee_Attrition[[#This Row],[Department]]</f>
        <v>Medical-Research &amp; Development</v>
      </c>
      <c r="K755">
        <v>1</v>
      </c>
      <c r="L755">
        <v>1043</v>
      </c>
      <c r="M755">
        <v>4</v>
      </c>
      <c r="N755" t="s">
        <v>40</v>
      </c>
      <c r="O755">
        <v>82</v>
      </c>
      <c r="P755">
        <v>3</v>
      </c>
      <c r="Q755">
        <v>3</v>
      </c>
      <c r="R755" t="s">
        <v>54</v>
      </c>
      <c r="S755">
        <v>1</v>
      </c>
      <c r="T755" t="s">
        <v>42</v>
      </c>
      <c r="U755">
        <v>10880</v>
      </c>
      <c r="V755" t="str" cm="1">
        <f t="array" ref="V75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55">
        <v>5083</v>
      </c>
      <c r="X755">
        <v>1</v>
      </c>
      <c r="Y755" t="s">
        <v>43</v>
      </c>
      <c r="Z755" t="s">
        <v>36</v>
      </c>
      <c r="AA755">
        <v>13</v>
      </c>
      <c r="AB755">
        <v>3</v>
      </c>
      <c r="AC755">
        <v>3</v>
      </c>
      <c r="AD755">
        <v>80</v>
      </c>
      <c r="AE755">
        <v>0</v>
      </c>
      <c r="AF755">
        <v>21</v>
      </c>
      <c r="AG755">
        <v>2</v>
      </c>
      <c r="AH755">
        <v>3</v>
      </c>
      <c r="AI755">
        <v>21</v>
      </c>
      <c r="AJ755">
        <v>6</v>
      </c>
      <c r="AK755">
        <v>2</v>
      </c>
      <c r="AL755" t="str" cm="1">
        <f t="array" ref="AL75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55">
        <v>8</v>
      </c>
    </row>
    <row r="756" spans="1:39" x14ac:dyDescent="0.25">
      <c r="A756">
        <v>33</v>
      </c>
      <c r="B756" t="s">
        <v>44</v>
      </c>
      <c r="C756" t="s">
        <v>56</v>
      </c>
      <c r="D756">
        <v>1038</v>
      </c>
      <c r="E756" t="s">
        <v>38</v>
      </c>
      <c r="G756">
        <v>8</v>
      </c>
      <c r="H756">
        <v>1</v>
      </c>
      <c r="I756" t="s">
        <v>39</v>
      </c>
      <c r="J756" t="str">
        <f>WA_Fn_UseC__HR_Employee_Attrition[[#This Row],[EducationField]]&amp;"-"&amp;WA_Fn_UseC__HR_Employee_Attrition[[#This Row],[Department]]</f>
        <v>Life Sciences-Sales</v>
      </c>
      <c r="K756">
        <v>1</v>
      </c>
      <c r="L756">
        <v>1044</v>
      </c>
      <c r="M756">
        <v>2</v>
      </c>
      <c r="N756" t="s">
        <v>40</v>
      </c>
      <c r="O756">
        <v>88</v>
      </c>
      <c r="P756">
        <v>2</v>
      </c>
      <c r="Q756">
        <v>1</v>
      </c>
      <c r="R756" t="s">
        <v>58</v>
      </c>
      <c r="S756">
        <v>4</v>
      </c>
      <c r="T756" t="s">
        <v>42</v>
      </c>
      <c r="U756">
        <v>2342</v>
      </c>
      <c r="V756" t="str" cm="1">
        <f t="array" ref="V75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56">
        <v>21437</v>
      </c>
      <c r="X756">
        <v>0</v>
      </c>
      <c r="Y756" t="s">
        <v>43</v>
      </c>
      <c r="Z756" t="s">
        <v>44</v>
      </c>
      <c r="AA756">
        <v>19</v>
      </c>
      <c r="AB756">
        <v>3</v>
      </c>
      <c r="AC756">
        <v>4</v>
      </c>
      <c r="AD756">
        <v>80</v>
      </c>
      <c r="AE756">
        <v>0</v>
      </c>
      <c r="AF756">
        <v>3</v>
      </c>
      <c r="AG756">
        <v>2</v>
      </c>
      <c r="AH756">
        <v>2</v>
      </c>
      <c r="AI756">
        <v>2</v>
      </c>
      <c r="AJ756">
        <v>2</v>
      </c>
      <c r="AK756">
        <v>2</v>
      </c>
      <c r="AL756" t="str" cm="1">
        <f t="array" ref="AL75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56">
        <v>2</v>
      </c>
    </row>
    <row r="757" spans="1:39" x14ac:dyDescent="0.25">
      <c r="A757">
        <v>45</v>
      </c>
      <c r="B757" t="s">
        <v>44</v>
      </c>
      <c r="C757" t="s">
        <v>37</v>
      </c>
      <c r="D757">
        <v>1234</v>
      </c>
      <c r="E757" t="s">
        <v>38</v>
      </c>
      <c r="G757">
        <v>11</v>
      </c>
      <c r="H757">
        <v>2</v>
      </c>
      <c r="I757" t="s">
        <v>39</v>
      </c>
      <c r="J757" t="str">
        <f>WA_Fn_UseC__HR_Employee_Attrition[[#This Row],[EducationField]]&amp;"-"&amp;WA_Fn_UseC__HR_Employee_Attrition[[#This Row],[Department]]</f>
        <v>Life Sciences-Sales</v>
      </c>
      <c r="K757">
        <v>1</v>
      </c>
      <c r="L757">
        <v>1045</v>
      </c>
      <c r="M757">
        <v>4</v>
      </c>
      <c r="N757" t="s">
        <v>40</v>
      </c>
      <c r="O757">
        <v>90</v>
      </c>
      <c r="P757">
        <v>3</v>
      </c>
      <c r="Q757">
        <v>4</v>
      </c>
      <c r="R757" t="s">
        <v>57</v>
      </c>
      <c r="S757">
        <v>4</v>
      </c>
      <c r="T757" t="s">
        <v>49</v>
      </c>
      <c r="U757">
        <v>17650</v>
      </c>
      <c r="V757" t="str" cm="1">
        <f t="array" ref="V75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57">
        <v>5404</v>
      </c>
      <c r="X757">
        <v>3</v>
      </c>
      <c r="Y757" t="s">
        <v>43</v>
      </c>
      <c r="Z757" t="s">
        <v>44</v>
      </c>
      <c r="AA757">
        <v>13</v>
      </c>
      <c r="AB757">
        <v>3</v>
      </c>
      <c r="AC757">
        <v>2</v>
      </c>
      <c r="AD757">
        <v>80</v>
      </c>
      <c r="AE757">
        <v>1</v>
      </c>
      <c r="AF757">
        <v>26</v>
      </c>
      <c r="AG757">
        <v>4</v>
      </c>
      <c r="AH757">
        <v>4</v>
      </c>
      <c r="AI757">
        <v>9</v>
      </c>
      <c r="AJ757">
        <v>3</v>
      </c>
      <c r="AK757">
        <v>1</v>
      </c>
      <c r="AL757" t="str" cm="1">
        <f t="array" ref="AL75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57">
        <v>1</v>
      </c>
    </row>
    <row r="758" spans="1:39" x14ac:dyDescent="0.25">
      <c r="A758">
        <v>32</v>
      </c>
      <c r="B758" t="s">
        <v>44</v>
      </c>
      <c r="C758" t="s">
        <v>56</v>
      </c>
      <c r="D758">
        <v>1109</v>
      </c>
      <c r="E758" t="s">
        <v>46</v>
      </c>
      <c r="G758">
        <v>29</v>
      </c>
      <c r="H758">
        <v>4</v>
      </c>
      <c r="I758" t="s">
        <v>52</v>
      </c>
      <c r="J758" t="str">
        <f>WA_Fn_UseC__HR_Employee_Attrition[[#This Row],[EducationField]]&amp;"-"&amp;WA_Fn_UseC__HR_Employee_Attrition[[#This Row],[Department]]</f>
        <v>Medical-Research &amp; Development</v>
      </c>
      <c r="K758">
        <v>1</v>
      </c>
      <c r="L758">
        <v>1046</v>
      </c>
      <c r="M758">
        <v>4</v>
      </c>
      <c r="N758" t="s">
        <v>40</v>
      </c>
      <c r="O758">
        <v>69</v>
      </c>
      <c r="P758">
        <v>3</v>
      </c>
      <c r="Q758">
        <v>1</v>
      </c>
      <c r="R758" t="s">
        <v>51</v>
      </c>
      <c r="S758">
        <v>3</v>
      </c>
      <c r="T758" t="s">
        <v>42</v>
      </c>
      <c r="U758">
        <v>4025</v>
      </c>
      <c r="V758" t="str" cm="1">
        <f t="array" ref="V75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58">
        <v>11135</v>
      </c>
      <c r="X758">
        <v>9</v>
      </c>
      <c r="Y758" t="s">
        <v>43</v>
      </c>
      <c r="Z758" t="s">
        <v>44</v>
      </c>
      <c r="AA758">
        <v>12</v>
      </c>
      <c r="AB758">
        <v>3</v>
      </c>
      <c r="AC758">
        <v>2</v>
      </c>
      <c r="AD758">
        <v>80</v>
      </c>
      <c r="AE758">
        <v>0</v>
      </c>
      <c r="AF758">
        <v>10</v>
      </c>
      <c r="AG758">
        <v>2</v>
      </c>
      <c r="AH758">
        <v>3</v>
      </c>
      <c r="AI758">
        <v>8</v>
      </c>
      <c r="AJ758">
        <v>7</v>
      </c>
      <c r="AK758">
        <v>7</v>
      </c>
      <c r="AL758" t="str" cm="1">
        <f t="array" ref="AL75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58">
        <v>7</v>
      </c>
    </row>
    <row r="759" spans="1:39" x14ac:dyDescent="0.25">
      <c r="A759">
        <v>34</v>
      </c>
      <c r="B759" t="s">
        <v>44</v>
      </c>
      <c r="C759" t="s">
        <v>37</v>
      </c>
      <c r="D759">
        <v>216</v>
      </c>
      <c r="E759" t="s">
        <v>38</v>
      </c>
      <c r="G759">
        <v>1</v>
      </c>
      <c r="H759">
        <v>4</v>
      </c>
      <c r="I759" t="s">
        <v>60</v>
      </c>
      <c r="J759" t="str">
        <f>WA_Fn_UseC__HR_Employee_Attrition[[#This Row],[EducationField]]&amp;"-"&amp;WA_Fn_UseC__HR_Employee_Attrition[[#This Row],[Department]]</f>
        <v>Marketing-Sales</v>
      </c>
      <c r="K759">
        <v>1</v>
      </c>
      <c r="L759">
        <v>1047</v>
      </c>
      <c r="M759">
        <v>2</v>
      </c>
      <c r="N759" t="s">
        <v>47</v>
      </c>
      <c r="O759">
        <v>75</v>
      </c>
      <c r="P759">
        <v>4</v>
      </c>
      <c r="Q759">
        <v>2</v>
      </c>
      <c r="R759" t="s">
        <v>41</v>
      </c>
      <c r="S759">
        <v>4</v>
      </c>
      <c r="T759" t="s">
        <v>53</v>
      </c>
      <c r="U759">
        <v>9725</v>
      </c>
      <c r="V759" t="str" cm="1">
        <f t="array" ref="V75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59">
        <v>12278</v>
      </c>
      <c r="X759">
        <v>0</v>
      </c>
      <c r="Y759" t="s">
        <v>43</v>
      </c>
      <c r="Z759" t="s">
        <v>44</v>
      </c>
      <c r="AA759">
        <v>11</v>
      </c>
      <c r="AB759">
        <v>3</v>
      </c>
      <c r="AC759">
        <v>4</v>
      </c>
      <c r="AD759">
        <v>80</v>
      </c>
      <c r="AE759">
        <v>1</v>
      </c>
      <c r="AF759">
        <v>16</v>
      </c>
      <c r="AG759">
        <v>2</v>
      </c>
      <c r="AH759">
        <v>2</v>
      </c>
      <c r="AI759">
        <v>15</v>
      </c>
      <c r="AJ759">
        <v>1</v>
      </c>
      <c r="AK759">
        <v>0</v>
      </c>
      <c r="AL759" t="str" cm="1">
        <f t="array" ref="AL75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59">
        <v>9</v>
      </c>
    </row>
    <row r="760" spans="1:39" x14ac:dyDescent="0.25">
      <c r="A760">
        <v>59</v>
      </c>
      <c r="B760" t="s">
        <v>44</v>
      </c>
      <c r="C760" t="s">
        <v>37</v>
      </c>
      <c r="D760">
        <v>1089</v>
      </c>
      <c r="E760" t="s">
        <v>38</v>
      </c>
      <c r="G760">
        <v>1</v>
      </c>
      <c r="H760">
        <v>2</v>
      </c>
      <c r="I760" t="s">
        <v>61</v>
      </c>
      <c r="J760" t="str">
        <f>WA_Fn_UseC__HR_Employee_Attrition[[#This Row],[EducationField]]&amp;"-"&amp;WA_Fn_UseC__HR_Employee_Attrition[[#This Row],[Department]]</f>
        <v>Technical Degree-Sales</v>
      </c>
      <c r="K760">
        <v>1</v>
      </c>
      <c r="L760">
        <v>1048</v>
      </c>
      <c r="M760">
        <v>2</v>
      </c>
      <c r="N760" t="s">
        <v>47</v>
      </c>
      <c r="O760">
        <v>66</v>
      </c>
      <c r="P760">
        <v>3</v>
      </c>
      <c r="Q760">
        <v>3</v>
      </c>
      <c r="R760" t="s">
        <v>57</v>
      </c>
      <c r="S760">
        <v>4</v>
      </c>
      <c r="T760" t="s">
        <v>49</v>
      </c>
      <c r="U760">
        <v>11904</v>
      </c>
      <c r="V760" t="str" cm="1">
        <f t="array" ref="V76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60">
        <v>11038</v>
      </c>
      <c r="X760">
        <v>3</v>
      </c>
      <c r="Y760" t="s">
        <v>43</v>
      </c>
      <c r="Z760" t="s">
        <v>36</v>
      </c>
      <c r="AA760">
        <v>14</v>
      </c>
      <c r="AB760">
        <v>3</v>
      </c>
      <c r="AC760">
        <v>3</v>
      </c>
      <c r="AD760">
        <v>80</v>
      </c>
      <c r="AE760">
        <v>1</v>
      </c>
      <c r="AF760">
        <v>14</v>
      </c>
      <c r="AG760">
        <v>1</v>
      </c>
      <c r="AH760">
        <v>1</v>
      </c>
      <c r="AI760">
        <v>6</v>
      </c>
      <c r="AJ760">
        <v>4</v>
      </c>
      <c r="AK760">
        <v>0</v>
      </c>
      <c r="AL760" t="str" cm="1">
        <f t="array" ref="AL76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60">
        <v>4</v>
      </c>
    </row>
    <row r="761" spans="1:39" x14ac:dyDescent="0.25">
      <c r="A761">
        <v>45</v>
      </c>
      <c r="B761" t="s">
        <v>44</v>
      </c>
      <c r="C761" t="s">
        <v>37</v>
      </c>
      <c r="D761">
        <v>788</v>
      </c>
      <c r="E761" t="s">
        <v>62</v>
      </c>
      <c r="G761">
        <v>24</v>
      </c>
      <c r="H761">
        <v>4</v>
      </c>
      <c r="I761" t="s">
        <v>52</v>
      </c>
      <c r="J761" t="str">
        <f>WA_Fn_UseC__HR_Employee_Attrition[[#This Row],[EducationField]]&amp;"-"&amp;WA_Fn_UseC__HR_Employee_Attrition[[#This Row],[Department]]</f>
        <v>Medical-Human Resources</v>
      </c>
      <c r="K761">
        <v>1</v>
      </c>
      <c r="L761">
        <v>1049</v>
      </c>
      <c r="M761">
        <v>2</v>
      </c>
      <c r="N761" t="s">
        <v>47</v>
      </c>
      <c r="O761">
        <v>36</v>
      </c>
      <c r="P761">
        <v>3</v>
      </c>
      <c r="Q761">
        <v>1</v>
      </c>
      <c r="R761" t="s">
        <v>62</v>
      </c>
      <c r="S761">
        <v>2</v>
      </c>
      <c r="T761" t="s">
        <v>42</v>
      </c>
      <c r="U761">
        <v>2177</v>
      </c>
      <c r="V761" t="str" cm="1">
        <f t="array" ref="V76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61">
        <v>8318</v>
      </c>
      <c r="X761">
        <v>1</v>
      </c>
      <c r="Y761" t="s">
        <v>43</v>
      </c>
      <c r="Z761" t="s">
        <v>44</v>
      </c>
      <c r="AA761">
        <v>16</v>
      </c>
      <c r="AB761">
        <v>3</v>
      </c>
      <c r="AC761">
        <v>1</v>
      </c>
      <c r="AD761">
        <v>80</v>
      </c>
      <c r="AE761">
        <v>0</v>
      </c>
      <c r="AF761">
        <v>6</v>
      </c>
      <c r="AG761">
        <v>3</v>
      </c>
      <c r="AH761">
        <v>3</v>
      </c>
      <c r="AI761">
        <v>6</v>
      </c>
      <c r="AJ761">
        <v>3</v>
      </c>
      <c r="AK761">
        <v>0</v>
      </c>
      <c r="AL761" t="str" cm="1">
        <f t="array" ref="AL76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61">
        <v>4</v>
      </c>
    </row>
    <row r="762" spans="1:39" x14ac:dyDescent="0.25">
      <c r="A762">
        <v>53</v>
      </c>
      <c r="B762" t="s">
        <v>44</v>
      </c>
      <c r="C762" t="s">
        <v>45</v>
      </c>
      <c r="D762">
        <v>124</v>
      </c>
      <c r="E762" t="s">
        <v>38</v>
      </c>
      <c r="G762">
        <v>2</v>
      </c>
      <c r="H762">
        <v>3</v>
      </c>
      <c r="I762" t="s">
        <v>60</v>
      </c>
      <c r="J762" t="str">
        <f>WA_Fn_UseC__HR_Employee_Attrition[[#This Row],[EducationField]]&amp;"-"&amp;WA_Fn_UseC__HR_Employee_Attrition[[#This Row],[Department]]</f>
        <v>Marketing-Sales</v>
      </c>
      <c r="K762">
        <v>1</v>
      </c>
      <c r="L762">
        <v>1050</v>
      </c>
      <c r="M762">
        <v>3</v>
      </c>
      <c r="N762" t="s">
        <v>40</v>
      </c>
      <c r="O762">
        <v>38</v>
      </c>
      <c r="P762">
        <v>2</v>
      </c>
      <c r="Q762">
        <v>3</v>
      </c>
      <c r="R762" t="s">
        <v>41</v>
      </c>
      <c r="S762">
        <v>2</v>
      </c>
      <c r="T762" t="s">
        <v>49</v>
      </c>
      <c r="U762">
        <v>7525</v>
      </c>
      <c r="V762" t="str" cm="1">
        <f t="array" ref="V76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62">
        <v>23537</v>
      </c>
      <c r="X762">
        <v>2</v>
      </c>
      <c r="Y762" t="s">
        <v>43</v>
      </c>
      <c r="Z762" t="s">
        <v>44</v>
      </c>
      <c r="AA762">
        <v>12</v>
      </c>
      <c r="AB762">
        <v>3</v>
      </c>
      <c r="AC762">
        <v>1</v>
      </c>
      <c r="AD762">
        <v>80</v>
      </c>
      <c r="AE762">
        <v>1</v>
      </c>
      <c r="AF762">
        <v>30</v>
      </c>
      <c r="AG762">
        <v>2</v>
      </c>
      <c r="AH762">
        <v>3</v>
      </c>
      <c r="AI762">
        <v>15</v>
      </c>
      <c r="AJ762">
        <v>7</v>
      </c>
      <c r="AK762">
        <v>6</v>
      </c>
      <c r="AL762" t="str" cm="1">
        <f t="array" ref="AL76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62">
        <v>12</v>
      </c>
    </row>
    <row r="763" spans="1:39" x14ac:dyDescent="0.25">
      <c r="A763">
        <v>36</v>
      </c>
      <c r="B763" t="s">
        <v>36</v>
      </c>
      <c r="C763" t="s">
        <v>37</v>
      </c>
      <c r="D763">
        <v>660</v>
      </c>
      <c r="E763" t="s">
        <v>46</v>
      </c>
      <c r="G763">
        <v>15</v>
      </c>
      <c r="H763">
        <v>3</v>
      </c>
      <c r="I763" t="s">
        <v>50</v>
      </c>
      <c r="J763" t="str">
        <f>WA_Fn_UseC__HR_Employee_Attrition[[#This Row],[EducationField]]&amp;"-"&amp;WA_Fn_UseC__HR_Employee_Attrition[[#This Row],[Department]]</f>
        <v>Other-Research &amp; Development</v>
      </c>
      <c r="K763">
        <v>1</v>
      </c>
      <c r="L763">
        <v>1052</v>
      </c>
      <c r="M763">
        <v>1</v>
      </c>
      <c r="N763" t="s">
        <v>47</v>
      </c>
      <c r="O763">
        <v>81</v>
      </c>
      <c r="P763">
        <v>3</v>
      </c>
      <c r="Q763">
        <v>2</v>
      </c>
      <c r="R763" t="s">
        <v>51</v>
      </c>
      <c r="S763">
        <v>3</v>
      </c>
      <c r="T763" t="s">
        <v>53</v>
      </c>
      <c r="U763">
        <v>4834</v>
      </c>
      <c r="V763" t="str" cm="1">
        <f t="array" ref="V76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63">
        <v>7858</v>
      </c>
      <c r="X763">
        <v>7</v>
      </c>
      <c r="Y763" t="s">
        <v>43</v>
      </c>
      <c r="Z763" t="s">
        <v>44</v>
      </c>
      <c r="AA763">
        <v>14</v>
      </c>
      <c r="AB763">
        <v>3</v>
      </c>
      <c r="AC763">
        <v>2</v>
      </c>
      <c r="AD763">
        <v>80</v>
      </c>
      <c r="AE763">
        <v>1</v>
      </c>
      <c r="AF763">
        <v>9</v>
      </c>
      <c r="AG763">
        <v>3</v>
      </c>
      <c r="AH763">
        <v>2</v>
      </c>
      <c r="AI763">
        <v>1</v>
      </c>
      <c r="AJ763">
        <v>0</v>
      </c>
      <c r="AK763">
        <v>0</v>
      </c>
      <c r="AL763" t="str" cm="1">
        <f t="array" ref="AL76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63">
        <v>0</v>
      </c>
    </row>
    <row r="764" spans="1:39" x14ac:dyDescent="0.25">
      <c r="A764">
        <v>26</v>
      </c>
      <c r="B764" t="s">
        <v>36</v>
      </c>
      <c r="C764" t="s">
        <v>45</v>
      </c>
      <c r="D764">
        <v>342</v>
      </c>
      <c r="E764" t="s">
        <v>46</v>
      </c>
      <c r="G764">
        <v>2</v>
      </c>
      <c r="H764">
        <v>3</v>
      </c>
      <c r="I764" t="s">
        <v>39</v>
      </c>
      <c r="J764" t="str">
        <f>WA_Fn_UseC__HR_Employee_Attrition[[#This Row],[EducationField]]&amp;"-"&amp;WA_Fn_UseC__HR_Employee_Attrition[[#This Row],[Department]]</f>
        <v>Life Sciences-Research &amp; Development</v>
      </c>
      <c r="K764">
        <v>1</v>
      </c>
      <c r="L764">
        <v>1053</v>
      </c>
      <c r="M764">
        <v>1</v>
      </c>
      <c r="N764" t="s">
        <v>47</v>
      </c>
      <c r="O764">
        <v>57</v>
      </c>
      <c r="P764">
        <v>3</v>
      </c>
      <c r="Q764">
        <v>1</v>
      </c>
      <c r="R764" t="s">
        <v>48</v>
      </c>
      <c r="S764">
        <v>1</v>
      </c>
      <c r="T764" t="s">
        <v>49</v>
      </c>
      <c r="U764">
        <v>2042</v>
      </c>
      <c r="V764" t="str" cm="1">
        <f t="array" ref="V76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64">
        <v>15346</v>
      </c>
      <c r="X764">
        <v>6</v>
      </c>
      <c r="Y764" t="s">
        <v>43</v>
      </c>
      <c r="Z764" t="s">
        <v>36</v>
      </c>
      <c r="AA764">
        <v>14</v>
      </c>
      <c r="AB764">
        <v>3</v>
      </c>
      <c r="AC764">
        <v>2</v>
      </c>
      <c r="AD764">
        <v>80</v>
      </c>
      <c r="AE764">
        <v>1</v>
      </c>
      <c r="AF764">
        <v>6</v>
      </c>
      <c r="AG764">
        <v>2</v>
      </c>
      <c r="AH764">
        <v>3</v>
      </c>
      <c r="AI764">
        <v>3</v>
      </c>
      <c r="AJ764">
        <v>2</v>
      </c>
      <c r="AK764">
        <v>1</v>
      </c>
      <c r="AL764" t="str" cm="1">
        <f t="array" ref="AL76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64">
        <v>2</v>
      </c>
    </row>
    <row r="765" spans="1:39" x14ac:dyDescent="0.25">
      <c r="A765">
        <v>34</v>
      </c>
      <c r="B765" t="s">
        <v>44</v>
      </c>
      <c r="C765" t="s">
        <v>37</v>
      </c>
      <c r="D765">
        <v>1333</v>
      </c>
      <c r="E765" t="s">
        <v>38</v>
      </c>
      <c r="G765">
        <v>10</v>
      </c>
      <c r="H765">
        <v>4</v>
      </c>
      <c r="I765" t="s">
        <v>39</v>
      </c>
      <c r="J765" t="str">
        <f>WA_Fn_UseC__HR_Employee_Attrition[[#This Row],[EducationField]]&amp;"-"&amp;WA_Fn_UseC__HR_Employee_Attrition[[#This Row],[Department]]</f>
        <v>Life Sciences-Sales</v>
      </c>
      <c r="K765">
        <v>1</v>
      </c>
      <c r="L765">
        <v>1055</v>
      </c>
      <c r="M765">
        <v>3</v>
      </c>
      <c r="N765" t="s">
        <v>40</v>
      </c>
      <c r="O765">
        <v>87</v>
      </c>
      <c r="P765">
        <v>3</v>
      </c>
      <c r="Q765">
        <v>1</v>
      </c>
      <c r="R765" t="s">
        <v>58</v>
      </c>
      <c r="S765">
        <v>3</v>
      </c>
      <c r="T765" t="s">
        <v>49</v>
      </c>
      <c r="U765">
        <v>2220</v>
      </c>
      <c r="V765" t="str" cm="1">
        <f t="array" ref="V76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65">
        <v>18410</v>
      </c>
      <c r="X765">
        <v>1</v>
      </c>
      <c r="Y765" t="s">
        <v>43</v>
      </c>
      <c r="Z765" t="s">
        <v>36</v>
      </c>
      <c r="AA765">
        <v>19</v>
      </c>
      <c r="AB765">
        <v>3</v>
      </c>
      <c r="AC765">
        <v>4</v>
      </c>
      <c r="AD765">
        <v>80</v>
      </c>
      <c r="AE765">
        <v>1</v>
      </c>
      <c r="AF765">
        <v>1</v>
      </c>
      <c r="AG765">
        <v>2</v>
      </c>
      <c r="AH765">
        <v>3</v>
      </c>
      <c r="AI765">
        <v>1</v>
      </c>
      <c r="AJ765">
        <v>1</v>
      </c>
      <c r="AK765">
        <v>0</v>
      </c>
      <c r="AL765" t="str" cm="1">
        <f t="array" ref="AL76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65">
        <v>0</v>
      </c>
    </row>
    <row r="766" spans="1:39" x14ac:dyDescent="0.25">
      <c r="A766">
        <v>28</v>
      </c>
      <c r="B766" t="s">
        <v>44</v>
      </c>
      <c r="C766" t="s">
        <v>37</v>
      </c>
      <c r="D766">
        <v>1144</v>
      </c>
      <c r="E766" t="s">
        <v>38</v>
      </c>
      <c r="G766">
        <v>10</v>
      </c>
      <c r="H766">
        <v>1</v>
      </c>
      <c r="I766" t="s">
        <v>52</v>
      </c>
      <c r="J766" t="str">
        <f>WA_Fn_UseC__HR_Employee_Attrition[[#This Row],[EducationField]]&amp;"-"&amp;WA_Fn_UseC__HR_Employee_Attrition[[#This Row],[Department]]</f>
        <v>Medical-Sales</v>
      </c>
      <c r="K766">
        <v>1</v>
      </c>
      <c r="L766">
        <v>1056</v>
      </c>
      <c r="M766">
        <v>4</v>
      </c>
      <c r="N766" t="s">
        <v>47</v>
      </c>
      <c r="O766">
        <v>74</v>
      </c>
      <c r="P766">
        <v>3</v>
      </c>
      <c r="Q766">
        <v>1</v>
      </c>
      <c r="R766" t="s">
        <v>58</v>
      </c>
      <c r="S766">
        <v>2</v>
      </c>
      <c r="T766" t="s">
        <v>49</v>
      </c>
      <c r="U766">
        <v>1052</v>
      </c>
      <c r="V766" t="str" cm="1">
        <f t="array" ref="V76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66">
        <v>23384</v>
      </c>
      <c r="X766">
        <v>1</v>
      </c>
      <c r="Y766" t="s">
        <v>43</v>
      </c>
      <c r="Z766" t="s">
        <v>44</v>
      </c>
      <c r="AA766">
        <v>22</v>
      </c>
      <c r="AB766">
        <v>4</v>
      </c>
      <c r="AC766">
        <v>2</v>
      </c>
      <c r="AD766">
        <v>80</v>
      </c>
      <c r="AE766">
        <v>0</v>
      </c>
      <c r="AF766">
        <v>1</v>
      </c>
      <c r="AG766">
        <v>5</v>
      </c>
      <c r="AH766">
        <v>3</v>
      </c>
      <c r="AI766">
        <v>1</v>
      </c>
      <c r="AJ766">
        <v>0</v>
      </c>
      <c r="AK766">
        <v>0</v>
      </c>
      <c r="AL766" t="str" cm="1">
        <f t="array" ref="AL76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66">
        <v>0</v>
      </c>
    </row>
    <row r="767" spans="1:39" x14ac:dyDescent="0.25">
      <c r="A767">
        <v>38</v>
      </c>
      <c r="B767" t="s">
        <v>44</v>
      </c>
      <c r="C767" t="s">
        <v>45</v>
      </c>
      <c r="D767">
        <v>1186</v>
      </c>
      <c r="E767" t="s">
        <v>46</v>
      </c>
      <c r="G767">
        <v>3</v>
      </c>
      <c r="H767">
        <v>4</v>
      </c>
      <c r="I767" t="s">
        <v>50</v>
      </c>
      <c r="J767" t="str">
        <f>WA_Fn_UseC__HR_Employee_Attrition[[#This Row],[EducationField]]&amp;"-"&amp;WA_Fn_UseC__HR_Employee_Attrition[[#This Row],[Department]]</f>
        <v>Other-Research &amp; Development</v>
      </c>
      <c r="K767">
        <v>1</v>
      </c>
      <c r="L767">
        <v>1060</v>
      </c>
      <c r="M767">
        <v>3</v>
      </c>
      <c r="N767" t="s">
        <v>47</v>
      </c>
      <c r="O767">
        <v>44</v>
      </c>
      <c r="P767">
        <v>3</v>
      </c>
      <c r="Q767">
        <v>1</v>
      </c>
      <c r="R767" t="s">
        <v>48</v>
      </c>
      <c r="S767">
        <v>3</v>
      </c>
      <c r="T767" t="s">
        <v>49</v>
      </c>
      <c r="U767">
        <v>2821</v>
      </c>
      <c r="V767" t="str" cm="1">
        <f t="array" ref="V76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67">
        <v>2997</v>
      </c>
      <c r="X767">
        <v>3</v>
      </c>
      <c r="Y767" t="s">
        <v>43</v>
      </c>
      <c r="Z767" t="s">
        <v>44</v>
      </c>
      <c r="AA767">
        <v>16</v>
      </c>
      <c r="AB767">
        <v>3</v>
      </c>
      <c r="AC767">
        <v>1</v>
      </c>
      <c r="AD767">
        <v>80</v>
      </c>
      <c r="AE767">
        <v>1</v>
      </c>
      <c r="AF767">
        <v>8</v>
      </c>
      <c r="AG767">
        <v>2</v>
      </c>
      <c r="AH767">
        <v>3</v>
      </c>
      <c r="AI767">
        <v>2</v>
      </c>
      <c r="AJ767">
        <v>2</v>
      </c>
      <c r="AK767">
        <v>2</v>
      </c>
      <c r="AL767" t="str" cm="1">
        <f t="array" ref="AL76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67">
        <v>2</v>
      </c>
    </row>
    <row r="768" spans="1:39" x14ac:dyDescent="0.25">
      <c r="A768">
        <v>50</v>
      </c>
      <c r="B768" t="s">
        <v>44</v>
      </c>
      <c r="C768" t="s">
        <v>37</v>
      </c>
      <c r="D768">
        <v>1464</v>
      </c>
      <c r="E768" t="s">
        <v>46</v>
      </c>
      <c r="G768">
        <v>2</v>
      </c>
      <c r="H768">
        <v>4</v>
      </c>
      <c r="I768" t="s">
        <v>52</v>
      </c>
      <c r="J768" t="str">
        <f>WA_Fn_UseC__HR_Employee_Attrition[[#This Row],[EducationField]]&amp;"-"&amp;WA_Fn_UseC__HR_Employee_Attrition[[#This Row],[Department]]</f>
        <v>Medical-Research &amp; Development</v>
      </c>
      <c r="K768">
        <v>1</v>
      </c>
      <c r="L768">
        <v>1061</v>
      </c>
      <c r="M768">
        <v>2</v>
      </c>
      <c r="N768" t="s">
        <v>47</v>
      </c>
      <c r="O768">
        <v>62</v>
      </c>
      <c r="P768">
        <v>3</v>
      </c>
      <c r="Q768">
        <v>5</v>
      </c>
      <c r="R768" t="s">
        <v>59</v>
      </c>
      <c r="S768">
        <v>3</v>
      </c>
      <c r="T768" t="s">
        <v>49</v>
      </c>
      <c r="U768">
        <v>19237</v>
      </c>
      <c r="V768" t="str" cm="1">
        <f t="array" ref="V76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68">
        <v>12853</v>
      </c>
      <c r="X768">
        <v>2</v>
      </c>
      <c r="Y768" t="s">
        <v>43</v>
      </c>
      <c r="Z768" t="s">
        <v>36</v>
      </c>
      <c r="AA768">
        <v>11</v>
      </c>
      <c r="AB768">
        <v>3</v>
      </c>
      <c r="AC768">
        <v>4</v>
      </c>
      <c r="AD768">
        <v>80</v>
      </c>
      <c r="AE768">
        <v>1</v>
      </c>
      <c r="AF768">
        <v>29</v>
      </c>
      <c r="AG768">
        <v>2</v>
      </c>
      <c r="AH768">
        <v>2</v>
      </c>
      <c r="AI768">
        <v>8</v>
      </c>
      <c r="AJ768">
        <v>1</v>
      </c>
      <c r="AK768">
        <v>7</v>
      </c>
      <c r="AL768" t="str" cm="1">
        <f t="array" ref="AL76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68">
        <v>7</v>
      </c>
    </row>
    <row r="769" spans="1:39" x14ac:dyDescent="0.25">
      <c r="A769">
        <v>37</v>
      </c>
      <c r="B769" t="s">
        <v>44</v>
      </c>
      <c r="C769" t="s">
        <v>37</v>
      </c>
      <c r="D769">
        <v>124</v>
      </c>
      <c r="E769" t="s">
        <v>46</v>
      </c>
      <c r="G769">
        <v>3</v>
      </c>
      <c r="H769">
        <v>3</v>
      </c>
      <c r="I769" t="s">
        <v>50</v>
      </c>
      <c r="J769" t="str">
        <f>WA_Fn_UseC__HR_Employee_Attrition[[#This Row],[EducationField]]&amp;"-"&amp;WA_Fn_UseC__HR_Employee_Attrition[[#This Row],[Department]]</f>
        <v>Other-Research &amp; Development</v>
      </c>
      <c r="K769">
        <v>1</v>
      </c>
      <c r="L769">
        <v>1062</v>
      </c>
      <c r="M769">
        <v>4</v>
      </c>
      <c r="N769" t="s">
        <v>40</v>
      </c>
      <c r="O769">
        <v>35</v>
      </c>
      <c r="P769">
        <v>3</v>
      </c>
      <c r="Q769">
        <v>2</v>
      </c>
      <c r="R769" t="s">
        <v>55</v>
      </c>
      <c r="S769">
        <v>2</v>
      </c>
      <c r="T769" t="s">
        <v>42</v>
      </c>
      <c r="U769">
        <v>4107</v>
      </c>
      <c r="V769" t="str" cm="1">
        <f t="array" ref="V76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69">
        <v>13848</v>
      </c>
      <c r="X769">
        <v>3</v>
      </c>
      <c r="Y769" t="s">
        <v>43</v>
      </c>
      <c r="Z769" t="s">
        <v>44</v>
      </c>
      <c r="AA769">
        <v>15</v>
      </c>
      <c r="AB769">
        <v>3</v>
      </c>
      <c r="AC769">
        <v>1</v>
      </c>
      <c r="AD769">
        <v>80</v>
      </c>
      <c r="AE769">
        <v>0</v>
      </c>
      <c r="AF769">
        <v>8</v>
      </c>
      <c r="AG769">
        <v>3</v>
      </c>
      <c r="AH769">
        <v>2</v>
      </c>
      <c r="AI769">
        <v>4</v>
      </c>
      <c r="AJ769">
        <v>3</v>
      </c>
      <c r="AK769">
        <v>0</v>
      </c>
      <c r="AL769" t="str" cm="1">
        <f t="array" ref="AL76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69">
        <v>1</v>
      </c>
    </row>
    <row r="770" spans="1:39" x14ac:dyDescent="0.25">
      <c r="A770">
        <v>40</v>
      </c>
      <c r="B770" t="s">
        <v>44</v>
      </c>
      <c r="C770" t="s">
        <v>37</v>
      </c>
      <c r="D770">
        <v>300</v>
      </c>
      <c r="E770" t="s">
        <v>38</v>
      </c>
      <c r="G770">
        <v>26</v>
      </c>
      <c r="H770">
        <v>3</v>
      </c>
      <c r="I770" t="s">
        <v>60</v>
      </c>
      <c r="J770" t="str">
        <f>WA_Fn_UseC__HR_Employee_Attrition[[#This Row],[EducationField]]&amp;"-"&amp;WA_Fn_UseC__HR_Employee_Attrition[[#This Row],[Department]]</f>
        <v>Marketing-Sales</v>
      </c>
      <c r="K770">
        <v>1</v>
      </c>
      <c r="L770">
        <v>1066</v>
      </c>
      <c r="M770">
        <v>3</v>
      </c>
      <c r="N770" t="s">
        <v>47</v>
      </c>
      <c r="O770">
        <v>74</v>
      </c>
      <c r="P770">
        <v>3</v>
      </c>
      <c r="Q770">
        <v>2</v>
      </c>
      <c r="R770" t="s">
        <v>41</v>
      </c>
      <c r="S770">
        <v>1</v>
      </c>
      <c r="T770" t="s">
        <v>49</v>
      </c>
      <c r="U770">
        <v>8396</v>
      </c>
      <c r="V770" t="str" cm="1">
        <f t="array" ref="V77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70">
        <v>22217</v>
      </c>
      <c r="X770">
        <v>1</v>
      </c>
      <c r="Y770" t="s">
        <v>43</v>
      </c>
      <c r="Z770" t="s">
        <v>44</v>
      </c>
      <c r="AA770">
        <v>14</v>
      </c>
      <c r="AB770">
        <v>3</v>
      </c>
      <c r="AC770">
        <v>2</v>
      </c>
      <c r="AD770">
        <v>80</v>
      </c>
      <c r="AE770">
        <v>1</v>
      </c>
      <c r="AF770">
        <v>8</v>
      </c>
      <c r="AG770">
        <v>3</v>
      </c>
      <c r="AH770">
        <v>2</v>
      </c>
      <c r="AI770">
        <v>7</v>
      </c>
      <c r="AJ770">
        <v>7</v>
      </c>
      <c r="AK770">
        <v>7</v>
      </c>
      <c r="AL770" t="str" cm="1">
        <f t="array" ref="AL77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70">
        <v>5</v>
      </c>
    </row>
    <row r="771" spans="1:39" x14ac:dyDescent="0.25">
      <c r="A771">
        <v>26</v>
      </c>
      <c r="B771" t="s">
        <v>44</v>
      </c>
      <c r="C771" t="s">
        <v>45</v>
      </c>
      <c r="D771">
        <v>921</v>
      </c>
      <c r="E771" t="s">
        <v>46</v>
      </c>
      <c r="G771">
        <v>1</v>
      </c>
      <c r="H771">
        <v>1</v>
      </c>
      <c r="I771" t="s">
        <v>52</v>
      </c>
      <c r="J771" t="str">
        <f>WA_Fn_UseC__HR_Employee_Attrition[[#This Row],[EducationField]]&amp;"-"&amp;WA_Fn_UseC__HR_Employee_Attrition[[#This Row],[Department]]</f>
        <v>Medical-Research &amp; Development</v>
      </c>
      <c r="K771">
        <v>1</v>
      </c>
      <c r="L771">
        <v>1068</v>
      </c>
      <c r="M771">
        <v>1</v>
      </c>
      <c r="N771" t="s">
        <v>40</v>
      </c>
      <c r="O771">
        <v>66</v>
      </c>
      <c r="P771">
        <v>2</v>
      </c>
      <c r="Q771">
        <v>1</v>
      </c>
      <c r="R771" t="s">
        <v>48</v>
      </c>
      <c r="S771">
        <v>3</v>
      </c>
      <c r="T771" t="s">
        <v>53</v>
      </c>
      <c r="U771">
        <v>2007</v>
      </c>
      <c r="V771" t="str" cm="1">
        <f t="array" ref="V77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71">
        <v>25265</v>
      </c>
      <c r="X771">
        <v>1</v>
      </c>
      <c r="Y771" t="s">
        <v>43</v>
      </c>
      <c r="Z771" t="s">
        <v>44</v>
      </c>
      <c r="AA771">
        <v>13</v>
      </c>
      <c r="AB771">
        <v>3</v>
      </c>
      <c r="AC771">
        <v>3</v>
      </c>
      <c r="AD771">
        <v>80</v>
      </c>
      <c r="AE771">
        <v>2</v>
      </c>
      <c r="AF771">
        <v>5</v>
      </c>
      <c r="AG771">
        <v>5</v>
      </c>
      <c r="AH771">
        <v>3</v>
      </c>
      <c r="AI771">
        <v>5</v>
      </c>
      <c r="AJ771">
        <v>3</v>
      </c>
      <c r="AK771">
        <v>1</v>
      </c>
      <c r="AL771" t="str" cm="1">
        <f t="array" ref="AL77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71">
        <v>3</v>
      </c>
    </row>
    <row r="772" spans="1:39" x14ac:dyDescent="0.25">
      <c r="A772">
        <v>46</v>
      </c>
      <c r="B772" t="s">
        <v>44</v>
      </c>
      <c r="C772" t="s">
        <v>37</v>
      </c>
      <c r="D772">
        <v>430</v>
      </c>
      <c r="E772" t="s">
        <v>46</v>
      </c>
      <c r="G772">
        <v>1</v>
      </c>
      <c r="H772">
        <v>4</v>
      </c>
      <c r="I772" t="s">
        <v>52</v>
      </c>
      <c r="J772" t="str">
        <f>WA_Fn_UseC__HR_Employee_Attrition[[#This Row],[EducationField]]&amp;"-"&amp;WA_Fn_UseC__HR_Employee_Attrition[[#This Row],[Department]]</f>
        <v>Medical-Research &amp; Development</v>
      </c>
      <c r="K772">
        <v>1</v>
      </c>
      <c r="L772">
        <v>1069</v>
      </c>
      <c r="M772">
        <v>4</v>
      </c>
      <c r="N772" t="s">
        <v>47</v>
      </c>
      <c r="O772">
        <v>40</v>
      </c>
      <c r="P772">
        <v>3</v>
      </c>
      <c r="Q772">
        <v>5</v>
      </c>
      <c r="R772" t="s">
        <v>59</v>
      </c>
      <c r="S772">
        <v>4</v>
      </c>
      <c r="T772" t="s">
        <v>53</v>
      </c>
      <c r="U772">
        <v>19627</v>
      </c>
      <c r="V772" t="str" cm="1">
        <f t="array" ref="V77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72">
        <v>21445</v>
      </c>
      <c r="X772">
        <v>9</v>
      </c>
      <c r="Y772" t="s">
        <v>43</v>
      </c>
      <c r="Z772" t="s">
        <v>44</v>
      </c>
      <c r="AA772">
        <v>17</v>
      </c>
      <c r="AB772">
        <v>3</v>
      </c>
      <c r="AC772">
        <v>4</v>
      </c>
      <c r="AD772">
        <v>80</v>
      </c>
      <c r="AE772">
        <v>2</v>
      </c>
      <c r="AF772">
        <v>23</v>
      </c>
      <c r="AG772">
        <v>0</v>
      </c>
      <c r="AH772">
        <v>3</v>
      </c>
      <c r="AI772">
        <v>2</v>
      </c>
      <c r="AJ772">
        <v>2</v>
      </c>
      <c r="AK772">
        <v>2</v>
      </c>
      <c r="AL772" t="str" cm="1">
        <f t="array" ref="AL77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72">
        <v>2</v>
      </c>
    </row>
    <row r="773" spans="1:39" x14ac:dyDescent="0.25">
      <c r="A773">
        <v>54</v>
      </c>
      <c r="B773" t="s">
        <v>44</v>
      </c>
      <c r="C773" t="s">
        <v>37</v>
      </c>
      <c r="D773">
        <v>1082</v>
      </c>
      <c r="E773" t="s">
        <v>38</v>
      </c>
      <c r="G773">
        <v>2</v>
      </c>
      <c r="H773">
        <v>4</v>
      </c>
      <c r="I773" t="s">
        <v>39</v>
      </c>
      <c r="J773" t="str">
        <f>WA_Fn_UseC__HR_Employee_Attrition[[#This Row],[EducationField]]&amp;"-"&amp;WA_Fn_UseC__HR_Employee_Attrition[[#This Row],[Department]]</f>
        <v>Life Sciences-Sales</v>
      </c>
      <c r="K773">
        <v>1</v>
      </c>
      <c r="L773">
        <v>1070</v>
      </c>
      <c r="M773">
        <v>3</v>
      </c>
      <c r="N773" t="s">
        <v>40</v>
      </c>
      <c r="O773">
        <v>41</v>
      </c>
      <c r="P773">
        <v>2</v>
      </c>
      <c r="Q773">
        <v>3</v>
      </c>
      <c r="R773" t="s">
        <v>41</v>
      </c>
      <c r="S773">
        <v>3</v>
      </c>
      <c r="T773" t="s">
        <v>49</v>
      </c>
      <c r="U773">
        <v>10686</v>
      </c>
      <c r="V773" t="str" cm="1">
        <f t="array" ref="V77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73">
        <v>8392</v>
      </c>
      <c r="X773">
        <v>6</v>
      </c>
      <c r="Y773" t="s">
        <v>43</v>
      </c>
      <c r="Z773" t="s">
        <v>44</v>
      </c>
      <c r="AA773">
        <v>11</v>
      </c>
      <c r="AB773">
        <v>3</v>
      </c>
      <c r="AC773">
        <v>2</v>
      </c>
      <c r="AD773">
        <v>80</v>
      </c>
      <c r="AE773">
        <v>1</v>
      </c>
      <c r="AF773">
        <v>13</v>
      </c>
      <c r="AG773">
        <v>4</v>
      </c>
      <c r="AH773">
        <v>3</v>
      </c>
      <c r="AI773">
        <v>9</v>
      </c>
      <c r="AJ773">
        <v>4</v>
      </c>
      <c r="AK773">
        <v>7</v>
      </c>
      <c r="AL773" t="str" cm="1">
        <f t="array" ref="AL77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73">
        <v>0</v>
      </c>
    </row>
    <row r="774" spans="1:39" x14ac:dyDescent="0.25">
      <c r="A774">
        <v>56</v>
      </c>
      <c r="B774" t="s">
        <v>44</v>
      </c>
      <c r="C774" t="s">
        <v>45</v>
      </c>
      <c r="D774">
        <v>1240</v>
      </c>
      <c r="E774" t="s">
        <v>46</v>
      </c>
      <c r="G774">
        <v>9</v>
      </c>
      <c r="H774">
        <v>3</v>
      </c>
      <c r="I774" t="s">
        <v>52</v>
      </c>
      <c r="J774" t="str">
        <f>WA_Fn_UseC__HR_Employee_Attrition[[#This Row],[EducationField]]&amp;"-"&amp;WA_Fn_UseC__HR_Employee_Attrition[[#This Row],[Department]]</f>
        <v>Medical-Research &amp; Development</v>
      </c>
      <c r="K774">
        <v>1</v>
      </c>
      <c r="L774">
        <v>1071</v>
      </c>
      <c r="M774">
        <v>1</v>
      </c>
      <c r="N774" t="s">
        <v>40</v>
      </c>
      <c r="O774">
        <v>63</v>
      </c>
      <c r="P774">
        <v>3</v>
      </c>
      <c r="Q774">
        <v>1</v>
      </c>
      <c r="R774" t="s">
        <v>48</v>
      </c>
      <c r="S774">
        <v>3</v>
      </c>
      <c r="T774" t="s">
        <v>49</v>
      </c>
      <c r="U774">
        <v>2942</v>
      </c>
      <c r="V774" t="str" cm="1">
        <f t="array" ref="V77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74">
        <v>12154</v>
      </c>
      <c r="X774">
        <v>2</v>
      </c>
      <c r="Y774" t="s">
        <v>43</v>
      </c>
      <c r="Z774" t="s">
        <v>44</v>
      </c>
      <c r="AA774">
        <v>19</v>
      </c>
      <c r="AB774">
        <v>3</v>
      </c>
      <c r="AC774">
        <v>2</v>
      </c>
      <c r="AD774">
        <v>80</v>
      </c>
      <c r="AE774">
        <v>1</v>
      </c>
      <c r="AF774">
        <v>18</v>
      </c>
      <c r="AG774">
        <v>4</v>
      </c>
      <c r="AH774">
        <v>3</v>
      </c>
      <c r="AI774">
        <v>5</v>
      </c>
      <c r="AJ774">
        <v>4</v>
      </c>
      <c r="AK774">
        <v>0</v>
      </c>
      <c r="AL774" t="str" cm="1">
        <f t="array" ref="AL77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74">
        <v>3</v>
      </c>
    </row>
    <row r="775" spans="1:39" x14ac:dyDescent="0.25">
      <c r="A775">
        <v>36</v>
      </c>
      <c r="B775" t="s">
        <v>44</v>
      </c>
      <c r="C775" t="s">
        <v>37</v>
      </c>
      <c r="D775">
        <v>796</v>
      </c>
      <c r="E775" t="s">
        <v>46</v>
      </c>
      <c r="G775">
        <v>12</v>
      </c>
      <c r="H775">
        <v>5</v>
      </c>
      <c r="I775" t="s">
        <v>52</v>
      </c>
      <c r="J775" t="str">
        <f>WA_Fn_UseC__HR_Employee_Attrition[[#This Row],[EducationField]]&amp;"-"&amp;WA_Fn_UseC__HR_Employee_Attrition[[#This Row],[Department]]</f>
        <v>Medical-Research &amp; Development</v>
      </c>
      <c r="K775">
        <v>1</v>
      </c>
      <c r="L775">
        <v>1073</v>
      </c>
      <c r="M775">
        <v>4</v>
      </c>
      <c r="N775" t="s">
        <v>40</v>
      </c>
      <c r="O775">
        <v>51</v>
      </c>
      <c r="P775">
        <v>2</v>
      </c>
      <c r="Q775">
        <v>3</v>
      </c>
      <c r="R775" t="s">
        <v>54</v>
      </c>
      <c r="S775">
        <v>4</v>
      </c>
      <c r="T775" t="s">
        <v>42</v>
      </c>
      <c r="U775">
        <v>8858</v>
      </c>
      <c r="V775" t="str" cm="1">
        <f t="array" ref="V77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75">
        <v>15669</v>
      </c>
      <c r="X775">
        <v>0</v>
      </c>
      <c r="Y775" t="s">
        <v>43</v>
      </c>
      <c r="Z775" t="s">
        <v>44</v>
      </c>
      <c r="AA775">
        <v>11</v>
      </c>
      <c r="AB775">
        <v>3</v>
      </c>
      <c r="AC775">
        <v>2</v>
      </c>
      <c r="AD775">
        <v>80</v>
      </c>
      <c r="AE775">
        <v>0</v>
      </c>
      <c r="AF775">
        <v>15</v>
      </c>
      <c r="AG775">
        <v>2</v>
      </c>
      <c r="AH775">
        <v>2</v>
      </c>
      <c r="AI775">
        <v>14</v>
      </c>
      <c r="AJ775">
        <v>8</v>
      </c>
      <c r="AK775">
        <v>7</v>
      </c>
      <c r="AL775" t="str" cm="1">
        <f t="array" ref="AL77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75">
        <v>8</v>
      </c>
    </row>
    <row r="776" spans="1:39" x14ac:dyDescent="0.25">
      <c r="A776">
        <v>55</v>
      </c>
      <c r="B776" t="s">
        <v>44</v>
      </c>
      <c r="C776" t="s">
        <v>56</v>
      </c>
      <c r="D776">
        <v>444</v>
      </c>
      <c r="E776" t="s">
        <v>46</v>
      </c>
      <c r="G776">
        <v>2</v>
      </c>
      <c r="H776">
        <v>1</v>
      </c>
      <c r="I776" t="s">
        <v>52</v>
      </c>
      <c r="J776" t="str">
        <f>WA_Fn_UseC__HR_Employee_Attrition[[#This Row],[EducationField]]&amp;"-"&amp;WA_Fn_UseC__HR_Employee_Attrition[[#This Row],[Department]]</f>
        <v>Medical-Research &amp; Development</v>
      </c>
      <c r="K776">
        <v>1</v>
      </c>
      <c r="L776">
        <v>1074</v>
      </c>
      <c r="M776">
        <v>3</v>
      </c>
      <c r="N776" t="s">
        <v>47</v>
      </c>
      <c r="O776">
        <v>40</v>
      </c>
      <c r="P776">
        <v>2</v>
      </c>
      <c r="Q776">
        <v>4</v>
      </c>
      <c r="R776" t="s">
        <v>57</v>
      </c>
      <c r="S776">
        <v>1</v>
      </c>
      <c r="T776" t="s">
        <v>42</v>
      </c>
      <c r="U776">
        <v>16756</v>
      </c>
      <c r="V776" t="str" cm="1">
        <f t="array" ref="V77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76">
        <v>17323</v>
      </c>
      <c r="X776">
        <v>7</v>
      </c>
      <c r="Y776" t="s">
        <v>43</v>
      </c>
      <c r="Z776" t="s">
        <v>44</v>
      </c>
      <c r="AA776">
        <v>15</v>
      </c>
      <c r="AB776">
        <v>3</v>
      </c>
      <c r="AC776">
        <v>2</v>
      </c>
      <c r="AD776">
        <v>80</v>
      </c>
      <c r="AE776">
        <v>0</v>
      </c>
      <c r="AF776">
        <v>31</v>
      </c>
      <c r="AG776">
        <v>3</v>
      </c>
      <c r="AH776">
        <v>4</v>
      </c>
      <c r="AI776">
        <v>9</v>
      </c>
      <c r="AJ776">
        <v>7</v>
      </c>
      <c r="AK776">
        <v>6</v>
      </c>
      <c r="AL776" t="str" cm="1">
        <f t="array" ref="AL77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76">
        <v>2</v>
      </c>
    </row>
    <row r="777" spans="1:39" x14ac:dyDescent="0.25">
      <c r="A777">
        <v>43</v>
      </c>
      <c r="B777" t="s">
        <v>44</v>
      </c>
      <c r="C777" t="s">
        <v>37</v>
      </c>
      <c r="D777">
        <v>415</v>
      </c>
      <c r="E777" t="s">
        <v>38</v>
      </c>
      <c r="G777">
        <v>25</v>
      </c>
      <c r="H777">
        <v>3</v>
      </c>
      <c r="I777" t="s">
        <v>52</v>
      </c>
      <c r="J777" t="str">
        <f>WA_Fn_UseC__HR_Employee_Attrition[[#This Row],[EducationField]]&amp;"-"&amp;WA_Fn_UseC__HR_Employee_Attrition[[#This Row],[Department]]</f>
        <v>Medical-Sales</v>
      </c>
      <c r="K777">
        <v>1</v>
      </c>
      <c r="L777">
        <v>1076</v>
      </c>
      <c r="M777">
        <v>3</v>
      </c>
      <c r="N777" t="s">
        <v>47</v>
      </c>
      <c r="O777">
        <v>79</v>
      </c>
      <c r="P777">
        <v>2</v>
      </c>
      <c r="Q777">
        <v>3</v>
      </c>
      <c r="R777" t="s">
        <v>41</v>
      </c>
      <c r="S777">
        <v>4</v>
      </c>
      <c r="T777" t="s">
        <v>53</v>
      </c>
      <c r="U777">
        <v>10798</v>
      </c>
      <c r="V777" t="str" cm="1">
        <f t="array" ref="V77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77">
        <v>5268</v>
      </c>
      <c r="X777">
        <v>5</v>
      </c>
      <c r="Y777" t="s">
        <v>43</v>
      </c>
      <c r="Z777" t="s">
        <v>44</v>
      </c>
      <c r="AA777">
        <v>13</v>
      </c>
      <c r="AB777">
        <v>3</v>
      </c>
      <c r="AC777">
        <v>3</v>
      </c>
      <c r="AD777">
        <v>80</v>
      </c>
      <c r="AE777">
        <v>1</v>
      </c>
      <c r="AF777">
        <v>18</v>
      </c>
      <c r="AG777">
        <v>5</v>
      </c>
      <c r="AH777">
        <v>3</v>
      </c>
      <c r="AI777">
        <v>1</v>
      </c>
      <c r="AJ777">
        <v>0</v>
      </c>
      <c r="AK777">
        <v>0</v>
      </c>
      <c r="AL777" t="str" cm="1">
        <f t="array" ref="AL77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77">
        <v>0</v>
      </c>
    </row>
    <row r="778" spans="1:39" x14ac:dyDescent="0.25">
      <c r="A778">
        <v>20</v>
      </c>
      <c r="B778" t="s">
        <v>36</v>
      </c>
      <c r="C778" t="s">
        <v>45</v>
      </c>
      <c r="D778">
        <v>769</v>
      </c>
      <c r="E778" t="s">
        <v>38</v>
      </c>
      <c r="G778">
        <v>9</v>
      </c>
      <c r="H778">
        <v>3</v>
      </c>
      <c r="I778" t="s">
        <v>60</v>
      </c>
      <c r="J778" t="str">
        <f>WA_Fn_UseC__HR_Employee_Attrition[[#This Row],[EducationField]]&amp;"-"&amp;WA_Fn_UseC__HR_Employee_Attrition[[#This Row],[Department]]</f>
        <v>Marketing-Sales</v>
      </c>
      <c r="K778">
        <v>1</v>
      </c>
      <c r="L778">
        <v>1077</v>
      </c>
      <c r="M778">
        <v>4</v>
      </c>
      <c r="N778" t="s">
        <v>40</v>
      </c>
      <c r="O778">
        <v>54</v>
      </c>
      <c r="P778">
        <v>3</v>
      </c>
      <c r="Q778">
        <v>1</v>
      </c>
      <c r="R778" t="s">
        <v>58</v>
      </c>
      <c r="S778">
        <v>4</v>
      </c>
      <c r="T778" t="s">
        <v>42</v>
      </c>
      <c r="U778">
        <v>2323</v>
      </c>
      <c r="V778" t="str" cm="1">
        <f t="array" ref="V77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78">
        <v>17205</v>
      </c>
      <c r="X778">
        <v>1</v>
      </c>
      <c r="Y778" t="s">
        <v>43</v>
      </c>
      <c r="Z778" t="s">
        <v>36</v>
      </c>
      <c r="AA778">
        <v>14</v>
      </c>
      <c r="AB778">
        <v>3</v>
      </c>
      <c r="AC778">
        <v>2</v>
      </c>
      <c r="AD778">
        <v>80</v>
      </c>
      <c r="AE778">
        <v>0</v>
      </c>
      <c r="AF778">
        <v>2</v>
      </c>
      <c r="AG778">
        <v>3</v>
      </c>
      <c r="AH778">
        <v>3</v>
      </c>
      <c r="AI778">
        <v>2</v>
      </c>
      <c r="AJ778">
        <v>2</v>
      </c>
      <c r="AK778">
        <v>0</v>
      </c>
      <c r="AL778" t="str" cm="1">
        <f t="array" ref="AL77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78">
        <v>2</v>
      </c>
    </row>
    <row r="779" spans="1:39" x14ac:dyDescent="0.25">
      <c r="A779">
        <v>21</v>
      </c>
      <c r="B779" t="s">
        <v>36</v>
      </c>
      <c r="C779" t="s">
        <v>37</v>
      </c>
      <c r="D779">
        <v>1334</v>
      </c>
      <c r="E779" t="s">
        <v>46</v>
      </c>
      <c r="G779">
        <v>10</v>
      </c>
      <c r="H779">
        <v>3</v>
      </c>
      <c r="I779" t="s">
        <v>39</v>
      </c>
      <c r="J779" t="str">
        <f>WA_Fn_UseC__HR_Employee_Attrition[[#This Row],[EducationField]]&amp;"-"&amp;WA_Fn_UseC__HR_Employee_Attrition[[#This Row],[Department]]</f>
        <v>Life Sciences-Research &amp; Development</v>
      </c>
      <c r="K779">
        <v>1</v>
      </c>
      <c r="L779">
        <v>1079</v>
      </c>
      <c r="M779">
        <v>3</v>
      </c>
      <c r="N779" t="s">
        <v>40</v>
      </c>
      <c r="O779">
        <v>36</v>
      </c>
      <c r="P779">
        <v>2</v>
      </c>
      <c r="Q779">
        <v>1</v>
      </c>
      <c r="R779" t="s">
        <v>51</v>
      </c>
      <c r="S779">
        <v>1</v>
      </c>
      <c r="T779" t="s">
        <v>42</v>
      </c>
      <c r="U779">
        <v>1416</v>
      </c>
      <c r="V779" t="str" cm="1">
        <f t="array" ref="V77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79">
        <v>17258</v>
      </c>
      <c r="X779">
        <v>1</v>
      </c>
      <c r="Y779" t="s">
        <v>43</v>
      </c>
      <c r="Z779" t="s">
        <v>44</v>
      </c>
      <c r="AA779">
        <v>13</v>
      </c>
      <c r="AB779">
        <v>3</v>
      </c>
      <c r="AC779">
        <v>1</v>
      </c>
      <c r="AD779">
        <v>80</v>
      </c>
      <c r="AE779">
        <v>0</v>
      </c>
      <c r="AF779">
        <v>1</v>
      </c>
      <c r="AG779">
        <v>6</v>
      </c>
      <c r="AH779">
        <v>2</v>
      </c>
      <c r="AI779">
        <v>1</v>
      </c>
      <c r="AJ779">
        <v>0</v>
      </c>
      <c r="AK779">
        <v>1</v>
      </c>
      <c r="AL779" t="str" cm="1">
        <f t="array" ref="AL77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79">
        <v>0</v>
      </c>
    </row>
    <row r="780" spans="1:39" x14ac:dyDescent="0.25">
      <c r="A780">
        <v>46</v>
      </c>
      <c r="B780" t="s">
        <v>44</v>
      </c>
      <c r="C780" t="s">
        <v>37</v>
      </c>
      <c r="D780">
        <v>1003</v>
      </c>
      <c r="E780" t="s">
        <v>46</v>
      </c>
      <c r="G780">
        <v>8</v>
      </c>
      <c r="H780">
        <v>4</v>
      </c>
      <c r="I780" t="s">
        <v>39</v>
      </c>
      <c r="J780" t="str">
        <f>WA_Fn_UseC__HR_Employee_Attrition[[#This Row],[EducationField]]&amp;"-"&amp;WA_Fn_UseC__HR_Employee_Attrition[[#This Row],[Department]]</f>
        <v>Life Sciences-Research &amp; Development</v>
      </c>
      <c r="K780">
        <v>1</v>
      </c>
      <c r="L780">
        <v>1080</v>
      </c>
      <c r="M780">
        <v>4</v>
      </c>
      <c r="N780" t="s">
        <v>40</v>
      </c>
      <c r="O780">
        <v>74</v>
      </c>
      <c r="P780">
        <v>2</v>
      </c>
      <c r="Q780">
        <v>2</v>
      </c>
      <c r="R780" t="s">
        <v>48</v>
      </c>
      <c r="S780">
        <v>1</v>
      </c>
      <c r="T780" t="s">
        <v>53</v>
      </c>
      <c r="U780">
        <v>4615</v>
      </c>
      <c r="V780" t="str" cm="1">
        <f t="array" ref="V78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80">
        <v>21029</v>
      </c>
      <c r="X780">
        <v>8</v>
      </c>
      <c r="Y780" t="s">
        <v>43</v>
      </c>
      <c r="Z780" t="s">
        <v>36</v>
      </c>
      <c r="AA780">
        <v>23</v>
      </c>
      <c r="AB780">
        <v>4</v>
      </c>
      <c r="AC780">
        <v>1</v>
      </c>
      <c r="AD780">
        <v>80</v>
      </c>
      <c r="AE780">
        <v>3</v>
      </c>
      <c r="AF780">
        <v>19</v>
      </c>
      <c r="AG780">
        <v>2</v>
      </c>
      <c r="AH780">
        <v>3</v>
      </c>
      <c r="AI780">
        <v>16</v>
      </c>
      <c r="AJ780">
        <v>13</v>
      </c>
      <c r="AK780">
        <v>1</v>
      </c>
      <c r="AL780" t="str" cm="1">
        <f t="array" ref="AL78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80">
        <v>7</v>
      </c>
    </row>
    <row r="781" spans="1:39" x14ac:dyDescent="0.25">
      <c r="A781">
        <v>51</v>
      </c>
      <c r="B781" t="s">
        <v>36</v>
      </c>
      <c r="C781" t="s">
        <v>37</v>
      </c>
      <c r="D781">
        <v>1323</v>
      </c>
      <c r="E781" t="s">
        <v>46</v>
      </c>
      <c r="G781">
        <v>4</v>
      </c>
      <c r="H781">
        <v>4</v>
      </c>
      <c r="I781" t="s">
        <v>39</v>
      </c>
      <c r="J781" t="str">
        <f>WA_Fn_UseC__HR_Employee_Attrition[[#This Row],[EducationField]]&amp;"-"&amp;WA_Fn_UseC__HR_Employee_Attrition[[#This Row],[Department]]</f>
        <v>Life Sciences-Research &amp; Development</v>
      </c>
      <c r="K781">
        <v>1</v>
      </c>
      <c r="L781">
        <v>1081</v>
      </c>
      <c r="M781">
        <v>1</v>
      </c>
      <c r="N781" t="s">
        <v>47</v>
      </c>
      <c r="O781">
        <v>34</v>
      </c>
      <c r="P781">
        <v>3</v>
      </c>
      <c r="Q781">
        <v>1</v>
      </c>
      <c r="R781" t="s">
        <v>48</v>
      </c>
      <c r="S781">
        <v>3</v>
      </c>
      <c r="T781" t="s">
        <v>49</v>
      </c>
      <c r="U781">
        <v>2461</v>
      </c>
      <c r="V781" t="str" cm="1">
        <f t="array" ref="V78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81">
        <v>10332</v>
      </c>
      <c r="X781">
        <v>9</v>
      </c>
      <c r="Y781" t="s">
        <v>43</v>
      </c>
      <c r="Z781" t="s">
        <v>36</v>
      </c>
      <c r="AA781">
        <v>12</v>
      </c>
      <c r="AB781">
        <v>3</v>
      </c>
      <c r="AC781">
        <v>3</v>
      </c>
      <c r="AD781">
        <v>80</v>
      </c>
      <c r="AE781">
        <v>3</v>
      </c>
      <c r="AF781">
        <v>18</v>
      </c>
      <c r="AG781">
        <v>2</v>
      </c>
      <c r="AH781">
        <v>4</v>
      </c>
      <c r="AI781">
        <v>10</v>
      </c>
      <c r="AJ781">
        <v>0</v>
      </c>
      <c r="AK781">
        <v>2</v>
      </c>
      <c r="AL781" t="str" cm="1">
        <f t="array" ref="AL78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81">
        <v>7</v>
      </c>
    </row>
    <row r="782" spans="1:39" x14ac:dyDescent="0.25">
      <c r="A782">
        <v>28</v>
      </c>
      <c r="B782" t="s">
        <v>36</v>
      </c>
      <c r="C782" t="s">
        <v>56</v>
      </c>
      <c r="D782">
        <v>1366</v>
      </c>
      <c r="E782" t="s">
        <v>46</v>
      </c>
      <c r="G782">
        <v>24</v>
      </c>
      <c r="H782">
        <v>2</v>
      </c>
      <c r="I782" t="s">
        <v>61</v>
      </c>
      <c r="J782" t="str">
        <f>WA_Fn_UseC__HR_Employee_Attrition[[#This Row],[EducationField]]&amp;"-"&amp;WA_Fn_UseC__HR_Employee_Attrition[[#This Row],[Department]]</f>
        <v>Technical Degree-Research &amp; Development</v>
      </c>
      <c r="K782">
        <v>1</v>
      </c>
      <c r="L782">
        <v>1082</v>
      </c>
      <c r="M782">
        <v>2</v>
      </c>
      <c r="N782" t="s">
        <v>47</v>
      </c>
      <c r="O782">
        <v>72</v>
      </c>
      <c r="P782">
        <v>2</v>
      </c>
      <c r="Q782">
        <v>3</v>
      </c>
      <c r="R782" t="s">
        <v>55</v>
      </c>
      <c r="S782">
        <v>1</v>
      </c>
      <c r="T782" t="s">
        <v>42</v>
      </c>
      <c r="U782">
        <v>8722</v>
      </c>
      <c r="V782" t="str" cm="1">
        <f t="array" ref="V78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82">
        <v>12355</v>
      </c>
      <c r="X782">
        <v>1</v>
      </c>
      <c r="Y782" t="s">
        <v>43</v>
      </c>
      <c r="Z782" t="s">
        <v>44</v>
      </c>
      <c r="AA782">
        <v>12</v>
      </c>
      <c r="AB782">
        <v>3</v>
      </c>
      <c r="AC782">
        <v>1</v>
      </c>
      <c r="AD782">
        <v>80</v>
      </c>
      <c r="AE782">
        <v>0</v>
      </c>
      <c r="AF782">
        <v>10</v>
      </c>
      <c r="AG782">
        <v>2</v>
      </c>
      <c r="AH782">
        <v>2</v>
      </c>
      <c r="AI782">
        <v>10</v>
      </c>
      <c r="AJ782">
        <v>7</v>
      </c>
      <c r="AK782">
        <v>1</v>
      </c>
      <c r="AL782" t="str" cm="1">
        <f t="array" ref="AL78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82">
        <v>9</v>
      </c>
    </row>
    <row r="783" spans="1:39" x14ac:dyDescent="0.25">
      <c r="A783">
        <v>26</v>
      </c>
      <c r="B783" t="s">
        <v>44</v>
      </c>
      <c r="C783" t="s">
        <v>37</v>
      </c>
      <c r="D783">
        <v>192</v>
      </c>
      <c r="E783" t="s">
        <v>46</v>
      </c>
      <c r="G783">
        <v>1</v>
      </c>
      <c r="H783">
        <v>2</v>
      </c>
      <c r="I783" t="s">
        <v>52</v>
      </c>
      <c r="J783" t="str">
        <f>WA_Fn_UseC__HR_Employee_Attrition[[#This Row],[EducationField]]&amp;"-"&amp;WA_Fn_UseC__HR_Employee_Attrition[[#This Row],[Department]]</f>
        <v>Medical-Research &amp; Development</v>
      </c>
      <c r="K783">
        <v>1</v>
      </c>
      <c r="L783">
        <v>1083</v>
      </c>
      <c r="M783">
        <v>1</v>
      </c>
      <c r="N783" t="s">
        <v>47</v>
      </c>
      <c r="O783">
        <v>59</v>
      </c>
      <c r="P783">
        <v>2</v>
      </c>
      <c r="Q783">
        <v>1</v>
      </c>
      <c r="R783" t="s">
        <v>51</v>
      </c>
      <c r="S783">
        <v>1</v>
      </c>
      <c r="T783" t="s">
        <v>49</v>
      </c>
      <c r="U783">
        <v>3955</v>
      </c>
      <c r="V783" t="str" cm="1">
        <f t="array" ref="V78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83">
        <v>11141</v>
      </c>
      <c r="X783">
        <v>1</v>
      </c>
      <c r="Y783" t="s">
        <v>43</v>
      </c>
      <c r="Z783" t="s">
        <v>44</v>
      </c>
      <c r="AA783">
        <v>16</v>
      </c>
      <c r="AB783">
        <v>3</v>
      </c>
      <c r="AC783">
        <v>1</v>
      </c>
      <c r="AD783">
        <v>80</v>
      </c>
      <c r="AE783">
        <v>2</v>
      </c>
      <c r="AF783">
        <v>6</v>
      </c>
      <c r="AG783">
        <v>2</v>
      </c>
      <c r="AH783">
        <v>3</v>
      </c>
      <c r="AI783">
        <v>5</v>
      </c>
      <c r="AJ783">
        <v>3</v>
      </c>
      <c r="AK783">
        <v>1</v>
      </c>
      <c r="AL783" t="str" cm="1">
        <f t="array" ref="AL78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83">
        <v>3</v>
      </c>
    </row>
    <row r="784" spans="1:39" x14ac:dyDescent="0.25">
      <c r="A784">
        <v>30</v>
      </c>
      <c r="B784" t="s">
        <v>44</v>
      </c>
      <c r="C784" t="s">
        <v>37</v>
      </c>
      <c r="D784">
        <v>1176</v>
      </c>
      <c r="E784" t="s">
        <v>46</v>
      </c>
      <c r="G784">
        <v>20</v>
      </c>
      <c r="H784">
        <v>3</v>
      </c>
      <c r="I784" t="s">
        <v>50</v>
      </c>
      <c r="J784" t="str">
        <f>WA_Fn_UseC__HR_Employee_Attrition[[#This Row],[EducationField]]&amp;"-"&amp;WA_Fn_UseC__HR_Employee_Attrition[[#This Row],[Department]]</f>
        <v>Other-Research &amp; Development</v>
      </c>
      <c r="K784">
        <v>1</v>
      </c>
      <c r="L784">
        <v>1084</v>
      </c>
      <c r="M784">
        <v>3</v>
      </c>
      <c r="N784" t="s">
        <v>47</v>
      </c>
      <c r="O784">
        <v>85</v>
      </c>
      <c r="P784">
        <v>3</v>
      </c>
      <c r="Q784">
        <v>2</v>
      </c>
      <c r="R784" t="s">
        <v>54</v>
      </c>
      <c r="S784">
        <v>1</v>
      </c>
      <c r="T784" t="s">
        <v>49</v>
      </c>
      <c r="U784">
        <v>9957</v>
      </c>
      <c r="V784" t="str" cm="1">
        <f t="array" ref="V78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84">
        <v>9096</v>
      </c>
      <c r="X784">
        <v>0</v>
      </c>
      <c r="Y784" t="s">
        <v>43</v>
      </c>
      <c r="Z784" t="s">
        <v>44</v>
      </c>
      <c r="AA784">
        <v>15</v>
      </c>
      <c r="AB784">
        <v>3</v>
      </c>
      <c r="AC784">
        <v>3</v>
      </c>
      <c r="AD784">
        <v>80</v>
      </c>
      <c r="AE784">
        <v>1</v>
      </c>
      <c r="AF784">
        <v>7</v>
      </c>
      <c r="AG784">
        <v>1</v>
      </c>
      <c r="AH784">
        <v>2</v>
      </c>
      <c r="AI784">
        <v>6</v>
      </c>
      <c r="AJ784">
        <v>2</v>
      </c>
      <c r="AK784">
        <v>0</v>
      </c>
      <c r="AL784" t="str" cm="1">
        <f t="array" ref="AL78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84">
        <v>2</v>
      </c>
    </row>
    <row r="785" spans="1:39" x14ac:dyDescent="0.25">
      <c r="A785">
        <v>41</v>
      </c>
      <c r="B785" t="s">
        <v>44</v>
      </c>
      <c r="C785" t="s">
        <v>37</v>
      </c>
      <c r="D785">
        <v>509</v>
      </c>
      <c r="E785" t="s">
        <v>46</v>
      </c>
      <c r="G785">
        <v>7</v>
      </c>
      <c r="H785">
        <v>2</v>
      </c>
      <c r="I785" t="s">
        <v>61</v>
      </c>
      <c r="J785" t="str">
        <f>WA_Fn_UseC__HR_Employee_Attrition[[#This Row],[EducationField]]&amp;"-"&amp;WA_Fn_UseC__HR_Employee_Attrition[[#This Row],[Department]]</f>
        <v>Technical Degree-Research &amp; Development</v>
      </c>
      <c r="K785">
        <v>1</v>
      </c>
      <c r="L785">
        <v>1085</v>
      </c>
      <c r="M785">
        <v>2</v>
      </c>
      <c r="N785" t="s">
        <v>40</v>
      </c>
      <c r="O785">
        <v>43</v>
      </c>
      <c r="P785">
        <v>4</v>
      </c>
      <c r="Q785">
        <v>1</v>
      </c>
      <c r="R785" t="s">
        <v>48</v>
      </c>
      <c r="S785">
        <v>3</v>
      </c>
      <c r="T785" t="s">
        <v>49</v>
      </c>
      <c r="U785">
        <v>3376</v>
      </c>
      <c r="V785" t="str" cm="1">
        <f t="array" ref="V78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85">
        <v>18863</v>
      </c>
      <c r="X785">
        <v>1</v>
      </c>
      <c r="Y785" t="s">
        <v>43</v>
      </c>
      <c r="Z785" t="s">
        <v>44</v>
      </c>
      <c r="AA785">
        <v>13</v>
      </c>
      <c r="AB785">
        <v>3</v>
      </c>
      <c r="AC785">
        <v>3</v>
      </c>
      <c r="AD785">
        <v>80</v>
      </c>
      <c r="AE785">
        <v>0</v>
      </c>
      <c r="AF785">
        <v>10</v>
      </c>
      <c r="AG785">
        <v>3</v>
      </c>
      <c r="AH785">
        <v>3</v>
      </c>
      <c r="AI785">
        <v>10</v>
      </c>
      <c r="AJ785">
        <v>6</v>
      </c>
      <c r="AK785">
        <v>0</v>
      </c>
      <c r="AL785" t="str" cm="1">
        <f t="array" ref="AL78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85">
        <v>8</v>
      </c>
    </row>
    <row r="786" spans="1:39" x14ac:dyDescent="0.25">
      <c r="A786">
        <v>38</v>
      </c>
      <c r="B786" t="s">
        <v>44</v>
      </c>
      <c r="C786" t="s">
        <v>37</v>
      </c>
      <c r="D786">
        <v>330</v>
      </c>
      <c r="E786" t="s">
        <v>46</v>
      </c>
      <c r="G786">
        <v>17</v>
      </c>
      <c r="H786">
        <v>1</v>
      </c>
      <c r="I786" t="s">
        <v>39</v>
      </c>
      <c r="J786" t="str">
        <f>WA_Fn_UseC__HR_Employee_Attrition[[#This Row],[EducationField]]&amp;"-"&amp;WA_Fn_UseC__HR_Employee_Attrition[[#This Row],[Department]]</f>
        <v>Life Sciences-Research &amp; Development</v>
      </c>
      <c r="K786">
        <v>1</v>
      </c>
      <c r="L786">
        <v>1088</v>
      </c>
      <c r="M786">
        <v>3</v>
      </c>
      <c r="N786" t="s">
        <v>40</v>
      </c>
      <c r="O786">
        <v>65</v>
      </c>
      <c r="P786">
        <v>2</v>
      </c>
      <c r="Q786">
        <v>3</v>
      </c>
      <c r="R786" t="s">
        <v>55</v>
      </c>
      <c r="S786">
        <v>3</v>
      </c>
      <c r="T786" t="s">
        <v>49</v>
      </c>
      <c r="U786">
        <v>8823</v>
      </c>
      <c r="V786" t="str" cm="1">
        <f t="array" ref="V78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86">
        <v>24608</v>
      </c>
      <c r="X786">
        <v>0</v>
      </c>
      <c r="Y786" t="s">
        <v>43</v>
      </c>
      <c r="Z786" t="s">
        <v>44</v>
      </c>
      <c r="AA786">
        <v>18</v>
      </c>
      <c r="AB786">
        <v>3</v>
      </c>
      <c r="AC786">
        <v>1</v>
      </c>
      <c r="AD786">
        <v>80</v>
      </c>
      <c r="AE786">
        <v>1</v>
      </c>
      <c r="AF786">
        <v>20</v>
      </c>
      <c r="AG786">
        <v>4</v>
      </c>
      <c r="AH786">
        <v>2</v>
      </c>
      <c r="AI786">
        <v>19</v>
      </c>
      <c r="AJ786">
        <v>9</v>
      </c>
      <c r="AK786">
        <v>1</v>
      </c>
      <c r="AL786" t="str" cm="1">
        <f t="array" ref="AL78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86">
        <v>9</v>
      </c>
    </row>
    <row r="787" spans="1:39" x14ac:dyDescent="0.25">
      <c r="A787">
        <v>40</v>
      </c>
      <c r="B787" t="s">
        <v>44</v>
      </c>
      <c r="C787" t="s">
        <v>37</v>
      </c>
      <c r="D787">
        <v>1492</v>
      </c>
      <c r="E787" t="s">
        <v>46</v>
      </c>
      <c r="G787">
        <v>20</v>
      </c>
      <c r="H787">
        <v>4</v>
      </c>
      <c r="I787" t="s">
        <v>61</v>
      </c>
      <c r="J787" t="str">
        <f>WA_Fn_UseC__HR_Employee_Attrition[[#This Row],[EducationField]]&amp;"-"&amp;WA_Fn_UseC__HR_Employee_Attrition[[#This Row],[Department]]</f>
        <v>Technical Degree-Research &amp; Development</v>
      </c>
      <c r="K787">
        <v>1</v>
      </c>
      <c r="L787">
        <v>1092</v>
      </c>
      <c r="M787">
        <v>1</v>
      </c>
      <c r="N787" t="s">
        <v>47</v>
      </c>
      <c r="O787">
        <v>61</v>
      </c>
      <c r="P787">
        <v>3</v>
      </c>
      <c r="Q787">
        <v>3</v>
      </c>
      <c r="R787" t="s">
        <v>55</v>
      </c>
      <c r="S787">
        <v>4</v>
      </c>
      <c r="T787" t="s">
        <v>49</v>
      </c>
      <c r="U787">
        <v>10322</v>
      </c>
      <c r="V787" t="str" cm="1">
        <f t="array" ref="V78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87">
        <v>26542</v>
      </c>
      <c r="X787">
        <v>4</v>
      </c>
      <c r="Y787" t="s">
        <v>43</v>
      </c>
      <c r="Z787" t="s">
        <v>44</v>
      </c>
      <c r="AA787">
        <v>20</v>
      </c>
      <c r="AB787">
        <v>4</v>
      </c>
      <c r="AC787">
        <v>4</v>
      </c>
      <c r="AD787">
        <v>80</v>
      </c>
      <c r="AE787">
        <v>1</v>
      </c>
      <c r="AF787">
        <v>14</v>
      </c>
      <c r="AG787">
        <v>6</v>
      </c>
      <c r="AH787">
        <v>3</v>
      </c>
      <c r="AI787">
        <v>11</v>
      </c>
      <c r="AJ787">
        <v>10</v>
      </c>
      <c r="AK787">
        <v>11</v>
      </c>
      <c r="AL787" t="str" cm="1">
        <f t="array" ref="AL78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87">
        <v>1</v>
      </c>
    </row>
    <row r="788" spans="1:39" x14ac:dyDescent="0.25">
      <c r="A788">
        <v>27</v>
      </c>
      <c r="B788" t="s">
        <v>44</v>
      </c>
      <c r="C788" t="s">
        <v>56</v>
      </c>
      <c r="D788">
        <v>1277</v>
      </c>
      <c r="E788" t="s">
        <v>46</v>
      </c>
      <c r="G788">
        <v>8</v>
      </c>
      <c r="H788">
        <v>5</v>
      </c>
      <c r="I788" t="s">
        <v>39</v>
      </c>
      <c r="J788" t="str">
        <f>WA_Fn_UseC__HR_Employee_Attrition[[#This Row],[EducationField]]&amp;"-"&amp;WA_Fn_UseC__HR_Employee_Attrition[[#This Row],[Department]]</f>
        <v>Life Sciences-Research &amp; Development</v>
      </c>
      <c r="K788">
        <v>1</v>
      </c>
      <c r="L788">
        <v>1094</v>
      </c>
      <c r="M788">
        <v>1</v>
      </c>
      <c r="N788" t="s">
        <v>47</v>
      </c>
      <c r="O788">
        <v>87</v>
      </c>
      <c r="P788">
        <v>1</v>
      </c>
      <c r="Q788">
        <v>1</v>
      </c>
      <c r="R788" t="s">
        <v>51</v>
      </c>
      <c r="S788">
        <v>3</v>
      </c>
      <c r="T788" t="s">
        <v>49</v>
      </c>
      <c r="U788">
        <v>4621</v>
      </c>
      <c r="V788" t="str" cm="1">
        <f t="array" ref="V78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88">
        <v>5869</v>
      </c>
      <c r="X788">
        <v>1</v>
      </c>
      <c r="Y788" t="s">
        <v>43</v>
      </c>
      <c r="Z788" t="s">
        <v>44</v>
      </c>
      <c r="AA788">
        <v>19</v>
      </c>
      <c r="AB788">
        <v>3</v>
      </c>
      <c r="AC788">
        <v>4</v>
      </c>
      <c r="AD788">
        <v>80</v>
      </c>
      <c r="AE788">
        <v>3</v>
      </c>
      <c r="AF788">
        <v>3</v>
      </c>
      <c r="AG788">
        <v>4</v>
      </c>
      <c r="AH788">
        <v>3</v>
      </c>
      <c r="AI788">
        <v>3</v>
      </c>
      <c r="AJ788">
        <v>2</v>
      </c>
      <c r="AK788">
        <v>1</v>
      </c>
      <c r="AL788" t="str" cm="1">
        <f t="array" ref="AL78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88">
        <v>2</v>
      </c>
    </row>
    <row r="789" spans="1:39" x14ac:dyDescent="0.25">
      <c r="A789">
        <v>55</v>
      </c>
      <c r="B789" t="s">
        <v>44</v>
      </c>
      <c r="C789" t="s">
        <v>45</v>
      </c>
      <c r="D789">
        <v>1091</v>
      </c>
      <c r="E789" t="s">
        <v>46</v>
      </c>
      <c r="G789">
        <v>2</v>
      </c>
      <c r="H789">
        <v>1</v>
      </c>
      <c r="I789" t="s">
        <v>39</v>
      </c>
      <c r="J789" t="str">
        <f>WA_Fn_UseC__HR_Employee_Attrition[[#This Row],[EducationField]]&amp;"-"&amp;WA_Fn_UseC__HR_Employee_Attrition[[#This Row],[Department]]</f>
        <v>Life Sciences-Research &amp; Development</v>
      </c>
      <c r="K789">
        <v>1</v>
      </c>
      <c r="L789">
        <v>1096</v>
      </c>
      <c r="M789">
        <v>4</v>
      </c>
      <c r="N789" t="s">
        <v>47</v>
      </c>
      <c r="O789">
        <v>65</v>
      </c>
      <c r="P789">
        <v>3</v>
      </c>
      <c r="Q789">
        <v>3</v>
      </c>
      <c r="R789" t="s">
        <v>54</v>
      </c>
      <c r="S789">
        <v>2</v>
      </c>
      <c r="T789" t="s">
        <v>49</v>
      </c>
      <c r="U789">
        <v>10976</v>
      </c>
      <c r="V789" t="str" cm="1">
        <f t="array" ref="V78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89">
        <v>15813</v>
      </c>
      <c r="X789">
        <v>3</v>
      </c>
      <c r="Y789" t="s">
        <v>43</v>
      </c>
      <c r="Z789" t="s">
        <v>44</v>
      </c>
      <c r="AA789">
        <v>18</v>
      </c>
      <c r="AB789">
        <v>3</v>
      </c>
      <c r="AC789">
        <v>2</v>
      </c>
      <c r="AD789">
        <v>80</v>
      </c>
      <c r="AE789">
        <v>1</v>
      </c>
      <c r="AF789">
        <v>23</v>
      </c>
      <c r="AG789">
        <v>4</v>
      </c>
      <c r="AH789">
        <v>3</v>
      </c>
      <c r="AI789">
        <v>3</v>
      </c>
      <c r="AJ789">
        <v>2</v>
      </c>
      <c r="AK789">
        <v>1</v>
      </c>
      <c r="AL789" t="str" cm="1">
        <f t="array" ref="AL78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89">
        <v>2</v>
      </c>
    </row>
    <row r="790" spans="1:39" x14ac:dyDescent="0.25">
      <c r="A790">
        <v>28</v>
      </c>
      <c r="B790" t="s">
        <v>44</v>
      </c>
      <c r="C790" t="s">
        <v>37</v>
      </c>
      <c r="D790">
        <v>857</v>
      </c>
      <c r="E790" t="s">
        <v>46</v>
      </c>
      <c r="G790">
        <v>10</v>
      </c>
      <c r="H790">
        <v>3</v>
      </c>
      <c r="I790" t="s">
        <v>50</v>
      </c>
      <c r="J790" t="str">
        <f>WA_Fn_UseC__HR_Employee_Attrition[[#This Row],[EducationField]]&amp;"-"&amp;WA_Fn_UseC__HR_Employee_Attrition[[#This Row],[Department]]</f>
        <v>Other-Research &amp; Development</v>
      </c>
      <c r="K790">
        <v>1</v>
      </c>
      <c r="L790">
        <v>1097</v>
      </c>
      <c r="M790">
        <v>3</v>
      </c>
      <c r="N790" t="s">
        <v>40</v>
      </c>
      <c r="O790">
        <v>59</v>
      </c>
      <c r="P790">
        <v>3</v>
      </c>
      <c r="Q790">
        <v>2</v>
      </c>
      <c r="R790" t="s">
        <v>48</v>
      </c>
      <c r="S790">
        <v>3</v>
      </c>
      <c r="T790" t="s">
        <v>42</v>
      </c>
      <c r="U790">
        <v>3660</v>
      </c>
      <c r="V790" t="str" cm="1">
        <f t="array" ref="V79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90">
        <v>7909</v>
      </c>
      <c r="X790">
        <v>3</v>
      </c>
      <c r="Y790" t="s">
        <v>43</v>
      </c>
      <c r="Z790" t="s">
        <v>44</v>
      </c>
      <c r="AA790">
        <v>13</v>
      </c>
      <c r="AB790">
        <v>3</v>
      </c>
      <c r="AC790">
        <v>4</v>
      </c>
      <c r="AD790">
        <v>80</v>
      </c>
      <c r="AE790">
        <v>0</v>
      </c>
      <c r="AF790">
        <v>10</v>
      </c>
      <c r="AG790">
        <v>4</v>
      </c>
      <c r="AH790">
        <v>4</v>
      </c>
      <c r="AI790">
        <v>8</v>
      </c>
      <c r="AJ790">
        <v>7</v>
      </c>
      <c r="AK790">
        <v>1</v>
      </c>
      <c r="AL790" t="str" cm="1">
        <f t="array" ref="AL79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90">
        <v>7</v>
      </c>
    </row>
    <row r="791" spans="1:39" x14ac:dyDescent="0.25">
      <c r="A791">
        <v>44</v>
      </c>
      <c r="B791" t="s">
        <v>36</v>
      </c>
      <c r="C791" t="s">
        <v>37</v>
      </c>
      <c r="D791">
        <v>1376</v>
      </c>
      <c r="E791" t="s">
        <v>62</v>
      </c>
      <c r="G791">
        <v>1</v>
      </c>
      <c r="H791">
        <v>2</v>
      </c>
      <c r="I791" t="s">
        <v>52</v>
      </c>
      <c r="J791" t="str">
        <f>WA_Fn_UseC__HR_Employee_Attrition[[#This Row],[EducationField]]&amp;"-"&amp;WA_Fn_UseC__HR_Employee_Attrition[[#This Row],[Department]]</f>
        <v>Medical-Human Resources</v>
      </c>
      <c r="K791">
        <v>1</v>
      </c>
      <c r="L791">
        <v>1098</v>
      </c>
      <c r="M791">
        <v>2</v>
      </c>
      <c r="N791" t="s">
        <v>47</v>
      </c>
      <c r="O791">
        <v>91</v>
      </c>
      <c r="P791">
        <v>2</v>
      </c>
      <c r="Q791">
        <v>3</v>
      </c>
      <c r="R791" t="s">
        <v>62</v>
      </c>
      <c r="S791">
        <v>1</v>
      </c>
      <c r="T791" t="s">
        <v>49</v>
      </c>
      <c r="U791">
        <v>10482</v>
      </c>
      <c r="V791" t="str" cm="1">
        <f t="array" ref="V79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91">
        <v>2326</v>
      </c>
      <c r="X791">
        <v>9</v>
      </c>
      <c r="Y791" t="s">
        <v>43</v>
      </c>
      <c r="Z791" t="s">
        <v>44</v>
      </c>
      <c r="AA791">
        <v>14</v>
      </c>
      <c r="AB791">
        <v>3</v>
      </c>
      <c r="AC791">
        <v>4</v>
      </c>
      <c r="AD791">
        <v>80</v>
      </c>
      <c r="AE791">
        <v>1</v>
      </c>
      <c r="AF791">
        <v>24</v>
      </c>
      <c r="AG791">
        <v>1</v>
      </c>
      <c r="AH791">
        <v>3</v>
      </c>
      <c r="AI791">
        <v>20</v>
      </c>
      <c r="AJ791">
        <v>6</v>
      </c>
      <c r="AK791">
        <v>3</v>
      </c>
      <c r="AL791" t="str" cm="1">
        <f t="array" ref="AL79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91">
        <v>6</v>
      </c>
    </row>
    <row r="792" spans="1:39" x14ac:dyDescent="0.25">
      <c r="A792">
        <v>33</v>
      </c>
      <c r="B792" t="s">
        <v>44</v>
      </c>
      <c r="C792" t="s">
        <v>37</v>
      </c>
      <c r="D792">
        <v>654</v>
      </c>
      <c r="E792" t="s">
        <v>46</v>
      </c>
      <c r="G792">
        <v>5</v>
      </c>
      <c r="H792">
        <v>3</v>
      </c>
      <c r="I792" t="s">
        <v>39</v>
      </c>
      <c r="J792" t="str">
        <f>WA_Fn_UseC__HR_Employee_Attrition[[#This Row],[EducationField]]&amp;"-"&amp;WA_Fn_UseC__HR_Employee_Attrition[[#This Row],[Department]]</f>
        <v>Life Sciences-Research &amp; Development</v>
      </c>
      <c r="K792">
        <v>1</v>
      </c>
      <c r="L792">
        <v>1099</v>
      </c>
      <c r="M792">
        <v>4</v>
      </c>
      <c r="N792" t="s">
        <v>47</v>
      </c>
      <c r="O792">
        <v>34</v>
      </c>
      <c r="P792">
        <v>2</v>
      </c>
      <c r="Q792">
        <v>3</v>
      </c>
      <c r="R792" t="s">
        <v>55</v>
      </c>
      <c r="S792">
        <v>4</v>
      </c>
      <c r="T792" t="s">
        <v>53</v>
      </c>
      <c r="U792">
        <v>7119</v>
      </c>
      <c r="V792" t="str" cm="1">
        <f t="array" ref="V79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92">
        <v>21214</v>
      </c>
      <c r="X792">
        <v>4</v>
      </c>
      <c r="Y792" t="s">
        <v>43</v>
      </c>
      <c r="Z792" t="s">
        <v>44</v>
      </c>
      <c r="AA792">
        <v>15</v>
      </c>
      <c r="AB792">
        <v>3</v>
      </c>
      <c r="AC792">
        <v>3</v>
      </c>
      <c r="AD792">
        <v>80</v>
      </c>
      <c r="AE792">
        <v>1</v>
      </c>
      <c r="AF792">
        <v>9</v>
      </c>
      <c r="AG792">
        <v>2</v>
      </c>
      <c r="AH792">
        <v>3</v>
      </c>
      <c r="AI792">
        <v>3</v>
      </c>
      <c r="AJ792">
        <v>2</v>
      </c>
      <c r="AK792">
        <v>1</v>
      </c>
      <c r="AL792" t="str" cm="1">
        <f t="array" ref="AL79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92">
        <v>2</v>
      </c>
    </row>
    <row r="793" spans="1:39" x14ac:dyDescent="0.25">
      <c r="A793">
        <v>35</v>
      </c>
      <c r="B793" t="s">
        <v>36</v>
      </c>
      <c r="C793" t="s">
        <v>37</v>
      </c>
      <c r="D793">
        <v>1204</v>
      </c>
      <c r="E793" t="s">
        <v>38</v>
      </c>
      <c r="G793">
        <v>4</v>
      </c>
      <c r="H793">
        <v>3</v>
      </c>
      <c r="I793" t="s">
        <v>61</v>
      </c>
      <c r="J793" t="str">
        <f>WA_Fn_UseC__HR_Employee_Attrition[[#This Row],[EducationField]]&amp;"-"&amp;WA_Fn_UseC__HR_Employee_Attrition[[#This Row],[Department]]</f>
        <v>Technical Degree-Sales</v>
      </c>
      <c r="K793">
        <v>1</v>
      </c>
      <c r="L793">
        <v>1100</v>
      </c>
      <c r="M793">
        <v>4</v>
      </c>
      <c r="N793" t="s">
        <v>47</v>
      </c>
      <c r="O793">
        <v>86</v>
      </c>
      <c r="P793">
        <v>3</v>
      </c>
      <c r="Q793">
        <v>3</v>
      </c>
      <c r="R793" t="s">
        <v>41</v>
      </c>
      <c r="S793">
        <v>1</v>
      </c>
      <c r="T793" t="s">
        <v>42</v>
      </c>
      <c r="U793">
        <v>9582</v>
      </c>
      <c r="V793" t="str" cm="1">
        <f t="array" ref="V79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93">
        <v>10333</v>
      </c>
      <c r="X793">
        <v>0</v>
      </c>
      <c r="Y793" t="s">
        <v>43</v>
      </c>
      <c r="Z793" t="s">
        <v>36</v>
      </c>
      <c r="AA793">
        <v>22</v>
      </c>
      <c r="AB793">
        <v>4</v>
      </c>
      <c r="AC793">
        <v>1</v>
      </c>
      <c r="AD793">
        <v>80</v>
      </c>
      <c r="AE793">
        <v>0</v>
      </c>
      <c r="AF793">
        <v>9</v>
      </c>
      <c r="AG793">
        <v>2</v>
      </c>
      <c r="AH793">
        <v>3</v>
      </c>
      <c r="AI793">
        <v>8</v>
      </c>
      <c r="AJ793">
        <v>7</v>
      </c>
      <c r="AK793">
        <v>4</v>
      </c>
      <c r="AL793" t="str" cm="1">
        <f t="array" ref="AL79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93">
        <v>7</v>
      </c>
    </row>
    <row r="794" spans="1:39" x14ac:dyDescent="0.25">
      <c r="A794">
        <v>33</v>
      </c>
      <c r="B794" t="s">
        <v>36</v>
      </c>
      <c r="C794" t="s">
        <v>45</v>
      </c>
      <c r="D794">
        <v>827</v>
      </c>
      <c r="E794" t="s">
        <v>46</v>
      </c>
      <c r="G794">
        <v>29</v>
      </c>
      <c r="H794">
        <v>4</v>
      </c>
      <c r="I794" t="s">
        <v>52</v>
      </c>
      <c r="J794" t="str">
        <f>WA_Fn_UseC__HR_Employee_Attrition[[#This Row],[EducationField]]&amp;"-"&amp;WA_Fn_UseC__HR_Employee_Attrition[[#This Row],[Department]]</f>
        <v>Medical-Research &amp; Development</v>
      </c>
      <c r="K794">
        <v>1</v>
      </c>
      <c r="L794">
        <v>1101</v>
      </c>
      <c r="M794">
        <v>1</v>
      </c>
      <c r="N794" t="s">
        <v>40</v>
      </c>
      <c r="O794">
        <v>54</v>
      </c>
      <c r="P794">
        <v>2</v>
      </c>
      <c r="Q794">
        <v>2</v>
      </c>
      <c r="R794" t="s">
        <v>48</v>
      </c>
      <c r="S794">
        <v>3</v>
      </c>
      <c r="T794" t="s">
        <v>42</v>
      </c>
      <c r="U794">
        <v>4508</v>
      </c>
      <c r="V794" t="str" cm="1">
        <f t="array" ref="V79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94">
        <v>3129</v>
      </c>
      <c r="X794">
        <v>1</v>
      </c>
      <c r="Y794" t="s">
        <v>43</v>
      </c>
      <c r="Z794" t="s">
        <v>44</v>
      </c>
      <c r="AA794">
        <v>22</v>
      </c>
      <c r="AB794">
        <v>4</v>
      </c>
      <c r="AC794">
        <v>2</v>
      </c>
      <c r="AD794">
        <v>80</v>
      </c>
      <c r="AE794">
        <v>0</v>
      </c>
      <c r="AF794">
        <v>14</v>
      </c>
      <c r="AG794">
        <v>4</v>
      </c>
      <c r="AH794">
        <v>3</v>
      </c>
      <c r="AI794">
        <v>13</v>
      </c>
      <c r="AJ794">
        <v>7</v>
      </c>
      <c r="AK794">
        <v>3</v>
      </c>
      <c r="AL794" t="str" cm="1">
        <f t="array" ref="AL79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94">
        <v>8</v>
      </c>
    </row>
    <row r="795" spans="1:39" x14ac:dyDescent="0.25">
      <c r="A795">
        <v>28</v>
      </c>
      <c r="B795" t="s">
        <v>44</v>
      </c>
      <c r="C795" t="s">
        <v>37</v>
      </c>
      <c r="D795">
        <v>895</v>
      </c>
      <c r="E795" t="s">
        <v>46</v>
      </c>
      <c r="G795">
        <v>15</v>
      </c>
      <c r="H795">
        <v>2</v>
      </c>
      <c r="I795" t="s">
        <v>39</v>
      </c>
      <c r="J795" t="str">
        <f>WA_Fn_UseC__HR_Employee_Attrition[[#This Row],[EducationField]]&amp;"-"&amp;WA_Fn_UseC__HR_Employee_Attrition[[#This Row],[Department]]</f>
        <v>Life Sciences-Research &amp; Development</v>
      </c>
      <c r="K795">
        <v>1</v>
      </c>
      <c r="L795">
        <v>1102</v>
      </c>
      <c r="M795">
        <v>1</v>
      </c>
      <c r="N795" t="s">
        <v>47</v>
      </c>
      <c r="O795">
        <v>50</v>
      </c>
      <c r="P795">
        <v>3</v>
      </c>
      <c r="Q795">
        <v>1</v>
      </c>
      <c r="R795" t="s">
        <v>51</v>
      </c>
      <c r="S795">
        <v>3</v>
      </c>
      <c r="T795" t="s">
        <v>53</v>
      </c>
      <c r="U795">
        <v>2207</v>
      </c>
      <c r="V795" t="str" cm="1">
        <f t="array" ref="V79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95">
        <v>22482</v>
      </c>
      <c r="X795">
        <v>1</v>
      </c>
      <c r="Y795" t="s">
        <v>43</v>
      </c>
      <c r="Z795" t="s">
        <v>44</v>
      </c>
      <c r="AA795">
        <v>16</v>
      </c>
      <c r="AB795">
        <v>3</v>
      </c>
      <c r="AC795">
        <v>4</v>
      </c>
      <c r="AD795">
        <v>80</v>
      </c>
      <c r="AE795">
        <v>1</v>
      </c>
      <c r="AF795">
        <v>4</v>
      </c>
      <c r="AG795">
        <v>5</v>
      </c>
      <c r="AH795">
        <v>2</v>
      </c>
      <c r="AI795">
        <v>4</v>
      </c>
      <c r="AJ795">
        <v>2</v>
      </c>
      <c r="AK795">
        <v>2</v>
      </c>
      <c r="AL795" t="str" cm="1">
        <f t="array" ref="AL79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95">
        <v>2</v>
      </c>
    </row>
    <row r="796" spans="1:39" x14ac:dyDescent="0.25">
      <c r="A796">
        <v>34</v>
      </c>
      <c r="B796" t="s">
        <v>44</v>
      </c>
      <c r="C796" t="s">
        <v>45</v>
      </c>
      <c r="D796">
        <v>618</v>
      </c>
      <c r="E796" t="s">
        <v>46</v>
      </c>
      <c r="G796">
        <v>3</v>
      </c>
      <c r="H796">
        <v>1</v>
      </c>
      <c r="I796" t="s">
        <v>39</v>
      </c>
      <c r="J796" t="str">
        <f>WA_Fn_UseC__HR_Employee_Attrition[[#This Row],[EducationField]]&amp;"-"&amp;WA_Fn_UseC__HR_Employee_Attrition[[#This Row],[Department]]</f>
        <v>Life Sciences-Research &amp; Development</v>
      </c>
      <c r="K796">
        <v>1</v>
      </c>
      <c r="L796">
        <v>1103</v>
      </c>
      <c r="M796">
        <v>1</v>
      </c>
      <c r="N796" t="s">
        <v>47</v>
      </c>
      <c r="O796">
        <v>45</v>
      </c>
      <c r="P796">
        <v>3</v>
      </c>
      <c r="Q796">
        <v>2</v>
      </c>
      <c r="R796" t="s">
        <v>55</v>
      </c>
      <c r="S796">
        <v>4</v>
      </c>
      <c r="T796" t="s">
        <v>42</v>
      </c>
      <c r="U796">
        <v>7756</v>
      </c>
      <c r="V796" t="str" cm="1">
        <f t="array" ref="V79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96">
        <v>22266</v>
      </c>
      <c r="X796">
        <v>0</v>
      </c>
      <c r="Y796" t="s">
        <v>43</v>
      </c>
      <c r="Z796" t="s">
        <v>44</v>
      </c>
      <c r="AA796">
        <v>17</v>
      </c>
      <c r="AB796">
        <v>3</v>
      </c>
      <c r="AC796">
        <v>3</v>
      </c>
      <c r="AD796">
        <v>80</v>
      </c>
      <c r="AE796">
        <v>0</v>
      </c>
      <c r="AF796">
        <v>7</v>
      </c>
      <c r="AG796">
        <v>1</v>
      </c>
      <c r="AH796">
        <v>2</v>
      </c>
      <c r="AI796">
        <v>6</v>
      </c>
      <c r="AJ796">
        <v>2</v>
      </c>
      <c r="AK796">
        <v>0</v>
      </c>
      <c r="AL796" t="str" cm="1">
        <f t="array" ref="AL79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96">
        <v>4</v>
      </c>
    </row>
    <row r="797" spans="1:39" x14ac:dyDescent="0.25">
      <c r="A797">
        <v>37</v>
      </c>
      <c r="B797" t="s">
        <v>44</v>
      </c>
      <c r="C797" t="s">
        <v>37</v>
      </c>
      <c r="D797">
        <v>309</v>
      </c>
      <c r="E797" t="s">
        <v>38</v>
      </c>
      <c r="G797">
        <v>10</v>
      </c>
      <c r="H797">
        <v>4</v>
      </c>
      <c r="I797" t="s">
        <v>39</v>
      </c>
      <c r="J797" t="str">
        <f>WA_Fn_UseC__HR_Employee_Attrition[[#This Row],[EducationField]]&amp;"-"&amp;WA_Fn_UseC__HR_Employee_Attrition[[#This Row],[Department]]</f>
        <v>Life Sciences-Sales</v>
      </c>
      <c r="K797">
        <v>1</v>
      </c>
      <c r="L797">
        <v>1105</v>
      </c>
      <c r="M797">
        <v>4</v>
      </c>
      <c r="N797" t="s">
        <v>40</v>
      </c>
      <c r="O797">
        <v>88</v>
      </c>
      <c r="P797">
        <v>2</v>
      </c>
      <c r="Q797">
        <v>2</v>
      </c>
      <c r="R797" t="s">
        <v>41</v>
      </c>
      <c r="S797">
        <v>4</v>
      </c>
      <c r="T797" t="s">
        <v>53</v>
      </c>
      <c r="U797">
        <v>6694</v>
      </c>
      <c r="V797" t="str" cm="1">
        <f t="array" ref="V79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797">
        <v>24223</v>
      </c>
      <c r="X797">
        <v>2</v>
      </c>
      <c r="Y797" t="s">
        <v>43</v>
      </c>
      <c r="Z797" t="s">
        <v>36</v>
      </c>
      <c r="AA797">
        <v>14</v>
      </c>
      <c r="AB797">
        <v>3</v>
      </c>
      <c r="AC797">
        <v>3</v>
      </c>
      <c r="AD797">
        <v>80</v>
      </c>
      <c r="AE797">
        <v>3</v>
      </c>
      <c r="AF797">
        <v>8</v>
      </c>
      <c r="AG797">
        <v>5</v>
      </c>
      <c r="AH797">
        <v>3</v>
      </c>
      <c r="AI797">
        <v>1</v>
      </c>
      <c r="AJ797">
        <v>0</v>
      </c>
      <c r="AK797">
        <v>0</v>
      </c>
      <c r="AL797" t="str" cm="1">
        <f t="array" ref="AL79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797">
        <v>0</v>
      </c>
    </row>
    <row r="798" spans="1:39" x14ac:dyDescent="0.25">
      <c r="A798">
        <v>25</v>
      </c>
      <c r="B798" t="s">
        <v>36</v>
      </c>
      <c r="C798" t="s">
        <v>37</v>
      </c>
      <c r="D798">
        <v>1219</v>
      </c>
      <c r="E798" t="s">
        <v>46</v>
      </c>
      <c r="G798">
        <v>4</v>
      </c>
      <c r="H798">
        <v>1</v>
      </c>
      <c r="I798" t="s">
        <v>61</v>
      </c>
      <c r="J798" t="str">
        <f>WA_Fn_UseC__HR_Employee_Attrition[[#This Row],[EducationField]]&amp;"-"&amp;WA_Fn_UseC__HR_Employee_Attrition[[#This Row],[Department]]</f>
        <v>Technical Degree-Research &amp; Development</v>
      </c>
      <c r="K798">
        <v>1</v>
      </c>
      <c r="L798">
        <v>1106</v>
      </c>
      <c r="M798">
        <v>4</v>
      </c>
      <c r="N798" t="s">
        <v>47</v>
      </c>
      <c r="O798">
        <v>32</v>
      </c>
      <c r="P798">
        <v>3</v>
      </c>
      <c r="Q798">
        <v>1</v>
      </c>
      <c r="R798" t="s">
        <v>51</v>
      </c>
      <c r="S798">
        <v>4</v>
      </c>
      <c r="T798" t="s">
        <v>49</v>
      </c>
      <c r="U798">
        <v>3691</v>
      </c>
      <c r="V798" t="str" cm="1">
        <f t="array" ref="V79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798">
        <v>4605</v>
      </c>
      <c r="X798">
        <v>1</v>
      </c>
      <c r="Y798" t="s">
        <v>43</v>
      </c>
      <c r="Z798" t="s">
        <v>36</v>
      </c>
      <c r="AA798">
        <v>15</v>
      </c>
      <c r="AB798">
        <v>3</v>
      </c>
      <c r="AC798">
        <v>2</v>
      </c>
      <c r="AD798">
        <v>80</v>
      </c>
      <c r="AE798">
        <v>1</v>
      </c>
      <c r="AF798">
        <v>7</v>
      </c>
      <c r="AG798">
        <v>3</v>
      </c>
      <c r="AH798">
        <v>4</v>
      </c>
      <c r="AI798">
        <v>7</v>
      </c>
      <c r="AJ798">
        <v>7</v>
      </c>
      <c r="AK798">
        <v>5</v>
      </c>
      <c r="AL798" t="str" cm="1">
        <f t="array" ref="AL79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798">
        <v>6</v>
      </c>
    </row>
    <row r="799" spans="1:39" x14ac:dyDescent="0.25">
      <c r="A799">
        <v>26</v>
      </c>
      <c r="B799" t="s">
        <v>36</v>
      </c>
      <c r="C799" t="s">
        <v>37</v>
      </c>
      <c r="D799">
        <v>1330</v>
      </c>
      <c r="E799" t="s">
        <v>46</v>
      </c>
      <c r="G799">
        <v>21</v>
      </c>
      <c r="H799">
        <v>3</v>
      </c>
      <c r="I799" t="s">
        <v>52</v>
      </c>
      <c r="J799" t="str">
        <f>WA_Fn_UseC__HR_Employee_Attrition[[#This Row],[EducationField]]&amp;"-"&amp;WA_Fn_UseC__HR_Employee_Attrition[[#This Row],[Department]]</f>
        <v>Medical-Research &amp; Development</v>
      </c>
      <c r="K799">
        <v>1</v>
      </c>
      <c r="L799">
        <v>1107</v>
      </c>
      <c r="M799">
        <v>1</v>
      </c>
      <c r="N799" t="s">
        <v>47</v>
      </c>
      <c r="O799">
        <v>37</v>
      </c>
      <c r="P799">
        <v>3</v>
      </c>
      <c r="Q799">
        <v>1</v>
      </c>
      <c r="R799" t="s">
        <v>51</v>
      </c>
      <c r="S799">
        <v>3</v>
      </c>
      <c r="T799" t="s">
        <v>53</v>
      </c>
      <c r="U799">
        <v>2377</v>
      </c>
      <c r="V799" t="str" cm="1">
        <f t="array" ref="V79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799">
        <v>19373</v>
      </c>
      <c r="X799">
        <v>1</v>
      </c>
      <c r="Y799" t="s">
        <v>43</v>
      </c>
      <c r="Z799" t="s">
        <v>44</v>
      </c>
      <c r="AA799">
        <v>20</v>
      </c>
      <c r="AB799">
        <v>4</v>
      </c>
      <c r="AC799">
        <v>3</v>
      </c>
      <c r="AD799">
        <v>80</v>
      </c>
      <c r="AE799">
        <v>1</v>
      </c>
      <c r="AF799">
        <v>1</v>
      </c>
      <c r="AG799">
        <v>0</v>
      </c>
      <c r="AH799">
        <v>2</v>
      </c>
      <c r="AI799">
        <v>1</v>
      </c>
      <c r="AJ799">
        <v>1</v>
      </c>
      <c r="AK799">
        <v>0</v>
      </c>
      <c r="AL799" t="str" cm="1">
        <f t="array" ref="AL79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799">
        <v>0</v>
      </c>
    </row>
    <row r="800" spans="1:39" x14ac:dyDescent="0.25">
      <c r="A800">
        <v>33</v>
      </c>
      <c r="B800" t="s">
        <v>36</v>
      </c>
      <c r="C800" t="s">
        <v>37</v>
      </c>
      <c r="D800">
        <v>1017</v>
      </c>
      <c r="E800" t="s">
        <v>46</v>
      </c>
      <c r="G800">
        <v>25</v>
      </c>
      <c r="H800">
        <v>3</v>
      </c>
      <c r="I800" t="s">
        <v>52</v>
      </c>
      <c r="J800" t="str">
        <f>WA_Fn_UseC__HR_Employee_Attrition[[#This Row],[EducationField]]&amp;"-"&amp;WA_Fn_UseC__HR_Employee_Attrition[[#This Row],[Department]]</f>
        <v>Medical-Research &amp; Development</v>
      </c>
      <c r="K800">
        <v>1</v>
      </c>
      <c r="L800">
        <v>1108</v>
      </c>
      <c r="M800">
        <v>1</v>
      </c>
      <c r="N800" t="s">
        <v>47</v>
      </c>
      <c r="O800">
        <v>55</v>
      </c>
      <c r="P800">
        <v>2</v>
      </c>
      <c r="Q800">
        <v>1</v>
      </c>
      <c r="R800" t="s">
        <v>48</v>
      </c>
      <c r="S800">
        <v>2</v>
      </c>
      <c r="T800" t="s">
        <v>42</v>
      </c>
      <c r="U800">
        <v>2313</v>
      </c>
      <c r="V800" t="str" cm="1">
        <f t="array" ref="V80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00">
        <v>2993</v>
      </c>
      <c r="X800">
        <v>4</v>
      </c>
      <c r="Y800" t="s">
        <v>43</v>
      </c>
      <c r="Z800" t="s">
        <v>36</v>
      </c>
      <c r="AA800">
        <v>20</v>
      </c>
      <c r="AB800">
        <v>4</v>
      </c>
      <c r="AC800">
        <v>2</v>
      </c>
      <c r="AD800">
        <v>80</v>
      </c>
      <c r="AE800">
        <v>0</v>
      </c>
      <c r="AF800">
        <v>5</v>
      </c>
      <c r="AG800">
        <v>0</v>
      </c>
      <c r="AH800">
        <v>3</v>
      </c>
      <c r="AI800">
        <v>2</v>
      </c>
      <c r="AJ800">
        <v>2</v>
      </c>
      <c r="AK800">
        <v>2</v>
      </c>
      <c r="AL800" t="str" cm="1">
        <f t="array" ref="AL80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00">
        <v>2</v>
      </c>
    </row>
    <row r="801" spans="1:39" x14ac:dyDescent="0.25">
      <c r="A801">
        <v>42</v>
      </c>
      <c r="B801" t="s">
        <v>44</v>
      </c>
      <c r="C801" t="s">
        <v>37</v>
      </c>
      <c r="D801">
        <v>469</v>
      </c>
      <c r="E801" t="s">
        <v>46</v>
      </c>
      <c r="G801">
        <v>2</v>
      </c>
      <c r="H801">
        <v>2</v>
      </c>
      <c r="I801" t="s">
        <v>52</v>
      </c>
      <c r="J801" t="str">
        <f>WA_Fn_UseC__HR_Employee_Attrition[[#This Row],[EducationField]]&amp;"-"&amp;WA_Fn_UseC__HR_Employee_Attrition[[#This Row],[Department]]</f>
        <v>Medical-Research &amp; Development</v>
      </c>
      <c r="K801">
        <v>1</v>
      </c>
      <c r="L801">
        <v>1109</v>
      </c>
      <c r="M801">
        <v>4</v>
      </c>
      <c r="N801" t="s">
        <v>47</v>
      </c>
      <c r="O801">
        <v>35</v>
      </c>
      <c r="P801">
        <v>3</v>
      </c>
      <c r="Q801">
        <v>4</v>
      </c>
      <c r="R801" t="s">
        <v>57</v>
      </c>
      <c r="S801">
        <v>1</v>
      </c>
      <c r="T801" t="s">
        <v>49</v>
      </c>
      <c r="U801">
        <v>17665</v>
      </c>
      <c r="V801" t="str" cm="1">
        <f t="array" ref="V80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01">
        <v>14399</v>
      </c>
      <c r="X801">
        <v>0</v>
      </c>
      <c r="Y801" t="s">
        <v>43</v>
      </c>
      <c r="Z801" t="s">
        <v>44</v>
      </c>
      <c r="AA801">
        <v>17</v>
      </c>
      <c r="AB801">
        <v>3</v>
      </c>
      <c r="AC801">
        <v>4</v>
      </c>
      <c r="AD801">
        <v>80</v>
      </c>
      <c r="AE801">
        <v>1</v>
      </c>
      <c r="AF801">
        <v>23</v>
      </c>
      <c r="AG801">
        <v>3</v>
      </c>
      <c r="AH801">
        <v>3</v>
      </c>
      <c r="AI801">
        <v>22</v>
      </c>
      <c r="AJ801">
        <v>6</v>
      </c>
      <c r="AK801">
        <v>13</v>
      </c>
      <c r="AL801" t="str" cm="1">
        <f t="array" ref="AL80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01">
        <v>7</v>
      </c>
    </row>
    <row r="802" spans="1:39" x14ac:dyDescent="0.25">
      <c r="A802">
        <v>28</v>
      </c>
      <c r="B802" t="s">
        <v>36</v>
      </c>
      <c r="C802" t="s">
        <v>45</v>
      </c>
      <c r="D802">
        <v>1009</v>
      </c>
      <c r="E802" t="s">
        <v>46</v>
      </c>
      <c r="G802">
        <v>1</v>
      </c>
      <c r="H802">
        <v>3</v>
      </c>
      <c r="I802" t="s">
        <v>52</v>
      </c>
      <c r="J802" t="str">
        <f>WA_Fn_UseC__HR_Employee_Attrition[[#This Row],[EducationField]]&amp;"-"&amp;WA_Fn_UseC__HR_Employee_Attrition[[#This Row],[Department]]</f>
        <v>Medical-Research &amp; Development</v>
      </c>
      <c r="K802">
        <v>1</v>
      </c>
      <c r="L802">
        <v>1111</v>
      </c>
      <c r="M802">
        <v>1</v>
      </c>
      <c r="N802" t="s">
        <v>47</v>
      </c>
      <c r="O802">
        <v>45</v>
      </c>
      <c r="P802">
        <v>2</v>
      </c>
      <c r="Q802">
        <v>1</v>
      </c>
      <c r="R802" t="s">
        <v>51</v>
      </c>
      <c r="S802">
        <v>2</v>
      </c>
      <c r="T802" t="s">
        <v>53</v>
      </c>
      <c r="U802">
        <v>2596</v>
      </c>
      <c r="V802" t="str" cm="1">
        <f t="array" ref="V80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02">
        <v>7160</v>
      </c>
      <c r="X802">
        <v>1</v>
      </c>
      <c r="Y802" t="s">
        <v>43</v>
      </c>
      <c r="Z802" t="s">
        <v>44</v>
      </c>
      <c r="AA802">
        <v>15</v>
      </c>
      <c r="AB802">
        <v>3</v>
      </c>
      <c r="AC802">
        <v>1</v>
      </c>
      <c r="AD802">
        <v>80</v>
      </c>
      <c r="AE802">
        <v>2</v>
      </c>
      <c r="AF802">
        <v>1</v>
      </c>
      <c r="AG802">
        <v>2</v>
      </c>
      <c r="AH802">
        <v>3</v>
      </c>
      <c r="AI802">
        <v>1</v>
      </c>
      <c r="AJ802">
        <v>0</v>
      </c>
      <c r="AK802">
        <v>0</v>
      </c>
      <c r="AL802" t="str" cm="1">
        <f t="array" ref="AL80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02">
        <v>0</v>
      </c>
    </row>
    <row r="803" spans="1:39" x14ac:dyDescent="0.25">
      <c r="A803">
        <v>50</v>
      </c>
      <c r="B803" t="s">
        <v>36</v>
      </c>
      <c r="C803" t="s">
        <v>45</v>
      </c>
      <c r="D803">
        <v>959</v>
      </c>
      <c r="E803" t="s">
        <v>38</v>
      </c>
      <c r="G803">
        <v>1</v>
      </c>
      <c r="H803">
        <v>4</v>
      </c>
      <c r="I803" t="s">
        <v>50</v>
      </c>
      <c r="J803" t="str">
        <f>WA_Fn_UseC__HR_Employee_Attrition[[#This Row],[EducationField]]&amp;"-"&amp;WA_Fn_UseC__HR_Employee_Attrition[[#This Row],[Department]]</f>
        <v>Other-Sales</v>
      </c>
      <c r="K803">
        <v>1</v>
      </c>
      <c r="L803">
        <v>1113</v>
      </c>
      <c r="M803">
        <v>4</v>
      </c>
      <c r="N803" t="s">
        <v>47</v>
      </c>
      <c r="O803">
        <v>81</v>
      </c>
      <c r="P803">
        <v>3</v>
      </c>
      <c r="Q803">
        <v>2</v>
      </c>
      <c r="R803" t="s">
        <v>41</v>
      </c>
      <c r="S803">
        <v>3</v>
      </c>
      <c r="T803" t="s">
        <v>42</v>
      </c>
      <c r="U803">
        <v>4728</v>
      </c>
      <c r="V803" t="str" cm="1">
        <f t="array" ref="V80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03">
        <v>17251</v>
      </c>
      <c r="X803">
        <v>3</v>
      </c>
      <c r="Y803" t="s">
        <v>43</v>
      </c>
      <c r="Z803" t="s">
        <v>36</v>
      </c>
      <c r="AA803">
        <v>14</v>
      </c>
      <c r="AB803">
        <v>3</v>
      </c>
      <c r="AC803">
        <v>4</v>
      </c>
      <c r="AD803">
        <v>80</v>
      </c>
      <c r="AE803">
        <v>0</v>
      </c>
      <c r="AF803">
        <v>5</v>
      </c>
      <c r="AG803">
        <v>4</v>
      </c>
      <c r="AH803">
        <v>3</v>
      </c>
      <c r="AI803">
        <v>0</v>
      </c>
      <c r="AJ803">
        <v>0</v>
      </c>
      <c r="AK803">
        <v>0</v>
      </c>
      <c r="AL803" t="str" cm="1">
        <f t="array" ref="AL80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03">
        <v>0</v>
      </c>
    </row>
    <row r="804" spans="1:39" x14ac:dyDescent="0.25">
      <c r="A804">
        <v>33</v>
      </c>
      <c r="B804" t="s">
        <v>44</v>
      </c>
      <c r="C804" t="s">
        <v>45</v>
      </c>
      <c r="D804">
        <v>970</v>
      </c>
      <c r="E804" t="s">
        <v>38</v>
      </c>
      <c r="G804">
        <v>7</v>
      </c>
      <c r="H804">
        <v>3</v>
      </c>
      <c r="I804" t="s">
        <v>39</v>
      </c>
      <c r="J804" t="str">
        <f>WA_Fn_UseC__HR_Employee_Attrition[[#This Row],[EducationField]]&amp;"-"&amp;WA_Fn_UseC__HR_Employee_Attrition[[#This Row],[Department]]</f>
        <v>Life Sciences-Sales</v>
      </c>
      <c r="K804">
        <v>1</v>
      </c>
      <c r="L804">
        <v>1114</v>
      </c>
      <c r="M804">
        <v>4</v>
      </c>
      <c r="N804" t="s">
        <v>40</v>
      </c>
      <c r="O804">
        <v>30</v>
      </c>
      <c r="P804">
        <v>3</v>
      </c>
      <c r="Q804">
        <v>2</v>
      </c>
      <c r="R804" t="s">
        <v>41</v>
      </c>
      <c r="S804">
        <v>2</v>
      </c>
      <c r="T804" t="s">
        <v>49</v>
      </c>
      <c r="U804">
        <v>4302</v>
      </c>
      <c r="V804" t="str" cm="1">
        <f t="array" ref="V80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04">
        <v>13401</v>
      </c>
      <c r="X804">
        <v>0</v>
      </c>
      <c r="Y804" t="s">
        <v>43</v>
      </c>
      <c r="Z804" t="s">
        <v>44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4</v>
      </c>
      <c r="AG804">
        <v>3</v>
      </c>
      <c r="AH804">
        <v>3</v>
      </c>
      <c r="AI804">
        <v>3</v>
      </c>
      <c r="AJ804">
        <v>2</v>
      </c>
      <c r="AK804">
        <v>0</v>
      </c>
      <c r="AL804" t="str" cm="1">
        <f t="array" ref="AL80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04">
        <v>2</v>
      </c>
    </row>
    <row r="805" spans="1:39" x14ac:dyDescent="0.25">
      <c r="A805">
        <v>34</v>
      </c>
      <c r="B805" t="s">
        <v>44</v>
      </c>
      <c r="C805" t="s">
        <v>56</v>
      </c>
      <c r="D805">
        <v>697</v>
      </c>
      <c r="E805" t="s">
        <v>46</v>
      </c>
      <c r="G805">
        <v>3</v>
      </c>
      <c r="H805">
        <v>4</v>
      </c>
      <c r="I805" t="s">
        <v>39</v>
      </c>
      <c r="J805" t="str">
        <f>WA_Fn_UseC__HR_Employee_Attrition[[#This Row],[EducationField]]&amp;"-"&amp;WA_Fn_UseC__HR_Employee_Attrition[[#This Row],[Department]]</f>
        <v>Life Sciences-Research &amp; Development</v>
      </c>
      <c r="K805">
        <v>1</v>
      </c>
      <c r="L805">
        <v>1115</v>
      </c>
      <c r="M805">
        <v>3</v>
      </c>
      <c r="N805" t="s">
        <v>47</v>
      </c>
      <c r="O805">
        <v>40</v>
      </c>
      <c r="P805">
        <v>2</v>
      </c>
      <c r="Q805">
        <v>1</v>
      </c>
      <c r="R805" t="s">
        <v>48</v>
      </c>
      <c r="S805">
        <v>4</v>
      </c>
      <c r="T805" t="s">
        <v>49</v>
      </c>
      <c r="U805">
        <v>2979</v>
      </c>
      <c r="V805" t="str" cm="1">
        <f t="array" ref="V80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05">
        <v>22478</v>
      </c>
      <c r="X805">
        <v>3</v>
      </c>
      <c r="Y805" t="s">
        <v>43</v>
      </c>
      <c r="Z805" t="s">
        <v>44</v>
      </c>
      <c r="AA805">
        <v>17</v>
      </c>
      <c r="AB805">
        <v>3</v>
      </c>
      <c r="AC805">
        <v>4</v>
      </c>
      <c r="AD805">
        <v>80</v>
      </c>
      <c r="AE805">
        <v>3</v>
      </c>
      <c r="AF805">
        <v>6</v>
      </c>
      <c r="AG805">
        <v>2</v>
      </c>
      <c r="AH805">
        <v>3</v>
      </c>
      <c r="AI805">
        <v>0</v>
      </c>
      <c r="AJ805">
        <v>0</v>
      </c>
      <c r="AK805">
        <v>0</v>
      </c>
      <c r="AL805" t="str" cm="1">
        <f t="array" ref="AL80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05">
        <v>0</v>
      </c>
    </row>
    <row r="806" spans="1:39" x14ac:dyDescent="0.25">
      <c r="A806">
        <v>48</v>
      </c>
      <c r="B806" t="s">
        <v>44</v>
      </c>
      <c r="C806" t="s">
        <v>56</v>
      </c>
      <c r="D806">
        <v>1262</v>
      </c>
      <c r="E806" t="s">
        <v>46</v>
      </c>
      <c r="G806">
        <v>1</v>
      </c>
      <c r="H806">
        <v>4</v>
      </c>
      <c r="I806" t="s">
        <v>52</v>
      </c>
      <c r="J806" t="str">
        <f>WA_Fn_UseC__HR_Employee_Attrition[[#This Row],[EducationField]]&amp;"-"&amp;WA_Fn_UseC__HR_Employee_Attrition[[#This Row],[Department]]</f>
        <v>Medical-Research &amp; Development</v>
      </c>
      <c r="K806">
        <v>1</v>
      </c>
      <c r="L806">
        <v>1116</v>
      </c>
      <c r="M806">
        <v>1</v>
      </c>
      <c r="N806" t="s">
        <v>47</v>
      </c>
      <c r="O806">
        <v>35</v>
      </c>
      <c r="P806">
        <v>4</v>
      </c>
      <c r="Q806">
        <v>4</v>
      </c>
      <c r="R806" t="s">
        <v>57</v>
      </c>
      <c r="S806">
        <v>4</v>
      </c>
      <c r="T806" t="s">
        <v>42</v>
      </c>
      <c r="U806">
        <v>16885</v>
      </c>
      <c r="V806" t="str" cm="1">
        <f t="array" ref="V80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06">
        <v>16154</v>
      </c>
      <c r="X806">
        <v>2</v>
      </c>
      <c r="Y806" t="s">
        <v>43</v>
      </c>
      <c r="Z806" t="s">
        <v>44</v>
      </c>
      <c r="AA806">
        <v>22</v>
      </c>
      <c r="AB806">
        <v>4</v>
      </c>
      <c r="AC806">
        <v>3</v>
      </c>
      <c r="AD806">
        <v>80</v>
      </c>
      <c r="AE806">
        <v>0</v>
      </c>
      <c r="AF806">
        <v>27</v>
      </c>
      <c r="AG806">
        <v>3</v>
      </c>
      <c r="AH806">
        <v>2</v>
      </c>
      <c r="AI806">
        <v>5</v>
      </c>
      <c r="AJ806">
        <v>4</v>
      </c>
      <c r="AK806">
        <v>2</v>
      </c>
      <c r="AL806" t="str" cm="1">
        <f t="array" ref="AL80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06">
        <v>1</v>
      </c>
    </row>
    <row r="807" spans="1:39" x14ac:dyDescent="0.25">
      <c r="A807">
        <v>45</v>
      </c>
      <c r="B807" t="s">
        <v>44</v>
      </c>
      <c r="C807" t="s">
        <v>56</v>
      </c>
      <c r="D807">
        <v>1050</v>
      </c>
      <c r="E807" t="s">
        <v>38</v>
      </c>
      <c r="G807">
        <v>9</v>
      </c>
      <c r="H807">
        <v>4</v>
      </c>
      <c r="I807" t="s">
        <v>39</v>
      </c>
      <c r="J807" t="str">
        <f>WA_Fn_UseC__HR_Employee_Attrition[[#This Row],[EducationField]]&amp;"-"&amp;WA_Fn_UseC__HR_Employee_Attrition[[#This Row],[Department]]</f>
        <v>Life Sciences-Sales</v>
      </c>
      <c r="K807">
        <v>1</v>
      </c>
      <c r="L807">
        <v>1117</v>
      </c>
      <c r="M807">
        <v>2</v>
      </c>
      <c r="N807" t="s">
        <v>40</v>
      </c>
      <c r="O807">
        <v>65</v>
      </c>
      <c r="P807">
        <v>2</v>
      </c>
      <c r="Q807">
        <v>2</v>
      </c>
      <c r="R807" t="s">
        <v>41</v>
      </c>
      <c r="S807">
        <v>3</v>
      </c>
      <c r="T807" t="s">
        <v>49</v>
      </c>
      <c r="U807">
        <v>5593</v>
      </c>
      <c r="V807" t="str" cm="1">
        <f t="array" ref="V80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07">
        <v>17970</v>
      </c>
      <c r="X807">
        <v>1</v>
      </c>
      <c r="Y807" t="s">
        <v>43</v>
      </c>
      <c r="Z807" t="s">
        <v>44</v>
      </c>
      <c r="AA807">
        <v>13</v>
      </c>
      <c r="AB807">
        <v>3</v>
      </c>
      <c r="AC807">
        <v>4</v>
      </c>
      <c r="AD807">
        <v>80</v>
      </c>
      <c r="AE807">
        <v>1</v>
      </c>
      <c r="AF807">
        <v>15</v>
      </c>
      <c r="AG807">
        <v>2</v>
      </c>
      <c r="AH807">
        <v>3</v>
      </c>
      <c r="AI807">
        <v>15</v>
      </c>
      <c r="AJ807">
        <v>10</v>
      </c>
      <c r="AK807">
        <v>4</v>
      </c>
      <c r="AL807" t="str" cm="1">
        <f t="array" ref="AL80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07">
        <v>12</v>
      </c>
    </row>
    <row r="808" spans="1:39" x14ac:dyDescent="0.25">
      <c r="A808">
        <v>52</v>
      </c>
      <c r="B808" t="s">
        <v>44</v>
      </c>
      <c r="C808" t="s">
        <v>37</v>
      </c>
      <c r="D808">
        <v>994</v>
      </c>
      <c r="E808" t="s">
        <v>46</v>
      </c>
      <c r="G808">
        <v>7</v>
      </c>
      <c r="H808">
        <v>4</v>
      </c>
      <c r="I808" t="s">
        <v>39</v>
      </c>
      <c r="J808" t="str">
        <f>WA_Fn_UseC__HR_Employee_Attrition[[#This Row],[EducationField]]&amp;"-"&amp;WA_Fn_UseC__HR_Employee_Attrition[[#This Row],[Department]]</f>
        <v>Life Sciences-Research &amp; Development</v>
      </c>
      <c r="K808">
        <v>1</v>
      </c>
      <c r="L808">
        <v>1118</v>
      </c>
      <c r="M808">
        <v>2</v>
      </c>
      <c r="N808" t="s">
        <v>47</v>
      </c>
      <c r="O808">
        <v>87</v>
      </c>
      <c r="P808">
        <v>3</v>
      </c>
      <c r="Q808">
        <v>3</v>
      </c>
      <c r="R808" t="s">
        <v>55</v>
      </c>
      <c r="S808">
        <v>2</v>
      </c>
      <c r="T808" t="s">
        <v>42</v>
      </c>
      <c r="U808">
        <v>10445</v>
      </c>
      <c r="V808" t="str" cm="1">
        <f t="array" ref="V80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08">
        <v>15322</v>
      </c>
      <c r="X808">
        <v>7</v>
      </c>
      <c r="Y808" t="s">
        <v>43</v>
      </c>
      <c r="Z808" t="s">
        <v>44</v>
      </c>
      <c r="AA808">
        <v>19</v>
      </c>
      <c r="AB808">
        <v>3</v>
      </c>
      <c r="AC808">
        <v>4</v>
      </c>
      <c r="AD808">
        <v>80</v>
      </c>
      <c r="AE808">
        <v>0</v>
      </c>
      <c r="AF808">
        <v>18</v>
      </c>
      <c r="AG808">
        <v>4</v>
      </c>
      <c r="AH808">
        <v>3</v>
      </c>
      <c r="AI808">
        <v>8</v>
      </c>
      <c r="AJ808">
        <v>6</v>
      </c>
      <c r="AK808">
        <v>4</v>
      </c>
      <c r="AL808" t="str" cm="1">
        <f t="array" ref="AL80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08">
        <v>0</v>
      </c>
    </row>
    <row r="809" spans="1:39" x14ac:dyDescent="0.25">
      <c r="A809">
        <v>38</v>
      </c>
      <c r="B809" t="s">
        <v>44</v>
      </c>
      <c r="C809" t="s">
        <v>37</v>
      </c>
      <c r="D809">
        <v>770</v>
      </c>
      <c r="E809" t="s">
        <v>38</v>
      </c>
      <c r="G809">
        <v>10</v>
      </c>
      <c r="H809">
        <v>4</v>
      </c>
      <c r="I809" t="s">
        <v>60</v>
      </c>
      <c r="J809" t="str">
        <f>WA_Fn_UseC__HR_Employee_Attrition[[#This Row],[EducationField]]&amp;"-"&amp;WA_Fn_UseC__HR_Employee_Attrition[[#This Row],[Department]]</f>
        <v>Marketing-Sales</v>
      </c>
      <c r="K809">
        <v>1</v>
      </c>
      <c r="L809">
        <v>1119</v>
      </c>
      <c r="M809">
        <v>3</v>
      </c>
      <c r="N809" t="s">
        <v>47</v>
      </c>
      <c r="O809">
        <v>73</v>
      </c>
      <c r="P809">
        <v>2</v>
      </c>
      <c r="Q809">
        <v>3</v>
      </c>
      <c r="R809" t="s">
        <v>41</v>
      </c>
      <c r="S809">
        <v>3</v>
      </c>
      <c r="T809" t="s">
        <v>53</v>
      </c>
      <c r="U809">
        <v>8740</v>
      </c>
      <c r="V809" t="str" cm="1">
        <f t="array" ref="V80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09">
        <v>5569</v>
      </c>
      <c r="X809">
        <v>0</v>
      </c>
      <c r="Y809" t="s">
        <v>43</v>
      </c>
      <c r="Z809" t="s">
        <v>36</v>
      </c>
      <c r="AA809">
        <v>14</v>
      </c>
      <c r="AB809">
        <v>3</v>
      </c>
      <c r="AC809">
        <v>2</v>
      </c>
      <c r="AD809">
        <v>80</v>
      </c>
      <c r="AE809">
        <v>2</v>
      </c>
      <c r="AF809">
        <v>9</v>
      </c>
      <c r="AG809">
        <v>2</v>
      </c>
      <c r="AH809">
        <v>3</v>
      </c>
      <c r="AI809">
        <v>8</v>
      </c>
      <c r="AJ809">
        <v>7</v>
      </c>
      <c r="AK809">
        <v>2</v>
      </c>
      <c r="AL809" t="str" cm="1">
        <f t="array" ref="AL80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09">
        <v>7</v>
      </c>
    </row>
    <row r="810" spans="1:39" x14ac:dyDescent="0.25">
      <c r="A810">
        <v>29</v>
      </c>
      <c r="B810" t="s">
        <v>44</v>
      </c>
      <c r="C810" t="s">
        <v>37</v>
      </c>
      <c r="D810">
        <v>1107</v>
      </c>
      <c r="E810" t="s">
        <v>46</v>
      </c>
      <c r="G810">
        <v>28</v>
      </c>
      <c r="H810">
        <v>4</v>
      </c>
      <c r="I810" t="s">
        <v>39</v>
      </c>
      <c r="J810" t="str">
        <f>WA_Fn_UseC__HR_Employee_Attrition[[#This Row],[EducationField]]&amp;"-"&amp;WA_Fn_UseC__HR_Employee_Attrition[[#This Row],[Department]]</f>
        <v>Life Sciences-Research &amp; Development</v>
      </c>
      <c r="K810">
        <v>1</v>
      </c>
      <c r="L810">
        <v>1120</v>
      </c>
      <c r="M810">
        <v>3</v>
      </c>
      <c r="N810" t="s">
        <v>40</v>
      </c>
      <c r="O810">
        <v>93</v>
      </c>
      <c r="P810">
        <v>3</v>
      </c>
      <c r="Q810">
        <v>1</v>
      </c>
      <c r="R810" t="s">
        <v>48</v>
      </c>
      <c r="S810">
        <v>4</v>
      </c>
      <c r="T810" t="s">
        <v>53</v>
      </c>
      <c r="U810">
        <v>2514</v>
      </c>
      <c r="V810" t="str" cm="1">
        <f t="array" ref="V81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10">
        <v>26968</v>
      </c>
      <c r="X810">
        <v>4</v>
      </c>
      <c r="Y810" t="s">
        <v>43</v>
      </c>
      <c r="Z810" t="s">
        <v>44</v>
      </c>
      <c r="AA810">
        <v>22</v>
      </c>
      <c r="AB810">
        <v>4</v>
      </c>
      <c r="AC810">
        <v>1</v>
      </c>
      <c r="AD810">
        <v>80</v>
      </c>
      <c r="AE810">
        <v>1</v>
      </c>
      <c r="AF810">
        <v>11</v>
      </c>
      <c r="AG810">
        <v>1</v>
      </c>
      <c r="AH810">
        <v>3</v>
      </c>
      <c r="AI810">
        <v>7</v>
      </c>
      <c r="AJ810">
        <v>5</v>
      </c>
      <c r="AK810">
        <v>1</v>
      </c>
      <c r="AL810" t="str" cm="1">
        <f t="array" ref="AL81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10">
        <v>7</v>
      </c>
    </row>
    <row r="811" spans="1:39" x14ac:dyDescent="0.25">
      <c r="A811">
        <v>28</v>
      </c>
      <c r="B811" t="s">
        <v>44</v>
      </c>
      <c r="C811" t="s">
        <v>37</v>
      </c>
      <c r="D811">
        <v>950</v>
      </c>
      <c r="E811" t="s">
        <v>46</v>
      </c>
      <c r="G811">
        <v>3</v>
      </c>
      <c r="H811">
        <v>3</v>
      </c>
      <c r="I811" t="s">
        <v>52</v>
      </c>
      <c r="J811" t="str">
        <f>WA_Fn_UseC__HR_Employee_Attrition[[#This Row],[EducationField]]&amp;"-"&amp;WA_Fn_UseC__HR_Employee_Attrition[[#This Row],[Department]]</f>
        <v>Medical-Research &amp; Development</v>
      </c>
      <c r="K811">
        <v>1</v>
      </c>
      <c r="L811">
        <v>1121</v>
      </c>
      <c r="M811">
        <v>4</v>
      </c>
      <c r="N811" t="s">
        <v>40</v>
      </c>
      <c r="O811">
        <v>93</v>
      </c>
      <c r="P811">
        <v>3</v>
      </c>
      <c r="Q811">
        <v>3</v>
      </c>
      <c r="R811" t="s">
        <v>54</v>
      </c>
      <c r="S811">
        <v>2</v>
      </c>
      <c r="T811" t="s">
        <v>53</v>
      </c>
      <c r="U811">
        <v>7655</v>
      </c>
      <c r="V811" t="str" cm="1">
        <f t="array" ref="V81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11">
        <v>8039</v>
      </c>
      <c r="X811">
        <v>0</v>
      </c>
      <c r="Y811" t="s">
        <v>43</v>
      </c>
      <c r="Z811" t="s">
        <v>44</v>
      </c>
      <c r="AA811">
        <v>17</v>
      </c>
      <c r="AB811">
        <v>3</v>
      </c>
      <c r="AC811">
        <v>2</v>
      </c>
      <c r="AD811">
        <v>80</v>
      </c>
      <c r="AE811">
        <v>3</v>
      </c>
      <c r="AF811">
        <v>10</v>
      </c>
      <c r="AG811">
        <v>3</v>
      </c>
      <c r="AH811">
        <v>2</v>
      </c>
      <c r="AI811">
        <v>9</v>
      </c>
      <c r="AJ811">
        <v>7</v>
      </c>
      <c r="AK811">
        <v>1</v>
      </c>
      <c r="AL811" t="str" cm="1">
        <f t="array" ref="AL81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11">
        <v>7</v>
      </c>
    </row>
    <row r="812" spans="1:39" x14ac:dyDescent="0.25">
      <c r="A812">
        <v>46</v>
      </c>
      <c r="B812" t="s">
        <v>44</v>
      </c>
      <c r="C812" t="s">
        <v>37</v>
      </c>
      <c r="D812">
        <v>406</v>
      </c>
      <c r="E812" t="s">
        <v>38</v>
      </c>
      <c r="G812">
        <v>3</v>
      </c>
      <c r="H812">
        <v>1</v>
      </c>
      <c r="I812" t="s">
        <v>60</v>
      </c>
      <c r="J812" t="str">
        <f>WA_Fn_UseC__HR_Employee_Attrition[[#This Row],[EducationField]]&amp;"-"&amp;WA_Fn_UseC__HR_Employee_Attrition[[#This Row],[Department]]</f>
        <v>Marketing-Sales</v>
      </c>
      <c r="K812">
        <v>1</v>
      </c>
      <c r="L812">
        <v>1124</v>
      </c>
      <c r="M812">
        <v>1</v>
      </c>
      <c r="N812" t="s">
        <v>47</v>
      </c>
      <c r="O812">
        <v>52</v>
      </c>
      <c r="P812">
        <v>3</v>
      </c>
      <c r="Q812">
        <v>4</v>
      </c>
      <c r="R812" t="s">
        <v>57</v>
      </c>
      <c r="S812">
        <v>3</v>
      </c>
      <c r="T812" t="s">
        <v>49</v>
      </c>
      <c r="U812">
        <v>17465</v>
      </c>
      <c r="V812" t="str" cm="1">
        <f t="array" ref="V81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12">
        <v>15596</v>
      </c>
      <c r="X812">
        <v>3</v>
      </c>
      <c r="Y812" t="s">
        <v>43</v>
      </c>
      <c r="Z812" t="s">
        <v>44</v>
      </c>
      <c r="AA812">
        <v>12</v>
      </c>
      <c r="AB812">
        <v>3</v>
      </c>
      <c r="AC812">
        <v>4</v>
      </c>
      <c r="AD812">
        <v>80</v>
      </c>
      <c r="AE812">
        <v>1</v>
      </c>
      <c r="AF812">
        <v>23</v>
      </c>
      <c r="AG812">
        <v>3</v>
      </c>
      <c r="AH812">
        <v>3</v>
      </c>
      <c r="AI812">
        <v>12</v>
      </c>
      <c r="AJ812">
        <v>9</v>
      </c>
      <c r="AK812">
        <v>4</v>
      </c>
      <c r="AL812" t="str" cm="1">
        <f t="array" ref="AL81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12">
        <v>9</v>
      </c>
    </row>
    <row r="813" spans="1:39" x14ac:dyDescent="0.25">
      <c r="A813">
        <v>38</v>
      </c>
      <c r="B813" t="s">
        <v>44</v>
      </c>
      <c r="C813" t="s">
        <v>37</v>
      </c>
      <c r="D813">
        <v>130</v>
      </c>
      <c r="E813" t="s">
        <v>38</v>
      </c>
      <c r="G813">
        <v>2</v>
      </c>
      <c r="H813">
        <v>2</v>
      </c>
      <c r="I813" t="s">
        <v>60</v>
      </c>
      <c r="J813" t="str">
        <f>WA_Fn_UseC__HR_Employee_Attrition[[#This Row],[EducationField]]&amp;"-"&amp;WA_Fn_UseC__HR_Employee_Attrition[[#This Row],[Department]]</f>
        <v>Marketing-Sales</v>
      </c>
      <c r="K813">
        <v>1</v>
      </c>
      <c r="L813">
        <v>1125</v>
      </c>
      <c r="M813">
        <v>4</v>
      </c>
      <c r="N813" t="s">
        <v>47</v>
      </c>
      <c r="O813">
        <v>32</v>
      </c>
      <c r="P813">
        <v>3</v>
      </c>
      <c r="Q813">
        <v>3</v>
      </c>
      <c r="R813" t="s">
        <v>41</v>
      </c>
      <c r="S813">
        <v>2</v>
      </c>
      <c r="T813" t="s">
        <v>42</v>
      </c>
      <c r="U813">
        <v>7351</v>
      </c>
      <c r="V813" t="str" cm="1">
        <f t="array" ref="V81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13">
        <v>20619</v>
      </c>
      <c r="X813">
        <v>7</v>
      </c>
      <c r="Y813" t="s">
        <v>43</v>
      </c>
      <c r="Z813" t="s">
        <v>44</v>
      </c>
      <c r="AA813">
        <v>16</v>
      </c>
      <c r="AB813">
        <v>3</v>
      </c>
      <c r="AC813">
        <v>3</v>
      </c>
      <c r="AD813">
        <v>80</v>
      </c>
      <c r="AE813">
        <v>0</v>
      </c>
      <c r="AF813">
        <v>10</v>
      </c>
      <c r="AG813">
        <v>2</v>
      </c>
      <c r="AH813">
        <v>3</v>
      </c>
      <c r="AI813">
        <v>1</v>
      </c>
      <c r="AJ813">
        <v>0</v>
      </c>
      <c r="AK813">
        <v>0</v>
      </c>
      <c r="AL813" t="str" cm="1">
        <f t="array" ref="AL81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13">
        <v>0</v>
      </c>
    </row>
    <row r="814" spans="1:39" x14ac:dyDescent="0.25">
      <c r="A814">
        <v>43</v>
      </c>
      <c r="B814" t="s">
        <v>44</v>
      </c>
      <c r="C814" t="s">
        <v>45</v>
      </c>
      <c r="D814">
        <v>1082</v>
      </c>
      <c r="E814" t="s">
        <v>46</v>
      </c>
      <c r="G814">
        <v>27</v>
      </c>
      <c r="H814">
        <v>3</v>
      </c>
      <c r="I814" t="s">
        <v>39</v>
      </c>
      <c r="J814" t="str">
        <f>WA_Fn_UseC__HR_Employee_Attrition[[#This Row],[EducationField]]&amp;"-"&amp;WA_Fn_UseC__HR_Employee_Attrition[[#This Row],[Department]]</f>
        <v>Life Sciences-Research &amp; Development</v>
      </c>
      <c r="K814">
        <v>1</v>
      </c>
      <c r="L814">
        <v>1126</v>
      </c>
      <c r="M814">
        <v>3</v>
      </c>
      <c r="N814" t="s">
        <v>40</v>
      </c>
      <c r="O814">
        <v>83</v>
      </c>
      <c r="P814">
        <v>3</v>
      </c>
      <c r="Q814">
        <v>3</v>
      </c>
      <c r="R814" t="s">
        <v>54</v>
      </c>
      <c r="S814">
        <v>1</v>
      </c>
      <c r="T814" t="s">
        <v>49</v>
      </c>
      <c r="U814">
        <v>10820</v>
      </c>
      <c r="V814" t="str" cm="1">
        <f t="array" ref="V81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14">
        <v>11535</v>
      </c>
      <c r="X814">
        <v>8</v>
      </c>
      <c r="Y814" t="s">
        <v>43</v>
      </c>
      <c r="Z814" t="s">
        <v>44</v>
      </c>
      <c r="AA814">
        <v>11</v>
      </c>
      <c r="AB814">
        <v>3</v>
      </c>
      <c r="AC814">
        <v>3</v>
      </c>
      <c r="AD814">
        <v>80</v>
      </c>
      <c r="AE814">
        <v>1</v>
      </c>
      <c r="AF814">
        <v>18</v>
      </c>
      <c r="AG814">
        <v>1</v>
      </c>
      <c r="AH814">
        <v>3</v>
      </c>
      <c r="AI814">
        <v>8</v>
      </c>
      <c r="AJ814">
        <v>7</v>
      </c>
      <c r="AK814">
        <v>0</v>
      </c>
      <c r="AL814" t="str" cm="1">
        <f t="array" ref="AL81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14">
        <v>1</v>
      </c>
    </row>
    <row r="815" spans="1:39" x14ac:dyDescent="0.25">
      <c r="A815">
        <v>39</v>
      </c>
      <c r="B815" t="s">
        <v>36</v>
      </c>
      <c r="C815" t="s">
        <v>45</v>
      </c>
      <c r="D815">
        <v>203</v>
      </c>
      <c r="E815" t="s">
        <v>46</v>
      </c>
      <c r="G815">
        <v>2</v>
      </c>
      <c r="H815">
        <v>3</v>
      </c>
      <c r="I815" t="s">
        <v>39</v>
      </c>
      <c r="J815" t="str">
        <f>WA_Fn_UseC__HR_Employee_Attrition[[#This Row],[EducationField]]&amp;"-"&amp;WA_Fn_UseC__HR_Employee_Attrition[[#This Row],[Department]]</f>
        <v>Life Sciences-Research &amp; Development</v>
      </c>
      <c r="K815">
        <v>1</v>
      </c>
      <c r="L815">
        <v>1127</v>
      </c>
      <c r="M815">
        <v>1</v>
      </c>
      <c r="N815" t="s">
        <v>47</v>
      </c>
      <c r="O815">
        <v>84</v>
      </c>
      <c r="P815">
        <v>3</v>
      </c>
      <c r="Q815">
        <v>4</v>
      </c>
      <c r="R815" t="s">
        <v>55</v>
      </c>
      <c r="S815">
        <v>4</v>
      </c>
      <c r="T815" t="s">
        <v>53</v>
      </c>
      <c r="U815">
        <v>12169</v>
      </c>
      <c r="V815" t="str" cm="1">
        <f t="array" ref="V81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15">
        <v>13547</v>
      </c>
      <c r="X815">
        <v>7</v>
      </c>
      <c r="Y815" t="s">
        <v>43</v>
      </c>
      <c r="Z815" t="s">
        <v>44</v>
      </c>
      <c r="AA815">
        <v>11</v>
      </c>
      <c r="AB815">
        <v>3</v>
      </c>
      <c r="AC815">
        <v>4</v>
      </c>
      <c r="AD815">
        <v>80</v>
      </c>
      <c r="AE815">
        <v>3</v>
      </c>
      <c r="AF815">
        <v>21</v>
      </c>
      <c r="AG815">
        <v>4</v>
      </c>
      <c r="AH815">
        <v>3</v>
      </c>
      <c r="AI815">
        <v>18</v>
      </c>
      <c r="AJ815">
        <v>7</v>
      </c>
      <c r="AK815">
        <v>11</v>
      </c>
      <c r="AL815" t="str" cm="1">
        <f t="array" ref="AL81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15">
        <v>5</v>
      </c>
    </row>
    <row r="816" spans="1:39" x14ac:dyDescent="0.25">
      <c r="A816">
        <v>40</v>
      </c>
      <c r="B816" t="s">
        <v>44</v>
      </c>
      <c r="C816" t="s">
        <v>37</v>
      </c>
      <c r="D816">
        <v>1308</v>
      </c>
      <c r="E816" t="s">
        <v>46</v>
      </c>
      <c r="G816">
        <v>14</v>
      </c>
      <c r="H816">
        <v>3</v>
      </c>
      <c r="I816" t="s">
        <v>52</v>
      </c>
      <c r="J816" t="str">
        <f>WA_Fn_UseC__HR_Employee_Attrition[[#This Row],[EducationField]]&amp;"-"&amp;WA_Fn_UseC__HR_Employee_Attrition[[#This Row],[Department]]</f>
        <v>Medical-Research &amp; Development</v>
      </c>
      <c r="K816">
        <v>1</v>
      </c>
      <c r="L816">
        <v>1128</v>
      </c>
      <c r="M816">
        <v>3</v>
      </c>
      <c r="N816" t="s">
        <v>47</v>
      </c>
      <c r="O816">
        <v>44</v>
      </c>
      <c r="P816">
        <v>2</v>
      </c>
      <c r="Q816">
        <v>5</v>
      </c>
      <c r="R816" t="s">
        <v>59</v>
      </c>
      <c r="S816">
        <v>3</v>
      </c>
      <c r="T816" t="s">
        <v>42</v>
      </c>
      <c r="U816">
        <v>19626</v>
      </c>
      <c r="V816" t="str" cm="1">
        <f t="array" ref="V81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16">
        <v>17544</v>
      </c>
      <c r="X816">
        <v>1</v>
      </c>
      <c r="Y816" t="s">
        <v>43</v>
      </c>
      <c r="Z816" t="s">
        <v>44</v>
      </c>
      <c r="AA816">
        <v>14</v>
      </c>
      <c r="AB816">
        <v>3</v>
      </c>
      <c r="AC816">
        <v>1</v>
      </c>
      <c r="AD816">
        <v>80</v>
      </c>
      <c r="AE816">
        <v>0</v>
      </c>
      <c r="AF816">
        <v>21</v>
      </c>
      <c r="AG816">
        <v>2</v>
      </c>
      <c r="AH816">
        <v>4</v>
      </c>
      <c r="AI816">
        <v>20</v>
      </c>
      <c r="AJ816">
        <v>7</v>
      </c>
      <c r="AK816">
        <v>4</v>
      </c>
      <c r="AL816" t="str" cm="1">
        <f t="array" ref="AL81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16">
        <v>9</v>
      </c>
    </row>
    <row r="817" spans="1:39" x14ac:dyDescent="0.25">
      <c r="A817">
        <v>21</v>
      </c>
      <c r="B817" t="s">
        <v>44</v>
      </c>
      <c r="C817" t="s">
        <v>37</v>
      </c>
      <c r="D817">
        <v>984</v>
      </c>
      <c r="E817" t="s">
        <v>46</v>
      </c>
      <c r="G817">
        <v>1</v>
      </c>
      <c r="H817">
        <v>1</v>
      </c>
      <c r="I817" t="s">
        <v>61</v>
      </c>
      <c r="J817" t="str">
        <f>WA_Fn_UseC__HR_Employee_Attrition[[#This Row],[EducationField]]&amp;"-"&amp;WA_Fn_UseC__HR_Employee_Attrition[[#This Row],[Department]]</f>
        <v>Technical Degree-Research &amp; Development</v>
      </c>
      <c r="K817">
        <v>1</v>
      </c>
      <c r="L817">
        <v>1131</v>
      </c>
      <c r="M817">
        <v>4</v>
      </c>
      <c r="N817" t="s">
        <v>40</v>
      </c>
      <c r="O817">
        <v>70</v>
      </c>
      <c r="P817">
        <v>2</v>
      </c>
      <c r="Q817">
        <v>1</v>
      </c>
      <c r="R817" t="s">
        <v>48</v>
      </c>
      <c r="S817">
        <v>2</v>
      </c>
      <c r="T817" t="s">
        <v>42</v>
      </c>
      <c r="U817">
        <v>2070</v>
      </c>
      <c r="V817" t="str" cm="1">
        <f t="array" ref="V81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17">
        <v>25326</v>
      </c>
      <c r="X817">
        <v>1</v>
      </c>
      <c r="Y817" t="s">
        <v>43</v>
      </c>
      <c r="Z817" t="s">
        <v>36</v>
      </c>
      <c r="AA817">
        <v>11</v>
      </c>
      <c r="AB817">
        <v>3</v>
      </c>
      <c r="AC817">
        <v>3</v>
      </c>
      <c r="AD817">
        <v>80</v>
      </c>
      <c r="AE817">
        <v>0</v>
      </c>
      <c r="AF817">
        <v>2</v>
      </c>
      <c r="AG817">
        <v>6</v>
      </c>
      <c r="AH817">
        <v>4</v>
      </c>
      <c r="AI817">
        <v>2</v>
      </c>
      <c r="AJ817">
        <v>2</v>
      </c>
      <c r="AK817">
        <v>2</v>
      </c>
      <c r="AL817" t="str" cm="1">
        <f t="array" ref="AL81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17">
        <v>2</v>
      </c>
    </row>
    <row r="818" spans="1:39" x14ac:dyDescent="0.25">
      <c r="A818">
        <v>39</v>
      </c>
      <c r="B818" t="s">
        <v>44</v>
      </c>
      <c r="C818" t="s">
        <v>56</v>
      </c>
      <c r="D818">
        <v>439</v>
      </c>
      <c r="E818" t="s">
        <v>46</v>
      </c>
      <c r="G818">
        <v>9</v>
      </c>
      <c r="H818">
        <v>3</v>
      </c>
      <c r="I818" t="s">
        <v>39</v>
      </c>
      <c r="J818" t="str">
        <f>WA_Fn_UseC__HR_Employee_Attrition[[#This Row],[EducationField]]&amp;"-"&amp;WA_Fn_UseC__HR_Employee_Attrition[[#This Row],[Department]]</f>
        <v>Life Sciences-Research &amp; Development</v>
      </c>
      <c r="K818">
        <v>1</v>
      </c>
      <c r="L818">
        <v>1132</v>
      </c>
      <c r="M818">
        <v>3</v>
      </c>
      <c r="N818" t="s">
        <v>47</v>
      </c>
      <c r="O818">
        <v>70</v>
      </c>
      <c r="P818">
        <v>3</v>
      </c>
      <c r="Q818">
        <v>2</v>
      </c>
      <c r="R818" t="s">
        <v>51</v>
      </c>
      <c r="S818">
        <v>2</v>
      </c>
      <c r="T818" t="s">
        <v>42</v>
      </c>
      <c r="U818">
        <v>6782</v>
      </c>
      <c r="V818" t="str" cm="1">
        <f t="array" ref="V81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18">
        <v>8770</v>
      </c>
      <c r="X818">
        <v>9</v>
      </c>
      <c r="Y818" t="s">
        <v>43</v>
      </c>
      <c r="Z818" t="s">
        <v>44</v>
      </c>
      <c r="AA818">
        <v>15</v>
      </c>
      <c r="AB818">
        <v>3</v>
      </c>
      <c r="AC818">
        <v>3</v>
      </c>
      <c r="AD818">
        <v>80</v>
      </c>
      <c r="AE818">
        <v>0</v>
      </c>
      <c r="AF818">
        <v>9</v>
      </c>
      <c r="AG818">
        <v>2</v>
      </c>
      <c r="AH818">
        <v>2</v>
      </c>
      <c r="AI818">
        <v>5</v>
      </c>
      <c r="AJ818">
        <v>4</v>
      </c>
      <c r="AK818">
        <v>0</v>
      </c>
      <c r="AL818" t="str" cm="1">
        <f t="array" ref="AL81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18">
        <v>3</v>
      </c>
    </row>
    <row r="819" spans="1:39" x14ac:dyDescent="0.25">
      <c r="A819">
        <v>36</v>
      </c>
      <c r="B819" t="s">
        <v>44</v>
      </c>
      <c r="C819" t="s">
        <v>56</v>
      </c>
      <c r="D819">
        <v>217</v>
      </c>
      <c r="E819" t="s">
        <v>46</v>
      </c>
      <c r="G819">
        <v>18</v>
      </c>
      <c r="H819">
        <v>4</v>
      </c>
      <c r="I819" t="s">
        <v>39</v>
      </c>
      <c r="J819" t="str">
        <f>WA_Fn_UseC__HR_Employee_Attrition[[#This Row],[EducationField]]&amp;"-"&amp;WA_Fn_UseC__HR_Employee_Attrition[[#This Row],[Department]]</f>
        <v>Life Sciences-Research &amp; Development</v>
      </c>
      <c r="K819">
        <v>1</v>
      </c>
      <c r="L819">
        <v>1133</v>
      </c>
      <c r="M819">
        <v>1</v>
      </c>
      <c r="N819" t="s">
        <v>47</v>
      </c>
      <c r="O819">
        <v>78</v>
      </c>
      <c r="P819">
        <v>3</v>
      </c>
      <c r="Q819">
        <v>2</v>
      </c>
      <c r="R819" t="s">
        <v>54</v>
      </c>
      <c r="S819">
        <v>4</v>
      </c>
      <c r="T819" t="s">
        <v>42</v>
      </c>
      <c r="U819">
        <v>7779</v>
      </c>
      <c r="V819" t="str" cm="1">
        <f t="array" ref="V81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19">
        <v>23238</v>
      </c>
      <c r="X819">
        <v>2</v>
      </c>
      <c r="Y819" t="s">
        <v>43</v>
      </c>
      <c r="Z819" t="s">
        <v>44</v>
      </c>
      <c r="AA819">
        <v>20</v>
      </c>
      <c r="AB819">
        <v>4</v>
      </c>
      <c r="AC819">
        <v>1</v>
      </c>
      <c r="AD819">
        <v>80</v>
      </c>
      <c r="AE819">
        <v>0</v>
      </c>
      <c r="AF819">
        <v>18</v>
      </c>
      <c r="AG819">
        <v>0</v>
      </c>
      <c r="AH819">
        <v>3</v>
      </c>
      <c r="AI819">
        <v>11</v>
      </c>
      <c r="AJ819">
        <v>9</v>
      </c>
      <c r="AK819">
        <v>0</v>
      </c>
      <c r="AL819" t="str" cm="1">
        <f t="array" ref="AL81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19">
        <v>9</v>
      </c>
    </row>
    <row r="820" spans="1:39" x14ac:dyDescent="0.25">
      <c r="A820">
        <v>31</v>
      </c>
      <c r="B820" t="s">
        <v>44</v>
      </c>
      <c r="C820" t="s">
        <v>45</v>
      </c>
      <c r="D820">
        <v>793</v>
      </c>
      <c r="E820" t="s">
        <v>38</v>
      </c>
      <c r="G820">
        <v>20</v>
      </c>
      <c r="H820">
        <v>3</v>
      </c>
      <c r="I820" t="s">
        <v>39</v>
      </c>
      <c r="J820" t="str">
        <f>WA_Fn_UseC__HR_Employee_Attrition[[#This Row],[EducationField]]&amp;"-"&amp;WA_Fn_UseC__HR_Employee_Attrition[[#This Row],[Department]]</f>
        <v>Life Sciences-Sales</v>
      </c>
      <c r="K820">
        <v>1</v>
      </c>
      <c r="L820">
        <v>1135</v>
      </c>
      <c r="M820">
        <v>3</v>
      </c>
      <c r="N820" t="s">
        <v>47</v>
      </c>
      <c r="O820">
        <v>67</v>
      </c>
      <c r="P820">
        <v>4</v>
      </c>
      <c r="Q820">
        <v>1</v>
      </c>
      <c r="R820" t="s">
        <v>58</v>
      </c>
      <c r="S820">
        <v>4</v>
      </c>
      <c r="T820" t="s">
        <v>49</v>
      </c>
      <c r="U820">
        <v>2791</v>
      </c>
      <c r="V820" t="str" cm="1">
        <f t="array" ref="V82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20">
        <v>21981</v>
      </c>
      <c r="X820">
        <v>0</v>
      </c>
      <c r="Y820" t="s">
        <v>43</v>
      </c>
      <c r="Z820" t="s">
        <v>44</v>
      </c>
      <c r="AA820">
        <v>12</v>
      </c>
      <c r="AB820">
        <v>3</v>
      </c>
      <c r="AC820">
        <v>1</v>
      </c>
      <c r="AD820">
        <v>80</v>
      </c>
      <c r="AE820">
        <v>1</v>
      </c>
      <c r="AF820">
        <v>3</v>
      </c>
      <c r="AG820">
        <v>4</v>
      </c>
      <c r="AH820">
        <v>3</v>
      </c>
      <c r="AI820">
        <v>2</v>
      </c>
      <c r="AJ820">
        <v>2</v>
      </c>
      <c r="AK820">
        <v>2</v>
      </c>
      <c r="AL820" t="str" cm="1">
        <f t="array" ref="AL82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20">
        <v>2</v>
      </c>
    </row>
    <row r="821" spans="1:39" x14ac:dyDescent="0.25">
      <c r="A821">
        <v>28</v>
      </c>
      <c r="B821" t="s">
        <v>44</v>
      </c>
      <c r="C821" t="s">
        <v>37</v>
      </c>
      <c r="D821">
        <v>1451</v>
      </c>
      <c r="E821" t="s">
        <v>46</v>
      </c>
      <c r="G821">
        <v>2</v>
      </c>
      <c r="H821">
        <v>1</v>
      </c>
      <c r="I821" t="s">
        <v>39</v>
      </c>
      <c r="J821" t="str">
        <f>WA_Fn_UseC__HR_Employee_Attrition[[#This Row],[EducationField]]&amp;"-"&amp;WA_Fn_UseC__HR_Employee_Attrition[[#This Row],[Department]]</f>
        <v>Life Sciences-Research &amp; Development</v>
      </c>
      <c r="K821">
        <v>1</v>
      </c>
      <c r="L821">
        <v>1136</v>
      </c>
      <c r="M821">
        <v>1</v>
      </c>
      <c r="N821" t="s">
        <v>47</v>
      </c>
      <c r="O821">
        <v>67</v>
      </c>
      <c r="P821">
        <v>2</v>
      </c>
      <c r="Q821">
        <v>1</v>
      </c>
      <c r="R821" t="s">
        <v>48</v>
      </c>
      <c r="S821">
        <v>2</v>
      </c>
      <c r="T821" t="s">
        <v>49</v>
      </c>
      <c r="U821">
        <v>3201</v>
      </c>
      <c r="V821" t="str" cm="1">
        <f t="array" ref="V82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21">
        <v>19911</v>
      </c>
      <c r="X821">
        <v>0</v>
      </c>
      <c r="Y821" t="s">
        <v>43</v>
      </c>
      <c r="Z821" t="s">
        <v>44</v>
      </c>
      <c r="AA821">
        <v>17</v>
      </c>
      <c r="AB821">
        <v>3</v>
      </c>
      <c r="AC821">
        <v>1</v>
      </c>
      <c r="AD821">
        <v>80</v>
      </c>
      <c r="AE821">
        <v>0</v>
      </c>
      <c r="AF821">
        <v>6</v>
      </c>
      <c r="AG821">
        <v>2</v>
      </c>
      <c r="AH821">
        <v>1</v>
      </c>
      <c r="AI821">
        <v>5</v>
      </c>
      <c r="AJ821">
        <v>3</v>
      </c>
      <c r="AK821">
        <v>0</v>
      </c>
      <c r="AL821" t="str" cm="1">
        <f t="array" ref="AL82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21">
        <v>4</v>
      </c>
    </row>
    <row r="822" spans="1:39" x14ac:dyDescent="0.25">
      <c r="A822">
        <v>35</v>
      </c>
      <c r="B822" t="s">
        <v>44</v>
      </c>
      <c r="C822" t="s">
        <v>45</v>
      </c>
      <c r="D822">
        <v>1182</v>
      </c>
      <c r="E822" t="s">
        <v>38</v>
      </c>
      <c r="G822">
        <v>11</v>
      </c>
      <c r="H822">
        <v>2</v>
      </c>
      <c r="I822" t="s">
        <v>60</v>
      </c>
      <c r="J822" t="str">
        <f>WA_Fn_UseC__HR_Employee_Attrition[[#This Row],[EducationField]]&amp;"-"&amp;WA_Fn_UseC__HR_Employee_Attrition[[#This Row],[Department]]</f>
        <v>Marketing-Sales</v>
      </c>
      <c r="K822">
        <v>1</v>
      </c>
      <c r="L822">
        <v>1137</v>
      </c>
      <c r="M822">
        <v>4</v>
      </c>
      <c r="N822" t="s">
        <v>47</v>
      </c>
      <c r="O822">
        <v>54</v>
      </c>
      <c r="P822">
        <v>3</v>
      </c>
      <c r="Q822">
        <v>2</v>
      </c>
      <c r="R822" t="s">
        <v>41</v>
      </c>
      <c r="S822">
        <v>4</v>
      </c>
      <c r="T822" t="s">
        <v>53</v>
      </c>
      <c r="U822">
        <v>4968</v>
      </c>
      <c r="V822" t="str" cm="1">
        <f t="array" ref="V82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22">
        <v>18500</v>
      </c>
      <c r="X822">
        <v>1</v>
      </c>
      <c r="Y822" t="s">
        <v>43</v>
      </c>
      <c r="Z822" t="s">
        <v>44</v>
      </c>
      <c r="AA822">
        <v>11</v>
      </c>
      <c r="AB822">
        <v>3</v>
      </c>
      <c r="AC822">
        <v>4</v>
      </c>
      <c r="AD822">
        <v>80</v>
      </c>
      <c r="AE822">
        <v>1</v>
      </c>
      <c r="AF822">
        <v>5</v>
      </c>
      <c r="AG822">
        <v>3</v>
      </c>
      <c r="AH822">
        <v>3</v>
      </c>
      <c r="AI822">
        <v>5</v>
      </c>
      <c r="AJ822">
        <v>2</v>
      </c>
      <c r="AK822">
        <v>0</v>
      </c>
      <c r="AL822" t="str" cm="1">
        <f t="array" ref="AL82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22">
        <v>2</v>
      </c>
    </row>
    <row r="823" spans="1:39" x14ac:dyDescent="0.25">
      <c r="A823">
        <v>49</v>
      </c>
      <c r="B823" t="s">
        <v>44</v>
      </c>
      <c r="C823" t="s">
        <v>37</v>
      </c>
      <c r="D823">
        <v>174</v>
      </c>
      <c r="E823" t="s">
        <v>38</v>
      </c>
      <c r="G823">
        <v>8</v>
      </c>
      <c r="H823">
        <v>4</v>
      </c>
      <c r="I823" t="s">
        <v>61</v>
      </c>
      <c r="J823" t="str">
        <f>WA_Fn_UseC__HR_Employee_Attrition[[#This Row],[EducationField]]&amp;"-"&amp;WA_Fn_UseC__HR_Employee_Attrition[[#This Row],[Department]]</f>
        <v>Technical Degree-Sales</v>
      </c>
      <c r="K823">
        <v>1</v>
      </c>
      <c r="L823">
        <v>1138</v>
      </c>
      <c r="M823">
        <v>4</v>
      </c>
      <c r="N823" t="s">
        <v>47</v>
      </c>
      <c r="O823">
        <v>56</v>
      </c>
      <c r="P823">
        <v>2</v>
      </c>
      <c r="Q823">
        <v>4</v>
      </c>
      <c r="R823" t="s">
        <v>41</v>
      </c>
      <c r="S823">
        <v>2</v>
      </c>
      <c r="T823" t="s">
        <v>49</v>
      </c>
      <c r="U823">
        <v>13120</v>
      </c>
      <c r="V823" t="str" cm="1">
        <f t="array" ref="V82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23">
        <v>11879</v>
      </c>
      <c r="X823">
        <v>6</v>
      </c>
      <c r="Y823" t="s">
        <v>43</v>
      </c>
      <c r="Z823" t="s">
        <v>44</v>
      </c>
      <c r="AA823">
        <v>17</v>
      </c>
      <c r="AB823">
        <v>3</v>
      </c>
      <c r="AC823">
        <v>2</v>
      </c>
      <c r="AD823">
        <v>80</v>
      </c>
      <c r="AE823">
        <v>1</v>
      </c>
      <c r="AF823">
        <v>22</v>
      </c>
      <c r="AG823">
        <v>3</v>
      </c>
      <c r="AH823">
        <v>3</v>
      </c>
      <c r="AI823">
        <v>9</v>
      </c>
      <c r="AJ823">
        <v>8</v>
      </c>
      <c r="AK823">
        <v>2</v>
      </c>
      <c r="AL823" t="str" cm="1">
        <f t="array" ref="AL82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23">
        <v>3</v>
      </c>
    </row>
    <row r="824" spans="1:39" x14ac:dyDescent="0.25">
      <c r="A824">
        <v>34</v>
      </c>
      <c r="B824" t="s">
        <v>44</v>
      </c>
      <c r="C824" t="s">
        <v>45</v>
      </c>
      <c r="D824">
        <v>1003</v>
      </c>
      <c r="E824" t="s">
        <v>46</v>
      </c>
      <c r="G824">
        <v>2</v>
      </c>
      <c r="H824">
        <v>2</v>
      </c>
      <c r="I824" t="s">
        <v>39</v>
      </c>
      <c r="J824" t="str">
        <f>WA_Fn_UseC__HR_Employee_Attrition[[#This Row],[EducationField]]&amp;"-"&amp;WA_Fn_UseC__HR_Employee_Attrition[[#This Row],[Department]]</f>
        <v>Life Sciences-Research &amp; Development</v>
      </c>
      <c r="K824">
        <v>1</v>
      </c>
      <c r="L824">
        <v>1140</v>
      </c>
      <c r="M824">
        <v>4</v>
      </c>
      <c r="N824" t="s">
        <v>47</v>
      </c>
      <c r="O824">
        <v>95</v>
      </c>
      <c r="P824">
        <v>3</v>
      </c>
      <c r="Q824">
        <v>2</v>
      </c>
      <c r="R824" t="s">
        <v>54</v>
      </c>
      <c r="S824">
        <v>3</v>
      </c>
      <c r="T824" t="s">
        <v>42</v>
      </c>
      <c r="U824">
        <v>4033</v>
      </c>
      <c r="V824" t="str" cm="1">
        <f t="array" ref="V82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24">
        <v>15834</v>
      </c>
      <c r="X824">
        <v>2</v>
      </c>
      <c r="Y824" t="s">
        <v>43</v>
      </c>
      <c r="Z824" t="s">
        <v>44</v>
      </c>
      <c r="AA824">
        <v>11</v>
      </c>
      <c r="AB824">
        <v>3</v>
      </c>
      <c r="AC824">
        <v>4</v>
      </c>
      <c r="AD824">
        <v>80</v>
      </c>
      <c r="AE824">
        <v>0</v>
      </c>
      <c r="AF824">
        <v>5</v>
      </c>
      <c r="AG824">
        <v>3</v>
      </c>
      <c r="AH824">
        <v>2</v>
      </c>
      <c r="AI824">
        <v>3</v>
      </c>
      <c r="AJ824">
        <v>2</v>
      </c>
      <c r="AK824">
        <v>0</v>
      </c>
      <c r="AL824" t="str" cm="1">
        <f t="array" ref="AL82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24">
        <v>2</v>
      </c>
    </row>
    <row r="825" spans="1:39" x14ac:dyDescent="0.25">
      <c r="A825">
        <v>29</v>
      </c>
      <c r="B825" t="s">
        <v>44</v>
      </c>
      <c r="C825" t="s">
        <v>45</v>
      </c>
      <c r="D825">
        <v>490</v>
      </c>
      <c r="E825" t="s">
        <v>46</v>
      </c>
      <c r="G825">
        <v>10</v>
      </c>
      <c r="H825">
        <v>3</v>
      </c>
      <c r="I825" t="s">
        <v>39</v>
      </c>
      <c r="J825" t="str">
        <f>WA_Fn_UseC__HR_Employee_Attrition[[#This Row],[EducationField]]&amp;"-"&amp;WA_Fn_UseC__HR_Employee_Attrition[[#This Row],[Department]]</f>
        <v>Life Sciences-Research &amp; Development</v>
      </c>
      <c r="K825">
        <v>1</v>
      </c>
      <c r="L825">
        <v>1143</v>
      </c>
      <c r="M825">
        <v>4</v>
      </c>
      <c r="N825" t="s">
        <v>40</v>
      </c>
      <c r="O825">
        <v>61</v>
      </c>
      <c r="P825">
        <v>3</v>
      </c>
      <c r="Q825">
        <v>1</v>
      </c>
      <c r="R825" t="s">
        <v>48</v>
      </c>
      <c r="S825">
        <v>2</v>
      </c>
      <c r="T825" t="s">
        <v>53</v>
      </c>
      <c r="U825">
        <v>3291</v>
      </c>
      <c r="V825" t="str" cm="1">
        <f t="array" ref="V82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25">
        <v>17940</v>
      </c>
      <c r="X825">
        <v>0</v>
      </c>
      <c r="Y825" t="s">
        <v>43</v>
      </c>
      <c r="Z825" t="s">
        <v>44</v>
      </c>
      <c r="AA825">
        <v>14</v>
      </c>
      <c r="AB825">
        <v>3</v>
      </c>
      <c r="AC825">
        <v>4</v>
      </c>
      <c r="AD825">
        <v>80</v>
      </c>
      <c r="AE825">
        <v>2</v>
      </c>
      <c r="AF825">
        <v>8</v>
      </c>
      <c r="AG825">
        <v>2</v>
      </c>
      <c r="AH825">
        <v>2</v>
      </c>
      <c r="AI825">
        <v>7</v>
      </c>
      <c r="AJ825">
        <v>5</v>
      </c>
      <c r="AK825">
        <v>1</v>
      </c>
      <c r="AL825" t="str" cm="1">
        <f t="array" ref="AL82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25">
        <v>1</v>
      </c>
    </row>
    <row r="826" spans="1:39" x14ac:dyDescent="0.25">
      <c r="A826">
        <v>42</v>
      </c>
      <c r="B826" t="s">
        <v>44</v>
      </c>
      <c r="C826" t="s">
        <v>37</v>
      </c>
      <c r="D826">
        <v>188</v>
      </c>
      <c r="E826" t="s">
        <v>46</v>
      </c>
      <c r="G826">
        <v>29</v>
      </c>
      <c r="H826">
        <v>3</v>
      </c>
      <c r="I826" t="s">
        <v>52</v>
      </c>
      <c r="J826" t="str">
        <f>WA_Fn_UseC__HR_Employee_Attrition[[#This Row],[EducationField]]&amp;"-"&amp;WA_Fn_UseC__HR_Employee_Attrition[[#This Row],[Department]]</f>
        <v>Medical-Research &amp; Development</v>
      </c>
      <c r="K826">
        <v>1</v>
      </c>
      <c r="L826">
        <v>1148</v>
      </c>
      <c r="M826">
        <v>2</v>
      </c>
      <c r="N826" t="s">
        <v>47</v>
      </c>
      <c r="O826">
        <v>56</v>
      </c>
      <c r="P826">
        <v>1</v>
      </c>
      <c r="Q826">
        <v>2</v>
      </c>
      <c r="R826" t="s">
        <v>51</v>
      </c>
      <c r="S826">
        <v>4</v>
      </c>
      <c r="T826" t="s">
        <v>42</v>
      </c>
      <c r="U826">
        <v>4272</v>
      </c>
      <c r="V826" t="str" cm="1">
        <f t="array" ref="V82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26">
        <v>9558</v>
      </c>
      <c r="X826">
        <v>4</v>
      </c>
      <c r="Y826" t="s">
        <v>43</v>
      </c>
      <c r="Z826" t="s">
        <v>44</v>
      </c>
      <c r="AA826">
        <v>19</v>
      </c>
      <c r="AB826">
        <v>3</v>
      </c>
      <c r="AC826">
        <v>1</v>
      </c>
      <c r="AD826">
        <v>80</v>
      </c>
      <c r="AE826">
        <v>0</v>
      </c>
      <c r="AF826">
        <v>16</v>
      </c>
      <c r="AG826">
        <v>3</v>
      </c>
      <c r="AH826">
        <v>3</v>
      </c>
      <c r="AI826">
        <v>1</v>
      </c>
      <c r="AJ826">
        <v>0</v>
      </c>
      <c r="AK826">
        <v>0</v>
      </c>
      <c r="AL826" t="str" cm="1">
        <f t="array" ref="AL82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26">
        <v>0</v>
      </c>
    </row>
    <row r="827" spans="1:39" x14ac:dyDescent="0.25">
      <c r="A827">
        <v>29</v>
      </c>
      <c r="B827" t="s">
        <v>44</v>
      </c>
      <c r="C827" t="s">
        <v>37</v>
      </c>
      <c r="D827">
        <v>718</v>
      </c>
      <c r="E827" t="s">
        <v>46</v>
      </c>
      <c r="G827">
        <v>8</v>
      </c>
      <c r="H827">
        <v>1</v>
      </c>
      <c r="I827" t="s">
        <v>52</v>
      </c>
      <c r="J827" t="str">
        <f>WA_Fn_UseC__HR_Employee_Attrition[[#This Row],[EducationField]]&amp;"-"&amp;WA_Fn_UseC__HR_Employee_Attrition[[#This Row],[Department]]</f>
        <v>Medical-Research &amp; Development</v>
      </c>
      <c r="K827">
        <v>1</v>
      </c>
      <c r="L827">
        <v>1150</v>
      </c>
      <c r="M827">
        <v>2</v>
      </c>
      <c r="N827" t="s">
        <v>47</v>
      </c>
      <c r="O827">
        <v>79</v>
      </c>
      <c r="P827">
        <v>2</v>
      </c>
      <c r="Q827">
        <v>2</v>
      </c>
      <c r="R827" t="s">
        <v>54</v>
      </c>
      <c r="S827">
        <v>4</v>
      </c>
      <c r="T827" t="s">
        <v>49</v>
      </c>
      <c r="U827">
        <v>5056</v>
      </c>
      <c r="V827" t="str" cm="1">
        <f t="array" ref="V82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27">
        <v>17689</v>
      </c>
      <c r="X827">
        <v>1</v>
      </c>
      <c r="Y827" t="s">
        <v>43</v>
      </c>
      <c r="Z827" t="s">
        <v>36</v>
      </c>
      <c r="AA827">
        <v>15</v>
      </c>
      <c r="AB827">
        <v>3</v>
      </c>
      <c r="AC827">
        <v>3</v>
      </c>
      <c r="AD827">
        <v>80</v>
      </c>
      <c r="AE827">
        <v>1</v>
      </c>
      <c r="AF827">
        <v>10</v>
      </c>
      <c r="AG827">
        <v>2</v>
      </c>
      <c r="AH827">
        <v>2</v>
      </c>
      <c r="AI827">
        <v>10</v>
      </c>
      <c r="AJ827">
        <v>7</v>
      </c>
      <c r="AK827">
        <v>1</v>
      </c>
      <c r="AL827" t="str" cm="1">
        <f t="array" ref="AL82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27">
        <v>2</v>
      </c>
    </row>
    <row r="828" spans="1:39" x14ac:dyDescent="0.25">
      <c r="A828">
        <v>38</v>
      </c>
      <c r="B828" t="s">
        <v>44</v>
      </c>
      <c r="C828" t="s">
        <v>37</v>
      </c>
      <c r="D828">
        <v>433</v>
      </c>
      <c r="E828" t="s">
        <v>62</v>
      </c>
      <c r="G828">
        <v>1</v>
      </c>
      <c r="H828">
        <v>3</v>
      </c>
      <c r="I828" t="s">
        <v>62</v>
      </c>
      <c r="J828" t="str">
        <f>WA_Fn_UseC__HR_Employee_Attrition[[#This Row],[EducationField]]&amp;"-"&amp;WA_Fn_UseC__HR_Employee_Attrition[[#This Row],[Department]]</f>
        <v>Human Resources-Human Resources</v>
      </c>
      <c r="K828">
        <v>1</v>
      </c>
      <c r="L828">
        <v>1152</v>
      </c>
      <c r="M828">
        <v>3</v>
      </c>
      <c r="N828" t="s">
        <v>47</v>
      </c>
      <c r="O828">
        <v>37</v>
      </c>
      <c r="P828">
        <v>4</v>
      </c>
      <c r="Q828">
        <v>1</v>
      </c>
      <c r="R828" t="s">
        <v>62</v>
      </c>
      <c r="S828">
        <v>3</v>
      </c>
      <c r="T828" t="s">
        <v>49</v>
      </c>
      <c r="U828">
        <v>2844</v>
      </c>
      <c r="V828" t="str" cm="1">
        <f t="array" ref="V82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28">
        <v>6004</v>
      </c>
      <c r="X828">
        <v>1</v>
      </c>
      <c r="Y828" t="s">
        <v>43</v>
      </c>
      <c r="Z828" t="s">
        <v>44</v>
      </c>
      <c r="AA828">
        <v>13</v>
      </c>
      <c r="AB828">
        <v>3</v>
      </c>
      <c r="AC828">
        <v>4</v>
      </c>
      <c r="AD828">
        <v>80</v>
      </c>
      <c r="AE828">
        <v>1</v>
      </c>
      <c r="AF828">
        <v>7</v>
      </c>
      <c r="AG828">
        <v>2</v>
      </c>
      <c r="AH828">
        <v>4</v>
      </c>
      <c r="AI828">
        <v>7</v>
      </c>
      <c r="AJ828">
        <v>6</v>
      </c>
      <c r="AK828">
        <v>5</v>
      </c>
      <c r="AL828" t="str" cm="1">
        <f t="array" ref="AL82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28">
        <v>0</v>
      </c>
    </row>
    <row r="829" spans="1:39" x14ac:dyDescent="0.25">
      <c r="A829">
        <v>28</v>
      </c>
      <c r="B829" t="s">
        <v>44</v>
      </c>
      <c r="C829" t="s">
        <v>45</v>
      </c>
      <c r="D829">
        <v>773</v>
      </c>
      <c r="E829" t="s">
        <v>46</v>
      </c>
      <c r="G829">
        <v>6</v>
      </c>
      <c r="H829">
        <v>3</v>
      </c>
      <c r="I829" t="s">
        <v>39</v>
      </c>
      <c r="J829" t="str">
        <f>WA_Fn_UseC__HR_Employee_Attrition[[#This Row],[EducationField]]&amp;"-"&amp;WA_Fn_UseC__HR_Employee_Attrition[[#This Row],[Department]]</f>
        <v>Life Sciences-Research &amp; Development</v>
      </c>
      <c r="K829">
        <v>1</v>
      </c>
      <c r="L829">
        <v>1154</v>
      </c>
      <c r="M829">
        <v>3</v>
      </c>
      <c r="N829" t="s">
        <v>47</v>
      </c>
      <c r="O829">
        <v>39</v>
      </c>
      <c r="P829">
        <v>2</v>
      </c>
      <c r="Q829">
        <v>1</v>
      </c>
      <c r="R829" t="s">
        <v>48</v>
      </c>
      <c r="S829">
        <v>3</v>
      </c>
      <c r="T829" t="s">
        <v>53</v>
      </c>
      <c r="U829">
        <v>2703</v>
      </c>
      <c r="V829" t="str" cm="1">
        <f t="array" ref="V82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29">
        <v>22088</v>
      </c>
      <c r="X829">
        <v>1</v>
      </c>
      <c r="Y829" t="s">
        <v>43</v>
      </c>
      <c r="Z829" t="s">
        <v>36</v>
      </c>
      <c r="AA829">
        <v>14</v>
      </c>
      <c r="AB829">
        <v>3</v>
      </c>
      <c r="AC829">
        <v>4</v>
      </c>
      <c r="AD829">
        <v>80</v>
      </c>
      <c r="AE829">
        <v>1</v>
      </c>
      <c r="AF829">
        <v>3</v>
      </c>
      <c r="AG829">
        <v>2</v>
      </c>
      <c r="AH829">
        <v>3</v>
      </c>
      <c r="AI829">
        <v>3</v>
      </c>
      <c r="AJ829">
        <v>1</v>
      </c>
      <c r="AK829">
        <v>0</v>
      </c>
      <c r="AL829" t="str" cm="1">
        <f t="array" ref="AL82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29">
        <v>2</v>
      </c>
    </row>
    <row r="830" spans="1:39" x14ac:dyDescent="0.25">
      <c r="A830">
        <v>18</v>
      </c>
      <c r="B830" t="s">
        <v>36</v>
      </c>
      <c r="C830" t="s">
        <v>56</v>
      </c>
      <c r="D830">
        <v>247</v>
      </c>
      <c r="E830" t="s">
        <v>46</v>
      </c>
      <c r="G830">
        <v>8</v>
      </c>
      <c r="H830">
        <v>1</v>
      </c>
      <c r="I830" t="s">
        <v>52</v>
      </c>
      <c r="J830" t="str">
        <f>WA_Fn_UseC__HR_Employee_Attrition[[#This Row],[EducationField]]&amp;"-"&amp;WA_Fn_UseC__HR_Employee_Attrition[[#This Row],[Department]]</f>
        <v>Medical-Research &amp; Development</v>
      </c>
      <c r="K830">
        <v>1</v>
      </c>
      <c r="L830">
        <v>1156</v>
      </c>
      <c r="M830">
        <v>3</v>
      </c>
      <c r="N830" t="s">
        <v>47</v>
      </c>
      <c r="O830">
        <v>80</v>
      </c>
      <c r="P830">
        <v>3</v>
      </c>
      <c r="Q830">
        <v>1</v>
      </c>
      <c r="R830" t="s">
        <v>51</v>
      </c>
      <c r="S830">
        <v>3</v>
      </c>
      <c r="T830" t="s">
        <v>42</v>
      </c>
      <c r="U830">
        <v>1904</v>
      </c>
      <c r="V830" t="str" cm="1">
        <f t="array" ref="V83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30">
        <v>13556</v>
      </c>
      <c r="X830">
        <v>1</v>
      </c>
      <c r="Y830" t="s">
        <v>43</v>
      </c>
      <c r="Z830" t="s">
        <v>44</v>
      </c>
      <c r="AA830">
        <v>12</v>
      </c>
      <c r="AB830">
        <v>3</v>
      </c>
      <c r="AC830">
        <v>4</v>
      </c>
      <c r="AD830">
        <v>80</v>
      </c>
      <c r="AE830">
        <v>0</v>
      </c>
      <c r="AF830">
        <v>0</v>
      </c>
      <c r="AG830">
        <v>0</v>
      </c>
      <c r="AH830">
        <v>3</v>
      </c>
      <c r="AI830">
        <v>0</v>
      </c>
      <c r="AJ830">
        <v>0</v>
      </c>
      <c r="AK830">
        <v>0</v>
      </c>
      <c r="AL830" t="str" cm="1">
        <f t="array" ref="AL83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30">
        <v>0</v>
      </c>
    </row>
    <row r="831" spans="1:39" x14ac:dyDescent="0.25">
      <c r="A831">
        <v>33</v>
      </c>
      <c r="B831" t="s">
        <v>36</v>
      </c>
      <c r="C831" t="s">
        <v>37</v>
      </c>
      <c r="D831">
        <v>603</v>
      </c>
      <c r="E831" t="s">
        <v>38</v>
      </c>
      <c r="G831">
        <v>9</v>
      </c>
      <c r="H831">
        <v>4</v>
      </c>
      <c r="I831" t="s">
        <v>60</v>
      </c>
      <c r="J831" t="str">
        <f>WA_Fn_UseC__HR_Employee_Attrition[[#This Row],[EducationField]]&amp;"-"&amp;WA_Fn_UseC__HR_Employee_Attrition[[#This Row],[Department]]</f>
        <v>Marketing-Sales</v>
      </c>
      <c r="K831">
        <v>1</v>
      </c>
      <c r="L831">
        <v>1157</v>
      </c>
      <c r="M831">
        <v>1</v>
      </c>
      <c r="N831" t="s">
        <v>40</v>
      </c>
      <c r="O831">
        <v>77</v>
      </c>
      <c r="P831">
        <v>3</v>
      </c>
      <c r="Q831">
        <v>2</v>
      </c>
      <c r="R831" t="s">
        <v>41</v>
      </c>
      <c r="S831">
        <v>1</v>
      </c>
      <c r="T831" t="s">
        <v>42</v>
      </c>
      <c r="U831">
        <v>8224</v>
      </c>
      <c r="V831" t="str" cm="1">
        <f t="array" ref="V83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31">
        <v>18385</v>
      </c>
      <c r="X831">
        <v>0</v>
      </c>
      <c r="Y831" t="s">
        <v>43</v>
      </c>
      <c r="Z831" t="s">
        <v>36</v>
      </c>
      <c r="AA831">
        <v>17</v>
      </c>
      <c r="AB831">
        <v>3</v>
      </c>
      <c r="AC831">
        <v>1</v>
      </c>
      <c r="AD831">
        <v>80</v>
      </c>
      <c r="AE831">
        <v>0</v>
      </c>
      <c r="AF831">
        <v>6</v>
      </c>
      <c r="AG831">
        <v>3</v>
      </c>
      <c r="AH831">
        <v>3</v>
      </c>
      <c r="AI831">
        <v>5</v>
      </c>
      <c r="AJ831">
        <v>2</v>
      </c>
      <c r="AK831">
        <v>0</v>
      </c>
      <c r="AL831" t="str" cm="1">
        <f t="array" ref="AL83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31">
        <v>3</v>
      </c>
    </row>
    <row r="832" spans="1:39" x14ac:dyDescent="0.25">
      <c r="A832">
        <v>41</v>
      </c>
      <c r="B832" t="s">
        <v>44</v>
      </c>
      <c r="C832" t="s">
        <v>37</v>
      </c>
      <c r="D832">
        <v>167</v>
      </c>
      <c r="E832" t="s">
        <v>46</v>
      </c>
      <c r="G832">
        <v>12</v>
      </c>
      <c r="H832">
        <v>4</v>
      </c>
      <c r="I832" t="s">
        <v>39</v>
      </c>
      <c r="J832" t="str">
        <f>WA_Fn_UseC__HR_Employee_Attrition[[#This Row],[EducationField]]&amp;"-"&amp;WA_Fn_UseC__HR_Employee_Attrition[[#This Row],[Department]]</f>
        <v>Life Sciences-Research &amp; Development</v>
      </c>
      <c r="K832">
        <v>1</v>
      </c>
      <c r="L832">
        <v>1158</v>
      </c>
      <c r="M832">
        <v>2</v>
      </c>
      <c r="N832" t="s">
        <v>47</v>
      </c>
      <c r="O832">
        <v>46</v>
      </c>
      <c r="P832">
        <v>3</v>
      </c>
      <c r="Q832">
        <v>1</v>
      </c>
      <c r="R832" t="s">
        <v>51</v>
      </c>
      <c r="S832">
        <v>4</v>
      </c>
      <c r="T832" t="s">
        <v>49</v>
      </c>
      <c r="U832">
        <v>4766</v>
      </c>
      <c r="V832" t="str" cm="1">
        <f t="array" ref="V83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32">
        <v>9051</v>
      </c>
      <c r="X832">
        <v>3</v>
      </c>
      <c r="Y832" t="s">
        <v>43</v>
      </c>
      <c r="Z832" t="s">
        <v>36</v>
      </c>
      <c r="AA832">
        <v>11</v>
      </c>
      <c r="AB832">
        <v>3</v>
      </c>
      <c r="AC832">
        <v>1</v>
      </c>
      <c r="AD832">
        <v>80</v>
      </c>
      <c r="AE832">
        <v>1</v>
      </c>
      <c r="AF832">
        <v>6</v>
      </c>
      <c r="AG832">
        <v>4</v>
      </c>
      <c r="AH832">
        <v>3</v>
      </c>
      <c r="AI832">
        <v>1</v>
      </c>
      <c r="AJ832">
        <v>0</v>
      </c>
      <c r="AK832">
        <v>0</v>
      </c>
      <c r="AL832" t="str" cm="1">
        <f t="array" ref="AL83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32">
        <v>0</v>
      </c>
    </row>
    <row r="833" spans="1:39" x14ac:dyDescent="0.25">
      <c r="A833">
        <v>31</v>
      </c>
      <c r="B833" t="s">
        <v>36</v>
      </c>
      <c r="C833" t="s">
        <v>45</v>
      </c>
      <c r="D833">
        <v>874</v>
      </c>
      <c r="E833" t="s">
        <v>46</v>
      </c>
      <c r="G833">
        <v>15</v>
      </c>
      <c r="H833">
        <v>3</v>
      </c>
      <c r="I833" t="s">
        <v>52</v>
      </c>
      <c r="J833" t="str">
        <f>WA_Fn_UseC__HR_Employee_Attrition[[#This Row],[EducationField]]&amp;"-"&amp;WA_Fn_UseC__HR_Employee_Attrition[[#This Row],[Department]]</f>
        <v>Medical-Research &amp; Development</v>
      </c>
      <c r="K833">
        <v>1</v>
      </c>
      <c r="L833">
        <v>1160</v>
      </c>
      <c r="M833">
        <v>3</v>
      </c>
      <c r="N833" t="s">
        <v>47</v>
      </c>
      <c r="O833">
        <v>72</v>
      </c>
      <c r="P833">
        <v>3</v>
      </c>
      <c r="Q833">
        <v>1</v>
      </c>
      <c r="R833" t="s">
        <v>51</v>
      </c>
      <c r="S833">
        <v>3</v>
      </c>
      <c r="T833" t="s">
        <v>49</v>
      </c>
      <c r="U833">
        <v>2610</v>
      </c>
      <c r="V833" t="str" cm="1">
        <f t="array" ref="V83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33">
        <v>6233</v>
      </c>
      <c r="X833">
        <v>1</v>
      </c>
      <c r="Y833" t="s">
        <v>43</v>
      </c>
      <c r="Z833" t="s">
        <v>44</v>
      </c>
      <c r="AA833">
        <v>12</v>
      </c>
      <c r="AB833">
        <v>3</v>
      </c>
      <c r="AC833">
        <v>3</v>
      </c>
      <c r="AD833">
        <v>80</v>
      </c>
      <c r="AE833">
        <v>1</v>
      </c>
      <c r="AF833">
        <v>2</v>
      </c>
      <c r="AG833">
        <v>5</v>
      </c>
      <c r="AH833">
        <v>2</v>
      </c>
      <c r="AI833">
        <v>2</v>
      </c>
      <c r="AJ833">
        <v>2</v>
      </c>
      <c r="AK833">
        <v>2</v>
      </c>
      <c r="AL833" t="str" cm="1">
        <f t="array" ref="AL83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33">
        <v>2</v>
      </c>
    </row>
    <row r="834" spans="1:39" x14ac:dyDescent="0.25">
      <c r="A834">
        <v>37</v>
      </c>
      <c r="B834" t="s">
        <v>44</v>
      </c>
      <c r="C834" t="s">
        <v>37</v>
      </c>
      <c r="D834">
        <v>367</v>
      </c>
      <c r="E834" t="s">
        <v>46</v>
      </c>
      <c r="G834">
        <v>25</v>
      </c>
      <c r="H834">
        <v>2</v>
      </c>
      <c r="I834" t="s">
        <v>52</v>
      </c>
      <c r="J834" t="str">
        <f>WA_Fn_UseC__HR_Employee_Attrition[[#This Row],[EducationField]]&amp;"-"&amp;WA_Fn_UseC__HR_Employee_Attrition[[#This Row],[Department]]</f>
        <v>Medical-Research &amp; Development</v>
      </c>
      <c r="K834">
        <v>1</v>
      </c>
      <c r="L834">
        <v>1161</v>
      </c>
      <c r="M834">
        <v>3</v>
      </c>
      <c r="N834" t="s">
        <v>40</v>
      </c>
      <c r="O834">
        <v>52</v>
      </c>
      <c r="P834">
        <v>2</v>
      </c>
      <c r="Q834">
        <v>2</v>
      </c>
      <c r="R834" t="s">
        <v>55</v>
      </c>
      <c r="S834">
        <v>4</v>
      </c>
      <c r="T834" t="s">
        <v>53</v>
      </c>
      <c r="U834">
        <v>5731</v>
      </c>
      <c r="V834" t="str" cm="1">
        <f t="array" ref="V83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34">
        <v>17171</v>
      </c>
      <c r="X834">
        <v>7</v>
      </c>
      <c r="Y834" t="s">
        <v>43</v>
      </c>
      <c r="Z834" t="s">
        <v>44</v>
      </c>
      <c r="AA834">
        <v>13</v>
      </c>
      <c r="AB834">
        <v>3</v>
      </c>
      <c r="AC834">
        <v>3</v>
      </c>
      <c r="AD834">
        <v>80</v>
      </c>
      <c r="AE834">
        <v>2</v>
      </c>
      <c r="AF834">
        <v>9</v>
      </c>
      <c r="AG834">
        <v>2</v>
      </c>
      <c r="AH834">
        <v>3</v>
      </c>
      <c r="AI834">
        <v>6</v>
      </c>
      <c r="AJ834">
        <v>2</v>
      </c>
      <c r="AK834">
        <v>1</v>
      </c>
      <c r="AL834" t="str" cm="1">
        <f t="array" ref="AL83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34">
        <v>3</v>
      </c>
    </row>
    <row r="835" spans="1:39" x14ac:dyDescent="0.25">
      <c r="A835">
        <v>27</v>
      </c>
      <c r="B835" t="s">
        <v>44</v>
      </c>
      <c r="C835" t="s">
        <v>37</v>
      </c>
      <c r="D835">
        <v>199</v>
      </c>
      <c r="E835" t="s">
        <v>46</v>
      </c>
      <c r="G835">
        <v>6</v>
      </c>
      <c r="H835">
        <v>3</v>
      </c>
      <c r="I835" t="s">
        <v>39</v>
      </c>
      <c r="J835" t="str">
        <f>WA_Fn_UseC__HR_Employee_Attrition[[#This Row],[EducationField]]&amp;"-"&amp;WA_Fn_UseC__HR_Employee_Attrition[[#This Row],[Department]]</f>
        <v>Life Sciences-Research &amp; Development</v>
      </c>
      <c r="K835">
        <v>1</v>
      </c>
      <c r="L835">
        <v>1162</v>
      </c>
      <c r="M835">
        <v>4</v>
      </c>
      <c r="N835" t="s">
        <v>47</v>
      </c>
      <c r="O835">
        <v>55</v>
      </c>
      <c r="P835">
        <v>2</v>
      </c>
      <c r="Q835">
        <v>1</v>
      </c>
      <c r="R835" t="s">
        <v>48</v>
      </c>
      <c r="S835">
        <v>3</v>
      </c>
      <c r="T835" t="s">
        <v>49</v>
      </c>
      <c r="U835">
        <v>2539</v>
      </c>
      <c r="V835" t="str" cm="1">
        <f t="array" ref="V83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35">
        <v>7950</v>
      </c>
      <c r="X835">
        <v>1</v>
      </c>
      <c r="Y835" t="s">
        <v>43</v>
      </c>
      <c r="Z835" t="s">
        <v>44</v>
      </c>
      <c r="AA835">
        <v>13</v>
      </c>
      <c r="AB835">
        <v>3</v>
      </c>
      <c r="AC835">
        <v>3</v>
      </c>
      <c r="AD835">
        <v>80</v>
      </c>
      <c r="AE835">
        <v>1</v>
      </c>
      <c r="AF835">
        <v>4</v>
      </c>
      <c r="AG835">
        <v>0</v>
      </c>
      <c r="AH835">
        <v>3</v>
      </c>
      <c r="AI835">
        <v>4</v>
      </c>
      <c r="AJ835">
        <v>2</v>
      </c>
      <c r="AK835">
        <v>2</v>
      </c>
      <c r="AL835" t="str" cm="1">
        <f t="array" ref="AL83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35">
        <v>2</v>
      </c>
    </row>
    <row r="836" spans="1:39" x14ac:dyDescent="0.25">
      <c r="A836">
        <v>34</v>
      </c>
      <c r="B836" t="s">
        <v>44</v>
      </c>
      <c r="C836" t="s">
        <v>37</v>
      </c>
      <c r="D836">
        <v>1400</v>
      </c>
      <c r="E836" t="s">
        <v>38</v>
      </c>
      <c r="G836">
        <v>9</v>
      </c>
      <c r="H836">
        <v>1</v>
      </c>
      <c r="I836" t="s">
        <v>39</v>
      </c>
      <c r="J836" t="str">
        <f>WA_Fn_UseC__HR_Employee_Attrition[[#This Row],[EducationField]]&amp;"-"&amp;WA_Fn_UseC__HR_Employee_Attrition[[#This Row],[Department]]</f>
        <v>Life Sciences-Sales</v>
      </c>
      <c r="K836">
        <v>1</v>
      </c>
      <c r="L836">
        <v>1163</v>
      </c>
      <c r="M836">
        <v>2</v>
      </c>
      <c r="N836" t="s">
        <v>40</v>
      </c>
      <c r="O836">
        <v>70</v>
      </c>
      <c r="P836">
        <v>3</v>
      </c>
      <c r="Q836">
        <v>2</v>
      </c>
      <c r="R836" t="s">
        <v>41</v>
      </c>
      <c r="S836">
        <v>3</v>
      </c>
      <c r="T836" t="s">
        <v>49</v>
      </c>
      <c r="U836">
        <v>5714</v>
      </c>
      <c r="V836" t="str" cm="1">
        <f t="array" ref="V83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36">
        <v>5829</v>
      </c>
      <c r="X836">
        <v>1</v>
      </c>
      <c r="Y836" t="s">
        <v>43</v>
      </c>
      <c r="Z836" t="s">
        <v>44</v>
      </c>
      <c r="AA836">
        <v>20</v>
      </c>
      <c r="AB836">
        <v>4</v>
      </c>
      <c r="AC836">
        <v>1</v>
      </c>
      <c r="AD836">
        <v>80</v>
      </c>
      <c r="AE836">
        <v>0</v>
      </c>
      <c r="AF836">
        <v>6</v>
      </c>
      <c r="AG836">
        <v>3</v>
      </c>
      <c r="AH836">
        <v>2</v>
      </c>
      <c r="AI836">
        <v>6</v>
      </c>
      <c r="AJ836">
        <v>5</v>
      </c>
      <c r="AK836">
        <v>1</v>
      </c>
      <c r="AL836" t="str" cm="1">
        <f t="array" ref="AL83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36">
        <v>3</v>
      </c>
    </row>
    <row r="837" spans="1:39" x14ac:dyDescent="0.25">
      <c r="A837">
        <v>35</v>
      </c>
      <c r="B837" t="s">
        <v>44</v>
      </c>
      <c r="C837" t="s">
        <v>37</v>
      </c>
      <c r="D837">
        <v>528</v>
      </c>
      <c r="E837" t="s">
        <v>62</v>
      </c>
      <c r="G837">
        <v>8</v>
      </c>
      <c r="H837">
        <v>4</v>
      </c>
      <c r="I837" t="s">
        <v>61</v>
      </c>
      <c r="J837" t="str">
        <f>WA_Fn_UseC__HR_Employee_Attrition[[#This Row],[EducationField]]&amp;"-"&amp;WA_Fn_UseC__HR_Employee_Attrition[[#This Row],[Department]]</f>
        <v>Technical Degree-Human Resources</v>
      </c>
      <c r="K837">
        <v>1</v>
      </c>
      <c r="L837">
        <v>1164</v>
      </c>
      <c r="M837">
        <v>3</v>
      </c>
      <c r="N837" t="s">
        <v>47</v>
      </c>
      <c r="O837">
        <v>100</v>
      </c>
      <c r="P837">
        <v>3</v>
      </c>
      <c r="Q837">
        <v>1</v>
      </c>
      <c r="R837" t="s">
        <v>62</v>
      </c>
      <c r="S837">
        <v>3</v>
      </c>
      <c r="T837" t="s">
        <v>42</v>
      </c>
      <c r="U837">
        <v>4323</v>
      </c>
      <c r="V837" t="str" cm="1">
        <f t="array" ref="V83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37">
        <v>7108</v>
      </c>
      <c r="X837">
        <v>1</v>
      </c>
      <c r="Y837" t="s">
        <v>43</v>
      </c>
      <c r="Z837" t="s">
        <v>44</v>
      </c>
      <c r="AA837">
        <v>17</v>
      </c>
      <c r="AB837">
        <v>3</v>
      </c>
      <c r="AC837">
        <v>2</v>
      </c>
      <c r="AD837">
        <v>80</v>
      </c>
      <c r="AE837">
        <v>0</v>
      </c>
      <c r="AF837">
        <v>6</v>
      </c>
      <c r="AG837">
        <v>2</v>
      </c>
      <c r="AH837">
        <v>1</v>
      </c>
      <c r="AI837">
        <v>5</v>
      </c>
      <c r="AJ837">
        <v>4</v>
      </c>
      <c r="AK837">
        <v>1</v>
      </c>
      <c r="AL837" t="str" cm="1">
        <f t="array" ref="AL83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37">
        <v>4</v>
      </c>
    </row>
    <row r="838" spans="1:39" x14ac:dyDescent="0.25">
      <c r="A838">
        <v>29</v>
      </c>
      <c r="B838" t="s">
        <v>36</v>
      </c>
      <c r="C838" t="s">
        <v>37</v>
      </c>
      <c r="D838">
        <v>408</v>
      </c>
      <c r="E838" t="s">
        <v>38</v>
      </c>
      <c r="G838">
        <v>23</v>
      </c>
      <c r="H838">
        <v>1</v>
      </c>
      <c r="I838" t="s">
        <v>39</v>
      </c>
      <c r="J838" t="str">
        <f>WA_Fn_UseC__HR_Employee_Attrition[[#This Row],[EducationField]]&amp;"-"&amp;WA_Fn_UseC__HR_Employee_Attrition[[#This Row],[Department]]</f>
        <v>Life Sciences-Sales</v>
      </c>
      <c r="K838">
        <v>1</v>
      </c>
      <c r="L838">
        <v>1165</v>
      </c>
      <c r="M838">
        <v>4</v>
      </c>
      <c r="N838" t="s">
        <v>40</v>
      </c>
      <c r="O838">
        <v>45</v>
      </c>
      <c r="P838">
        <v>2</v>
      </c>
      <c r="Q838">
        <v>3</v>
      </c>
      <c r="R838" t="s">
        <v>41</v>
      </c>
      <c r="S838">
        <v>1</v>
      </c>
      <c r="T838" t="s">
        <v>49</v>
      </c>
      <c r="U838">
        <v>7336</v>
      </c>
      <c r="V838" t="str" cm="1">
        <f t="array" ref="V83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38">
        <v>11162</v>
      </c>
      <c r="X838">
        <v>1</v>
      </c>
      <c r="Y838" t="s">
        <v>43</v>
      </c>
      <c r="Z838" t="s">
        <v>44</v>
      </c>
      <c r="AA838">
        <v>13</v>
      </c>
      <c r="AB838">
        <v>3</v>
      </c>
      <c r="AC838">
        <v>1</v>
      </c>
      <c r="AD838">
        <v>80</v>
      </c>
      <c r="AE838">
        <v>1</v>
      </c>
      <c r="AF838">
        <v>11</v>
      </c>
      <c r="AG838">
        <v>3</v>
      </c>
      <c r="AH838">
        <v>1</v>
      </c>
      <c r="AI838">
        <v>11</v>
      </c>
      <c r="AJ838">
        <v>8</v>
      </c>
      <c r="AK838">
        <v>3</v>
      </c>
      <c r="AL838" t="str" cm="1">
        <f t="array" ref="AL83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38">
        <v>10</v>
      </c>
    </row>
    <row r="839" spans="1:39" x14ac:dyDescent="0.25">
      <c r="A839">
        <v>40</v>
      </c>
      <c r="B839" t="s">
        <v>44</v>
      </c>
      <c r="C839" t="s">
        <v>45</v>
      </c>
      <c r="D839">
        <v>593</v>
      </c>
      <c r="E839" t="s">
        <v>46</v>
      </c>
      <c r="G839">
        <v>9</v>
      </c>
      <c r="H839">
        <v>4</v>
      </c>
      <c r="I839" t="s">
        <v>52</v>
      </c>
      <c r="J839" t="str">
        <f>WA_Fn_UseC__HR_Employee_Attrition[[#This Row],[EducationField]]&amp;"-"&amp;WA_Fn_UseC__HR_Employee_Attrition[[#This Row],[Department]]</f>
        <v>Medical-Research &amp; Development</v>
      </c>
      <c r="K839">
        <v>1</v>
      </c>
      <c r="L839">
        <v>1166</v>
      </c>
      <c r="M839">
        <v>2</v>
      </c>
      <c r="N839" t="s">
        <v>40</v>
      </c>
      <c r="O839">
        <v>88</v>
      </c>
      <c r="P839">
        <v>3</v>
      </c>
      <c r="Q839">
        <v>3</v>
      </c>
      <c r="R839" t="s">
        <v>59</v>
      </c>
      <c r="S839">
        <v>3</v>
      </c>
      <c r="T839" t="s">
        <v>42</v>
      </c>
      <c r="U839">
        <v>13499</v>
      </c>
      <c r="V839" t="str" cm="1">
        <f t="array" ref="V83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39">
        <v>13782</v>
      </c>
      <c r="X839">
        <v>9</v>
      </c>
      <c r="Y839" t="s">
        <v>43</v>
      </c>
      <c r="Z839" t="s">
        <v>44</v>
      </c>
      <c r="AA839">
        <v>17</v>
      </c>
      <c r="AB839">
        <v>3</v>
      </c>
      <c r="AC839">
        <v>3</v>
      </c>
      <c r="AD839">
        <v>80</v>
      </c>
      <c r="AE839">
        <v>0</v>
      </c>
      <c r="AF839">
        <v>20</v>
      </c>
      <c r="AG839">
        <v>3</v>
      </c>
      <c r="AH839">
        <v>2</v>
      </c>
      <c r="AI839">
        <v>18</v>
      </c>
      <c r="AJ839">
        <v>7</v>
      </c>
      <c r="AK839">
        <v>2</v>
      </c>
      <c r="AL839" t="str" cm="1">
        <f t="array" ref="AL83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39">
        <v>13</v>
      </c>
    </row>
    <row r="840" spans="1:39" x14ac:dyDescent="0.25">
      <c r="A840">
        <v>42</v>
      </c>
      <c r="B840" t="s">
        <v>36</v>
      </c>
      <c r="C840" t="s">
        <v>45</v>
      </c>
      <c r="D840">
        <v>481</v>
      </c>
      <c r="E840" t="s">
        <v>38</v>
      </c>
      <c r="G840">
        <v>12</v>
      </c>
      <c r="H840">
        <v>3</v>
      </c>
      <c r="I840" t="s">
        <v>39</v>
      </c>
      <c r="J840" t="str">
        <f>WA_Fn_UseC__HR_Employee_Attrition[[#This Row],[EducationField]]&amp;"-"&amp;WA_Fn_UseC__HR_Employee_Attrition[[#This Row],[Department]]</f>
        <v>Life Sciences-Sales</v>
      </c>
      <c r="K840">
        <v>1</v>
      </c>
      <c r="L840">
        <v>1167</v>
      </c>
      <c r="M840">
        <v>3</v>
      </c>
      <c r="N840" t="s">
        <v>47</v>
      </c>
      <c r="O840">
        <v>44</v>
      </c>
      <c r="P840">
        <v>3</v>
      </c>
      <c r="Q840">
        <v>4</v>
      </c>
      <c r="R840" t="s">
        <v>41</v>
      </c>
      <c r="S840">
        <v>1</v>
      </c>
      <c r="T840" t="s">
        <v>42</v>
      </c>
      <c r="U840">
        <v>13758</v>
      </c>
      <c r="V840" t="str" cm="1">
        <f t="array" ref="V84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40">
        <v>2447</v>
      </c>
      <c r="X840">
        <v>0</v>
      </c>
      <c r="Y840" t="s">
        <v>43</v>
      </c>
      <c r="Z840" t="s">
        <v>36</v>
      </c>
      <c r="AA840">
        <v>12</v>
      </c>
      <c r="AB840">
        <v>3</v>
      </c>
      <c r="AC840">
        <v>2</v>
      </c>
      <c r="AD840">
        <v>80</v>
      </c>
      <c r="AE840">
        <v>0</v>
      </c>
      <c r="AF840">
        <v>22</v>
      </c>
      <c r="AG840">
        <v>2</v>
      </c>
      <c r="AH840">
        <v>2</v>
      </c>
      <c r="AI840">
        <v>21</v>
      </c>
      <c r="AJ840">
        <v>9</v>
      </c>
      <c r="AK840">
        <v>13</v>
      </c>
      <c r="AL840" t="str" cm="1">
        <f t="array" ref="AL84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40">
        <v>14</v>
      </c>
    </row>
    <row r="841" spans="1:39" x14ac:dyDescent="0.25">
      <c r="A841">
        <v>42</v>
      </c>
      <c r="B841" t="s">
        <v>44</v>
      </c>
      <c r="C841" t="s">
        <v>37</v>
      </c>
      <c r="D841">
        <v>647</v>
      </c>
      <c r="E841" t="s">
        <v>38</v>
      </c>
      <c r="G841">
        <v>4</v>
      </c>
      <c r="H841">
        <v>4</v>
      </c>
      <c r="I841" t="s">
        <v>60</v>
      </c>
      <c r="J841" t="str">
        <f>WA_Fn_UseC__HR_Employee_Attrition[[#This Row],[EducationField]]&amp;"-"&amp;WA_Fn_UseC__HR_Employee_Attrition[[#This Row],[Department]]</f>
        <v>Marketing-Sales</v>
      </c>
      <c r="K841">
        <v>1</v>
      </c>
      <c r="L841">
        <v>1171</v>
      </c>
      <c r="M841">
        <v>2</v>
      </c>
      <c r="N841" t="s">
        <v>47</v>
      </c>
      <c r="O841">
        <v>45</v>
      </c>
      <c r="P841">
        <v>3</v>
      </c>
      <c r="Q841">
        <v>2</v>
      </c>
      <c r="R841" t="s">
        <v>41</v>
      </c>
      <c r="S841">
        <v>1</v>
      </c>
      <c r="T841" t="s">
        <v>42</v>
      </c>
      <c r="U841">
        <v>5155</v>
      </c>
      <c r="V841" t="str" cm="1">
        <f t="array" ref="V84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41">
        <v>2253</v>
      </c>
      <c r="X841">
        <v>7</v>
      </c>
      <c r="Y841" t="s">
        <v>43</v>
      </c>
      <c r="Z841" t="s">
        <v>44</v>
      </c>
      <c r="AA841">
        <v>13</v>
      </c>
      <c r="AB841">
        <v>3</v>
      </c>
      <c r="AC841">
        <v>4</v>
      </c>
      <c r="AD841">
        <v>80</v>
      </c>
      <c r="AE841">
        <v>0</v>
      </c>
      <c r="AF841">
        <v>9</v>
      </c>
      <c r="AG841">
        <v>3</v>
      </c>
      <c r="AH841">
        <v>4</v>
      </c>
      <c r="AI841">
        <v>6</v>
      </c>
      <c r="AJ841">
        <v>4</v>
      </c>
      <c r="AK841">
        <v>1</v>
      </c>
      <c r="AL841" t="str" cm="1">
        <f t="array" ref="AL84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41">
        <v>5</v>
      </c>
    </row>
    <row r="842" spans="1:39" x14ac:dyDescent="0.25">
      <c r="A842">
        <v>35</v>
      </c>
      <c r="B842" t="s">
        <v>44</v>
      </c>
      <c r="C842" t="s">
        <v>37</v>
      </c>
      <c r="D842">
        <v>982</v>
      </c>
      <c r="E842" t="s">
        <v>46</v>
      </c>
      <c r="G842">
        <v>1</v>
      </c>
      <c r="H842">
        <v>4</v>
      </c>
      <c r="I842" t="s">
        <v>52</v>
      </c>
      <c r="J842" t="str">
        <f>WA_Fn_UseC__HR_Employee_Attrition[[#This Row],[EducationField]]&amp;"-"&amp;WA_Fn_UseC__HR_Employee_Attrition[[#This Row],[Department]]</f>
        <v>Medical-Research &amp; Development</v>
      </c>
      <c r="K842">
        <v>1</v>
      </c>
      <c r="L842">
        <v>1172</v>
      </c>
      <c r="M842">
        <v>4</v>
      </c>
      <c r="N842" t="s">
        <v>47</v>
      </c>
      <c r="O842">
        <v>58</v>
      </c>
      <c r="P842">
        <v>2</v>
      </c>
      <c r="Q842">
        <v>1</v>
      </c>
      <c r="R842" t="s">
        <v>51</v>
      </c>
      <c r="S842">
        <v>3</v>
      </c>
      <c r="T842" t="s">
        <v>49</v>
      </c>
      <c r="U842">
        <v>2258</v>
      </c>
      <c r="V842" t="str" cm="1">
        <f t="array" ref="V84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42">
        <v>16340</v>
      </c>
      <c r="X842">
        <v>6</v>
      </c>
      <c r="Y842" t="s">
        <v>43</v>
      </c>
      <c r="Z842" t="s">
        <v>44</v>
      </c>
      <c r="AA842">
        <v>12</v>
      </c>
      <c r="AB842">
        <v>3</v>
      </c>
      <c r="AC842">
        <v>2</v>
      </c>
      <c r="AD842">
        <v>80</v>
      </c>
      <c r="AE842">
        <v>1</v>
      </c>
      <c r="AF842">
        <v>10</v>
      </c>
      <c r="AG842">
        <v>2</v>
      </c>
      <c r="AH842">
        <v>3</v>
      </c>
      <c r="AI842">
        <v>8</v>
      </c>
      <c r="AJ842">
        <v>0</v>
      </c>
      <c r="AK842">
        <v>1</v>
      </c>
      <c r="AL842" t="str" cm="1">
        <f t="array" ref="AL84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42">
        <v>7</v>
      </c>
    </row>
    <row r="843" spans="1:39" x14ac:dyDescent="0.25">
      <c r="A843">
        <v>24</v>
      </c>
      <c r="B843" t="s">
        <v>44</v>
      </c>
      <c r="C843" t="s">
        <v>37</v>
      </c>
      <c r="D843">
        <v>477</v>
      </c>
      <c r="E843" t="s">
        <v>46</v>
      </c>
      <c r="G843">
        <v>24</v>
      </c>
      <c r="H843">
        <v>3</v>
      </c>
      <c r="I843" t="s">
        <v>52</v>
      </c>
      <c r="J843" t="str">
        <f>WA_Fn_UseC__HR_Employee_Attrition[[#This Row],[EducationField]]&amp;"-"&amp;WA_Fn_UseC__HR_Employee_Attrition[[#This Row],[Department]]</f>
        <v>Medical-Research &amp; Development</v>
      </c>
      <c r="K843">
        <v>1</v>
      </c>
      <c r="L843">
        <v>1173</v>
      </c>
      <c r="M843">
        <v>4</v>
      </c>
      <c r="N843" t="s">
        <v>47</v>
      </c>
      <c r="O843">
        <v>49</v>
      </c>
      <c r="P843">
        <v>3</v>
      </c>
      <c r="Q843">
        <v>1</v>
      </c>
      <c r="R843" t="s">
        <v>51</v>
      </c>
      <c r="S843">
        <v>2</v>
      </c>
      <c r="T843" t="s">
        <v>42</v>
      </c>
      <c r="U843">
        <v>3597</v>
      </c>
      <c r="V843" t="str" cm="1">
        <f t="array" ref="V84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43">
        <v>6409</v>
      </c>
      <c r="X843">
        <v>8</v>
      </c>
      <c r="Y843" t="s">
        <v>43</v>
      </c>
      <c r="Z843" t="s">
        <v>44</v>
      </c>
      <c r="AA843">
        <v>22</v>
      </c>
      <c r="AB843">
        <v>4</v>
      </c>
      <c r="AC843">
        <v>4</v>
      </c>
      <c r="AD843">
        <v>80</v>
      </c>
      <c r="AE843">
        <v>0</v>
      </c>
      <c r="AF843">
        <v>6</v>
      </c>
      <c r="AG843">
        <v>2</v>
      </c>
      <c r="AH843">
        <v>3</v>
      </c>
      <c r="AI843">
        <v>4</v>
      </c>
      <c r="AJ843">
        <v>3</v>
      </c>
      <c r="AK843">
        <v>1</v>
      </c>
      <c r="AL843" t="str" cm="1">
        <f t="array" ref="AL84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43">
        <v>2</v>
      </c>
    </row>
    <row r="844" spans="1:39" x14ac:dyDescent="0.25">
      <c r="A844">
        <v>28</v>
      </c>
      <c r="B844" t="s">
        <v>36</v>
      </c>
      <c r="C844" t="s">
        <v>37</v>
      </c>
      <c r="D844">
        <v>1485</v>
      </c>
      <c r="E844" t="s">
        <v>46</v>
      </c>
      <c r="G844">
        <v>12</v>
      </c>
      <c r="H844">
        <v>1</v>
      </c>
      <c r="I844" t="s">
        <v>39</v>
      </c>
      <c r="J844" t="str">
        <f>WA_Fn_UseC__HR_Employee_Attrition[[#This Row],[EducationField]]&amp;"-"&amp;WA_Fn_UseC__HR_Employee_Attrition[[#This Row],[Department]]</f>
        <v>Life Sciences-Research &amp; Development</v>
      </c>
      <c r="K844">
        <v>1</v>
      </c>
      <c r="L844">
        <v>1175</v>
      </c>
      <c r="M844">
        <v>3</v>
      </c>
      <c r="N844" t="s">
        <v>40</v>
      </c>
      <c r="O844">
        <v>79</v>
      </c>
      <c r="P844">
        <v>3</v>
      </c>
      <c r="Q844">
        <v>1</v>
      </c>
      <c r="R844" t="s">
        <v>51</v>
      </c>
      <c r="S844">
        <v>4</v>
      </c>
      <c r="T844" t="s">
        <v>49</v>
      </c>
      <c r="U844">
        <v>2515</v>
      </c>
      <c r="V844" t="str" cm="1">
        <f t="array" ref="V84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44">
        <v>22955</v>
      </c>
      <c r="X844">
        <v>1</v>
      </c>
      <c r="Y844" t="s">
        <v>43</v>
      </c>
      <c r="Z844" t="s">
        <v>36</v>
      </c>
      <c r="AA844">
        <v>11</v>
      </c>
      <c r="AB844">
        <v>3</v>
      </c>
      <c r="AC844">
        <v>4</v>
      </c>
      <c r="AD844">
        <v>80</v>
      </c>
      <c r="AE844">
        <v>0</v>
      </c>
      <c r="AF844">
        <v>1</v>
      </c>
      <c r="AG844">
        <v>4</v>
      </c>
      <c r="AH844">
        <v>2</v>
      </c>
      <c r="AI844">
        <v>1</v>
      </c>
      <c r="AJ844">
        <v>1</v>
      </c>
      <c r="AK844">
        <v>0</v>
      </c>
      <c r="AL844" t="str" cm="1">
        <f t="array" ref="AL84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44">
        <v>0</v>
      </c>
    </row>
    <row r="845" spans="1:39" x14ac:dyDescent="0.25">
      <c r="A845">
        <v>26</v>
      </c>
      <c r="B845" t="s">
        <v>44</v>
      </c>
      <c r="C845" t="s">
        <v>37</v>
      </c>
      <c r="D845">
        <v>1384</v>
      </c>
      <c r="E845" t="s">
        <v>46</v>
      </c>
      <c r="G845">
        <v>3</v>
      </c>
      <c r="H845">
        <v>4</v>
      </c>
      <c r="I845" t="s">
        <v>52</v>
      </c>
      <c r="J845" t="str">
        <f>WA_Fn_UseC__HR_Employee_Attrition[[#This Row],[EducationField]]&amp;"-"&amp;WA_Fn_UseC__HR_Employee_Attrition[[#This Row],[Department]]</f>
        <v>Medical-Research &amp; Development</v>
      </c>
      <c r="K845">
        <v>1</v>
      </c>
      <c r="L845">
        <v>1177</v>
      </c>
      <c r="M845">
        <v>1</v>
      </c>
      <c r="N845" t="s">
        <v>47</v>
      </c>
      <c r="O845">
        <v>82</v>
      </c>
      <c r="P845">
        <v>4</v>
      </c>
      <c r="Q845">
        <v>1</v>
      </c>
      <c r="R845" t="s">
        <v>51</v>
      </c>
      <c r="S845">
        <v>4</v>
      </c>
      <c r="T845" t="s">
        <v>49</v>
      </c>
      <c r="U845">
        <v>4420</v>
      </c>
      <c r="V845" t="str" cm="1">
        <f t="array" ref="V84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45">
        <v>13421</v>
      </c>
      <c r="X845">
        <v>1</v>
      </c>
      <c r="Y845" t="s">
        <v>43</v>
      </c>
      <c r="Z845" t="s">
        <v>44</v>
      </c>
      <c r="AA845">
        <v>22</v>
      </c>
      <c r="AB845">
        <v>4</v>
      </c>
      <c r="AC845">
        <v>2</v>
      </c>
      <c r="AD845">
        <v>80</v>
      </c>
      <c r="AE845">
        <v>1</v>
      </c>
      <c r="AF845">
        <v>8</v>
      </c>
      <c r="AG845">
        <v>2</v>
      </c>
      <c r="AH845">
        <v>3</v>
      </c>
      <c r="AI845">
        <v>8</v>
      </c>
      <c r="AJ845">
        <v>7</v>
      </c>
      <c r="AK845">
        <v>0</v>
      </c>
      <c r="AL845" t="str" cm="1">
        <f t="array" ref="AL84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45">
        <v>7</v>
      </c>
    </row>
    <row r="846" spans="1:39" x14ac:dyDescent="0.25">
      <c r="A846">
        <v>30</v>
      </c>
      <c r="B846" t="s">
        <v>44</v>
      </c>
      <c r="C846" t="s">
        <v>37</v>
      </c>
      <c r="D846">
        <v>852</v>
      </c>
      <c r="E846" t="s">
        <v>38</v>
      </c>
      <c r="G846">
        <v>10</v>
      </c>
      <c r="H846">
        <v>3</v>
      </c>
      <c r="I846" t="s">
        <v>60</v>
      </c>
      <c r="J846" t="str">
        <f>WA_Fn_UseC__HR_Employee_Attrition[[#This Row],[EducationField]]&amp;"-"&amp;WA_Fn_UseC__HR_Employee_Attrition[[#This Row],[Department]]</f>
        <v>Marketing-Sales</v>
      </c>
      <c r="K846">
        <v>1</v>
      </c>
      <c r="L846">
        <v>1179</v>
      </c>
      <c r="M846">
        <v>3</v>
      </c>
      <c r="N846" t="s">
        <v>47</v>
      </c>
      <c r="O846">
        <v>72</v>
      </c>
      <c r="P846">
        <v>2</v>
      </c>
      <c r="Q846">
        <v>2</v>
      </c>
      <c r="R846" t="s">
        <v>41</v>
      </c>
      <c r="S846">
        <v>3</v>
      </c>
      <c r="T846" t="s">
        <v>49</v>
      </c>
      <c r="U846">
        <v>6578</v>
      </c>
      <c r="V846" t="str" cm="1">
        <f t="array" ref="V84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46">
        <v>2706</v>
      </c>
      <c r="X846">
        <v>1</v>
      </c>
      <c r="Y846" t="s">
        <v>43</v>
      </c>
      <c r="Z846" t="s">
        <v>44</v>
      </c>
      <c r="AA846">
        <v>18</v>
      </c>
      <c r="AB846">
        <v>3</v>
      </c>
      <c r="AC846">
        <v>1</v>
      </c>
      <c r="AD846">
        <v>80</v>
      </c>
      <c r="AE846">
        <v>1</v>
      </c>
      <c r="AF846">
        <v>10</v>
      </c>
      <c r="AG846">
        <v>3</v>
      </c>
      <c r="AH846">
        <v>3</v>
      </c>
      <c r="AI846">
        <v>10</v>
      </c>
      <c r="AJ846">
        <v>3</v>
      </c>
      <c r="AK846">
        <v>1</v>
      </c>
      <c r="AL846" t="str" cm="1">
        <f t="array" ref="AL84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46">
        <v>4</v>
      </c>
    </row>
    <row r="847" spans="1:39" x14ac:dyDescent="0.25">
      <c r="A847">
        <v>40</v>
      </c>
      <c r="B847" t="s">
        <v>44</v>
      </c>
      <c r="C847" t="s">
        <v>45</v>
      </c>
      <c r="D847">
        <v>902</v>
      </c>
      <c r="E847" t="s">
        <v>46</v>
      </c>
      <c r="G847">
        <v>26</v>
      </c>
      <c r="H847">
        <v>2</v>
      </c>
      <c r="I847" t="s">
        <v>52</v>
      </c>
      <c r="J847" t="str">
        <f>WA_Fn_UseC__HR_Employee_Attrition[[#This Row],[EducationField]]&amp;"-"&amp;WA_Fn_UseC__HR_Employee_Attrition[[#This Row],[Department]]</f>
        <v>Medical-Research &amp; Development</v>
      </c>
      <c r="K847">
        <v>1</v>
      </c>
      <c r="L847">
        <v>1180</v>
      </c>
      <c r="M847">
        <v>3</v>
      </c>
      <c r="N847" t="s">
        <v>40</v>
      </c>
      <c r="O847">
        <v>92</v>
      </c>
      <c r="P847">
        <v>2</v>
      </c>
      <c r="Q847">
        <v>2</v>
      </c>
      <c r="R847" t="s">
        <v>48</v>
      </c>
      <c r="S847">
        <v>4</v>
      </c>
      <c r="T847" t="s">
        <v>49</v>
      </c>
      <c r="U847">
        <v>4422</v>
      </c>
      <c r="V847" t="str" cm="1">
        <f t="array" ref="V84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47">
        <v>21203</v>
      </c>
      <c r="X847">
        <v>3</v>
      </c>
      <c r="Y847" t="s">
        <v>43</v>
      </c>
      <c r="Z847" t="s">
        <v>36</v>
      </c>
      <c r="AA847">
        <v>13</v>
      </c>
      <c r="AB847">
        <v>3</v>
      </c>
      <c r="AC847">
        <v>4</v>
      </c>
      <c r="AD847">
        <v>80</v>
      </c>
      <c r="AE847">
        <v>1</v>
      </c>
      <c r="AF847">
        <v>16</v>
      </c>
      <c r="AG847">
        <v>3</v>
      </c>
      <c r="AH847">
        <v>1</v>
      </c>
      <c r="AI847">
        <v>1</v>
      </c>
      <c r="AJ847">
        <v>1</v>
      </c>
      <c r="AK847">
        <v>0</v>
      </c>
      <c r="AL847" t="str" cm="1">
        <f t="array" ref="AL84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47">
        <v>0</v>
      </c>
    </row>
    <row r="848" spans="1:39" x14ac:dyDescent="0.25">
      <c r="A848">
        <v>35</v>
      </c>
      <c r="B848" t="s">
        <v>44</v>
      </c>
      <c r="C848" t="s">
        <v>37</v>
      </c>
      <c r="D848">
        <v>819</v>
      </c>
      <c r="E848" t="s">
        <v>46</v>
      </c>
      <c r="G848">
        <v>2</v>
      </c>
      <c r="H848">
        <v>3</v>
      </c>
      <c r="I848" t="s">
        <v>39</v>
      </c>
      <c r="J848" t="str">
        <f>WA_Fn_UseC__HR_Employee_Attrition[[#This Row],[EducationField]]&amp;"-"&amp;WA_Fn_UseC__HR_Employee_Attrition[[#This Row],[Department]]</f>
        <v>Life Sciences-Research &amp; Development</v>
      </c>
      <c r="K848">
        <v>1</v>
      </c>
      <c r="L848">
        <v>1182</v>
      </c>
      <c r="M848">
        <v>3</v>
      </c>
      <c r="N848" t="s">
        <v>47</v>
      </c>
      <c r="O848">
        <v>44</v>
      </c>
      <c r="P848">
        <v>2</v>
      </c>
      <c r="Q848">
        <v>3</v>
      </c>
      <c r="R848" t="s">
        <v>54</v>
      </c>
      <c r="S848">
        <v>2</v>
      </c>
      <c r="T848" t="s">
        <v>53</v>
      </c>
      <c r="U848">
        <v>10274</v>
      </c>
      <c r="V848" t="str" cm="1">
        <f t="array" ref="V84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48">
        <v>19588</v>
      </c>
      <c r="X848">
        <v>2</v>
      </c>
      <c r="Y848" t="s">
        <v>43</v>
      </c>
      <c r="Z848" t="s">
        <v>44</v>
      </c>
      <c r="AA848">
        <v>18</v>
      </c>
      <c r="AB848">
        <v>3</v>
      </c>
      <c r="AC848">
        <v>2</v>
      </c>
      <c r="AD848">
        <v>80</v>
      </c>
      <c r="AE848">
        <v>1</v>
      </c>
      <c r="AF848">
        <v>15</v>
      </c>
      <c r="AG848">
        <v>2</v>
      </c>
      <c r="AH848">
        <v>4</v>
      </c>
      <c r="AI848">
        <v>7</v>
      </c>
      <c r="AJ848">
        <v>7</v>
      </c>
      <c r="AK848">
        <v>6</v>
      </c>
      <c r="AL848" t="str" cm="1">
        <f t="array" ref="AL84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48">
        <v>4</v>
      </c>
    </row>
    <row r="849" spans="1:39" x14ac:dyDescent="0.25">
      <c r="A849">
        <v>34</v>
      </c>
      <c r="B849" t="s">
        <v>44</v>
      </c>
      <c r="C849" t="s">
        <v>45</v>
      </c>
      <c r="D849">
        <v>669</v>
      </c>
      <c r="E849" t="s">
        <v>46</v>
      </c>
      <c r="G849">
        <v>1</v>
      </c>
      <c r="H849">
        <v>3</v>
      </c>
      <c r="I849" t="s">
        <v>52</v>
      </c>
      <c r="J849" t="str">
        <f>WA_Fn_UseC__HR_Employee_Attrition[[#This Row],[EducationField]]&amp;"-"&amp;WA_Fn_UseC__HR_Employee_Attrition[[#This Row],[Department]]</f>
        <v>Medical-Research &amp; Development</v>
      </c>
      <c r="K849">
        <v>1</v>
      </c>
      <c r="L849">
        <v>1184</v>
      </c>
      <c r="M849">
        <v>4</v>
      </c>
      <c r="N849" t="s">
        <v>47</v>
      </c>
      <c r="O849">
        <v>97</v>
      </c>
      <c r="P849">
        <v>2</v>
      </c>
      <c r="Q849">
        <v>2</v>
      </c>
      <c r="R849" t="s">
        <v>55</v>
      </c>
      <c r="S849">
        <v>1</v>
      </c>
      <c r="T849" t="s">
        <v>42</v>
      </c>
      <c r="U849">
        <v>5343</v>
      </c>
      <c r="V849" t="str" cm="1">
        <f t="array" ref="V84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49">
        <v>25755</v>
      </c>
      <c r="X849">
        <v>0</v>
      </c>
      <c r="Y849" t="s">
        <v>43</v>
      </c>
      <c r="Z849" t="s">
        <v>44</v>
      </c>
      <c r="AA849">
        <v>20</v>
      </c>
      <c r="AB849">
        <v>4</v>
      </c>
      <c r="AC849">
        <v>3</v>
      </c>
      <c r="AD849">
        <v>80</v>
      </c>
      <c r="AE849">
        <v>0</v>
      </c>
      <c r="AF849">
        <v>14</v>
      </c>
      <c r="AG849">
        <v>3</v>
      </c>
      <c r="AH849">
        <v>3</v>
      </c>
      <c r="AI849">
        <v>13</v>
      </c>
      <c r="AJ849">
        <v>9</v>
      </c>
      <c r="AK849">
        <v>4</v>
      </c>
      <c r="AL849" t="str" cm="1">
        <f t="array" ref="AL84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49">
        <v>9</v>
      </c>
    </row>
    <row r="850" spans="1:39" x14ac:dyDescent="0.25">
      <c r="A850">
        <v>35</v>
      </c>
      <c r="B850" t="s">
        <v>44</v>
      </c>
      <c r="C850" t="s">
        <v>45</v>
      </c>
      <c r="D850">
        <v>636</v>
      </c>
      <c r="E850" t="s">
        <v>46</v>
      </c>
      <c r="G850">
        <v>4</v>
      </c>
      <c r="H850">
        <v>4</v>
      </c>
      <c r="I850" t="s">
        <v>50</v>
      </c>
      <c r="J850" t="str">
        <f>WA_Fn_UseC__HR_Employee_Attrition[[#This Row],[EducationField]]&amp;"-"&amp;WA_Fn_UseC__HR_Employee_Attrition[[#This Row],[Department]]</f>
        <v>Other-Research &amp; Development</v>
      </c>
      <c r="K850">
        <v>1</v>
      </c>
      <c r="L850">
        <v>1185</v>
      </c>
      <c r="M850">
        <v>4</v>
      </c>
      <c r="N850" t="s">
        <v>47</v>
      </c>
      <c r="O850">
        <v>47</v>
      </c>
      <c r="P850">
        <v>2</v>
      </c>
      <c r="Q850">
        <v>1</v>
      </c>
      <c r="R850" t="s">
        <v>51</v>
      </c>
      <c r="S850">
        <v>4</v>
      </c>
      <c r="T850" t="s">
        <v>49</v>
      </c>
      <c r="U850">
        <v>2376</v>
      </c>
      <c r="V850" t="str" cm="1">
        <f t="array" ref="V85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50">
        <v>26537</v>
      </c>
      <c r="X850">
        <v>1</v>
      </c>
      <c r="Y850" t="s">
        <v>43</v>
      </c>
      <c r="Z850" t="s">
        <v>44</v>
      </c>
      <c r="AA850">
        <v>13</v>
      </c>
      <c r="AB850">
        <v>3</v>
      </c>
      <c r="AC850">
        <v>2</v>
      </c>
      <c r="AD850">
        <v>80</v>
      </c>
      <c r="AE850">
        <v>1</v>
      </c>
      <c r="AF850">
        <v>2</v>
      </c>
      <c r="AG850">
        <v>2</v>
      </c>
      <c r="AH850">
        <v>4</v>
      </c>
      <c r="AI850">
        <v>2</v>
      </c>
      <c r="AJ850">
        <v>2</v>
      </c>
      <c r="AK850">
        <v>2</v>
      </c>
      <c r="AL850" t="str" cm="1">
        <f t="array" ref="AL85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50">
        <v>2</v>
      </c>
    </row>
    <row r="851" spans="1:39" x14ac:dyDescent="0.25">
      <c r="A851">
        <v>43</v>
      </c>
      <c r="B851" t="s">
        <v>36</v>
      </c>
      <c r="C851" t="s">
        <v>37</v>
      </c>
      <c r="D851">
        <v>1372</v>
      </c>
      <c r="E851" t="s">
        <v>38</v>
      </c>
      <c r="G851">
        <v>9</v>
      </c>
      <c r="H851">
        <v>3</v>
      </c>
      <c r="I851" t="s">
        <v>60</v>
      </c>
      <c r="J851" t="str">
        <f>WA_Fn_UseC__HR_Employee_Attrition[[#This Row],[EducationField]]&amp;"-"&amp;WA_Fn_UseC__HR_Employee_Attrition[[#This Row],[Department]]</f>
        <v>Marketing-Sales</v>
      </c>
      <c r="K851">
        <v>1</v>
      </c>
      <c r="L851">
        <v>1188</v>
      </c>
      <c r="M851">
        <v>1</v>
      </c>
      <c r="N851" t="s">
        <v>40</v>
      </c>
      <c r="O851">
        <v>85</v>
      </c>
      <c r="P851">
        <v>1</v>
      </c>
      <c r="Q851">
        <v>2</v>
      </c>
      <c r="R851" t="s">
        <v>41</v>
      </c>
      <c r="S851">
        <v>3</v>
      </c>
      <c r="T851" t="s">
        <v>42</v>
      </c>
      <c r="U851">
        <v>5346</v>
      </c>
      <c r="V851" t="str" cm="1">
        <f t="array" ref="V85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51">
        <v>9489</v>
      </c>
      <c r="X851">
        <v>8</v>
      </c>
      <c r="Y851" t="s">
        <v>43</v>
      </c>
      <c r="Z851" t="s">
        <v>44</v>
      </c>
      <c r="AA851">
        <v>13</v>
      </c>
      <c r="AB851">
        <v>3</v>
      </c>
      <c r="AC851">
        <v>2</v>
      </c>
      <c r="AD851">
        <v>80</v>
      </c>
      <c r="AE851">
        <v>0</v>
      </c>
      <c r="AF851">
        <v>7</v>
      </c>
      <c r="AG851">
        <v>2</v>
      </c>
      <c r="AH851">
        <v>2</v>
      </c>
      <c r="AI851">
        <v>4</v>
      </c>
      <c r="AJ851">
        <v>3</v>
      </c>
      <c r="AK851">
        <v>1</v>
      </c>
      <c r="AL851" t="str" cm="1">
        <f t="array" ref="AL85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51">
        <v>3</v>
      </c>
    </row>
    <row r="852" spans="1:39" x14ac:dyDescent="0.25">
      <c r="A852">
        <v>32</v>
      </c>
      <c r="B852" t="s">
        <v>44</v>
      </c>
      <c r="C852" t="s">
        <v>56</v>
      </c>
      <c r="D852">
        <v>862</v>
      </c>
      <c r="E852" t="s">
        <v>38</v>
      </c>
      <c r="G852">
        <v>2</v>
      </c>
      <c r="H852">
        <v>1</v>
      </c>
      <c r="I852" t="s">
        <v>39</v>
      </c>
      <c r="J852" t="str">
        <f>WA_Fn_UseC__HR_Employee_Attrition[[#This Row],[EducationField]]&amp;"-"&amp;WA_Fn_UseC__HR_Employee_Attrition[[#This Row],[Department]]</f>
        <v>Life Sciences-Sales</v>
      </c>
      <c r="K852">
        <v>1</v>
      </c>
      <c r="L852">
        <v>1190</v>
      </c>
      <c r="M852">
        <v>3</v>
      </c>
      <c r="N852" t="s">
        <v>40</v>
      </c>
      <c r="O852">
        <v>76</v>
      </c>
      <c r="P852">
        <v>3</v>
      </c>
      <c r="Q852">
        <v>1</v>
      </c>
      <c r="R852" t="s">
        <v>58</v>
      </c>
      <c r="S852">
        <v>1</v>
      </c>
      <c r="T852" t="s">
        <v>53</v>
      </c>
      <c r="U852">
        <v>2827</v>
      </c>
      <c r="V852" t="str" cm="1">
        <f t="array" ref="V85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52">
        <v>14947</v>
      </c>
      <c r="X852">
        <v>1</v>
      </c>
      <c r="Y852" t="s">
        <v>43</v>
      </c>
      <c r="Z852" t="s">
        <v>44</v>
      </c>
      <c r="AA852">
        <v>12</v>
      </c>
      <c r="AB852">
        <v>3</v>
      </c>
      <c r="AC852">
        <v>3</v>
      </c>
      <c r="AD852">
        <v>80</v>
      </c>
      <c r="AE852">
        <v>3</v>
      </c>
      <c r="AF852">
        <v>1</v>
      </c>
      <c r="AG852">
        <v>3</v>
      </c>
      <c r="AH852">
        <v>3</v>
      </c>
      <c r="AI852">
        <v>1</v>
      </c>
      <c r="AJ852">
        <v>0</v>
      </c>
      <c r="AK852">
        <v>0</v>
      </c>
      <c r="AL852" t="str" cm="1">
        <f t="array" ref="AL85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52">
        <v>0</v>
      </c>
    </row>
    <row r="853" spans="1:39" x14ac:dyDescent="0.25">
      <c r="A853">
        <v>56</v>
      </c>
      <c r="B853" t="s">
        <v>44</v>
      </c>
      <c r="C853" t="s">
        <v>37</v>
      </c>
      <c r="D853">
        <v>718</v>
      </c>
      <c r="E853" t="s">
        <v>46</v>
      </c>
      <c r="G853">
        <v>4</v>
      </c>
      <c r="H853">
        <v>4</v>
      </c>
      <c r="I853" t="s">
        <v>61</v>
      </c>
      <c r="J853" t="str">
        <f>WA_Fn_UseC__HR_Employee_Attrition[[#This Row],[EducationField]]&amp;"-"&amp;WA_Fn_UseC__HR_Employee_Attrition[[#This Row],[Department]]</f>
        <v>Technical Degree-Research &amp; Development</v>
      </c>
      <c r="K853">
        <v>1</v>
      </c>
      <c r="L853">
        <v>1191</v>
      </c>
      <c r="M853">
        <v>4</v>
      </c>
      <c r="N853" t="s">
        <v>40</v>
      </c>
      <c r="O853">
        <v>92</v>
      </c>
      <c r="P853">
        <v>3</v>
      </c>
      <c r="Q853">
        <v>5</v>
      </c>
      <c r="R853" t="s">
        <v>57</v>
      </c>
      <c r="S853">
        <v>1</v>
      </c>
      <c r="T853" t="s">
        <v>53</v>
      </c>
      <c r="U853">
        <v>19943</v>
      </c>
      <c r="V853" t="str" cm="1">
        <f t="array" ref="V85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53">
        <v>18575</v>
      </c>
      <c r="X853">
        <v>4</v>
      </c>
      <c r="Y853" t="s">
        <v>43</v>
      </c>
      <c r="Z853" t="s">
        <v>44</v>
      </c>
      <c r="AA853">
        <v>13</v>
      </c>
      <c r="AB853">
        <v>3</v>
      </c>
      <c r="AC853">
        <v>4</v>
      </c>
      <c r="AD853">
        <v>80</v>
      </c>
      <c r="AE853">
        <v>1</v>
      </c>
      <c r="AF853">
        <v>28</v>
      </c>
      <c r="AG853">
        <v>2</v>
      </c>
      <c r="AH853">
        <v>3</v>
      </c>
      <c r="AI853">
        <v>5</v>
      </c>
      <c r="AJ853">
        <v>2</v>
      </c>
      <c r="AK853">
        <v>4</v>
      </c>
      <c r="AL853" t="str" cm="1">
        <f t="array" ref="AL85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53">
        <v>2</v>
      </c>
    </row>
    <row r="854" spans="1:39" x14ac:dyDescent="0.25">
      <c r="A854">
        <v>29</v>
      </c>
      <c r="B854" t="s">
        <v>44</v>
      </c>
      <c r="C854" t="s">
        <v>37</v>
      </c>
      <c r="D854">
        <v>1401</v>
      </c>
      <c r="E854" t="s">
        <v>46</v>
      </c>
      <c r="G854">
        <v>6</v>
      </c>
      <c r="H854">
        <v>1</v>
      </c>
      <c r="I854" t="s">
        <v>52</v>
      </c>
      <c r="J854" t="str">
        <f>WA_Fn_UseC__HR_Employee_Attrition[[#This Row],[EducationField]]&amp;"-"&amp;WA_Fn_UseC__HR_Employee_Attrition[[#This Row],[Department]]</f>
        <v>Medical-Research &amp; Development</v>
      </c>
      <c r="K854">
        <v>1</v>
      </c>
      <c r="L854">
        <v>1192</v>
      </c>
      <c r="M854">
        <v>2</v>
      </c>
      <c r="N854" t="s">
        <v>40</v>
      </c>
      <c r="O854">
        <v>54</v>
      </c>
      <c r="P854">
        <v>3</v>
      </c>
      <c r="Q854">
        <v>1</v>
      </c>
      <c r="R854" t="s">
        <v>51</v>
      </c>
      <c r="S854">
        <v>4</v>
      </c>
      <c r="T854" t="s">
        <v>49</v>
      </c>
      <c r="U854">
        <v>3131</v>
      </c>
      <c r="V854" t="str" cm="1">
        <f t="array" ref="V85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54">
        <v>26342</v>
      </c>
      <c r="X854">
        <v>1</v>
      </c>
      <c r="Y854" t="s">
        <v>43</v>
      </c>
      <c r="Z854" t="s">
        <v>44</v>
      </c>
      <c r="AA854">
        <v>13</v>
      </c>
      <c r="AB854">
        <v>3</v>
      </c>
      <c r="AC854">
        <v>1</v>
      </c>
      <c r="AD854">
        <v>80</v>
      </c>
      <c r="AE854">
        <v>1</v>
      </c>
      <c r="AF854">
        <v>10</v>
      </c>
      <c r="AG854">
        <v>5</v>
      </c>
      <c r="AH854">
        <v>3</v>
      </c>
      <c r="AI854">
        <v>10</v>
      </c>
      <c r="AJ854">
        <v>8</v>
      </c>
      <c r="AK854">
        <v>0</v>
      </c>
      <c r="AL854" t="str" cm="1">
        <f t="array" ref="AL85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54">
        <v>8</v>
      </c>
    </row>
    <row r="855" spans="1:39" x14ac:dyDescent="0.25">
      <c r="A855">
        <v>19</v>
      </c>
      <c r="B855" t="s">
        <v>44</v>
      </c>
      <c r="C855" t="s">
        <v>37</v>
      </c>
      <c r="D855">
        <v>645</v>
      </c>
      <c r="E855" t="s">
        <v>46</v>
      </c>
      <c r="G855">
        <v>9</v>
      </c>
      <c r="H855">
        <v>2</v>
      </c>
      <c r="I855" t="s">
        <v>39</v>
      </c>
      <c r="J855" t="str">
        <f>WA_Fn_UseC__HR_Employee_Attrition[[#This Row],[EducationField]]&amp;"-"&amp;WA_Fn_UseC__HR_Employee_Attrition[[#This Row],[Department]]</f>
        <v>Life Sciences-Research &amp; Development</v>
      </c>
      <c r="K855">
        <v>1</v>
      </c>
      <c r="L855">
        <v>1193</v>
      </c>
      <c r="M855">
        <v>3</v>
      </c>
      <c r="N855" t="s">
        <v>47</v>
      </c>
      <c r="O855">
        <v>54</v>
      </c>
      <c r="P855">
        <v>3</v>
      </c>
      <c r="Q855">
        <v>1</v>
      </c>
      <c r="R855" t="s">
        <v>48</v>
      </c>
      <c r="S855">
        <v>1</v>
      </c>
      <c r="T855" t="s">
        <v>42</v>
      </c>
      <c r="U855">
        <v>2552</v>
      </c>
      <c r="V855" t="str" cm="1">
        <f t="array" ref="V85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55">
        <v>7172</v>
      </c>
      <c r="X855">
        <v>1</v>
      </c>
      <c r="Y855" t="s">
        <v>43</v>
      </c>
      <c r="Z855" t="s">
        <v>44</v>
      </c>
      <c r="AA855">
        <v>25</v>
      </c>
      <c r="AB855">
        <v>4</v>
      </c>
      <c r="AC855">
        <v>3</v>
      </c>
      <c r="AD855">
        <v>80</v>
      </c>
      <c r="AE855">
        <v>0</v>
      </c>
      <c r="AF855">
        <v>1</v>
      </c>
      <c r="AG855">
        <v>4</v>
      </c>
      <c r="AH855">
        <v>3</v>
      </c>
      <c r="AI855">
        <v>1</v>
      </c>
      <c r="AJ855">
        <v>1</v>
      </c>
      <c r="AK855">
        <v>0</v>
      </c>
      <c r="AL855" t="str" cm="1">
        <f t="array" ref="AL85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55">
        <v>0</v>
      </c>
    </row>
    <row r="856" spans="1:39" x14ac:dyDescent="0.25">
      <c r="A856">
        <v>45</v>
      </c>
      <c r="B856" t="s">
        <v>44</v>
      </c>
      <c r="C856" t="s">
        <v>37</v>
      </c>
      <c r="D856">
        <v>1457</v>
      </c>
      <c r="E856" t="s">
        <v>46</v>
      </c>
      <c r="G856">
        <v>7</v>
      </c>
      <c r="H856">
        <v>3</v>
      </c>
      <c r="I856" t="s">
        <v>52</v>
      </c>
      <c r="J856" t="str">
        <f>WA_Fn_UseC__HR_Employee_Attrition[[#This Row],[EducationField]]&amp;"-"&amp;WA_Fn_UseC__HR_Employee_Attrition[[#This Row],[Department]]</f>
        <v>Medical-Research &amp; Development</v>
      </c>
      <c r="K856">
        <v>1</v>
      </c>
      <c r="L856">
        <v>1195</v>
      </c>
      <c r="M856">
        <v>1</v>
      </c>
      <c r="N856" t="s">
        <v>40</v>
      </c>
      <c r="O856">
        <v>83</v>
      </c>
      <c r="P856">
        <v>3</v>
      </c>
      <c r="Q856">
        <v>1</v>
      </c>
      <c r="R856" t="s">
        <v>48</v>
      </c>
      <c r="S856">
        <v>3</v>
      </c>
      <c r="T856" t="s">
        <v>49</v>
      </c>
      <c r="U856">
        <v>4477</v>
      </c>
      <c r="V856" t="str" cm="1">
        <f t="array" ref="V85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56">
        <v>20100</v>
      </c>
      <c r="X856">
        <v>4</v>
      </c>
      <c r="Y856" t="s">
        <v>43</v>
      </c>
      <c r="Z856" t="s">
        <v>36</v>
      </c>
      <c r="AA856">
        <v>19</v>
      </c>
      <c r="AB856">
        <v>3</v>
      </c>
      <c r="AC856">
        <v>3</v>
      </c>
      <c r="AD856">
        <v>80</v>
      </c>
      <c r="AE856">
        <v>1</v>
      </c>
      <c r="AF856">
        <v>7</v>
      </c>
      <c r="AG856">
        <v>2</v>
      </c>
      <c r="AH856">
        <v>2</v>
      </c>
      <c r="AI856">
        <v>3</v>
      </c>
      <c r="AJ856">
        <v>2</v>
      </c>
      <c r="AK856">
        <v>0</v>
      </c>
      <c r="AL856" t="str" cm="1">
        <f t="array" ref="AL85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56">
        <v>2</v>
      </c>
    </row>
    <row r="857" spans="1:39" x14ac:dyDescent="0.25">
      <c r="A857">
        <v>37</v>
      </c>
      <c r="B857" t="s">
        <v>44</v>
      </c>
      <c r="C857" t="s">
        <v>37</v>
      </c>
      <c r="D857">
        <v>977</v>
      </c>
      <c r="E857" t="s">
        <v>46</v>
      </c>
      <c r="G857">
        <v>1</v>
      </c>
      <c r="H857">
        <v>3</v>
      </c>
      <c r="I857" t="s">
        <v>39</v>
      </c>
      <c r="J857" t="str">
        <f>WA_Fn_UseC__HR_Employee_Attrition[[#This Row],[EducationField]]&amp;"-"&amp;WA_Fn_UseC__HR_Employee_Attrition[[#This Row],[Department]]</f>
        <v>Life Sciences-Research &amp; Development</v>
      </c>
      <c r="K857">
        <v>1</v>
      </c>
      <c r="L857">
        <v>1196</v>
      </c>
      <c r="M857">
        <v>4</v>
      </c>
      <c r="N857" t="s">
        <v>40</v>
      </c>
      <c r="O857">
        <v>56</v>
      </c>
      <c r="P857">
        <v>2</v>
      </c>
      <c r="Q857">
        <v>2</v>
      </c>
      <c r="R857" t="s">
        <v>54</v>
      </c>
      <c r="S857">
        <v>4</v>
      </c>
      <c r="T857" t="s">
        <v>49</v>
      </c>
      <c r="U857">
        <v>6474</v>
      </c>
      <c r="V857" t="str" cm="1">
        <f t="array" ref="V85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57">
        <v>9961</v>
      </c>
      <c r="X857">
        <v>1</v>
      </c>
      <c r="Y857" t="s">
        <v>43</v>
      </c>
      <c r="Z857" t="s">
        <v>44</v>
      </c>
      <c r="AA857">
        <v>13</v>
      </c>
      <c r="AB857">
        <v>3</v>
      </c>
      <c r="AC857">
        <v>2</v>
      </c>
      <c r="AD857">
        <v>80</v>
      </c>
      <c r="AE857">
        <v>1</v>
      </c>
      <c r="AF857">
        <v>14</v>
      </c>
      <c r="AG857">
        <v>2</v>
      </c>
      <c r="AH857">
        <v>2</v>
      </c>
      <c r="AI857">
        <v>14</v>
      </c>
      <c r="AJ857">
        <v>8</v>
      </c>
      <c r="AK857">
        <v>3</v>
      </c>
      <c r="AL857" t="str" cm="1">
        <f t="array" ref="AL85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57">
        <v>11</v>
      </c>
    </row>
    <row r="858" spans="1:39" x14ac:dyDescent="0.25">
      <c r="A858">
        <v>20</v>
      </c>
      <c r="B858" t="s">
        <v>44</v>
      </c>
      <c r="C858" t="s">
        <v>37</v>
      </c>
      <c r="D858">
        <v>805</v>
      </c>
      <c r="E858" t="s">
        <v>46</v>
      </c>
      <c r="G858">
        <v>3</v>
      </c>
      <c r="H858">
        <v>3</v>
      </c>
      <c r="I858" t="s">
        <v>39</v>
      </c>
      <c r="J858" t="str">
        <f>WA_Fn_UseC__HR_Employee_Attrition[[#This Row],[EducationField]]&amp;"-"&amp;WA_Fn_UseC__HR_Employee_Attrition[[#This Row],[Department]]</f>
        <v>Life Sciences-Research &amp; Development</v>
      </c>
      <c r="K858">
        <v>1</v>
      </c>
      <c r="L858">
        <v>1198</v>
      </c>
      <c r="M858">
        <v>1</v>
      </c>
      <c r="N858" t="s">
        <v>47</v>
      </c>
      <c r="O858">
        <v>87</v>
      </c>
      <c r="P858">
        <v>2</v>
      </c>
      <c r="Q858">
        <v>1</v>
      </c>
      <c r="R858" t="s">
        <v>51</v>
      </c>
      <c r="S858">
        <v>3</v>
      </c>
      <c r="T858" t="s">
        <v>42</v>
      </c>
      <c r="U858">
        <v>3033</v>
      </c>
      <c r="V858" t="str" cm="1">
        <f t="array" ref="V85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58">
        <v>12828</v>
      </c>
      <c r="X858">
        <v>1</v>
      </c>
      <c r="Y858" t="s">
        <v>43</v>
      </c>
      <c r="Z858" t="s">
        <v>44</v>
      </c>
      <c r="AA858">
        <v>12</v>
      </c>
      <c r="AB858">
        <v>3</v>
      </c>
      <c r="AC858">
        <v>1</v>
      </c>
      <c r="AD858">
        <v>80</v>
      </c>
      <c r="AE858">
        <v>0</v>
      </c>
      <c r="AF858">
        <v>2</v>
      </c>
      <c r="AG858">
        <v>2</v>
      </c>
      <c r="AH858">
        <v>2</v>
      </c>
      <c r="AI858">
        <v>2</v>
      </c>
      <c r="AJ858">
        <v>2</v>
      </c>
      <c r="AK858">
        <v>1</v>
      </c>
      <c r="AL858" t="str" cm="1">
        <f t="array" ref="AL85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58">
        <v>2</v>
      </c>
    </row>
    <row r="859" spans="1:39" x14ac:dyDescent="0.25">
      <c r="A859">
        <v>44</v>
      </c>
      <c r="B859" t="s">
        <v>36</v>
      </c>
      <c r="C859" t="s">
        <v>37</v>
      </c>
      <c r="D859">
        <v>1097</v>
      </c>
      <c r="E859" t="s">
        <v>46</v>
      </c>
      <c r="G859">
        <v>10</v>
      </c>
      <c r="H859">
        <v>4</v>
      </c>
      <c r="I859" t="s">
        <v>39</v>
      </c>
      <c r="J859" t="str">
        <f>WA_Fn_UseC__HR_Employee_Attrition[[#This Row],[EducationField]]&amp;"-"&amp;WA_Fn_UseC__HR_Employee_Attrition[[#This Row],[Department]]</f>
        <v>Life Sciences-Research &amp; Development</v>
      </c>
      <c r="K859">
        <v>1</v>
      </c>
      <c r="L859">
        <v>1200</v>
      </c>
      <c r="M859">
        <v>3</v>
      </c>
      <c r="N859" t="s">
        <v>47</v>
      </c>
      <c r="O859">
        <v>96</v>
      </c>
      <c r="P859">
        <v>3</v>
      </c>
      <c r="Q859">
        <v>1</v>
      </c>
      <c r="R859" t="s">
        <v>48</v>
      </c>
      <c r="S859">
        <v>3</v>
      </c>
      <c r="T859" t="s">
        <v>42</v>
      </c>
      <c r="U859">
        <v>2936</v>
      </c>
      <c r="V859" t="str" cm="1">
        <f t="array" ref="V85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59">
        <v>10826</v>
      </c>
      <c r="X859">
        <v>1</v>
      </c>
      <c r="Y859" t="s">
        <v>43</v>
      </c>
      <c r="Z859" t="s">
        <v>36</v>
      </c>
      <c r="AA859">
        <v>11</v>
      </c>
      <c r="AB859">
        <v>3</v>
      </c>
      <c r="AC859">
        <v>3</v>
      </c>
      <c r="AD859">
        <v>80</v>
      </c>
      <c r="AE859">
        <v>0</v>
      </c>
      <c r="AF859">
        <v>6</v>
      </c>
      <c r="AG859">
        <v>4</v>
      </c>
      <c r="AH859">
        <v>3</v>
      </c>
      <c r="AI859">
        <v>6</v>
      </c>
      <c r="AJ859">
        <v>4</v>
      </c>
      <c r="AK859">
        <v>0</v>
      </c>
      <c r="AL859" t="str" cm="1">
        <f t="array" ref="AL85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59">
        <v>2</v>
      </c>
    </row>
    <row r="860" spans="1:39" x14ac:dyDescent="0.25">
      <c r="A860">
        <v>53</v>
      </c>
      <c r="B860" t="s">
        <v>44</v>
      </c>
      <c r="C860" t="s">
        <v>37</v>
      </c>
      <c r="D860">
        <v>1223</v>
      </c>
      <c r="E860" t="s">
        <v>46</v>
      </c>
      <c r="G860">
        <v>7</v>
      </c>
      <c r="H860">
        <v>2</v>
      </c>
      <c r="I860" t="s">
        <v>52</v>
      </c>
      <c r="J860" t="str">
        <f>WA_Fn_UseC__HR_Employee_Attrition[[#This Row],[EducationField]]&amp;"-"&amp;WA_Fn_UseC__HR_Employee_Attrition[[#This Row],[Department]]</f>
        <v>Medical-Research &amp; Development</v>
      </c>
      <c r="K860">
        <v>1</v>
      </c>
      <c r="L860">
        <v>1201</v>
      </c>
      <c r="M860">
        <v>4</v>
      </c>
      <c r="N860" t="s">
        <v>40</v>
      </c>
      <c r="O860">
        <v>50</v>
      </c>
      <c r="P860">
        <v>3</v>
      </c>
      <c r="Q860">
        <v>5</v>
      </c>
      <c r="R860" t="s">
        <v>57</v>
      </c>
      <c r="S860">
        <v>3</v>
      </c>
      <c r="T860" t="s">
        <v>53</v>
      </c>
      <c r="U860">
        <v>18606</v>
      </c>
      <c r="V860" t="str" cm="1">
        <f t="array" ref="V86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60">
        <v>18640</v>
      </c>
      <c r="X860">
        <v>3</v>
      </c>
      <c r="Y860" t="s">
        <v>43</v>
      </c>
      <c r="Z860" t="s">
        <v>44</v>
      </c>
      <c r="AA860">
        <v>18</v>
      </c>
      <c r="AB860">
        <v>3</v>
      </c>
      <c r="AC860">
        <v>2</v>
      </c>
      <c r="AD860">
        <v>80</v>
      </c>
      <c r="AE860">
        <v>1</v>
      </c>
      <c r="AF860">
        <v>26</v>
      </c>
      <c r="AG860">
        <v>6</v>
      </c>
      <c r="AH860">
        <v>3</v>
      </c>
      <c r="AI860">
        <v>7</v>
      </c>
      <c r="AJ860">
        <v>7</v>
      </c>
      <c r="AK860">
        <v>4</v>
      </c>
      <c r="AL860" t="str" cm="1">
        <f t="array" ref="AL86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60">
        <v>7</v>
      </c>
    </row>
    <row r="861" spans="1:39" x14ac:dyDescent="0.25">
      <c r="A861">
        <v>29</v>
      </c>
      <c r="B861" t="s">
        <v>44</v>
      </c>
      <c r="C861" t="s">
        <v>37</v>
      </c>
      <c r="D861">
        <v>942</v>
      </c>
      <c r="E861" t="s">
        <v>46</v>
      </c>
      <c r="G861">
        <v>15</v>
      </c>
      <c r="H861">
        <v>1</v>
      </c>
      <c r="I861" t="s">
        <v>39</v>
      </c>
      <c r="J861" t="str">
        <f>WA_Fn_UseC__HR_Employee_Attrition[[#This Row],[EducationField]]&amp;"-"&amp;WA_Fn_UseC__HR_Employee_Attrition[[#This Row],[Department]]</f>
        <v>Life Sciences-Research &amp; Development</v>
      </c>
      <c r="K861">
        <v>1</v>
      </c>
      <c r="L861">
        <v>1202</v>
      </c>
      <c r="M861">
        <v>2</v>
      </c>
      <c r="N861" t="s">
        <v>40</v>
      </c>
      <c r="O861">
        <v>69</v>
      </c>
      <c r="P861">
        <v>1</v>
      </c>
      <c r="Q861">
        <v>1</v>
      </c>
      <c r="R861" t="s">
        <v>48</v>
      </c>
      <c r="S861">
        <v>4</v>
      </c>
      <c r="T861" t="s">
        <v>49</v>
      </c>
      <c r="U861">
        <v>2168</v>
      </c>
      <c r="V861" t="str" cm="1">
        <f t="array" ref="V86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61">
        <v>26933</v>
      </c>
      <c r="X861">
        <v>0</v>
      </c>
      <c r="Y861" t="s">
        <v>43</v>
      </c>
      <c r="Z861" t="s">
        <v>36</v>
      </c>
      <c r="AA861">
        <v>18</v>
      </c>
      <c r="AB861">
        <v>3</v>
      </c>
      <c r="AC861">
        <v>1</v>
      </c>
      <c r="AD861">
        <v>80</v>
      </c>
      <c r="AE861">
        <v>1</v>
      </c>
      <c r="AF861">
        <v>6</v>
      </c>
      <c r="AG861">
        <v>2</v>
      </c>
      <c r="AH861">
        <v>2</v>
      </c>
      <c r="AI861">
        <v>5</v>
      </c>
      <c r="AJ861">
        <v>4</v>
      </c>
      <c r="AK861">
        <v>1</v>
      </c>
      <c r="AL861" t="str" cm="1">
        <f t="array" ref="AL86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61">
        <v>3</v>
      </c>
    </row>
    <row r="862" spans="1:39" x14ac:dyDescent="0.25">
      <c r="A862">
        <v>22</v>
      </c>
      <c r="B862" t="s">
        <v>36</v>
      </c>
      <c r="C862" t="s">
        <v>45</v>
      </c>
      <c r="D862">
        <v>1256</v>
      </c>
      <c r="E862" t="s">
        <v>46</v>
      </c>
      <c r="G862">
        <v>3</v>
      </c>
      <c r="H862">
        <v>4</v>
      </c>
      <c r="I862" t="s">
        <v>39</v>
      </c>
      <c r="J862" t="str">
        <f>WA_Fn_UseC__HR_Employee_Attrition[[#This Row],[EducationField]]&amp;"-"&amp;WA_Fn_UseC__HR_Employee_Attrition[[#This Row],[Department]]</f>
        <v>Life Sciences-Research &amp; Development</v>
      </c>
      <c r="K862">
        <v>1</v>
      </c>
      <c r="L862">
        <v>1203</v>
      </c>
      <c r="M862">
        <v>3</v>
      </c>
      <c r="N862" t="s">
        <v>47</v>
      </c>
      <c r="O862">
        <v>48</v>
      </c>
      <c r="P862">
        <v>2</v>
      </c>
      <c r="Q862">
        <v>1</v>
      </c>
      <c r="R862" t="s">
        <v>48</v>
      </c>
      <c r="S862">
        <v>4</v>
      </c>
      <c r="T862" t="s">
        <v>49</v>
      </c>
      <c r="U862">
        <v>2853</v>
      </c>
      <c r="V862" t="str" cm="1">
        <f t="array" ref="V86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62">
        <v>4223</v>
      </c>
      <c r="X862">
        <v>0</v>
      </c>
      <c r="Y862" t="s">
        <v>43</v>
      </c>
      <c r="Z862" t="s">
        <v>36</v>
      </c>
      <c r="AA862">
        <v>11</v>
      </c>
      <c r="AB862">
        <v>3</v>
      </c>
      <c r="AC862">
        <v>2</v>
      </c>
      <c r="AD862">
        <v>80</v>
      </c>
      <c r="AE862">
        <v>1</v>
      </c>
      <c r="AF862">
        <v>1</v>
      </c>
      <c r="AG862">
        <v>5</v>
      </c>
      <c r="AH862">
        <v>3</v>
      </c>
      <c r="AI862">
        <v>0</v>
      </c>
      <c r="AJ862">
        <v>0</v>
      </c>
      <c r="AK862">
        <v>0</v>
      </c>
      <c r="AL862" t="str" cm="1">
        <f t="array" ref="AL86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62">
        <v>0</v>
      </c>
    </row>
    <row r="863" spans="1:39" x14ac:dyDescent="0.25">
      <c r="A863">
        <v>46</v>
      </c>
      <c r="B863" t="s">
        <v>44</v>
      </c>
      <c r="C863" t="s">
        <v>37</v>
      </c>
      <c r="D863">
        <v>1402</v>
      </c>
      <c r="E863" t="s">
        <v>38</v>
      </c>
      <c r="G863">
        <v>2</v>
      </c>
      <c r="H863">
        <v>3</v>
      </c>
      <c r="I863" t="s">
        <v>60</v>
      </c>
      <c r="J863" t="str">
        <f>WA_Fn_UseC__HR_Employee_Attrition[[#This Row],[EducationField]]&amp;"-"&amp;WA_Fn_UseC__HR_Employee_Attrition[[#This Row],[Department]]</f>
        <v>Marketing-Sales</v>
      </c>
      <c r="K863">
        <v>1</v>
      </c>
      <c r="L863">
        <v>1204</v>
      </c>
      <c r="M863">
        <v>3</v>
      </c>
      <c r="N863" t="s">
        <v>40</v>
      </c>
      <c r="O863">
        <v>69</v>
      </c>
      <c r="P863">
        <v>3</v>
      </c>
      <c r="Q863">
        <v>4</v>
      </c>
      <c r="R863" t="s">
        <v>57</v>
      </c>
      <c r="S863">
        <v>1</v>
      </c>
      <c r="T863" t="s">
        <v>49</v>
      </c>
      <c r="U863">
        <v>17048</v>
      </c>
      <c r="V863" t="str" cm="1">
        <f t="array" ref="V86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63">
        <v>24097</v>
      </c>
      <c r="X863">
        <v>8</v>
      </c>
      <c r="Y863" t="s">
        <v>43</v>
      </c>
      <c r="Z863" t="s">
        <v>44</v>
      </c>
      <c r="AA863">
        <v>23</v>
      </c>
      <c r="AB863">
        <v>4</v>
      </c>
      <c r="AC863">
        <v>1</v>
      </c>
      <c r="AD863">
        <v>80</v>
      </c>
      <c r="AE863">
        <v>0</v>
      </c>
      <c r="AF863">
        <v>28</v>
      </c>
      <c r="AG863">
        <v>2</v>
      </c>
      <c r="AH863">
        <v>3</v>
      </c>
      <c r="AI863">
        <v>26</v>
      </c>
      <c r="AJ863">
        <v>15</v>
      </c>
      <c r="AK863">
        <v>15</v>
      </c>
      <c r="AL863" t="str" cm="1">
        <f t="array" ref="AL86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63">
        <v>9</v>
      </c>
    </row>
    <row r="864" spans="1:39" x14ac:dyDescent="0.25">
      <c r="A864">
        <v>44</v>
      </c>
      <c r="B864" t="s">
        <v>44</v>
      </c>
      <c r="C864" t="s">
        <v>56</v>
      </c>
      <c r="D864">
        <v>111</v>
      </c>
      <c r="E864" t="s">
        <v>46</v>
      </c>
      <c r="G864">
        <v>17</v>
      </c>
      <c r="H864">
        <v>3</v>
      </c>
      <c r="I864" t="s">
        <v>39</v>
      </c>
      <c r="J864" t="str">
        <f>WA_Fn_UseC__HR_Employee_Attrition[[#This Row],[EducationField]]&amp;"-"&amp;WA_Fn_UseC__HR_Employee_Attrition[[#This Row],[Department]]</f>
        <v>Life Sciences-Research &amp; Development</v>
      </c>
      <c r="K864">
        <v>1</v>
      </c>
      <c r="L864">
        <v>1206</v>
      </c>
      <c r="M864">
        <v>4</v>
      </c>
      <c r="N864" t="s">
        <v>47</v>
      </c>
      <c r="O864">
        <v>74</v>
      </c>
      <c r="P864">
        <v>1</v>
      </c>
      <c r="Q864">
        <v>1</v>
      </c>
      <c r="R864" t="s">
        <v>48</v>
      </c>
      <c r="S864">
        <v>3</v>
      </c>
      <c r="T864" t="s">
        <v>42</v>
      </c>
      <c r="U864">
        <v>2290</v>
      </c>
      <c r="V864" t="str" cm="1">
        <f t="array" ref="V86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64">
        <v>4279</v>
      </c>
      <c r="X864">
        <v>2</v>
      </c>
      <c r="Y864" t="s">
        <v>43</v>
      </c>
      <c r="Z864" t="s">
        <v>44</v>
      </c>
      <c r="AA864">
        <v>13</v>
      </c>
      <c r="AB864">
        <v>3</v>
      </c>
      <c r="AC864">
        <v>4</v>
      </c>
      <c r="AD864">
        <v>80</v>
      </c>
      <c r="AE864">
        <v>0</v>
      </c>
      <c r="AF864">
        <v>6</v>
      </c>
      <c r="AG864">
        <v>3</v>
      </c>
      <c r="AH864">
        <v>3</v>
      </c>
      <c r="AI864">
        <v>0</v>
      </c>
      <c r="AJ864">
        <v>0</v>
      </c>
      <c r="AK864">
        <v>0</v>
      </c>
      <c r="AL864" t="str" cm="1">
        <f t="array" ref="AL86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64">
        <v>0</v>
      </c>
    </row>
    <row r="865" spans="1:39" x14ac:dyDescent="0.25">
      <c r="A865">
        <v>33</v>
      </c>
      <c r="B865" t="s">
        <v>44</v>
      </c>
      <c r="C865" t="s">
        <v>37</v>
      </c>
      <c r="D865">
        <v>147</v>
      </c>
      <c r="E865" t="s">
        <v>62</v>
      </c>
      <c r="G865">
        <v>2</v>
      </c>
      <c r="H865">
        <v>3</v>
      </c>
      <c r="I865" t="s">
        <v>62</v>
      </c>
      <c r="J865" t="str">
        <f>WA_Fn_UseC__HR_Employee_Attrition[[#This Row],[EducationField]]&amp;"-"&amp;WA_Fn_UseC__HR_Employee_Attrition[[#This Row],[Department]]</f>
        <v>Human Resources-Human Resources</v>
      </c>
      <c r="K865">
        <v>1</v>
      </c>
      <c r="L865">
        <v>1207</v>
      </c>
      <c r="M865">
        <v>2</v>
      </c>
      <c r="N865" t="s">
        <v>47</v>
      </c>
      <c r="O865">
        <v>99</v>
      </c>
      <c r="P865">
        <v>3</v>
      </c>
      <c r="Q865">
        <v>1</v>
      </c>
      <c r="R865" t="s">
        <v>62</v>
      </c>
      <c r="S865">
        <v>3</v>
      </c>
      <c r="T865" t="s">
        <v>49</v>
      </c>
      <c r="U865">
        <v>3600</v>
      </c>
      <c r="V865" t="str" cm="1">
        <f t="array" ref="V86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65">
        <v>8429</v>
      </c>
      <c r="X865">
        <v>1</v>
      </c>
      <c r="Y865" t="s">
        <v>43</v>
      </c>
      <c r="Z865" t="s">
        <v>44</v>
      </c>
      <c r="AA865">
        <v>13</v>
      </c>
      <c r="AB865">
        <v>3</v>
      </c>
      <c r="AC865">
        <v>4</v>
      </c>
      <c r="AD865">
        <v>80</v>
      </c>
      <c r="AE865">
        <v>1</v>
      </c>
      <c r="AF865">
        <v>5</v>
      </c>
      <c r="AG865">
        <v>2</v>
      </c>
      <c r="AH865">
        <v>3</v>
      </c>
      <c r="AI865">
        <v>5</v>
      </c>
      <c r="AJ865">
        <v>4</v>
      </c>
      <c r="AK865">
        <v>1</v>
      </c>
      <c r="AL865" t="str" cm="1">
        <f t="array" ref="AL86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65">
        <v>4</v>
      </c>
    </row>
    <row r="866" spans="1:39" x14ac:dyDescent="0.25">
      <c r="A866">
        <v>41</v>
      </c>
      <c r="B866" t="s">
        <v>36</v>
      </c>
      <c r="C866" t="s">
        <v>56</v>
      </c>
      <c r="D866">
        <v>906</v>
      </c>
      <c r="E866" t="s">
        <v>46</v>
      </c>
      <c r="G866">
        <v>5</v>
      </c>
      <c r="H866">
        <v>2</v>
      </c>
      <c r="I866" t="s">
        <v>39</v>
      </c>
      <c r="J866" t="str">
        <f>WA_Fn_UseC__HR_Employee_Attrition[[#This Row],[EducationField]]&amp;"-"&amp;WA_Fn_UseC__HR_Employee_Attrition[[#This Row],[Department]]</f>
        <v>Life Sciences-Research &amp; Development</v>
      </c>
      <c r="K866">
        <v>1</v>
      </c>
      <c r="L866">
        <v>1210</v>
      </c>
      <c r="M866">
        <v>1</v>
      </c>
      <c r="N866" t="s">
        <v>47</v>
      </c>
      <c r="O866">
        <v>95</v>
      </c>
      <c r="P866">
        <v>2</v>
      </c>
      <c r="Q866">
        <v>1</v>
      </c>
      <c r="R866" t="s">
        <v>48</v>
      </c>
      <c r="S866">
        <v>1</v>
      </c>
      <c r="T866" t="s">
        <v>53</v>
      </c>
      <c r="U866">
        <v>2107</v>
      </c>
      <c r="V866" t="str" cm="1">
        <f t="array" ref="V86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66">
        <v>20293</v>
      </c>
      <c r="X866">
        <v>6</v>
      </c>
      <c r="Y866" t="s">
        <v>43</v>
      </c>
      <c r="Z866" t="s">
        <v>44</v>
      </c>
      <c r="AA866">
        <v>17</v>
      </c>
      <c r="AB866">
        <v>3</v>
      </c>
      <c r="AC866">
        <v>1</v>
      </c>
      <c r="AD866">
        <v>80</v>
      </c>
      <c r="AE866">
        <v>1</v>
      </c>
      <c r="AF866">
        <v>5</v>
      </c>
      <c r="AG866">
        <v>2</v>
      </c>
      <c r="AH866">
        <v>1</v>
      </c>
      <c r="AI866">
        <v>1</v>
      </c>
      <c r="AJ866">
        <v>0</v>
      </c>
      <c r="AK866">
        <v>0</v>
      </c>
      <c r="AL866" t="str" cm="1">
        <f t="array" ref="AL86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66">
        <v>0</v>
      </c>
    </row>
    <row r="867" spans="1:39" x14ac:dyDescent="0.25">
      <c r="A867">
        <v>30</v>
      </c>
      <c r="B867" t="s">
        <v>44</v>
      </c>
      <c r="C867" t="s">
        <v>37</v>
      </c>
      <c r="D867">
        <v>1329</v>
      </c>
      <c r="E867" t="s">
        <v>38</v>
      </c>
      <c r="G867">
        <v>29</v>
      </c>
      <c r="H867">
        <v>4</v>
      </c>
      <c r="I867" t="s">
        <v>39</v>
      </c>
      <c r="J867" t="str">
        <f>WA_Fn_UseC__HR_Employee_Attrition[[#This Row],[EducationField]]&amp;"-"&amp;WA_Fn_UseC__HR_Employee_Attrition[[#This Row],[Department]]</f>
        <v>Life Sciences-Sales</v>
      </c>
      <c r="K867">
        <v>1</v>
      </c>
      <c r="L867">
        <v>1211</v>
      </c>
      <c r="M867">
        <v>3</v>
      </c>
      <c r="N867" t="s">
        <v>47</v>
      </c>
      <c r="O867">
        <v>61</v>
      </c>
      <c r="P867">
        <v>3</v>
      </c>
      <c r="Q867">
        <v>2</v>
      </c>
      <c r="R867" t="s">
        <v>41</v>
      </c>
      <c r="S867">
        <v>1</v>
      </c>
      <c r="T867" t="s">
        <v>53</v>
      </c>
      <c r="U867">
        <v>4115</v>
      </c>
      <c r="V867" t="str" cm="1">
        <f t="array" ref="V86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67">
        <v>13192</v>
      </c>
      <c r="X867">
        <v>8</v>
      </c>
      <c r="Y867" t="s">
        <v>43</v>
      </c>
      <c r="Z867" t="s">
        <v>44</v>
      </c>
      <c r="AA867">
        <v>19</v>
      </c>
      <c r="AB867">
        <v>3</v>
      </c>
      <c r="AC867">
        <v>3</v>
      </c>
      <c r="AD867">
        <v>80</v>
      </c>
      <c r="AE867">
        <v>3</v>
      </c>
      <c r="AF867">
        <v>8</v>
      </c>
      <c r="AG867">
        <v>3</v>
      </c>
      <c r="AH867">
        <v>3</v>
      </c>
      <c r="AI867">
        <v>4</v>
      </c>
      <c r="AJ867">
        <v>3</v>
      </c>
      <c r="AK867">
        <v>0</v>
      </c>
      <c r="AL867" t="str" cm="1">
        <f t="array" ref="AL86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67">
        <v>3</v>
      </c>
    </row>
    <row r="868" spans="1:39" x14ac:dyDescent="0.25">
      <c r="A868">
        <v>40</v>
      </c>
      <c r="B868" t="s">
        <v>44</v>
      </c>
      <c r="C868" t="s">
        <v>45</v>
      </c>
      <c r="D868">
        <v>1184</v>
      </c>
      <c r="E868" t="s">
        <v>38</v>
      </c>
      <c r="G868">
        <v>2</v>
      </c>
      <c r="H868">
        <v>4</v>
      </c>
      <c r="I868" t="s">
        <v>52</v>
      </c>
      <c r="J868" t="str">
        <f>WA_Fn_UseC__HR_Employee_Attrition[[#This Row],[EducationField]]&amp;"-"&amp;WA_Fn_UseC__HR_Employee_Attrition[[#This Row],[Department]]</f>
        <v>Medical-Sales</v>
      </c>
      <c r="K868">
        <v>1</v>
      </c>
      <c r="L868">
        <v>1212</v>
      </c>
      <c r="M868">
        <v>2</v>
      </c>
      <c r="N868" t="s">
        <v>47</v>
      </c>
      <c r="O868">
        <v>62</v>
      </c>
      <c r="P868">
        <v>3</v>
      </c>
      <c r="Q868">
        <v>2</v>
      </c>
      <c r="R868" t="s">
        <v>41</v>
      </c>
      <c r="S868">
        <v>2</v>
      </c>
      <c r="T868" t="s">
        <v>49</v>
      </c>
      <c r="U868">
        <v>4327</v>
      </c>
      <c r="V868" t="str" cm="1">
        <f t="array" ref="V86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68">
        <v>25440</v>
      </c>
      <c r="X868">
        <v>5</v>
      </c>
      <c r="Y868" t="s">
        <v>43</v>
      </c>
      <c r="Z868" t="s">
        <v>44</v>
      </c>
      <c r="AA868">
        <v>12</v>
      </c>
      <c r="AB868">
        <v>3</v>
      </c>
      <c r="AC868">
        <v>4</v>
      </c>
      <c r="AD868">
        <v>80</v>
      </c>
      <c r="AE868">
        <v>3</v>
      </c>
      <c r="AF868">
        <v>5</v>
      </c>
      <c r="AG868">
        <v>2</v>
      </c>
      <c r="AH868">
        <v>3</v>
      </c>
      <c r="AI868">
        <v>0</v>
      </c>
      <c r="AJ868">
        <v>0</v>
      </c>
      <c r="AK868">
        <v>0</v>
      </c>
      <c r="AL868" t="str" cm="1">
        <f t="array" ref="AL86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68">
        <v>0</v>
      </c>
    </row>
    <row r="869" spans="1:39" x14ac:dyDescent="0.25">
      <c r="A869">
        <v>50</v>
      </c>
      <c r="B869" t="s">
        <v>44</v>
      </c>
      <c r="C869" t="s">
        <v>45</v>
      </c>
      <c r="D869">
        <v>1421</v>
      </c>
      <c r="E869" t="s">
        <v>46</v>
      </c>
      <c r="G869">
        <v>2</v>
      </c>
      <c r="H869">
        <v>3</v>
      </c>
      <c r="I869" t="s">
        <v>52</v>
      </c>
      <c r="J869" t="str">
        <f>WA_Fn_UseC__HR_Employee_Attrition[[#This Row],[EducationField]]&amp;"-"&amp;WA_Fn_UseC__HR_Employee_Attrition[[#This Row],[Department]]</f>
        <v>Medical-Research &amp; Development</v>
      </c>
      <c r="K869">
        <v>1</v>
      </c>
      <c r="L869">
        <v>1215</v>
      </c>
      <c r="M869">
        <v>4</v>
      </c>
      <c r="N869" t="s">
        <v>40</v>
      </c>
      <c r="O869">
        <v>30</v>
      </c>
      <c r="P869">
        <v>3</v>
      </c>
      <c r="Q869">
        <v>4</v>
      </c>
      <c r="R869" t="s">
        <v>57</v>
      </c>
      <c r="S869">
        <v>1</v>
      </c>
      <c r="T869" t="s">
        <v>49</v>
      </c>
      <c r="U869">
        <v>17856</v>
      </c>
      <c r="V869" t="str" cm="1">
        <f t="array" ref="V86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69">
        <v>9490</v>
      </c>
      <c r="X869">
        <v>2</v>
      </c>
      <c r="Y869" t="s">
        <v>43</v>
      </c>
      <c r="Z869" t="s">
        <v>44</v>
      </c>
      <c r="AA869">
        <v>22</v>
      </c>
      <c r="AB869">
        <v>4</v>
      </c>
      <c r="AC869">
        <v>3</v>
      </c>
      <c r="AD869">
        <v>80</v>
      </c>
      <c r="AE869">
        <v>1</v>
      </c>
      <c r="AF869">
        <v>32</v>
      </c>
      <c r="AG869">
        <v>3</v>
      </c>
      <c r="AH869">
        <v>3</v>
      </c>
      <c r="AI869">
        <v>2</v>
      </c>
      <c r="AJ869">
        <v>2</v>
      </c>
      <c r="AK869">
        <v>2</v>
      </c>
      <c r="AL869" t="str" cm="1">
        <f t="array" ref="AL86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69">
        <v>2</v>
      </c>
    </row>
    <row r="870" spans="1:39" x14ac:dyDescent="0.25">
      <c r="A870">
        <v>28</v>
      </c>
      <c r="B870" t="s">
        <v>44</v>
      </c>
      <c r="C870" t="s">
        <v>37</v>
      </c>
      <c r="D870">
        <v>1179</v>
      </c>
      <c r="E870" t="s">
        <v>46</v>
      </c>
      <c r="G870">
        <v>19</v>
      </c>
      <c r="H870">
        <v>4</v>
      </c>
      <c r="I870" t="s">
        <v>52</v>
      </c>
      <c r="J870" t="str">
        <f>WA_Fn_UseC__HR_Employee_Attrition[[#This Row],[EducationField]]&amp;"-"&amp;WA_Fn_UseC__HR_Employee_Attrition[[#This Row],[Department]]</f>
        <v>Medical-Research &amp; Development</v>
      </c>
      <c r="K870">
        <v>1</v>
      </c>
      <c r="L870">
        <v>1216</v>
      </c>
      <c r="M870">
        <v>4</v>
      </c>
      <c r="N870" t="s">
        <v>47</v>
      </c>
      <c r="O870">
        <v>78</v>
      </c>
      <c r="P870">
        <v>2</v>
      </c>
      <c r="Q870">
        <v>1</v>
      </c>
      <c r="R870" t="s">
        <v>51</v>
      </c>
      <c r="S870">
        <v>1</v>
      </c>
      <c r="T870" t="s">
        <v>49</v>
      </c>
      <c r="U870">
        <v>3196</v>
      </c>
      <c r="V870" t="str" cm="1">
        <f t="array" ref="V87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70">
        <v>12449</v>
      </c>
      <c r="X870">
        <v>1</v>
      </c>
      <c r="Y870" t="s">
        <v>43</v>
      </c>
      <c r="Z870" t="s">
        <v>44</v>
      </c>
      <c r="AA870">
        <v>12</v>
      </c>
      <c r="AB870">
        <v>3</v>
      </c>
      <c r="AC870">
        <v>3</v>
      </c>
      <c r="AD870">
        <v>80</v>
      </c>
      <c r="AE870">
        <v>3</v>
      </c>
      <c r="AF870">
        <v>6</v>
      </c>
      <c r="AG870">
        <v>2</v>
      </c>
      <c r="AH870">
        <v>3</v>
      </c>
      <c r="AI870">
        <v>6</v>
      </c>
      <c r="AJ870">
        <v>5</v>
      </c>
      <c r="AK870">
        <v>3</v>
      </c>
      <c r="AL870" t="str" cm="1">
        <f t="array" ref="AL87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70">
        <v>3</v>
      </c>
    </row>
    <row r="871" spans="1:39" x14ac:dyDescent="0.25">
      <c r="A871">
        <v>46</v>
      </c>
      <c r="B871" t="s">
        <v>44</v>
      </c>
      <c r="C871" t="s">
        <v>37</v>
      </c>
      <c r="D871">
        <v>1450</v>
      </c>
      <c r="E871" t="s">
        <v>46</v>
      </c>
      <c r="G871">
        <v>15</v>
      </c>
      <c r="H871">
        <v>2</v>
      </c>
      <c r="I871" t="s">
        <v>39</v>
      </c>
      <c r="J871" t="str">
        <f>WA_Fn_UseC__HR_Employee_Attrition[[#This Row],[EducationField]]&amp;"-"&amp;WA_Fn_UseC__HR_Employee_Attrition[[#This Row],[Department]]</f>
        <v>Life Sciences-Research &amp; Development</v>
      </c>
      <c r="K871">
        <v>1</v>
      </c>
      <c r="L871">
        <v>1217</v>
      </c>
      <c r="M871">
        <v>4</v>
      </c>
      <c r="N871" t="s">
        <v>47</v>
      </c>
      <c r="O871">
        <v>52</v>
      </c>
      <c r="P871">
        <v>3</v>
      </c>
      <c r="Q871">
        <v>5</v>
      </c>
      <c r="R871" t="s">
        <v>59</v>
      </c>
      <c r="S871">
        <v>2</v>
      </c>
      <c r="T871" t="s">
        <v>49</v>
      </c>
      <c r="U871">
        <v>19081</v>
      </c>
      <c r="V871" t="str" cm="1">
        <f t="array" ref="V87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71">
        <v>10849</v>
      </c>
      <c r="X871">
        <v>5</v>
      </c>
      <c r="Y871" t="s">
        <v>43</v>
      </c>
      <c r="Z871" t="s">
        <v>44</v>
      </c>
      <c r="AA871">
        <v>11</v>
      </c>
      <c r="AB871">
        <v>3</v>
      </c>
      <c r="AC871">
        <v>1</v>
      </c>
      <c r="AD871">
        <v>80</v>
      </c>
      <c r="AE871">
        <v>1</v>
      </c>
      <c r="AF871">
        <v>25</v>
      </c>
      <c r="AG871">
        <v>2</v>
      </c>
      <c r="AH871">
        <v>3</v>
      </c>
      <c r="AI871">
        <v>4</v>
      </c>
      <c r="AJ871">
        <v>2</v>
      </c>
      <c r="AK871">
        <v>0</v>
      </c>
      <c r="AL871" t="str" cm="1">
        <f t="array" ref="AL87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71">
        <v>3</v>
      </c>
    </row>
    <row r="872" spans="1:39" x14ac:dyDescent="0.25">
      <c r="A872">
        <v>35</v>
      </c>
      <c r="B872" t="s">
        <v>44</v>
      </c>
      <c r="C872" t="s">
        <v>37</v>
      </c>
      <c r="D872">
        <v>1361</v>
      </c>
      <c r="E872" t="s">
        <v>38</v>
      </c>
      <c r="G872">
        <v>17</v>
      </c>
      <c r="H872">
        <v>4</v>
      </c>
      <c r="I872" t="s">
        <v>39</v>
      </c>
      <c r="J872" t="str">
        <f>WA_Fn_UseC__HR_Employee_Attrition[[#This Row],[EducationField]]&amp;"-"&amp;WA_Fn_UseC__HR_Employee_Attrition[[#This Row],[Department]]</f>
        <v>Life Sciences-Sales</v>
      </c>
      <c r="K872">
        <v>1</v>
      </c>
      <c r="L872">
        <v>1218</v>
      </c>
      <c r="M872">
        <v>3</v>
      </c>
      <c r="N872" t="s">
        <v>47</v>
      </c>
      <c r="O872">
        <v>94</v>
      </c>
      <c r="P872">
        <v>3</v>
      </c>
      <c r="Q872">
        <v>2</v>
      </c>
      <c r="R872" t="s">
        <v>41</v>
      </c>
      <c r="S872">
        <v>1</v>
      </c>
      <c r="T872" t="s">
        <v>49</v>
      </c>
      <c r="U872">
        <v>8966</v>
      </c>
      <c r="V872" t="str" cm="1">
        <f t="array" ref="V87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72">
        <v>21026</v>
      </c>
      <c r="X872">
        <v>3</v>
      </c>
      <c r="Y872" t="s">
        <v>43</v>
      </c>
      <c r="Z872" t="s">
        <v>36</v>
      </c>
      <c r="AA872">
        <v>15</v>
      </c>
      <c r="AB872">
        <v>3</v>
      </c>
      <c r="AC872">
        <v>4</v>
      </c>
      <c r="AD872">
        <v>80</v>
      </c>
      <c r="AE872">
        <v>3</v>
      </c>
      <c r="AF872">
        <v>15</v>
      </c>
      <c r="AG872">
        <v>2</v>
      </c>
      <c r="AH872">
        <v>3</v>
      </c>
      <c r="AI872">
        <v>7</v>
      </c>
      <c r="AJ872">
        <v>7</v>
      </c>
      <c r="AK872">
        <v>1</v>
      </c>
      <c r="AL872" t="str" cm="1">
        <f t="array" ref="AL87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72">
        <v>7</v>
      </c>
    </row>
    <row r="873" spans="1:39" x14ac:dyDescent="0.25">
      <c r="A873">
        <v>24</v>
      </c>
      <c r="B873" t="s">
        <v>36</v>
      </c>
      <c r="C873" t="s">
        <v>37</v>
      </c>
      <c r="D873">
        <v>984</v>
      </c>
      <c r="E873" t="s">
        <v>46</v>
      </c>
      <c r="G873">
        <v>17</v>
      </c>
      <c r="H873">
        <v>2</v>
      </c>
      <c r="I873" t="s">
        <v>39</v>
      </c>
      <c r="J873" t="str">
        <f>WA_Fn_UseC__HR_Employee_Attrition[[#This Row],[EducationField]]&amp;"-"&amp;WA_Fn_UseC__HR_Employee_Attrition[[#This Row],[Department]]</f>
        <v>Life Sciences-Research &amp; Development</v>
      </c>
      <c r="K873">
        <v>1</v>
      </c>
      <c r="L873">
        <v>1219</v>
      </c>
      <c r="M873">
        <v>4</v>
      </c>
      <c r="N873" t="s">
        <v>40</v>
      </c>
      <c r="O873">
        <v>97</v>
      </c>
      <c r="P873">
        <v>3</v>
      </c>
      <c r="Q873">
        <v>1</v>
      </c>
      <c r="R873" t="s">
        <v>51</v>
      </c>
      <c r="S873">
        <v>2</v>
      </c>
      <c r="T873" t="s">
        <v>49</v>
      </c>
      <c r="U873">
        <v>2210</v>
      </c>
      <c r="V873" t="str" cm="1">
        <f t="array" ref="V87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73">
        <v>3372</v>
      </c>
      <c r="X873">
        <v>1</v>
      </c>
      <c r="Y873" t="s">
        <v>43</v>
      </c>
      <c r="Z873" t="s">
        <v>44</v>
      </c>
      <c r="AA873">
        <v>13</v>
      </c>
      <c r="AB873">
        <v>3</v>
      </c>
      <c r="AC873">
        <v>1</v>
      </c>
      <c r="AD873">
        <v>80</v>
      </c>
      <c r="AE873">
        <v>1</v>
      </c>
      <c r="AF873">
        <v>1</v>
      </c>
      <c r="AG873">
        <v>3</v>
      </c>
      <c r="AH873">
        <v>1</v>
      </c>
      <c r="AI873">
        <v>1</v>
      </c>
      <c r="AJ873">
        <v>0</v>
      </c>
      <c r="AK873">
        <v>0</v>
      </c>
      <c r="AL873" t="str" cm="1">
        <f t="array" ref="AL87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73">
        <v>0</v>
      </c>
    </row>
    <row r="874" spans="1:39" x14ac:dyDescent="0.25">
      <c r="A874">
        <v>33</v>
      </c>
      <c r="B874" t="s">
        <v>44</v>
      </c>
      <c r="C874" t="s">
        <v>45</v>
      </c>
      <c r="D874">
        <v>1146</v>
      </c>
      <c r="E874" t="s">
        <v>38</v>
      </c>
      <c r="G874">
        <v>25</v>
      </c>
      <c r="H874">
        <v>3</v>
      </c>
      <c r="I874" t="s">
        <v>52</v>
      </c>
      <c r="J874" t="str">
        <f>WA_Fn_UseC__HR_Employee_Attrition[[#This Row],[EducationField]]&amp;"-"&amp;WA_Fn_UseC__HR_Employee_Attrition[[#This Row],[Department]]</f>
        <v>Medical-Sales</v>
      </c>
      <c r="K874">
        <v>1</v>
      </c>
      <c r="L874">
        <v>1220</v>
      </c>
      <c r="M874">
        <v>2</v>
      </c>
      <c r="N874" t="s">
        <v>40</v>
      </c>
      <c r="O874">
        <v>82</v>
      </c>
      <c r="P874">
        <v>3</v>
      </c>
      <c r="Q874">
        <v>2</v>
      </c>
      <c r="R874" t="s">
        <v>41</v>
      </c>
      <c r="S874">
        <v>3</v>
      </c>
      <c r="T874" t="s">
        <v>49</v>
      </c>
      <c r="U874">
        <v>4539</v>
      </c>
      <c r="V874" t="str" cm="1">
        <f t="array" ref="V87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74">
        <v>4905</v>
      </c>
      <c r="X874">
        <v>1</v>
      </c>
      <c r="Y874" t="s">
        <v>43</v>
      </c>
      <c r="Z874" t="s">
        <v>44</v>
      </c>
      <c r="AA874">
        <v>12</v>
      </c>
      <c r="AB874">
        <v>3</v>
      </c>
      <c r="AC874">
        <v>1</v>
      </c>
      <c r="AD874">
        <v>80</v>
      </c>
      <c r="AE874">
        <v>1</v>
      </c>
      <c r="AF874">
        <v>10</v>
      </c>
      <c r="AG874">
        <v>3</v>
      </c>
      <c r="AH874">
        <v>2</v>
      </c>
      <c r="AI874">
        <v>10</v>
      </c>
      <c r="AJ874">
        <v>7</v>
      </c>
      <c r="AK874">
        <v>0</v>
      </c>
      <c r="AL874" t="str" cm="1">
        <f t="array" ref="AL87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74">
        <v>1</v>
      </c>
    </row>
    <row r="875" spans="1:39" x14ac:dyDescent="0.25">
      <c r="A875">
        <v>36</v>
      </c>
      <c r="B875" t="s">
        <v>44</v>
      </c>
      <c r="C875" t="s">
        <v>37</v>
      </c>
      <c r="D875">
        <v>917</v>
      </c>
      <c r="E875" t="s">
        <v>46</v>
      </c>
      <c r="G875">
        <v>6</v>
      </c>
      <c r="H875">
        <v>4</v>
      </c>
      <c r="I875" t="s">
        <v>39</v>
      </c>
      <c r="J875" t="str">
        <f>WA_Fn_UseC__HR_Employee_Attrition[[#This Row],[EducationField]]&amp;"-"&amp;WA_Fn_UseC__HR_Employee_Attrition[[#This Row],[Department]]</f>
        <v>Life Sciences-Research &amp; Development</v>
      </c>
      <c r="K875">
        <v>1</v>
      </c>
      <c r="L875">
        <v>1221</v>
      </c>
      <c r="M875">
        <v>3</v>
      </c>
      <c r="N875" t="s">
        <v>47</v>
      </c>
      <c r="O875">
        <v>60</v>
      </c>
      <c r="P875">
        <v>1</v>
      </c>
      <c r="Q875">
        <v>1</v>
      </c>
      <c r="R875" t="s">
        <v>51</v>
      </c>
      <c r="S875">
        <v>3</v>
      </c>
      <c r="T875" t="s">
        <v>53</v>
      </c>
      <c r="U875">
        <v>2741</v>
      </c>
      <c r="V875" t="str" cm="1">
        <f t="array" ref="V87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75">
        <v>6865</v>
      </c>
      <c r="X875">
        <v>1</v>
      </c>
      <c r="Y875" t="s">
        <v>43</v>
      </c>
      <c r="Z875" t="s">
        <v>44</v>
      </c>
      <c r="AA875">
        <v>14</v>
      </c>
      <c r="AB875">
        <v>3</v>
      </c>
      <c r="AC875">
        <v>3</v>
      </c>
      <c r="AD875">
        <v>80</v>
      </c>
      <c r="AE875">
        <v>1</v>
      </c>
      <c r="AF875">
        <v>7</v>
      </c>
      <c r="AG875">
        <v>4</v>
      </c>
      <c r="AH875">
        <v>3</v>
      </c>
      <c r="AI875">
        <v>7</v>
      </c>
      <c r="AJ875">
        <v>7</v>
      </c>
      <c r="AK875">
        <v>1</v>
      </c>
      <c r="AL875" t="str" cm="1">
        <f t="array" ref="AL87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75">
        <v>7</v>
      </c>
    </row>
    <row r="876" spans="1:39" x14ac:dyDescent="0.25">
      <c r="A876">
        <v>30</v>
      </c>
      <c r="B876" t="s">
        <v>44</v>
      </c>
      <c r="C876" t="s">
        <v>37</v>
      </c>
      <c r="D876">
        <v>853</v>
      </c>
      <c r="E876" t="s">
        <v>46</v>
      </c>
      <c r="G876">
        <v>7</v>
      </c>
      <c r="H876">
        <v>4</v>
      </c>
      <c r="I876" t="s">
        <v>39</v>
      </c>
      <c r="J876" t="str">
        <f>WA_Fn_UseC__HR_Employee_Attrition[[#This Row],[EducationField]]&amp;"-"&amp;WA_Fn_UseC__HR_Employee_Attrition[[#This Row],[Department]]</f>
        <v>Life Sciences-Research &amp; Development</v>
      </c>
      <c r="K876">
        <v>1</v>
      </c>
      <c r="L876">
        <v>1224</v>
      </c>
      <c r="M876">
        <v>3</v>
      </c>
      <c r="N876" t="s">
        <v>47</v>
      </c>
      <c r="O876">
        <v>49</v>
      </c>
      <c r="P876">
        <v>3</v>
      </c>
      <c r="Q876">
        <v>2</v>
      </c>
      <c r="R876" t="s">
        <v>51</v>
      </c>
      <c r="S876">
        <v>3</v>
      </c>
      <c r="T876" t="s">
        <v>53</v>
      </c>
      <c r="U876">
        <v>3491</v>
      </c>
      <c r="V876" t="str" cm="1">
        <f t="array" ref="V87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76">
        <v>11309</v>
      </c>
      <c r="X876">
        <v>1</v>
      </c>
      <c r="Y876" t="s">
        <v>43</v>
      </c>
      <c r="Z876" t="s">
        <v>44</v>
      </c>
      <c r="AA876">
        <v>13</v>
      </c>
      <c r="AB876">
        <v>3</v>
      </c>
      <c r="AC876">
        <v>1</v>
      </c>
      <c r="AD876">
        <v>80</v>
      </c>
      <c r="AE876">
        <v>3</v>
      </c>
      <c r="AF876">
        <v>10</v>
      </c>
      <c r="AG876">
        <v>4</v>
      </c>
      <c r="AH876">
        <v>2</v>
      </c>
      <c r="AI876">
        <v>10</v>
      </c>
      <c r="AJ876">
        <v>7</v>
      </c>
      <c r="AK876">
        <v>8</v>
      </c>
      <c r="AL876" t="str" cm="1">
        <f t="array" ref="AL87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76">
        <v>9</v>
      </c>
    </row>
    <row r="877" spans="1:39" x14ac:dyDescent="0.25">
      <c r="A877">
        <v>44</v>
      </c>
      <c r="B877" t="s">
        <v>44</v>
      </c>
      <c r="C877" t="s">
        <v>37</v>
      </c>
      <c r="D877">
        <v>200</v>
      </c>
      <c r="E877" t="s">
        <v>46</v>
      </c>
      <c r="G877">
        <v>29</v>
      </c>
      <c r="H877">
        <v>4</v>
      </c>
      <c r="I877" t="s">
        <v>50</v>
      </c>
      <c r="J877" t="str">
        <f>WA_Fn_UseC__HR_Employee_Attrition[[#This Row],[EducationField]]&amp;"-"&amp;WA_Fn_UseC__HR_Employee_Attrition[[#This Row],[Department]]</f>
        <v>Other-Research &amp; Development</v>
      </c>
      <c r="K877">
        <v>1</v>
      </c>
      <c r="L877">
        <v>1225</v>
      </c>
      <c r="M877">
        <v>4</v>
      </c>
      <c r="N877" t="s">
        <v>47</v>
      </c>
      <c r="O877">
        <v>32</v>
      </c>
      <c r="P877">
        <v>3</v>
      </c>
      <c r="Q877">
        <v>2</v>
      </c>
      <c r="R877" t="s">
        <v>48</v>
      </c>
      <c r="S877">
        <v>4</v>
      </c>
      <c r="T877" t="s">
        <v>42</v>
      </c>
      <c r="U877">
        <v>4541</v>
      </c>
      <c r="V877" t="str" cm="1">
        <f t="array" ref="V87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77">
        <v>7744</v>
      </c>
      <c r="X877">
        <v>1</v>
      </c>
      <c r="Y877" t="s">
        <v>43</v>
      </c>
      <c r="Z877" t="s">
        <v>44</v>
      </c>
      <c r="AA877">
        <v>25</v>
      </c>
      <c r="AB877">
        <v>4</v>
      </c>
      <c r="AC877">
        <v>2</v>
      </c>
      <c r="AD877">
        <v>80</v>
      </c>
      <c r="AE877">
        <v>0</v>
      </c>
      <c r="AF877">
        <v>20</v>
      </c>
      <c r="AG877">
        <v>3</v>
      </c>
      <c r="AH877">
        <v>3</v>
      </c>
      <c r="AI877">
        <v>20</v>
      </c>
      <c r="AJ877">
        <v>11</v>
      </c>
      <c r="AK877">
        <v>13</v>
      </c>
      <c r="AL877" t="str" cm="1">
        <f t="array" ref="AL87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77">
        <v>17</v>
      </c>
    </row>
    <row r="878" spans="1:39" x14ac:dyDescent="0.25">
      <c r="A878">
        <v>20</v>
      </c>
      <c r="B878" t="s">
        <v>44</v>
      </c>
      <c r="C878" t="s">
        <v>37</v>
      </c>
      <c r="D878">
        <v>654</v>
      </c>
      <c r="E878" t="s">
        <v>38</v>
      </c>
      <c r="G878">
        <v>21</v>
      </c>
      <c r="H878">
        <v>3</v>
      </c>
      <c r="I878" t="s">
        <v>60</v>
      </c>
      <c r="J878" t="str">
        <f>WA_Fn_UseC__HR_Employee_Attrition[[#This Row],[EducationField]]&amp;"-"&amp;WA_Fn_UseC__HR_Employee_Attrition[[#This Row],[Department]]</f>
        <v>Marketing-Sales</v>
      </c>
      <c r="K878">
        <v>1</v>
      </c>
      <c r="L878">
        <v>1226</v>
      </c>
      <c r="M878">
        <v>3</v>
      </c>
      <c r="N878" t="s">
        <v>47</v>
      </c>
      <c r="O878">
        <v>43</v>
      </c>
      <c r="P878">
        <v>4</v>
      </c>
      <c r="Q878">
        <v>1</v>
      </c>
      <c r="R878" t="s">
        <v>58</v>
      </c>
      <c r="S878">
        <v>4</v>
      </c>
      <c r="T878" t="s">
        <v>42</v>
      </c>
      <c r="U878">
        <v>2678</v>
      </c>
      <c r="V878" t="str" cm="1">
        <f t="array" ref="V87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78">
        <v>5050</v>
      </c>
      <c r="X878">
        <v>1</v>
      </c>
      <c r="Y878" t="s">
        <v>43</v>
      </c>
      <c r="Z878" t="s">
        <v>44</v>
      </c>
      <c r="AA878">
        <v>17</v>
      </c>
      <c r="AB878">
        <v>3</v>
      </c>
      <c r="AC878">
        <v>4</v>
      </c>
      <c r="AD878">
        <v>80</v>
      </c>
      <c r="AE878">
        <v>0</v>
      </c>
      <c r="AF878">
        <v>2</v>
      </c>
      <c r="AG878">
        <v>2</v>
      </c>
      <c r="AH878">
        <v>3</v>
      </c>
      <c r="AI878">
        <v>2</v>
      </c>
      <c r="AJ878">
        <v>1</v>
      </c>
      <c r="AK878">
        <v>2</v>
      </c>
      <c r="AL878" t="str" cm="1">
        <f t="array" ref="AL87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78">
        <v>2</v>
      </c>
    </row>
    <row r="879" spans="1:39" x14ac:dyDescent="0.25">
      <c r="A879">
        <v>46</v>
      </c>
      <c r="B879" t="s">
        <v>44</v>
      </c>
      <c r="C879" t="s">
        <v>37</v>
      </c>
      <c r="D879">
        <v>150</v>
      </c>
      <c r="E879" t="s">
        <v>46</v>
      </c>
      <c r="G879">
        <v>2</v>
      </c>
      <c r="H879">
        <v>4</v>
      </c>
      <c r="I879" t="s">
        <v>61</v>
      </c>
      <c r="J879" t="str">
        <f>WA_Fn_UseC__HR_Employee_Attrition[[#This Row],[EducationField]]&amp;"-"&amp;WA_Fn_UseC__HR_Employee_Attrition[[#This Row],[Department]]</f>
        <v>Technical Degree-Research &amp; Development</v>
      </c>
      <c r="K879">
        <v>1</v>
      </c>
      <c r="L879">
        <v>1228</v>
      </c>
      <c r="M879">
        <v>4</v>
      </c>
      <c r="N879" t="s">
        <v>47</v>
      </c>
      <c r="O879">
        <v>60</v>
      </c>
      <c r="P879">
        <v>3</v>
      </c>
      <c r="Q879">
        <v>2</v>
      </c>
      <c r="R879" t="s">
        <v>54</v>
      </c>
      <c r="S879">
        <v>4</v>
      </c>
      <c r="T879" t="s">
        <v>53</v>
      </c>
      <c r="U879">
        <v>7379</v>
      </c>
      <c r="V879" t="str" cm="1">
        <f t="array" ref="V87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79">
        <v>17433</v>
      </c>
      <c r="X879">
        <v>2</v>
      </c>
      <c r="Y879" t="s">
        <v>43</v>
      </c>
      <c r="Z879" t="s">
        <v>44</v>
      </c>
      <c r="AA879">
        <v>11</v>
      </c>
      <c r="AB879">
        <v>3</v>
      </c>
      <c r="AC879">
        <v>3</v>
      </c>
      <c r="AD879">
        <v>80</v>
      </c>
      <c r="AE879">
        <v>1</v>
      </c>
      <c r="AF879">
        <v>12</v>
      </c>
      <c r="AG879">
        <v>3</v>
      </c>
      <c r="AH879">
        <v>2</v>
      </c>
      <c r="AI879">
        <v>6</v>
      </c>
      <c r="AJ879">
        <v>3</v>
      </c>
      <c r="AK879">
        <v>1</v>
      </c>
      <c r="AL879" t="str" cm="1">
        <f t="array" ref="AL87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79">
        <v>4</v>
      </c>
    </row>
    <row r="880" spans="1:39" x14ac:dyDescent="0.25">
      <c r="A880">
        <v>42</v>
      </c>
      <c r="B880" t="s">
        <v>44</v>
      </c>
      <c r="C880" t="s">
        <v>56</v>
      </c>
      <c r="D880">
        <v>179</v>
      </c>
      <c r="E880" t="s">
        <v>62</v>
      </c>
      <c r="G880">
        <v>2</v>
      </c>
      <c r="H880">
        <v>5</v>
      </c>
      <c r="I880" t="s">
        <v>52</v>
      </c>
      <c r="J880" t="str">
        <f>WA_Fn_UseC__HR_Employee_Attrition[[#This Row],[EducationField]]&amp;"-"&amp;WA_Fn_UseC__HR_Employee_Attrition[[#This Row],[Department]]</f>
        <v>Medical-Human Resources</v>
      </c>
      <c r="K880">
        <v>1</v>
      </c>
      <c r="L880">
        <v>1231</v>
      </c>
      <c r="M880">
        <v>4</v>
      </c>
      <c r="N880" t="s">
        <v>47</v>
      </c>
      <c r="O880">
        <v>79</v>
      </c>
      <c r="P880">
        <v>4</v>
      </c>
      <c r="Q880">
        <v>2</v>
      </c>
      <c r="R880" t="s">
        <v>62</v>
      </c>
      <c r="S880">
        <v>1</v>
      </c>
      <c r="T880" t="s">
        <v>49</v>
      </c>
      <c r="U880">
        <v>6272</v>
      </c>
      <c r="V880" t="str" cm="1">
        <f t="array" ref="V88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80">
        <v>12858</v>
      </c>
      <c r="X880">
        <v>7</v>
      </c>
      <c r="Y880" t="s">
        <v>43</v>
      </c>
      <c r="Z880" t="s">
        <v>44</v>
      </c>
      <c r="AA880">
        <v>16</v>
      </c>
      <c r="AB880">
        <v>3</v>
      </c>
      <c r="AC880">
        <v>1</v>
      </c>
      <c r="AD880">
        <v>80</v>
      </c>
      <c r="AE880">
        <v>1</v>
      </c>
      <c r="AF880">
        <v>10</v>
      </c>
      <c r="AG880">
        <v>3</v>
      </c>
      <c r="AH880">
        <v>4</v>
      </c>
      <c r="AI880">
        <v>4</v>
      </c>
      <c r="AJ880">
        <v>3</v>
      </c>
      <c r="AK880">
        <v>0</v>
      </c>
      <c r="AL880" t="str" cm="1">
        <f t="array" ref="AL88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80">
        <v>3</v>
      </c>
    </row>
    <row r="881" spans="1:39" x14ac:dyDescent="0.25">
      <c r="A881">
        <v>60</v>
      </c>
      <c r="B881" t="s">
        <v>44</v>
      </c>
      <c r="C881" t="s">
        <v>37</v>
      </c>
      <c r="D881">
        <v>696</v>
      </c>
      <c r="E881" t="s">
        <v>38</v>
      </c>
      <c r="G881">
        <v>7</v>
      </c>
      <c r="H881">
        <v>4</v>
      </c>
      <c r="I881" t="s">
        <v>60</v>
      </c>
      <c r="J881" t="str">
        <f>WA_Fn_UseC__HR_Employee_Attrition[[#This Row],[EducationField]]&amp;"-"&amp;WA_Fn_UseC__HR_Employee_Attrition[[#This Row],[Department]]</f>
        <v>Marketing-Sales</v>
      </c>
      <c r="K881">
        <v>1</v>
      </c>
      <c r="L881">
        <v>1233</v>
      </c>
      <c r="M881">
        <v>2</v>
      </c>
      <c r="N881" t="s">
        <v>47</v>
      </c>
      <c r="O881">
        <v>52</v>
      </c>
      <c r="P881">
        <v>4</v>
      </c>
      <c r="Q881">
        <v>2</v>
      </c>
      <c r="R881" t="s">
        <v>41</v>
      </c>
      <c r="S881">
        <v>4</v>
      </c>
      <c r="T881" t="s">
        <v>53</v>
      </c>
      <c r="U881">
        <v>5220</v>
      </c>
      <c r="V881" t="str" cm="1">
        <f t="array" ref="V88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81">
        <v>10893</v>
      </c>
      <c r="X881">
        <v>0</v>
      </c>
      <c r="Y881" t="s">
        <v>43</v>
      </c>
      <c r="Z881" t="s">
        <v>36</v>
      </c>
      <c r="AA881">
        <v>18</v>
      </c>
      <c r="AB881">
        <v>3</v>
      </c>
      <c r="AC881">
        <v>2</v>
      </c>
      <c r="AD881">
        <v>80</v>
      </c>
      <c r="AE881">
        <v>1</v>
      </c>
      <c r="AF881">
        <v>12</v>
      </c>
      <c r="AG881">
        <v>3</v>
      </c>
      <c r="AH881">
        <v>3</v>
      </c>
      <c r="AI881">
        <v>11</v>
      </c>
      <c r="AJ881">
        <v>7</v>
      </c>
      <c r="AK881">
        <v>1</v>
      </c>
      <c r="AL881" t="str" cm="1">
        <f t="array" ref="AL88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81">
        <v>9</v>
      </c>
    </row>
    <row r="882" spans="1:39" x14ac:dyDescent="0.25">
      <c r="A882">
        <v>32</v>
      </c>
      <c r="B882" t="s">
        <v>44</v>
      </c>
      <c r="C882" t="s">
        <v>45</v>
      </c>
      <c r="D882">
        <v>116</v>
      </c>
      <c r="E882" t="s">
        <v>46</v>
      </c>
      <c r="G882">
        <v>13</v>
      </c>
      <c r="H882">
        <v>3</v>
      </c>
      <c r="I882" t="s">
        <v>50</v>
      </c>
      <c r="J882" t="str">
        <f>WA_Fn_UseC__HR_Employee_Attrition[[#This Row],[EducationField]]&amp;"-"&amp;WA_Fn_UseC__HR_Employee_Attrition[[#This Row],[Department]]</f>
        <v>Other-Research &amp; Development</v>
      </c>
      <c r="K882">
        <v>1</v>
      </c>
      <c r="L882">
        <v>1234</v>
      </c>
      <c r="M882">
        <v>3</v>
      </c>
      <c r="N882" t="s">
        <v>40</v>
      </c>
      <c r="O882">
        <v>77</v>
      </c>
      <c r="P882">
        <v>2</v>
      </c>
      <c r="Q882">
        <v>1</v>
      </c>
      <c r="R882" t="s">
        <v>51</v>
      </c>
      <c r="S882">
        <v>2</v>
      </c>
      <c r="T882" t="s">
        <v>49</v>
      </c>
      <c r="U882">
        <v>2743</v>
      </c>
      <c r="V882" t="str" cm="1">
        <f t="array" ref="V88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82">
        <v>7331</v>
      </c>
      <c r="X882">
        <v>1</v>
      </c>
      <c r="Y882" t="s">
        <v>43</v>
      </c>
      <c r="Z882" t="s">
        <v>44</v>
      </c>
      <c r="AA882">
        <v>20</v>
      </c>
      <c r="AB882">
        <v>4</v>
      </c>
      <c r="AC882">
        <v>3</v>
      </c>
      <c r="AD882">
        <v>80</v>
      </c>
      <c r="AE882">
        <v>1</v>
      </c>
      <c r="AF882">
        <v>2</v>
      </c>
      <c r="AG882">
        <v>2</v>
      </c>
      <c r="AH882">
        <v>3</v>
      </c>
      <c r="AI882">
        <v>2</v>
      </c>
      <c r="AJ882">
        <v>2</v>
      </c>
      <c r="AK882">
        <v>2</v>
      </c>
      <c r="AL882" t="str" cm="1">
        <f t="array" ref="AL88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82">
        <v>2</v>
      </c>
    </row>
    <row r="883" spans="1:39" x14ac:dyDescent="0.25">
      <c r="A883">
        <v>32</v>
      </c>
      <c r="B883" t="s">
        <v>44</v>
      </c>
      <c r="C883" t="s">
        <v>45</v>
      </c>
      <c r="D883">
        <v>1316</v>
      </c>
      <c r="E883" t="s">
        <v>46</v>
      </c>
      <c r="G883">
        <v>2</v>
      </c>
      <c r="H883">
        <v>2</v>
      </c>
      <c r="I883" t="s">
        <v>39</v>
      </c>
      <c r="J883" t="str">
        <f>WA_Fn_UseC__HR_Employee_Attrition[[#This Row],[EducationField]]&amp;"-"&amp;WA_Fn_UseC__HR_Employee_Attrition[[#This Row],[Department]]</f>
        <v>Life Sciences-Research &amp; Development</v>
      </c>
      <c r="K883">
        <v>1</v>
      </c>
      <c r="L883">
        <v>1235</v>
      </c>
      <c r="M883">
        <v>4</v>
      </c>
      <c r="N883" t="s">
        <v>40</v>
      </c>
      <c r="O883">
        <v>38</v>
      </c>
      <c r="P883">
        <v>3</v>
      </c>
      <c r="Q883">
        <v>2</v>
      </c>
      <c r="R883" t="s">
        <v>48</v>
      </c>
      <c r="S883">
        <v>3</v>
      </c>
      <c r="T883" t="s">
        <v>42</v>
      </c>
      <c r="U883">
        <v>4998</v>
      </c>
      <c r="V883" t="str" cm="1">
        <f t="array" ref="V88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83">
        <v>2338</v>
      </c>
      <c r="X883">
        <v>4</v>
      </c>
      <c r="Y883" t="s">
        <v>43</v>
      </c>
      <c r="Z883" t="s">
        <v>36</v>
      </c>
      <c r="AA883">
        <v>14</v>
      </c>
      <c r="AB883">
        <v>3</v>
      </c>
      <c r="AC883">
        <v>4</v>
      </c>
      <c r="AD883">
        <v>80</v>
      </c>
      <c r="AE883">
        <v>0</v>
      </c>
      <c r="AF883">
        <v>10</v>
      </c>
      <c r="AG883">
        <v>2</v>
      </c>
      <c r="AH883">
        <v>3</v>
      </c>
      <c r="AI883">
        <v>8</v>
      </c>
      <c r="AJ883">
        <v>7</v>
      </c>
      <c r="AK883">
        <v>0</v>
      </c>
      <c r="AL883" t="str" cm="1">
        <f t="array" ref="AL88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83">
        <v>7</v>
      </c>
    </row>
    <row r="884" spans="1:39" x14ac:dyDescent="0.25">
      <c r="A884">
        <v>36</v>
      </c>
      <c r="B884" t="s">
        <v>44</v>
      </c>
      <c r="C884" t="s">
        <v>37</v>
      </c>
      <c r="D884">
        <v>363</v>
      </c>
      <c r="E884" t="s">
        <v>46</v>
      </c>
      <c r="G884">
        <v>1</v>
      </c>
      <c r="H884">
        <v>3</v>
      </c>
      <c r="I884" t="s">
        <v>61</v>
      </c>
      <c r="J884" t="str">
        <f>WA_Fn_UseC__HR_Employee_Attrition[[#This Row],[EducationField]]&amp;"-"&amp;WA_Fn_UseC__HR_Employee_Attrition[[#This Row],[Department]]</f>
        <v>Technical Degree-Research &amp; Development</v>
      </c>
      <c r="K884">
        <v>1</v>
      </c>
      <c r="L884">
        <v>1237</v>
      </c>
      <c r="M884">
        <v>3</v>
      </c>
      <c r="N884" t="s">
        <v>40</v>
      </c>
      <c r="O884">
        <v>77</v>
      </c>
      <c r="P884">
        <v>1</v>
      </c>
      <c r="Q884">
        <v>3</v>
      </c>
      <c r="R884" t="s">
        <v>54</v>
      </c>
      <c r="S884">
        <v>1</v>
      </c>
      <c r="T884" t="s">
        <v>53</v>
      </c>
      <c r="U884">
        <v>10252</v>
      </c>
      <c r="V884" t="str" cm="1">
        <f t="array" ref="V88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84">
        <v>4235</v>
      </c>
      <c r="X884">
        <v>2</v>
      </c>
      <c r="Y884" t="s">
        <v>43</v>
      </c>
      <c r="Z884" t="s">
        <v>36</v>
      </c>
      <c r="AA884">
        <v>21</v>
      </c>
      <c r="AB884">
        <v>4</v>
      </c>
      <c r="AC884">
        <v>3</v>
      </c>
      <c r="AD884">
        <v>80</v>
      </c>
      <c r="AE884">
        <v>1</v>
      </c>
      <c r="AF884">
        <v>17</v>
      </c>
      <c r="AG884">
        <v>2</v>
      </c>
      <c r="AH884">
        <v>3</v>
      </c>
      <c r="AI884">
        <v>7</v>
      </c>
      <c r="AJ884">
        <v>7</v>
      </c>
      <c r="AK884">
        <v>7</v>
      </c>
      <c r="AL884" t="str" cm="1">
        <f t="array" ref="AL88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84">
        <v>7</v>
      </c>
    </row>
    <row r="885" spans="1:39" x14ac:dyDescent="0.25">
      <c r="A885">
        <v>33</v>
      </c>
      <c r="B885" t="s">
        <v>44</v>
      </c>
      <c r="C885" t="s">
        <v>37</v>
      </c>
      <c r="D885">
        <v>117</v>
      </c>
      <c r="E885" t="s">
        <v>46</v>
      </c>
      <c r="G885">
        <v>9</v>
      </c>
      <c r="H885">
        <v>3</v>
      </c>
      <c r="I885" t="s">
        <v>52</v>
      </c>
      <c r="J885" t="str">
        <f>WA_Fn_UseC__HR_Employee_Attrition[[#This Row],[EducationField]]&amp;"-"&amp;WA_Fn_UseC__HR_Employee_Attrition[[#This Row],[Department]]</f>
        <v>Medical-Research &amp; Development</v>
      </c>
      <c r="K885">
        <v>1</v>
      </c>
      <c r="L885">
        <v>1238</v>
      </c>
      <c r="M885">
        <v>1</v>
      </c>
      <c r="N885" t="s">
        <v>47</v>
      </c>
      <c r="O885">
        <v>60</v>
      </c>
      <c r="P885">
        <v>3</v>
      </c>
      <c r="Q885">
        <v>1</v>
      </c>
      <c r="R885" t="s">
        <v>48</v>
      </c>
      <c r="S885">
        <v>4</v>
      </c>
      <c r="T885" t="s">
        <v>49</v>
      </c>
      <c r="U885">
        <v>2781</v>
      </c>
      <c r="V885" t="str" cm="1">
        <f t="array" ref="V88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85">
        <v>6311</v>
      </c>
      <c r="X885">
        <v>0</v>
      </c>
      <c r="Y885" t="s">
        <v>43</v>
      </c>
      <c r="Z885" t="s">
        <v>44</v>
      </c>
      <c r="AA885">
        <v>13</v>
      </c>
      <c r="AB885">
        <v>3</v>
      </c>
      <c r="AC885">
        <v>2</v>
      </c>
      <c r="AD885">
        <v>80</v>
      </c>
      <c r="AE885">
        <v>1</v>
      </c>
      <c r="AF885">
        <v>15</v>
      </c>
      <c r="AG885">
        <v>5</v>
      </c>
      <c r="AH885">
        <v>3</v>
      </c>
      <c r="AI885">
        <v>14</v>
      </c>
      <c r="AJ885">
        <v>10</v>
      </c>
      <c r="AK885">
        <v>4</v>
      </c>
      <c r="AL885" t="str" cm="1">
        <f t="array" ref="AL88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85">
        <v>10</v>
      </c>
    </row>
    <row r="886" spans="1:39" x14ac:dyDescent="0.25">
      <c r="A886">
        <v>40</v>
      </c>
      <c r="B886" t="s">
        <v>44</v>
      </c>
      <c r="C886" t="s">
        <v>37</v>
      </c>
      <c r="D886">
        <v>107</v>
      </c>
      <c r="E886" t="s">
        <v>38</v>
      </c>
      <c r="G886">
        <v>10</v>
      </c>
      <c r="H886">
        <v>3</v>
      </c>
      <c r="I886" t="s">
        <v>61</v>
      </c>
      <c r="J886" t="str">
        <f>WA_Fn_UseC__HR_Employee_Attrition[[#This Row],[EducationField]]&amp;"-"&amp;WA_Fn_UseC__HR_Employee_Attrition[[#This Row],[Department]]</f>
        <v>Technical Degree-Sales</v>
      </c>
      <c r="K886">
        <v>1</v>
      </c>
      <c r="L886">
        <v>1239</v>
      </c>
      <c r="M886">
        <v>2</v>
      </c>
      <c r="N886" t="s">
        <v>40</v>
      </c>
      <c r="O886">
        <v>84</v>
      </c>
      <c r="P886">
        <v>2</v>
      </c>
      <c r="Q886">
        <v>2</v>
      </c>
      <c r="R886" t="s">
        <v>41</v>
      </c>
      <c r="S886">
        <v>2</v>
      </c>
      <c r="T886" t="s">
        <v>53</v>
      </c>
      <c r="U886">
        <v>6852</v>
      </c>
      <c r="V886" t="str" cm="1">
        <f t="array" ref="V88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86">
        <v>11591</v>
      </c>
      <c r="X886">
        <v>7</v>
      </c>
      <c r="Y886" t="s">
        <v>43</v>
      </c>
      <c r="Z886" t="s">
        <v>44</v>
      </c>
      <c r="AA886">
        <v>12</v>
      </c>
      <c r="AB886">
        <v>3</v>
      </c>
      <c r="AC886">
        <v>2</v>
      </c>
      <c r="AD886">
        <v>80</v>
      </c>
      <c r="AE886">
        <v>1</v>
      </c>
      <c r="AF886">
        <v>7</v>
      </c>
      <c r="AG886">
        <v>2</v>
      </c>
      <c r="AH886">
        <v>4</v>
      </c>
      <c r="AI886">
        <v>5</v>
      </c>
      <c r="AJ886">
        <v>1</v>
      </c>
      <c r="AK886">
        <v>1</v>
      </c>
      <c r="AL886" t="str" cm="1">
        <f t="array" ref="AL88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86">
        <v>3</v>
      </c>
    </row>
    <row r="887" spans="1:39" x14ac:dyDescent="0.25">
      <c r="A887">
        <v>25</v>
      </c>
      <c r="B887" t="s">
        <v>44</v>
      </c>
      <c r="C887" t="s">
        <v>37</v>
      </c>
      <c r="D887">
        <v>1356</v>
      </c>
      <c r="E887" t="s">
        <v>38</v>
      </c>
      <c r="G887">
        <v>10</v>
      </c>
      <c r="H887">
        <v>4</v>
      </c>
      <c r="I887" t="s">
        <v>39</v>
      </c>
      <c r="J887" t="str">
        <f>WA_Fn_UseC__HR_Employee_Attrition[[#This Row],[EducationField]]&amp;"-"&amp;WA_Fn_UseC__HR_Employee_Attrition[[#This Row],[Department]]</f>
        <v>Life Sciences-Sales</v>
      </c>
      <c r="K887">
        <v>1</v>
      </c>
      <c r="L887">
        <v>1240</v>
      </c>
      <c r="M887">
        <v>3</v>
      </c>
      <c r="N887" t="s">
        <v>47</v>
      </c>
      <c r="O887">
        <v>57</v>
      </c>
      <c r="P887">
        <v>3</v>
      </c>
      <c r="Q887">
        <v>2</v>
      </c>
      <c r="R887" t="s">
        <v>41</v>
      </c>
      <c r="S887">
        <v>4</v>
      </c>
      <c r="T887" t="s">
        <v>42</v>
      </c>
      <c r="U887">
        <v>4950</v>
      </c>
      <c r="V887" t="str" cm="1">
        <f t="array" ref="V88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87">
        <v>20623</v>
      </c>
      <c r="X887">
        <v>0</v>
      </c>
      <c r="Y887" t="s">
        <v>43</v>
      </c>
      <c r="Z887" t="s">
        <v>44</v>
      </c>
      <c r="AA887">
        <v>14</v>
      </c>
      <c r="AB887">
        <v>3</v>
      </c>
      <c r="AC887">
        <v>2</v>
      </c>
      <c r="AD887">
        <v>80</v>
      </c>
      <c r="AE887">
        <v>0</v>
      </c>
      <c r="AF887">
        <v>5</v>
      </c>
      <c r="AG887">
        <v>4</v>
      </c>
      <c r="AH887">
        <v>3</v>
      </c>
      <c r="AI887">
        <v>4</v>
      </c>
      <c r="AJ887">
        <v>3</v>
      </c>
      <c r="AK887">
        <v>1</v>
      </c>
      <c r="AL887" t="str" cm="1">
        <f t="array" ref="AL88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87">
        <v>1</v>
      </c>
    </row>
    <row r="888" spans="1:39" x14ac:dyDescent="0.25">
      <c r="A888">
        <v>30</v>
      </c>
      <c r="B888" t="s">
        <v>44</v>
      </c>
      <c r="C888" t="s">
        <v>37</v>
      </c>
      <c r="D888">
        <v>1465</v>
      </c>
      <c r="E888" t="s">
        <v>46</v>
      </c>
      <c r="G888">
        <v>1</v>
      </c>
      <c r="H888">
        <v>3</v>
      </c>
      <c r="I888" t="s">
        <v>52</v>
      </c>
      <c r="J888" t="str">
        <f>WA_Fn_UseC__HR_Employee_Attrition[[#This Row],[EducationField]]&amp;"-"&amp;WA_Fn_UseC__HR_Employee_Attrition[[#This Row],[Department]]</f>
        <v>Medical-Research &amp; Development</v>
      </c>
      <c r="K888">
        <v>1</v>
      </c>
      <c r="L888">
        <v>1241</v>
      </c>
      <c r="M888">
        <v>4</v>
      </c>
      <c r="N888" t="s">
        <v>47</v>
      </c>
      <c r="O888">
        <v>63</v>
      </c>
      <c r="P888">
        <v>3</v>
      </c>
      <c r="Q888">
        <v>1</v>
      </c>
      <c r="R888" t="s">
        <v>48</v>
      </c>
      <c r="S888">
        <v>2</v>
      </c>
      <c r="T888" t="s">
        <v>49</v>
      </c>
      <c r="U888">
        <v>3579</v>
      </c>
      <c r="V888" t="str" cm="1">
        <f t="array" ref="V88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88">
        <v>9369</v>
      </c>
      <c r="X888">
        <v>0</v>
      </c>
      <c r="Y888" t="s">
        <v>43</v>
      </c>
      <c r="Z888" t="s">
        <v>36</v>
      </c>
      <c r="AA888">
        <v>21</v>
      </c>
      <c r="AB888">
        <v>4</v>
      </c>
      <c r="AC888">
        <v>1</v>
      </c>
      <c r="AD888">
        <v>80</v>
      </c>
      <c r="AE888">
        <v>1</v>
      </c>
      <c r="AF888">
        <v>12</v>
      </c>
      <c r="AG888">
        <v>2</v>
      </c>
      <c r="AH888">
        <v>3</v>
      </c>
      <c r="AI888">
        <v>11</v>
      </c>
      <c r="AJ888">
        <v>9</v>
      </c>
      <c r="AK888">
        <v>5</v>
      </c>
      <c r="AL888" t="str" cm="1">
        <f t="array" ref="AL88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88">
        <v>7</v>
      </c>
    </row>
    <row r="889" spans="1:39" x14ac:dyDescent="0.25">
      <c r="A889">
        <v>42</v>
      </c>
      <c r="B889" t="s">
        <v>44</v>
      </c>
      <c r="C889" t="s">
        <v>45</v>
      </c>
      <c r="D889">
        <v>458</v>
      </c>
      <c r="E889" t="s">
        <v>46</v>
      </c>
      <c r="G889">
        <v>26</v>
      </c>
      <c r="H889">
        <v>5</v>
      </c>
      <c r="I889" t="s">
        <v>52</v>
      </c>
      <c r="J889" t="str">
        <f>WA_Fn_UseC__HR_Employee_Attrition[[#This Row],[EducationField]]&amp;"-"&amp;WA_Fn_UseC__HR_Employee_Attrition[[#This Row],[Department]]</f>
        <v>Medical-Research &amp; Development</v>
      </c>
      <c r="K889">
        <v>1</v>
      </c>
      <c r="L889">
        <v>1242</v>
      </c>
      <c r="M889">
        <v>1</v>
      </c>
      <c r="N889" t="s">
        <v>40</v>
      </c>
      <c r="O889">
        <v>60</v>
      </c>
      <c r="P889">
        <v>3</v>
      </c>
      <c r="Q889">
        <v>3</v>
      </c>
      <c r="R889" t="s">
        <v>59</v>
      </c>
      <c r="S889">
        <v>1</v>
      </c>
      <c r="T889" t="s">
        <v>49</v>
      </c>
      <c r="U889">
        <v>13191</v>
      </c>
      <c r="V889" t="str" cm="1">
        <f t="array" ref="V88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89">
        <v>23281</v>
      </c>
      <c r="X889">
        <v>3</v>
      </c>
      <c r="Y889" t="s">
        <v>43</v>
      </c>
      <c r="Z889" t="s">
        <v>36</v>
      </c>
      <c r="AA889">
        <v>17</v>
      </c>
      <c r="AB889">
        <v>3</v>
      </c>
      <c r="AC889">
        <v>3</v>
      </c>
      <c r="AD889">
        <v>80</v>
      </c>
      <c r="AE889">
        <v>0</v>
      </c>
      <c r="AF889">
        <v>20</v>
      </c>
      <c r="AG889">
        <v>6</v>
      </c>
      <c r="AH889">
        <v>3</v>
      </c>
      <c r="AI889">
        <v>1</v>
      </c>
      <c r="AJ889">
        <v>0</v>
      </c>
      <c r="AK889">
        <v>0</v>
      </c>
      <c r="AL889" t="str" cm="1">
        <f t="array" ref="AL88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89">
        <v>0</v>
      </c>
    </row>
    <row r="890" spans="1:39" x14ac:dyDescent="0.25">
      <c r="A890">
        <v>35</v>
      </c>
      <c r="B890" t="s">
        <v>44</v>
      </c>
      <c r="C890" t="s">
        <v>56</v>
      </c>
      <c r="D890">
        <v>1212</v>
      </c>
      <c r="E890" t="s">
        <v>38</v>
      </c>
      <c r="G890">
        <v>8</v>
      </c>
      <c r="H890">
        <v>2</v>
      </c>
      <c r="I890" t="s">
        <v>60</v>
      </c>
      <c r="J890" t="str">
        <f>WA_Fn_UseC__HR_Employee_Attrition[[#This Row],[EducationField]]&amp;"-"&amp;WA_Fn_UseC__HR_Employee_Attrition[[#This Row],[Department]]</f>
        <v>Marketing-Sales</v>
      </c>
      <c r="K890">
        <v>1</v>
      </c>
      <c r="L890">
        <v>1243</v>
      </c>
      <c r="M890">
        <v>3</v>
      </c>
      <c r="N890" t="s">
        <v>40</v>
      </c>
      <c r="O890">
        <v>78</v>
      </c>
      <c r="P890">
        <v>2</v>
      </c>
      <c r="Q890">
        <v>3</v>
      </c>
      <c r="R890" t="s">
        <v>41</v>
      </c>
      <c r="S890">
        <v>4</v>
      </c>
      <c r="T890" t="s">
        <v>49</v>
      </c>
      <c r="U890">
        <v>10377</v>
      </c>
      <c r="V890" t="str" cm="1">
        <f t="array" ref="V89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90">
        <v>13755</v>
      </c>
      <c r="X890">
        <v>4</v>
      </c>
      <c r="Y890" t="s">
        <v>43</v>
      </c>
      <c r="Z890" t="s">
        <v>36</v>
      </c>
      <c r="AA890">
        <v>11</v>
      </c>
      <c r="AB890">
        <v>3</v>
      </c>
      <c r="AC890">
        <v>2</v>
      </c>
      <c r="AD890">
        <v>80</v>
      </c>
      <c r="AE890">
        <v>1</v>
      </c>
      <c r="AF890">
        <v>16</v>
      </c>
      <c r="AG890">
        <v>6</v>
      </c>
      <c r="AH890">
        <v>2</v>
      </c>
      <c r="AI890">
        <v>13</v>
      </c>
      <c r="AJ890">
        <v>2</v>
      </c>
      <c r="AK890">
        <v>4</v>
      </c>
      <c r="AL890" t="str" cm="1">
        <f t="array" ref="AL89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90">
        <v>12</v>
      </c>
    </row>
    <row r="891" spans="1:39" x14ac:dyDescent="0.25">
      <c r="A891">
        <v>27</v>
      </c>
      <c r="B891" t="s">
        <v>44</v>
      </c>
      <c r="C891" t="s">
        <v>37</v>
      </c>
      <c r="D891">
        <v>1103</v>
      </c>
      <c r="E891" t="s">
        <v>46</v>
      </c>
      <c r="G891">
        <v>14</v>
      </c>
      <c r="H891">
        <v>3</v>
      </c>
      <c r="I891" t="s">
        <v>39</v>
      </c>
      <c r="J891" t="str">
        <f>WA_Fn_UseC__HR_Employee_Attrition[[#This Row],[EducationField]]&amp;"-"&amp;WA_Fn_UseC__HR_Employee_Attrition[[#This Row],[Department]]</f>
        <v>Life Sciences-Research &amp; Development</v>
      </c>
      <c r="K891">
        <v>1</v>
      </c>
      <c r="L891">
        <v>1244</v>
      </c>
      <c r="M891">
        <v>1</v>
      </c>
      <c r="N891" t="s">
        <v>47</v>
      </c>
      <c r="O891">
        <v>42</v>
      </c>
      <c r="P891">
        <v>3</v>
      </c>
      <c r="Q891">
        <v>1</v>
      </c>
      <c r="R891" t="s">
        <v>48</v>
      </c>
      <c r="S891">
        <v>1</v>
      </c>
      <c r="T891" t="s">
        <v>49</v>
      </c>
      <c r="U891">
        <v>2235</v>
      </c>
      <c r="V891" t="str" cm="1">
        <f t="array" ref="V89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91">
        <v>14377</v>
      </c>
      <c r="X891">
        <v>1</v>
      </c>
      <c r="Y891" t="s">
        <v>43</v>
      </c>
      <c r="Z891" t="s">
        <v>36</v>
      </c>
      <c r="AA891">
        <v>14</v>
      </c>
      <c r="AB891">
        <v>3</v>
      </c>
      <c r="AC891">
        <v>4</v>
      </c>
      <c r="AD891">
        <v>80</v>
      </c>
      <c r="AE891">
        <v>2</v>
      </c>
      <c r="AF891">
        <v>9</v>
      </c>
      <c r="AG891">
        <v>3</v>
      </c>
      <c r="AH891">
        <v>2</v>
      </c>
      <c r="AI891">
        <v>9</v>
      </c>
      <c r="AJ891">
        <v>7</v>
      </c>
      <c r="AK891">
        <v>6</v>
      </c>
      <c r="AL891" t="str" cm="1">
        <f t="array" ref="AL89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91">
        <v>8</v>
      </c>
    </row>
    <row r="892" spans="1:39" x14ac:dyDescent="0.25">
      <c r="A892">
        <v>54</v>
      </c>
      <c r="B892" t="s">
        <v>44</v>
      </c>
      <c r="C892" t="s">
        <v>45</v>
      </c>
      <c r="D892">
        <v>966</v>
      </c>
      <c r="E892" t="s">
        <v>46</v>
      </c>
      <c r="G892">
        <v>1</v>
      </c>
      <c r="H892">
        <v>4</v>
      </c>
      <c r="I892" t="s">
        <v>39</v>
      </c>
      <c r="J892" t="str">
        <f>WA_Fn_UseC__HR_Employee_Attrition[[#This Row],[EducationField]]&amp;"-"&amp;WA_Fn_UseC__HR_Employee_Attrition[[#This Row],[Department]]</f>
        <v>Life Sciences-Research &amp; Development</v>
      </c>
      <c r="K892">
        <v>1</v>
      </c>
      <c r="L892">
        <v>1245</v>
      </c>
      <c r="M892">
        <v>4</v>
      </c>
      <c r="N892" t="s">
        <v>40</v>
      </c>
      <c r="O892">
        <v>53</v>
      </c>
      <c r="P892">
        <v>3</v>
      </c>
      <c r="Q892">
        <v>3</v>
      </c>
      <c r="R892" t="s">
        <v>54</v>
      </c>
      <c r="S892">
        <v>3</v>
      </c>
      <c r="T892" t="s">
        <v>53</v>
      </c>
      <c r="U892">
        <v>10502</v>
      </c>
      <c r="V892" t="str" cm="1">
        <f t="array" ref="V89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92">
        <v>9659</v>
      </c>
      <c r="X892">
        <v>7</v>
      </c>
      <c r="Y892" t="s">
        <v>43</v>
      </c>
      <c r="Z892" t="s">
        <v>44</v>
      </c>
      <c r="AA892">
        <v>17</v>
      </c>
      <c r="AB892">
        <v>3</v>
      </c>
      <c r="AC892">
        <v>1</v>
      </c>
      <c r="AD892">
        <v>80</v>
      </c>
      <c r="AE892">
        <v>1</v>
      </c>
      <c r="AF892">
        <v>33</v>
      </c>
      <c r="AG892">
        <v>2</v>
      </c>
      <c r="AH892">
        <v>1</v>
      </c>
      <c r="AI892">
        <v>5</v>
      </c>
      <c r="AJ892">
        <v>4</v>
      </c>
      <c r="AK892">
        <v>1</v>
      </c>
      <c r="AL892" t="str" cm="1">
        <f t="array" ref="AL89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92">
        <v>4</v>
      </c>
    </row>
    <row r="893" spans="1:39" x14ac:dyDescent="0.25">
      <c r="A893">
        <v>44</v>
      </c>
      <c r="B893" t="s">
        <v>44</v>
      </c>
      <c r="C893" t="s">
        <v>37</v>
      </c>
      <c r="D893">
        <v>1117</v>
      </c>
      <c r="E893" t="s">
        <v>46</v>
      </c>
      <c r="G893">
        <v>2</v>
      </c>
      <c r="H893">
        <v>1</v>
      </c>
      <c r="I893" t="s">
        <v>39</v>
      </c>
      <c r="J893" t="str">
        <f>WA_Fn_UseC__HR_Employee_Attrition[[#This Row],[EducationField]]&amp;"-"&amp;WA_Fn_UseC__HR_Employee_Attrition[[#This Row],[Department]]</f>
        <v>Life Sciences-Research &amp; Development</v>
      </c>
      <c r="K893">
        <v>1</v>
      </c>
      <c r="L893">
        <v>1246</v>
      </c>
      <c r="M893">
        <v>1</v>
      </c>
      <c r="N893" t="s">
        <v>40</v>
      </c>
      <c r="O893">
        <v>72</v>
      </c>
      <c r="P893">
        <v>4</v>
      </c>
      <c r="Q893">
        <v>1</v>
      </c>
      <c r="R893" t="s">
        <v>48</v>
      </c>
      <c r="S893">
        <v>4</v>
      </c>
      <c r="T893" t="s">
        <v>49</v>
      </c>
      <c r="U893">
        <v>2011</v>
      </c>
      <c r="V893" t="str" cm="1">
        <f t="array" ref="V89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93">
        <v>19982</v>
      </c>
      <c r="X893">
        <v>1</v>
      </c>
      <c r="Y893" t="s">
        <v>43</v>
      </c>
      <c r="Z893" t="s">
        <v>44</v>
      </c>
      <c r="AA893">
        <v>13</v>
      </c>
      <c r="AB893">
        <v>3</v>
      </c>
      <c r="AC893">
        <v>4</v>
      </c>
      <c r="AD893">
        <v>80</v>
      </c>
      <c r="AE893">
        <v>1</v>
      </c>
      <c r="AF893">
        <v>10</v>
      </c>
      <c r="AG893">
        <v>5</v>
      </c>
      <c r="AH893">
        <v>3</v>
      </c>
      <c r="AI893">
        <v>10</v>
      </c>
      <c r="AJ893">
        <v>5</v>
      </c>
      <c r="AK893">
        <v>7</v>
      </c>
      <c r="AL893" t="str" cm="1">
        <f t="array" ref="AL89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93">
        <v>7</v>
      </c>
    </row>
    <row r="894" spans="1:39" x14ac:dyDescent="0.25">
      <c r="A894">
        <v>19</v>
      </c>
      <c r="B894" t="s">
        <v>36</v>
      </c>
      <c r="C894" t="s">
        <v>56</v>
      </c>
      <c r="D894">
        <v>504</v>
      </c>
      <c r="E894" t="s">
        <v>46</v>
      </c>
      <c r="G894">
        <v>10</v>
      </c>
      <c r="H894">
        <v>3</v>
      </c>
      <c r="I894" t="s">
        <v>52</v>
      </c>
      <c r="J894" t="str">
        <f>WA_Fn_UseC__HR_Employee_Attrition[[#This Row],[EducationField]]&amp;"-"&amp;WA_Fn_UseC__HR_Employee_Attrition[[#This Row],[Department]]</f>
        <v>Medical-Research &amp; Development</v>
      </c>
      <c r="K894">
        <v>1</v>
      </c>
      <c r="L894">
        <v>1248</v>
      </c>
      <c r="M894">
        <v>1</v>
      </c>
      <c r="N894" t="s">
        <v>40</v>
      </c>
      <c r="O894">
        <v>96</v>
      </c>
      <c r="P894">
        <v>2</v>
      </c>
      <c r="Q894">
        <v>1</v>
      </c>
      <c r="R894" t="s">
        <v>48</v>
      </c>
      <c r="S894">
        <v>2</v>
      </c>
      <c r="T894" t="s">
        <v>42</v>
      </c>
      <c r="U894">
        <v>1859</v>
      </c>
      <c r="V894" t="str" cm="1">
        <f t="array" ref="V89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894">
        <v>6148</v>
      </c>
      <c r="X894">
        <v>1</v>
      </c>
      <c r="Y894" t="s">
        <v>43</v>
      </c>
      <c r="Z894" t="s">
        <v>36</v>
      </c>
      <c r="AA894">
        <v>25</v>
      </c>
      <c r="AB894">
        <v>4</v>
      </c>
      <c r="AC894">
        <v>2</v>
      </c>
      <c r="AD894">
        <v>80</v>
      </c>
      <c r="AE894">
        <v>0</v>
      </c>
      <c r="AF894">
        <v>1</v>
      </c>
      <c r="AG894">
        <v>2</v>
      </c>
      <c r="AH894">
        <v>4</v>
      </c>
      <c r="AI894">
        <v>1</v>
      </c>
      <c r="AJ894">
        <v>1</v>
      </c>
      <c r="AK894">
        <v>0</v>
      </c>
      <c r="AL894" t="str" cm="1">
        <f t="array" ref="AL89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894">
        <v>0</v>
      </c>
    </row>
    <row r="895" spans="1:39" x14ac:dyDescent="0.25">
      <c r="A895">
        <v>29</v>
      </c>
      <c r="B895" t="s">
        <v>44</v>
      </c>
      <c r="C895" t="s">
        <v>37</v>
      </c>
      <c r="D895">
        <v>1010</v>
      </c>
      <c r="E895" t="s">
        <v>46</v>
      </c>
      <c r="G895">
        <v>1</v>
      </c>
      <c r="H895">
        <v>3</v>
      </c>
      <c r="I895" t="s">
        <v>39</v>
      </c>
      <c r="J895" t="str">
        <f>WA_Fn_UseC__HR_Employee_Attrition[[#This Row],[EducationField]]&amp;"-"&amp;WA_Fn_UseC__HR_Employee_Attrition[[#This Row],[Department]]</f>
        <v>Life Sciences-Research &amp; Development</v>
      </c>
      <c r="K895">
        <v>1</v>
      </c>
      <c r="L895">
        <v>1249</v>
      </c>
      <c r="M895">
        <v>1</v>
      </c>
      <c r="N895" t="s">
        <v>40</v>
      </c>
      <c r="O895">
        <v>97</v>
      </c>
      <c r="P895">
        <v>3</v>
      </c>
      <c r="Q895">
        <v>1</v>
      </c>
      <c r="R895" t="s">
        <v>48</v>
      </c>
      <c r="S895">
        <v>4</v>
      </c>
      <c r="T895" t="s">
        <v>53</v>
      </c>
      <c r="U895">
        <v>3760</v>
      </c>
      <c r="V895" t="str" cm="1">
        <f t="array" ref="V89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95">
        <v>5598</v>
      </c>
      <c r="X895">
        <v>1</v>
      </c>
      <c r="Y895" t="s">
        <v>43</v>
      </c>
      <c r="Z895" t="s">
        <v>44</v>
      </c>
      <c r="AA895">
        <v>15</v>
      </c>
      <c r="AB895">
        <v>3</v>
      </c>
      <c r="AC895">
        <v>1</v>
      </c>
      <c r="AD895">
        <v>80</v>
      </c>
      <c r="AE895">
        <v>3</v>
      </c>
      <c r="AF895">
        <v>3</v>
      </c>
      <c r="AG895">
        <v>5</v>
      </c>
      <c r="AH895">
        <v>3</v>
      </c>
      <c r="AI895">
        <v>3</v>
      </c>
      <c r="AJ895">
        <v>2</v>
      </c>
      <c r="AK895">
        <v>1</v>
      </c>
      <c r="AL895" t="str" cm="1">
        <f t="array" ref="AL89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95">
        <v>2</v>
      </c>
    </row>
    <row r="896" spans="1:39" x14ac:dyDescent="0.25">
      <c r="A896">
        <v>54</v>
      </c>
      <c r="B896" t="s">
        <v>44</v>
      </c>
      <c r="C896" t="s">
        <v>37</v>
      </c>
      <c r="D896">
        <v>685</v>
      </c>
      <c r="E896" t="s">
        <v>46</v>
      </c>
      <c r="G896">
        <v>3</v>
      </c>
      <c r="H896">
        <v>3</v>
      </c>
      <c r="I896" t="s">
        <v>39</v>
      </c>
      <c r="J896" t="str">
        <f>WA_Fn_UseC__HR_Employee_Attrition[[#This Row],[EducationField]]&amp;"-"&amp;WA_Fn_UseC__HR_Employee_Attrition[[#This Row],[Department]]</f>
        <v>Life Sciences-Research &amp; Development</v>
      </c>
      <c r="K896">
        <v>1</v>
      </c>
      <c r="L896">
        <v>1250</v>
      </c>
      <c r="M896">
        <v>4</v>
      </c>
      <c r="N896" t="s">
        <v>47</v>
      </c>
      <c r="O896">
        <v>85</v>
      </c>
      <c r="P896">
        <v>3</v>
      </c>
      <c r="Q896">
        <v>4</v>
      </c>
      <c r="R896" t="s">
        <v>59</v>
      </c>
      <c r="S896">
        <v>4</v>
      </c>
      <c r="T896" t="s">
        <v>49</v>
      </c>
      <c r="U896">
        <v>17779</v>
      </c>
      <c r="V896" t="str" cm="1">
        <f t="array" ref="V89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96">
        <v>23474</v>
      </c>
      <c r="X896">
        <v>3</v>
      </c>
      <c r="Y896" t="s">
        <v>43</v>
      </c>
      <c r="Z896" t="s">
        <v>44</v>
      </c>
      <c r="AA896">
        <v>14</v>
      </c>
      <c r="AB896">
        <v>3</v>
      </c>
      <c r="AC896">
        <v>1</v>
      </c>
      <c r="AD896">
        <v>80</v>
      </c>
      <c r="AE896">
        <v>0</v>
      </c>
      <c r="AF896">
        <v>36</v>
      </c>
      <c r="AG896">
        <v>2</v>
      </c>
      <c r="AH896">
        <v>3</v>
      </c>
      <c r="AI896">
        <v>10</v>
      </c>
      <c r="AJ896">
        <v>9</v>
      </c>
      <c r="AK896">
        <v>0</v>
      </c>
      <c r="AL896" t="str" cm="1">
        <f t="array" ref="AL89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96">
        <v>9</v>
      </c>
    </row>
    <row r="897" spans="1:39" x14ac:dyDescent="0.25">
      <c r="A897">
        <v>31</v>
      </c>
      <c r="B897" t="s">
        <v>44</v>
      </c>
      <c r="C897" t="s">
        <v>37</v>
      </c>
      <c r="D897">
        <v>1332</v>
      </c>
      <c r="E897" t="s">
        <v>46</v>
      </c>
      <c r="G897">
        <v>11</v>
      </c>
      <c r="H897">
        <v>2</v>
      </c>
      <c r="I897" t="s">
        <v>52</v>
      </c>
      <c r="J897" t="str">
        <f>WA_Fn_UseC__HR_Employee_Attrition[[#This Row],[EducationField]]&amp;"-"&amp;WA_Fn_UseC__HR_Employee_Attrition[[#This Row],[Department]]</f>
        <v>Medical-Research &amp; Development</v>
      </c>
      <c r="K897">
        <v>1</v>
      </c>
      <c r="L897">
        <v>1251</v>
      </c>
      <c r="M897">
        <v>3</v>
      </c>
      <c r="N897" t="s">
        <v>47</v>
      </c>
      <c r="O897">
        <v>80</v>
      </c>
      <c r="P897">
        <v>3</v>
      </c>
      <c r="Q897">
        <v>2</v>
      </c>
      <c r="R897" t="s">
        <v>55</v>
      </c>
      <c r="S897">
        <v>1</v>
      </c>
      <c r="T897" t="s">
        <v>49</v>
      </c>
      <c r="U897">
        <v>6833</v>
      </c>
      <c r="V897" t="str" cm="1">
        <f t="array" ref="V89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97">
        <v>17089</v>
      </c>
      <c r="X897">
        <v>1</v>
      </c>
      <c r="Y897" t="s">
        <v>43</v>
      </c>
      <c r="Z897" t="s">
        <v>36</v>
      </c>
      <c r="AA897">
        <v>12</v>
      </c>
      <c r="AB897">
        <v>3</v>
      </c>
      <c r="AC897">
        <v>4</v>
      </c>
      <c r="AD897">
        <v>80</v>
      </c>
      <c r="AE897">
        <v>0</v>
      </c>
      <c r="AF897">
        <v>6</v>
      </c>
      <c r="AG897">
        <v>2</v>
      </c>
      <c r="AH897">
        <v>2</v>
      </c>
      <c r="AI897">
        <v>6</v>
      </c>
      <c r="AJ897">
        <v>5</v>
      </c>
      <c r="AK897">
        <v>0</v>
      </c>
      <c r="AL897" t="str" cm="1">
        <f t="array" ref="AL89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97">
        <v>1</v>
      </c>
    </row>
    <row r="898" spans="1:39" x14ac:dyDescent="0.25">
      <c r="A898">
        <v>31</v>
      </c>
      <c r="B898" t="s">
        <v>44</v>
      </c>
      <c r="C898" t="s">
        <v>37</v>
      </c>
      <c r="D898">
        <v>1062</v>
      </c>
      <c r="E898" t="s">
        <v>46</v>
      </c>
      <c r="G898">
        <v>24</v>
      </c>
      <c r="H898">
        <v>3</v>
      </c>
      <c r="I898" t="s">
        <v>52</v>
      </c>
      <c r="J898" t="str">
        <f>WA_Fn_UseC__HR_Employee_Attrition[[#This Row],[EducationField]]&amp;"-"&amp;WA_Fn_UseC__HR_Employee_Attrition[[#This Row],[Department]]</f>
        <v>Medical-Research &amp; Development</v>
      </c>
      <c r="K898">
        <v>1</v>
      </c>
      <c r="L898">
        <v>1252</v>
      </c>
      <c r="M898">
        <v>3</v>
      </c>
      <c r="N898" t="s">
        <v>40</v>
      </c>
      <c r="O898">
        <v>96</v>
      </c>
      <c r="P898">
        <v>2</v>
      </c>
      <c r="Q898">
        <v>2</v>
      </c>
      <c r="R898" t="s">
        <v>55</v>
      </c>
      <c r="S898">
        <v>1</v>
      </c>
      <c r="T898" t="s">
        <v>42</v>
      </c>
      <c r="U898">
        <v>6812</v>
      </c>
      <c r="V898" t="str" cm="1">
        <f t="array" ref="V89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898">
        <v>17198</v>
      </c>
      <c r="X898">
        <v>1</v>
      </c>
      <c r="Y898" t="s">
        <v>43</v>
      </c>
      <c r="Z898" t="s">
        <v>44</v>
      </c>
      <c r="AA898">
        <v>19</v>
      </c>
      <c r="AB898">
        <v>3</v>
      </c>
      <c r="AC898">
        <v>2</v>
      </c>
      <c r="AD898">
        <v>80</v>
      </c>
      <c r="AE898">
        <v>0</v>
      </c>
      <c r="AF898">
        <v>10</v>
      </c>
      <c r="AG898">
        <v>2</v>
      </c>
      <c r="AH898">
        <v>3</v>
      </c>
      <c r="AI898">
        <v>10</v>
      </c>
      <c r="AJ898">
        <v>9</v>
      </c>
      <c r="AK898">
        <v>1</v>
      </c>
      <c r="AL898" t="str" cm="1">
        <f t="array" ref="AL89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898">
        <v>8</v>
      </c>
    </row>
    <row r="899" spans="1:39" x14ac:dyDescent="0.25">
      <c r="A899">
        <v>59</v>
      </c>
      <c r="B899" t="s">
        <v>44</v>
      </c>
      <c r="C899" t="s">
        <v>37</v>
      </c>
      <c r="D899">
        <v>326</v>
      </c>
      <c r="E899" t="s">
        <v>38</v>
      </c>
      <c r="G899">
        <v>3</v>
      </c>
      <c r="H899">
        <v>3</v>
      </c>
      <c r="I899" t="s">
        <v>39</v>
      </c>
      <c r="J899" t="str">
        <f>WA_Fn_UseC__HR_Employee_Attrition[[#This Row],[EducationField]]&amp;"-"&amp;WA_Fn_UseC__HR_Employee_Attrition[[#This Row],[Department]]</f>
        <v>Life Sciences-Sales</v>
      </c>
      <c r="K899">
        <v>1</v>
      </c>
      <c r="L899">
        <v>1254</v>
      </c>
      <c r="M899">
        <v>3</v>
      </c>
      <c r="N899" t="s">
        <v>40</v>
      </c>
      <c r="O899">
        <v>48</v>
      </c>
      <c r="P899">
        <v>2</v>
      </c>
      <c r="Q899">
        <v>2</v>
      </c>
      <c r="R899" t="s">
        <v>41</v>
      </c>
      <c r="S899">
        <v>4</v>
      </c>
      <c r="T899" t="s">
        <v>42</v>
      </c>
      <c r="U899">
        <v>5171</v>
      </c>
      <c r="V899" t="str" cm="1">
        <f t="array" ref="V89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899">
        <v>16490</v>
      </c>
      <c r="X899">
        <v>5</v>
      </c>
      <c r="Y899" t="s">
        <v>43</v>
      </c>
      <c r="Z899" t="s">
        <v>44</v>
      </c>
      <c r="AA899">
        <v>17</v>
      </c>
      <c r="AB899">
        <v>3</v>
      </c>
      <c r="AC899">
        <v>4</v>
      </c>
      <c r="AD899">
        <v>80</v>
      </c>
      <c r="AE899">
        <v>0</v>
      </c>
      <c r="AF899">
        <v>13</v>
      </c>
      <c r="AG899">
        <v>2</v>
      </c>
      <c r="AH899">
        <v>3</v>
      </c>
      <c r="AI899">
        <v>6</v>
      </c>
      <c r="AJ899">
        <v>1</v>
      </c>
      <c r="AK899">
        <v>0</v>
      </c>
      <c r="AL899" t="str" cm="1">
        <f t="array" ref="AL89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899">
        <v>5</v>
      </c>
    </row>
    <row r="900" spans="1:39" x14ac:dyDescent="0.25">
      <c r="A900">
        <v>43</v>
      </c>
      <c r="B900" t="s">
        <v>44</v>
      </c>
      <c r="C900" t="s">
        <v>37</v>
      </c>
      <c r="D900">
        <v>920</v>
      </c>
      <c r="E900" t="s">
        <v>46</v>
      </c>
      <c r="G900">
        <v>3</v>
      </c>
      <c r="H900">
        <v>3</v>
      </c>
      <c r="I900" t="s">
        <v>39</v>
      </c>
      <c r="J900" t="str">
        <f>WA_Fn_UseC__HR_Employee_Attrition[[#This Row],[EducationField]]&amp;"-"&amp;WA_Fn_UseC__HR_Employee_Attrition[[#This Row],[Department]]</f>
        <v>Life Sciences-Research &amp; Development</v>
      </c>
      <c r="K900">
        <v>1</v>
      </c>
      <c r="L900">
        <v>1255</v>
      </c>
      <c r="M900">
        <v>3</v>
      </c>
      <c r="N900" t="s">
        <v>47</v>
      </c>
      <c r="O900">
        <v>96</v>
      </c>
      <c r="P900">
        <v>1</v>
      </c>
      <c r="Q900">
        <v>5</v>
      </c>
      <c r="R900" t="s">
        <v>59</v>
      </c>
      <c r="S900">
        <v>4</v>
      </c>
      <c r="T900" t="s">
        <v>49</v>
      </c>
      <c r="U900">
        <v>19740</v>
      </c>
      <c r="V900" t="str" cm="1">
        <f t="array" ref="V90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00">
        <v>18625</v>
      </c>
      <c r="X900">
        <v>3</v>
      </c>
      <c r="Y900" t="s">
        <v>43</v>
      </c>
      <c r="Z900" t="s">
        <v>44</v>
      </c>
      <c r="AA900">
        <v>14</v>
      </c>
      <c r="AB900">
        <v>3</v>
      </c>
      <c r="AC900">
        <v>2</v>
      </c>
      <c r="AD900">
        <v>80</v>
      </c>
      <c r="AE900">
        <v>1</v>
      </c>
      <c r="AF900">
        <v>25</v>
      </c>
      <c r="AG900">
        <v>2</v>
      </c>
      <c r="AH900">
        <v>3</v>
      </c>
      <c r="AI900">
        <v>8</v>
      </c>
      <c r="AJ900">
        <v>7</v>
      </c>
      <c r="AK900">
        <v>0</v>
      </c>
      <c r="AL900" t="str" cm="1">
        <f t="array" ref="AL90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00">
        <v>7</v>
      </c>
    </row>
    <row r="901" spans="1:39" x14ac:dyDescent="0.25">
      <c r="A901">
        <v>49</v>
      </c>
      <c r="B901" t="s">
        <v>44</v>
      </c>
      <c r="C901" t="s">
        <v>37</v>
      </c>
      <c r="D901">
        <v>1098</v>
      </c>
      <c r="E901" t="s">
        <v>46</v>
      </c>
      <c r="G901">
        <v>4</v>
      </c>
      <c r="H901">
        <v>2</v>
      </c>
      <c r="I901" t="s">
        <v>52</v>
      </c>
      <c r="J901" t="str">
        <f>WA_Fn_UseC__HR_Employee_Attrition[[#This Row],[EducationField]]&amp;"-"&amp;WA_Fn_UseC__HR_Employee_Attrition[[#This Row],[Department]]</f>
        <v>Medical-Research &amp; Development</v>
      </c>
      <c r="K901">
        <v>1</v>
      </c>
      <c r="L901">
        <v>1256</v>
      </c>
      <c r="M901">
        <v>1</v>
      </c>
      <c r="N901" t="s">
        <v>47</v>
      </c>
      <c r="O901">
        <v>85</v>
      </c>
      <c r="P901">
        <v>2</v>
      </c>
      <c r="Q901">
        <v>5</v>
      </c>
      <c r="R901" t="s">
        <v>57</v>
      </c>
      <c r="S901">
        <v>3</v>
      </c>
      <c r="T901" t="s">
        <v>49</v>
      </c>
      <c r="U901">
        <v>18711</v>
      </c>
      <c r="V901" t="str" cm="1">
        <f t="array" ref="V90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01">
        <v>12124</v>
      </c>
      <c r="X901">
        <v>2</v>
      </c>
      <c r="Y901" t="s">
        <v>43</v>
      </c>
      <c r="Z901" t="s">
        <v>44</v>
      </c>
      <c r="AA901">
        <v>13</v>
      </c>
      <c r="AB901">
        <v>3</v>
      </c>
      <c r="AC901">
        <v>3</v>
      </c>
      <c r="AD901">
        <v>80</v>
      </c>
      <c r="AE901">
        <v>1</v>
      </c>
      <c r="AF901">
        <v>23</v>
      </c>
      <c r="AG901">
        <v>2</v>
      </c>
      <c r="AH901">
        <v>4</v>
      </c>
      <c r="AI901">
        <v>1</v>
      </c>
      <c r="AJ901">
        <v>0</v>
      </c>
      <c r="AK901">
        <v>0</v>
      </c>
      <c r="AL901" t="str" cm="1">
        <f t="array" ref="AL90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01">
        <v>0</v>
      </c>
    </row>
    <row r="902" spans="1:39" x14ac:dyDescent="0.25">
      <c r="A902">
        <v>36</v>
      </c>
      <c r="B902" t="s">
        <v>44</v>
      </c>
      <c r="C902" t="s">
        <v>45</v>
      </c>
      <c r="D902">
        <v>469</v>
      </c>
      <c r="E902" t="s">
        <v>46</v>
      </c>
      <c r="G902">
        <v>3</v>
      </c>
      <c r="H902">
        <v>3</v>
      </c>
      <c r="I902" t="s">
        <v>61</v>
      </c>
      <c r="J902" t="str">
        <f>WA_Fn_UseC__HR_Employee_Attrition[[#This Row],[EducationField]]&amp;"-"&amp;WA_Fn_UseC__HR_Employee_Attrition[[#This Row],[Department]]</f>
        <v>Technical Degree-Research &amp; Development</v>
      </c>
      <c r="K902">
        <v>1</v>
      </c>
      <c r="L902">
        <v>1257</v>
      </c>
      <c r="M902">
        <v>3</v>
      </c>
      <c r="N902" t="s">
        <v>47</v>
      </c>
      <c r="O902">
        <v>46</v>
      </c>
      <c r="P902">
        <v>3</v>
      </c>
      <c r="Q902">
        <v>1</v>
      </c>
      <c r="R902" t="s">
        <v>48</v>
      </c>
      <c r="S902">
        <v>2</v>
      </c>
      <c r="T902" t="s">
        <v>49</v>
      </c>
      <c r="U902">
        <v>3692</v>
      </c>
      <c r="V902" t="str" cm="1">
        <f t="array" ref="V90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02">
        <v>9256</v>
      </c>
      <c r="X902">
        <v>1</v>
      </c>
      <c r="Y902" t="s">
        <v>43</v>
      </c>
      <c r="Z902" t="s">
        <v>44</v>
      </c>
      <c r="AA902">
        <v>12</v>
      </c>
      <c r="AB902">
        <v>3</v>
      </c>
      <c r="AC902">
        <v>3</v>
      </c>
      <c r="AD902">
        <v>80</v>
      </c>
      <c r="AE902">
        <v>0</v>
      </c>
      <c r="AF902">
        <v>12</v>
      </c>
      <c r="AG902">
        <v>2</v>
      </c>
      <c r="AH902">
        <v>2</v>
      </c>
      <c r="AI902">
        <v>11</v>
      </c>
      <c r="AJ902">
        <v>10</v>
      </c>
      <c r="AK902">
        <v>0</v>
      </c>
      <c r="AL902" t="str" cm="1">
        <f t="array" ref="AL90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02">
        <v>7</v>
      </c>
    </row>
    <row r="903" spans="1:39" x14ac:dyDescent="0.25">
      <c r="A903">
        <v>48</v>
      </c>
      <c r="B903" t="s">
        <v>44</v>
      </c>
      <c r="C903" t="s">
        <v>37</v>
      </c>
      <c r="D903">
        <v>969</v>
      </c>
      <c r="E903" t="s">
        <v>46</v>
      </c>
      <c r="G903">
        <v>2</v>
      </c>
      <c r="H903">
        <v>2</v>
      </c>
      <c r="I903" t="s">
        <v>61</v>
      </c>
      <c r="J903" t="str">
        <f>WA_Fn_UseC__HR_Employee_Attrition[[#This Row],[EducationField]]&amp;"-"&amp;WA_Fn_UseC__HR_Employee_Attrition[[#This Row],[Department]]</f>
        <v>Technical Degree-Research &amp; Development</v>
      </c>
      <c r="K903">
        <v>1</v>
      </c>
      <c r="L903">
        <v>1258</v>
      </c>
      <c r="M903">
        <v>4</v>
      </c>
      <c r="N903" t="s">
        <v>47</v>
      </c>
      <c r="O903">
        <v>76</v>
      </c>
      <c r="P903">
        <v>4</v>
      </c>
      <c r="Q903">
        <v>1</v>
      </c>
      <c r="R903" t="s">
        <v>51</v>
      </c>
      <c r="S903">
        <v>2</v>
      </c>
      <c r="T903" t="s">
        <v>42</v>
      </c>
      <c r="U903">
        <v>2559</v>
      </c>
      <c r="V903" t="str" cm="1">
        <f t="array" ref="V90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03">
        <v>16620</v>
      </c>
      <c r="X903">
        <v>5</v>
      </c>
      <c r="Y903" t="s">
        <v>43</v>
      </c>
      <c r="Z903" t="s">
        <v>44</v>
      </c>
      <c r="AA903">
        <v>11</v>
      </c>
      <c r="AB903">
        <v>3</v>
      </c>
      <c r="AC903">
        <v>3</v>
      </c>
      <c r="AD903">
        <v>80</v>
      </c>
      <c r="AE903">
        <v>0</v>
      </c>
      <c r="AF903">
        <v>7</v>
      </c>
      <c r="AG903">
        <v>4</v>
      </c>
      <c r="AH903">
        <v>2</v>
      </c>
      <c r="AI903">
        <v>1</v>
      </c>
      <c r="AJ903">
        <v>0</v>
      </c>
      <c r="AK903">
        <v>0</v>
      </c>
      <c r="AL903" t="str" cm="1">
        <f t="array" ref="AL90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03">
        <v>0</v>
      </c>
    </row>
    <row r="904" spans="1:39" x14ac:dyDescent="0.25">
      <c r="A904">
        <v>27</v>
      </c>
      <c r="B904" t="s">
        <v>44</v>
      </c>
      <c r="C904" t="s">
        <v>37</v>
      </c>
      <c r="D904">
        <v>1167</v>
      </c>
      <c r="E904" t="s">
        <v>46</v>
      </c>
      <c r="G904">
        <v>4</v>
      </c>
      <c r="H904">
        <v>2</v>
      </c>
      <c r="I904" t="s">
        <v>39</v>
      </c>
      <c r="J904" t="str">
        <f>WA_Fn_UseC__HR_Employee_Attrition[[#This Row],[EducationField]]&amp;"-"&amp;WA_Fn_UseC__HR_Employee_Attrition[[#This Row],[Department]]</f>
        <v>Life Sciences-Research &amp; Development</v>
      </c>
      <c r="K904">
        <v>1</v>
      </c>
      <c r="L904">
        <v>1259</v>
      </c>
      <c r="M904">
        <v>1</v>
      </c>
      <c r="N904" t="s">
        <v>47</v>
      </c>
      <c r="O904">
        <v>76</v>
      </c>
      <c r="P904">
        <v>3</v>
      </c>
      <c r="Q904">
        <v>1</v>
      </c>
      <c r="R904" t="s">
        <v>48</v>
      </c>
      <c r="S904">
        <v>3</v>
      </c>
      <c r="T904" t="s">
        <v>53</v>
      </c>
      <c r="U904">
        <v>2517</v>
      </c>
      <c r="V904" t="str" cm="1">
        <f t="array" ref="V90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04">
        <v>3208</v>
      </c>
      <c r="X904">
        <v>1</v>
      </c>
      <c r="Y904" t="s">
        <v>43</v>
      </c>
      <c r="Z904" t="s">
        <v>44</v>
      </c>
      <c r="AA904">
        <v>11</v>
      </c>
      <c r="AB904">
        <v>3</v>
      </c>
      <c r="AC904">
        <v>2</v>
      </c>
      <c r="AD904">
        <v>80</v>
      </c>
      <c r="AE904">
        <v>3</v>
      </c>
      <c r="AF904">
        <v>5</v>
      </c>
      <c r="AG904">
        <v>2</v>
      </c>
      <c r="AH904">
        <v>3</v>
      </c>
      <c r="AI904">
        <v>5</v>
      </c>
      <c r="AJ904">
        <v>3</v>
      </c>
      <c r="AK904">
        <v>0</v>
      </c>
      <c r="AL904" t="str" cm="1">
        <f t="array" ref="AL90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04">
        <v>3</v>
      </c>
    </row>
    <row r="905" spans="1:39" x14ac:dyDescent="0.25">
      <c r="A905">
        <v>29</v>
      </c>
      <c r="B905" t="s">
        <v>44</v>
      </c>
      <c r="C905" t="s">
        <v>37</v>
      </c>
      <c r="D905">
        <v>1329</v>
      </c>
      <c r="E905" t="s">
        <v>46</v>
      </c>
      <c r="G905">
        <v>7</v>
      </c>
      <c r="H905">
        <v>3</v>
      </c>
      <c r="I905" t="s">
        <v>39</v>
      </c>
      <c r="J905" t="str">
        <f>WA_Fn_UseC__HR_Employee_Attrition[[#This Row],[EducationField]]&amp;"-"&amp;WA_Fn_UseC__HR_Employee_Attrition[[#This Row],[Department]]</f>
        <v>Life Sciences-Research &amp; Development</v>
      </c>
      <c r="K905">
        <v>1</v>
      </c>
      <c r="L905">
        <v>1260</v>
      </c>
      <c r="M905">
        <v>3</v>
      </c>
      <c r="N905" t="s">
        <v>47</v>
      </c>
      <c r="O905">
        <v>82</v>
      </c>
      <c r="P905">
        <v>3</v>
      </c>
      <c r="Q905">
        <v>2</v>
      </c>
      <c r="R905" t="s">
        <v>55</v>
      </c>
      <c r="S905">
        <v>4</v>
      </c>
      <c r="T905" t="s">
        <v>53</v>
      </c>
      <c r="U905">
        <v>6623</v>
      </c>
      <c r="V905" t="str" cm="1">
        <f t="array" ref="V90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05">
        <v>4204</v>
      </c>
      <c r="X905">
        <v>1</v>
      </c>
      <c r="Y905" t="s">
        <v>43</v>
      </c>
      <c r="Z905" t="s">
        <v>36</v>
      </c>
      <c r="AA905">
        <v>11</v>
      </c>
      <c r="AB905">
        <v>3</v>
      </c>
      <c r="AC905">
        <v>2</v>
      </c>
      <c r="AD905">
        <v>80</v>
      </c>
      <c r="AE905">
        <v>2</v>
      </c>
      <c r="AF905">
        <v>6</v>
      </c>
      <c r="AG905">
        <v>2</v>
      </c>
      <c r="AH905">
        <v>3</v>
      </c>
      <c r="AI905">
        <v>6</v>
      </c>
      <c r="AJ905">
        <v>0</v>
      </c>
      <c r="AK905">
        <v>1</v>
      </c>
      <c r="AL905" t="str" cm="1">
        <f t="array" ref="AL90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05">
        <v>0</v>
      </c>
    </row>
    <row r="906" spans="1:39" x14ac:dyDescent="0.25">
      <c r="A906">
        <v>48</v>
      </c>
      <c r="B906" t="s">
        <v>44</v>
      </c>
      <c r="C906" t="s">
        <v>37</v>
      </c>
      <c r="D906">
        <v>715</v>
      </c>
      <c r="E906" t="s">
        <v>46</v>
      </c>
      <c r="G906">
        <v>1</v>
      </c>
      <c r="H906">
        <v>3</v>
      </c>
      <c r="I906" t="s">
        <v>39</v>
      </c>
      <c r="J906" t="str">
        <f>WA_Fn_UseC__HR_Employee_Attrition[[#This Row],[EducationField]]&amp;"-"&amp;WA_Fn_UseC__HR_Employee_Attrition[[#This Row],[Department]]</f>
        <v>Life Sciences-Research &amp; Development</v>
      </c>
      <c r="K906">
        <v>1</v>
      </c>
      <c r="L906">
        <v>1263</v>
      </c>
      <c r="M906">
        <v>4</v>
      </c>
      <c r="N906" t="s">
        <v>47</v>
      </c>
      <c r="O906">
        <v>76</v>
      </c>
      <c r="P906">
        <v>2</v>
      </c>
      <c r="Q906">
        <v>5</v>
      </c>
      <c r="R906" t="s">
        <v>59</v>
      </c>
      <c r="S906">
        <v>4</v>
      </c>
      <c r="T906" t="s">
        <v>42</v>
      </c>
      <c r="U906">
        <v>18265</v>
      </c>
      <c r="V906" t="str" cm="1">
        <f t="array" ref="V90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06">
        <v>8733</v>
      </c>
      <c r="X906">
        <v>6</v>
      </c>
      <c r="Y906" t="s">
        <v>43</v>
      </c>
      <c r="Z906" t="s">
        <v>44</v>
      </c>
      <c r="AA906">
        <v>12</v>
      </c>
      <c r="AB906">
        <v>3</v>
      </c>
      <c r="AC906">
        <v>3</v>
      </c>
      <c r="AD906">
        <v>80</v>
      </c>
      <c r="AE906">
        <v>0</v>
      </c>
      <c r="AF906">
        <v>25</v>
      </c>
      <c r="AG906">
        <v>3</v>
      </c>
      <c r="AH906">
        <v>4</v>
      </c>
      <c r="AI906">
        <v>1</v>
      </c>
      <c r="AJ906">
        <v>0</v>
      </c>
      <c r="AK906">
        <v>0</v>
      </c>
      <c r="AL906" t="str" cm="1">
        <f t="array" ref="AL90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06">
        <v>0</v>
      </c>
    </row>
    <row r="907" spans="1:39" x14ac:dyDescent="0.25">
      <c r="A907">
        <v>29</v>
      </c>
      <c r="B907" t="s">
        <v>44</v>
      </c>
      <c r="C907" t="s">
        <v>37</v>
      </c>
      <c r="D907">
        <v>694</v>
      </c>
      <c r="E907" t="s">
        <v>46</v>
      </c>
      <c r="G907">
        <v>1</v>
      </c>
      <c r="H907">
        <v>3</v>
      </c>
      <c r="I907" t="s">
        <v>39</v>
      </c>
      <c r="J907" t="str">
        <f>WA_Fn_UseC__HR_Employee_Attrition[[#This Row],[EducationField]]&amp;"-"&amp;WA_Fn_UseC__HR_Employee_Attrition[[#This Row],[Department]]</f>
        <v>Life Sciences-Research &amp; Development</v>
      </c>
      <c r="K907">
        <v>1</v>
      </c>
      <c r="L907">
        <v>1264</v>
      </c>
      <c r="M907">
        <v>4</v>
      </c>
      <c r="N907" t="s">
        <v>40</v>
      </c>
      <c r="O907">
        <v>87</v>
      </c>
      <c r="P907">
        <v>2</v>
      </c>
      <c r="Q907">
        <v>4</v>
      </c>
      <c r="R907" t="s">
        <v>59</v>
      </c>
      <c r="S907">
        <v>4</v>
      </c>
      <c r="T907" t="s">
        <v>53</v>
      </c>
      <c r="U907">
        <v>16124</v>
      </c>
      <c r="V907" t="str" cm="1">
        <f t="array" ref="V90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07">
        <v>3423</v>
      </c>
      <c r="X907">
        <v>3</v>
      </c>
      <c r="Y907" t="s">
        <v>43</v>
      </c>
      <c r="Z907" t="s">
        <v>44</v>
      </c>
      <c r="AA907">
        <v>14</v>
      </c>
      <c r="AB907">
        <v>3</v>
      </c>
      <c r="AC907">
        <v>2</v>
      </c>
      <c r="AD907">
        <v>80</v>
      </c>
      <c r="AE907">
        <v>2</v>
      </c>
      <c r="AF907">
        <v>9</v>
      </c>
      <c r="AG907">
        <v>2</v>
      </c>
      <c r="AH907">
        <v>2</v>
      </c>
      <c r="AI907">
        <v>7</v>
      </c>
      <c r="AJ907">
        <v>7</v>
      </c>
      <c r="AK907">
        <v>1</v>
      </c>
      <c r="AL907" t="str" cm="1">
        <f t="array" ref="AL90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07">
        <v>7</v>
      </c>
    </row>
    <row r="908" spans="1:39" x14ac:dyDescent="0.25">
      <c r="A908">
        <v>34</v>
      </c>
      <c r="B908" t="s">
        <v>44</v>
      </c>
      <c r="C908" t="s">
        <v>37</v>
      </c>
      <c r="D908">
        <v>1320</v>
      </c>
      <c r="E908" t="s">
        <v>46</v>
      </c>
      <c r="G908">
        <v>20</v>
      </c>
      <c r="H908">
        <v>3</v>
      </c>
      <c r="I908" t="s">
        <v>61</v>
      </c>
      <c r="J908" t="str">
        <f>WA_Fn_UseC__HR_Employee_Attrition[[#This Row],[EducationField]]&amp;"-"&amp;WA_Fn_UseC__HR_Employee_Attrition[[#This Row],[Department]]</f>
        <v>Technical Degree-Research &amp; Development</v>
      </c>
      <c r="K908">
        <v>1</v>
      </c>
      <c r="L908">
        <v>1265</v>
      </c>
      <c r="M908">
        <v>3</v>
      </c>
      <c r="N908" t="s">
        <v>40</v>
      </c>
      <c r="O908">
        <v>89</v>
      </c>
      <c r="P908">
        <v>4</v>
      </c>
      <c r="Q908">
        <v>1</v>
      </c>
      <c r="R908" t="s">
        <v>48</v>
      </c>
      <c r="S908">
        <v>3</v>
      </c>
      <c r="T908" t="s">
        <v>49</v>
      </c>
      <c r="U908">
        <v>2585</v>
      </c>
      <c r="V908" t="str" cm="1">
        <f t="array" ref="V90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08">
        <v>21643</v>
      </c>
      <c r="X908">
        <v>0</v>
      </c>
      <c r="Y908" t="s">
        <v>43</v>
      </c>
      <c r="Z908" t="s">
        <v>44</v>
      </c>
      <c r="AA908">
        <v>17</v>
      </c>
      <c r="AB908">
        <v>3</v>
      </c>
      <c r="AC908">
        <v>4</v>
      </c>
      <c r="AD908">
        <v>80</v>
      </c>
      <c r="AE908">
        <v>0</v>
      </c>
      <c r="AF908">
        <v>2</v>
      </c>
      <c r="AG908">
        <v>5</v>
      </c>
      <c r="AH908">
        <v>2</v>
      </c>
      <c r="AI908">
        <v>1</v>
      </c>
      <c r="AJ908">
        <v>0</v>
      </c>
      <c r="AK908">
        <v>0</v>
      </c>
      <c r="AL908" t="str" cm="1">
        <f t="array" ref="AL90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08">
        <v>0</v>
      </c>
    </row>
    <row r="909" spans="1:39" x14ac:dyDescent="0.25">
      <c r="A909">
        <v>44</v>
      </c>
      <c r="B909" t="s">
        <v>44</v>
      </c>
      <c r="C909" t="s">
        <v>37</v>
      </c>
      <c r="D909">
        <v>1099</v>
      </c>
      <c r="E909" t="s">
        <v>38</v>
      </c>
      <c r="G909">
        <v>5</v>
      </c>
      <c r="H909">
        <v>3</v>
      </c>
      <c r="I909" t="s">
        <v>60</v>
      </c>
      <c r="J909" t="str">
        <f>WA_Fn_UseC__HR_Employee_Attrition[[#This Row],[EducationField]]&amp;"-"&amp;WA_Fn_UseC__HR_Employee_Attrition[[#This Row],[Department]]</f>
        <v>Marketing-Sales</v>
      </c>
      <c r="K909">
        <v>1</v>
      </c>
      <c r="L909">
        <v>1267</v>
      </c>
      <c r="M909">
        <v>2</v>
      </c>
      <c r="N909" t="s">
        <v>47</v>
      </c>
      <c r="O909">
        <v>88</v>
      </c>
      <c r="P909">
        <v>3</v>
      </c>
      <c r="Q909">
        <v>5</v>
      </c>
      <c r="R909" t="s">
        <v>57</v>
      </c>
      <c r="S909">
        <v>2</v>
      </c>
      <c r="T909" t="s">
        <v>49</v>
      </c>
      <c r="U909">
        <v>18213</v>
      </c>
      <c r="V909" t="str" cm="1">
        <f t="array" ref="V90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09">
        <v>8751</v>
      </c>
      <c r="X909">
        <v>7</v>
      </c>
      <c r="Y909" t="s">
        <v>43</v>
      </c>
      <c r="Z909" t="s">
        <v>44</v>
      </c>
      <c r="AA909">
        <v>11</v>
      </c>
      <c r="AB909">
        <v>3</v>
      </c>
      <c r="AC909">
        <v>3</v>
      </c>
      <c r="AD909">
        <v>80</v>
      </c>
      <c r="AE909">
        <v>1</v>
      </c>
      <c r="AF909">
        <v>26</v>
      </c>
      <c r="AG909">
        <v>5</v>
      </c>
      <c r="AH909">
        <v>3</v>
      </c>
      <c r="AI909">
        <v>22</v>
      </c>
      <c r="AJ909">
        <v>9</v>
      </c>
      <c r="AK909">
        <v>3</v>
      </c>
      <c r="AL909" t="str" cm="1">
        <f t="array" ref="AL90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09">
        <v>10</v>
      </c>
    </row>
    <row r="910" spans="1:39" x14ac:dyDescent="0.25">
      <c r="A910">
        <v>33</v>
      </c>
      <c r="B910" t="s">
        <v>44</v>
      </c>
      <c r="C910" t="s">
        <v>37</v>
      </c>
      <c r="D910">
        <v>536</v>
      </c>
      <c r="E910" t="s">
        <v>38</v>
      </c>
      <c r="G910">
        <v>10</v>
      </c>
      <c r="H910">
        <v>5</v>
      </c>
      <c r="I910" t="s">
        <v>60</v>
      </c>
      <c r="J910" t="str">
        <f>WA_Fn_UseC__HR_Employee_Attrition[[#This Row],[EducationField]]&amp;"-"&amp;WA_Fn_UseC__HR_Employee_Attrition[[#This Row],[Department]]</f>
        <v>Marketing-Sales</v>
      </c>
      <c r="K910">
        <v>1</v>
      </c>
      <c r="L910">
        <v>1268</v>
      </c>
      <c r="M910">
        <v>4</v>
      </c>
      <c r="N910" t="s">
        <v>47</v>
      </c>
      <c r="O910">
        <v>82</v>
      </c>
      <c r="P910">
        <v>4</v>
      </c>
      <c r="Q910">
        <v>3</v>
      </c>
      <c r="R910" t="s">
        <v>41</v>
      </c>
      <c r="S910">
        <v>3</v>
      </c>
      <c r="T910" t="s">
        <v>53</v>
      </c>
      <c r="U910">
        <v>8380</v>
      </c>
      <c r="V910" t="str" cm="1">
        <f t="array" ref="V91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10">
        <v>21708</v>
      </c>
      <c r="X910">
        <v>0</v>
      </c>
      <c r="Y910" t="s">
        <v>43</v>
      </c>
      <c r="Z910" t="s">
        <v>36</v>
      </c>
      <c r="AA910">
        <v>14</v>
      </c>
      <c r="AB910">
        <v>3</v>
      </c>
      <c r="AC910">
        <v>4</v>
      </c>
      <c r="AD910">
        <v>80</v>
      </c>
      <c r="AE910">
        <v>2</v>
      </c>
      <c r="AF910">
        <v>10</v>
      </c>
      <c r="AG910">
        <v>3</v>
      </c>
      <c r="AH910">
        <v>3</v>
      </c>
      <c r="AI910">
        <v>9</v>
      </c>
      <c r="AJ910">
        <v>8</v>
      </c>
      <c r="AK910">
        <v>0</v>
      </c>
      <c r="AL910" t="str" cm="1">
        <f t="array" ref="AL91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10">
        <v>8</v>
      </c>
    </row>
    <row r="911" spans="1:39" x14ac:dyDescent="0.25">
      <c r="A911">
        <v>19</v>
      </c>
      <c r="B911" t="s">
        <v>44</v>
      </c>
      <c r="C911" t="s">
        <v>37</v>
      </c>
      <c r="D911">
        <v>265</v>
      </c>
      <c r="E911" t="s">
        <v>46</v>
      </c>
      <c r="G911">
        <v>25</v>
      </c>
      <c r="H911">
        <v>3</v>
      </c>
      <c r="I911" t="s">
        <v>39</v>
      </c>
      <c r="J911" t="str">
        <f>WA_Fn_UseC__HR_Employee_Attrition[[#This Row],[EducationField]]&amp;"-"&amp;WA_Fn_UseC__HR_Employee_Attrition[[#This Row],[Department]]</f>
        <v>Life Sciences-Research &amp; Development</v>
      </c>
      <c r="K911">
        <v>1</v>
      </c>
      <c r="L911">
        <v>1269</v>
      </c>
      <c r="M911">
        <v>2</v>
      </c>
      <c r="N911" t="s">
        <v>40</v>
      </c>
      <c r="O911">
        <v>57</v>
      </c>
      <c r="P911">
        <v>4</v>
      </c>
      <c r="Q911">
        <v>1</v>
      </c>
      <c r="R911" t="s">
        <v>48</v>
      </c>
      <c r="S911">
        <v>4</v>
      </c>
      <c r="T911" t="s">
        <v>42</v>
      </c>
      <c r="U911">
        <v>2994</v>
      </c>
      <c r="V911" t="str" cm="1">
        <f t="array" ref="V91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11">
        <v>21221</v>
      </c>
      <c r="X911">
        <v>1</v>
      </c>
      <c r="Y911" t="s">
        <v>43</v>
      </c>
      <c r="Z911" t="s">
        <v>36</v>
      </c>
      <c r="AA911">
        <v>12</v>
      </c>
      <c r="AB911">
        <v>3</v>
      </c>
      <c r="AC911">
        <v>4</v>
      </c>
      <c r="AD911">
        <v>80</v>
      </c>
      <c r="AE911">
        <v>0</v>
      </c>
      <c r="AF911">
        <v>1</v>
      </c>
      <c r="AG911">
        <v>2</v>
      </c>
      <c r="AH911">
        <v>3</v>
      </c>
      <c r="AI911">
        <v>1</v>
      </c>
      <c r="AJ911">
        <v>0</v>
      </c>
      <c r="AK911">
        <v>0</v>
      </c>
      <c r="AL911" t="str" cm="1">
        <f t="array" ref="AL91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11">
        <v>1</v>
      </c>
    </row>
    <row r="912" spans="1:39" x14ac:dyDescent="0.25">
      <c r="A912">
        <v>23</v>
      </c>
      <c r="B912" t="s">
        <v>44</v>
      </c>
      <c r="C912" t="s">
        <v>37</v>
      </c>
      <c r="D912">
        <v>373</v>
      </c>
      <c r="E912" t="s">
        <v>46</v>
      </c>
      <c r="G912">
        <v>1</v>
      </c>
      <c r="H912">
        <v>2</v>
      </c>
      <c r="I912" t="s">
        <v>39</v>
      </c>
      <c r="J912" t="str">
        <f>WA_Fn_UseC__HR_Employee_Attrition[[#This Row],[EducationField]]&amp;"-"&amp;WA_Fn_UseC__HR_Employee_Attrition[[#This Row],[Department]]</f>
        <v>Life Sciences-Research &amp; Development</v>
      </c>
      <c r="K912">
        <v>1</v>
      </c>
      <c r="L912">
        <v>1270</v>
      </c>
      <c r="M912">
        <v>4</v>
      </c>
      <c r="N912" t="s">
        <v>47</v>
      </c>
      <c r="O912">
        <v>47</v>
      </c>
      <c r="P912">
        <v>3</v>
      </c>
      <c r="Q912">
        <v>1</v>
      </c>
      <c r="R912" t="s">
        <v>48</v>
      </c>
      <c r="S912">
        <v>3</v>
      </c>
      <c r="T912" t="s">
        <v>49</v>
      </c>
      <c r="U912">
        <v>1223</v>
      </c>
      <c r="V912" t="str" cm="1">
        <f t="array" ref="V91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12">
        <v>16901</v>
      </c>
      <c r="X912">
        <v>1</v>
      </c>
      <c r="Y912" t="s">
        <v>43</v>
      </c>
      <c r="Z912" t="s">
        <v>44</v>
      </c>
      <c r="AA912">
        <v>22</v>
      </c>
      <c r="AB912">
        <v>4</v>
      </c>
      <c r="AC912">
        <v>4</v>
      </c>
      <c r="AD912">
        <v>80</v>
      </c>
      <c r="AE912">
        <v>1</v>
      </c>
      <c r="AF912">
        <v>1</v>
      </c>
      <c r="AG912">
        <v>2</v>
      </c>
      <c r="AH912">
        <v>3</v>
      </c>
      <c r="AI912">
        <v>1</v>
      </c>
      <c r="AJ912">
        <v>0</v>
      </c>
      <c r="AK912">
        <v>0</v>
      </c>
      <c r="AL912" t="str" cm="1">
        <f t="array" ref="AL91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12">
        <v>1</v>
      </c>
    </row>
    <row r="913" spans="1:39" x14ac:dyDescent="0.25">
      <c r="A913">
        <v>25</v>
      </c>
      <c r="B913" t="s">
        <v>36</v>
      </c>
      <c r="C913" t="s">
        <v>45</v>
      </c>
      <c r="D913">
        <v>599</v>
      </c>
      <c r="E913" t="s">
        <v>38</v>
      </c>
      <c r="G913">
        <v>24</v>
      </c>
      <c r="H913">
        <v>1</v>
      </c>
      <c r="I913" t="s">
        <v>39</v>
      </c>
      <c r="J913" t="str">
        <f>WA_Fn_UseC__HR_Employee_Attrition[[#This Row],[EducationField]]&amp;"-"&amp;WA_Fn_UseC__HR_Employee_Attrition[[#This Row],[Department]]</f>
        <v>Life Sciences-Sales</v>
      </c>
      <c r="K913">
        <v>1</v>
      </c>
      <c r="L913">
        <v>1273</v>
      </c>
      <c r="M913">
        <v>3</v>
      </c>
      <c r="N913" t="s">
        <v>47</v>
      </c>
      <c r="O913">
        <v>73</v>
      </c>
      <c r="P913">
        <v>1</v>
      </c>
      <c r="Q913">
        <v>1</v>
      </c>
      <c r="R913" t="s">
        <v>58</v>
      </c>
      <c r="S913">
        <v>4</v>
      </c>
      <c r="T913" t="s">
        <v>42</v>
      </c>
      <c r="U913">
        <v>1118</v>
      </c>
      <c r="V913" t="str" cm="1">
        <f t="array" ref="V91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13">
        <v>8040</v>
      </c>
      <c r="X913">
        <v>1</v>
      </c>
      <c r="Y913" t="s">
        <v>43</v>
      </c>
      <c r="Z913" t="s">
        <v>36</v>
      </c>
      <c r="AA913">
        <v>14</v>
      </c>
      <c r="AB913">
        <v>3</v>
      </c>
      <c r="AC913">
        <v>4</v>
      </c>
      <c r="AD913">
        <v>80</v>
      </c>
      <c r="AE913">
        <v>0</v>
      </c>
      <c r="AF913">
        <v>1</v>
      </c>
      <c r="AG913">
        <v>4</v>
      </c>
      <c r="AH913">
        <v>3</v>
      </c>
      <c r="AI913">
        <v>1</v>
      </c>
      <c r="AJ913">
        <v>0</v>
      </c>
      <c r="AK913">
        <v>1</v>
      </c>
      <c r="AL913" t="str" cm="1">
        <f t="array" ref="AL91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13">
        <v>0</v>
      </c>
    </row>
    <row r="914" spans="1:39" x14ac:dyDescent="0.25">
      <c r="A914">
        <v>26</v>
      </c>
      <c r="B914" t="s">
        <v>44</v>
      </c>
      <c r="C914" t="s">
        <v>37</v>
      </c>
      <c r="D914">
        <v>583</v>
      </c>
      <c r="E914" t="s">
        <v>46</v>
      </c>
      <c r="G914">
        <v>4</v>
      </c>
      <c r="H914">
        <v>2</v>
      </c>
      <c r="I914" t="s">
        <v>39</v>
      </c>
      <c r="J914" t="str">
        <f>WA_Fn_UseC__HR_Employee_Attrition[[#This Row],[EducationField]]&amp;"-"&amp;WA_Fn_UseC__HR_Employee_Attrition[[#This Row],[Department]]</f>
        <v>Life Sciences-Research &amp; Development</v>
      </c>
      <c r="K914">
        <v>1</v>
      </c>
      <c r="L914">
        <v>1275</v>
      </c>
      <c r="M914">
        <v>3</v>
      </c>
      <c r="N914" t="s">
        <v>47</v>
      </c>
      <c r="O914">
        <v>53</v>
      </c>
      <c r="P914">
        <v>3</v>
      </c>
      <c r="Q914">
        <v>1</v>
      </c>
      <c r="R914" t="s">
        <v>48</v>
      </c>
      <c r="S914">
        <v>4</v>
      </c>
      <c r="T914" t="s">
        <v>42</v>
      </c>
      <c r="U914">
        <v>2875</v>
      </c>
      <c r="V914" t="str" cm="1">
        <f t="array" ref="V91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14">
        <v>9973</v>
      </c>
      <c r="X914">
        <v>1</v>
      </c>
      <c r="Y914" t="s">
        <v>43</v>
      </c>
      <c r="Z914" t="s">
        <v>36</v>
      </c>
      <c r="AA914">
        <v>20</v>
      </c>
      <c r="AB914">
        <v>4</v>
      </c>
      <c r="AC914">
        <v>2</v>
      </c>
      <c r="AD914">
        <v>80</v>
      </c>
      <c r="AE914">
        <v>0</v>
      </c>
      <c r="AF914">
        <v>8</v>
      </c>
      <c r="AG914">
        <v>2</v>
      </c>
      <c r="AH914">
        <v>2</v>
      </c>
      <c r="AI914">
        <v>8</v>
      </c>
      <c r="AJ914">
        <v>5</v>
      </c>
      <c r="AK914">
        <v>2</v>
      </c>
      <c r="AL914" t="str" cm="1">
        <f t="array" ref="AL91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14">
        <v>2</v>
      </c>
    </row>
    <row r="915" spans="1:39" x14ac:dyDescent="0.25">
      <c r="A915">
        <v>45</v>
      </c>
      <c r="B915" t="s">
        <v>36</v>
      </c>
      <c r="C915" t="s">
        <v>37</v>
      </c>
      <c r="D915">
        <v>1449</v>
      </c>
      <c r="E915" t="s">
        <v>38</v>
      </c>
      <c r="G915">
        <v>2</v>
      </c>
      <c r="H915">
        <v>3</v>
      </c>
      <c r="I915" t="s">
        <v>60</v>
      </c>
      <c r="J915" t="str">
        <f>WA_Fn_UseC__HR_Employee_Attrition[[#This Row],[EducationField]]&amp;"-"&amp;WA_Fn_UseC__HR_Employee_Attrition[[#This Row],[Department]]</f>
        <v>Marketing-Sales</v>
      </c>
      <c r="K915">
        <v>1</v>
      </c>
      <c r="L915">
        <v>1277</v>
      </c>
      <c r="M915">
        <v>1</v>
      </c>
      <c r="N915" t="s">
        <v>40</v>
      </c>
      <c r="O915">
        <v>94</v>
      </c>
      <c r="P915">
        <v>1</v>
      </c>
      <c r="Q915">
        <v>5</v>
      </c>
      <c r="R915" t="s">
        <v>57</v>
      </c>
      <c r="S915">
        <v>2</v>
      </c>
      <c r="T915" t="s">
        <v>42</v>
      </c>
      <c r="U915">
        <v>18824</v>
      </c>
      <c r="V915" t="str" cm="1">
        <f t="array" ref="V91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15">
        <v>2493</v>
      </c>
      <c r="X915">
        <v>2</v>
      </c>
      <c r="Y915" t="s">
        <v>43</v>
      </c>
      <c r="Z915" t="s">
        <v>36</v>
      </c>
      <c r="AA915">
        <v>16</v>
      </c>
      <c r="AB915">
        <v>3</v>
      </c>
      <c r="AC915">
        <v>1</v>
      </c>
      <c r="AD915">
        <v>80</v>
      </c>
      <c r="AE915">
        <v>0</v>
      </c>
      <c r="AF915">
        <v>26</v>
      </c>
      <c r="AG915">
        <v>2</v>
      </c>
      <c r="AH915">
        <v>3</v>
      </c>
      <c r="AI915">
        <v>24</v>
      </c>
      <c r="AJ915">
        <v>10</v>
      </c>
      <c r="AK915">
        <v>1</v>
      </c>
      <c r="AL915" t="str" cm="1">
        <f t="array" ref="AL91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15">
        <v>11</v>
      </c>
    </row>
    <row r="916" spans="1:39" x14ac:dyDescent="0.25">
      <c r="A916">
        <v>55</v>
      </c>
      <c r="B916" t="s">
        <v>44</v>
      </c>
      <c r="C916" t="s">
        <v>56</v>
      </c>
      <c r="D916">
        <v>177</v>
      </c>
      <c r="E916" t="s">
        <v>46</v>
      </c>
      <c r="G916">
        <v>8</v>
      </c>
      <c r="H916">
        <v>1</v>
      </c>
      <c r="I916" t="s">
        <v>52</v>
      </c>
      <c r="J916" t="str">
        <f>WA_Fn_UseC__HR_Employee_Attrition[[#This Row],[EducationField]]&amp;"-"&amp;WA_Fn_UseC__HR_Employee_Attrition[[#This Row],[Department]]</f>
        <v>Medical-Research &amp; Development</v>
      </c>
      <c r="K916">
        <v>1</v>
      </c>
      <c r="L916">
        <v>1278</v>
      </c>
      <c r="M916">
        <v>4</v>
      </c>
      <c r="N916" t="s">
        <v>47</v>
      </c>
      <c r="O916">
        <v>37</v>
      </c>
      <c r="P916">
        <v>2</v>
      </c>
      <c r="Q916">
        <v>4</v>
      </c>
      <c r="R916" t="s">
        <v>55</v>
      </c>
      <c r="S916">
        <v>2</v>
      </c>
      <c r="T916" t="s">
        <v>53</v>
      </c>
      <c r="U916">
        <v>13577</v>
      </c>
      <c r="V916" t="str" cm="1">
        <f t="array" ref="V91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16">
        <v>25592</v>
      </c>
      <c r="X916">
        <v>1</v>
      </c>
      <c r="Y916" t="s">
        <v>43</v>
      </c>
      <c r="Z916" t="s">
        <v>36</v>
      </c>
      <c r="AA916">
        <v>15</v>
      </c>
      <c r="AB916">
        <v>3</v>
      </c>
      <c r="AC916">
        <v>4</v>
      </c>
      <c r="AD916">
        <v>80</v>
      </c>
      <c r="AE916">
        <v>1</v>
      </c>
      <c r="AF916">
        <v>34</v>
      </c>
      <c r="AG916">
        <v>3</v>
      </c>
      <c r="AH916">
        <v>3</v>
      </c>
      <c r="AI916">
        <v>33</v>
      </c>
      <c r="AJ916">
        <v>9</v>
      </c>
      <c r="AK916">
        <v>15</v>
      </c>
      <c r="AL916" t="str" cm="1">
        <f t="array" ref="AL91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16">
        <v>0</v>
      </c>
    </row>
    <row r="917" spans="1:39" x14ac:dyDescent="0.25">
      <c r="A917">
        <v>21</v>
      </c>
      <c r="B917" t="s">
        <v>36</v>
      </c>
      <c r="C917" t="s">
        <v>45</v>
      </c>
      <c r="D917">
        <v>251</v>
      </c>
      <c r="E917" t="s">
        <v>46</v>
      </c>
      <c r="G917">
        <v>10</v>
      </c>
      <c r="H917">
        <v>2</v>
      </c>
      <c r="I917" t="s">
        <v>39</v>
      </c>
      <c r="J917" t="str">
        <f>WA_Fn_UseC__HR_Employee_Attrition[[#This Row],[EducationField]]&amp;"-"&amp;WA_Fn_UseC__HR_Employee_Attrition[[#This Row],[Department]]</f>
        <v>Life Sciences-Research &amp; Development</v>
      </c>
      <c r="K917">
        <v>1</v>
      </c>
      <c r="L917">
        <v>1279</v>
      </c>
      <c r="M917">
        <v>1</v>
      </c>
      <c r="N917" t="s">
        <v>40</v>
      </c>
      <c r="O917">
        <v>45</v>
      </c>
      <c r="P917">
        <v>2</v>
      </c>
      <c r="Q917">
        <v>1</v>
      </c>
      <c r="R917" t="s">
        <v>51</v>
      </c>
      <c r="S917">
        <v>3</v>
      </c>
      <c r="T917" t="s">
        <v>42</v>
      </c>
      <c r="U917">
        <v>2625</v>
      </c>
      <c r="V917" t="str" cm="1">
        <f t="array" ref="V91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17">
        <v>25308</v>
      </c>
      <c r="X917">
        <v>1</v>
      </c>
      <c r="Y917" t="s">
        <v>43</v>
      </c>
      <c r="Z917" t="s">
        <v>44</v>
      </c>
      <c r="AA917">
        <v>20</v>
      </c>
      <c r="AB917">
        <v>4</v>
      </c>
      <c r="AC917">
        <v>3</v>
      </c>
      <c r="AD917">
        <v>80</v>
      </c>
      <c r="AE917">
        <v>0</v>
      </c>
      <c r="AF917">
        <v>2</v>
      </c>
      <c r="AG917">
        <v>2</v>
      </c>
      <c r="AH917">
        <v>1</v>
      </c>
      <c r="AI917">
        <v>2</v>
      </c>
      <c r="AJ917">
        <v>2</v>
      </c>
      <c r="AK917">
        <v>2</v>
      </c>
      <c r="AL917" t="str" cm="1">
        <f t="array" ref="AL91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17">
        <v>2</v>
      </c>
    </row>
    <row r="918" spans="1:39" x14ac:dyDescent="0.25">
      <c r="A918">
        <v>46</v>
      </c>
      <c r="B918" t="s">
        <v>44</v>
      </c>
      <c r="C918" t="s">
        <v>37</v>
      </c>
      <c r="D918">
        <v>168</v>
      </c>
      <c r="E918" t="s">
        <v>38</v>
      </c>
      <c r="G918">
        <v>4</v>
      </c>
      <c r="H918">
        <v>2</v>
      </c>
      <c r="I918" t="s">
        <v>60</v>
      </c>
      <c r="J918" t="str">
        <f>WA_Fn_UseC__HR_Employee_Attrition[[#This Row],[EducationField]]&amp;"-"&amp;WA_Fn_UseC__HR_Employee_Attrition[[#This Row],[Department]]</f>
        <v>Marketing-Sales</v>
      </c>
      <c r="K918">
        <v>1</v>
      </c>
      <c r="L918">
        <v>1280</v>
      </c>
      <c r="M918">
        <v>4</v>
      </c>
      <c r="N918" t="s">
        <v>40</v>
      </c>
      <c r="O918">
        <v>33</v>
      </c>
      <c r="P918">
        <v>2</v>
      </c>
      <c r="Q918">
        <v>5</v>
      </c>
      <c r="R918" t="s">
        <v>57</v>
      </c>
      <c r="S918">
        <v>2</v>
      </c>
      <c r="T918" t="s">
        <v>49</v>
      </c>
      <c r="U918">
        <v>18789</v>
      </c>
      <c r="V918" t="str" cm="1">
        <f t="array" ref="V91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18">
        <v>9946</v>
      </c>
      <c r="X918">
        <v>2</v>
      </c>
      <c r="Y918" t="s">
        <v>43</v>
      </c>
      <c r="Z918" t="s">
        <v>44</v>
      </c>
      <c r="AA918">
        <v>14</v>
      </c>
      <c r="AB918">
        <v>3</v>
      </c>
      <c r="AC918">
        <v>3</v>
      </c>
      <c r="AD918">
        <v>80</v>
      </c>
      <c r="AE918">
        <v>1</v>
      </c>
      <c r="AF918">
        <v>26</v>
      </c>
      <c r="AG918">
        <v>2</v>
      </c>
      <c r="AH918">
        <v>3</v>
      </c>
      <c r="AI918">
        <v>11</v>
      </c>
      <c r="AJ918">
        <v>4</v>
      </c>
      <c r="AK918">
        <v>0</v>
      </c>
      <c r="AL918" t="str" cm="1">
        <f t="array" ref="AL91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18">
        <v>8</v>
      </c>
    </row>
    <row r="919" spans="1:39" x14ac:dyDescent="0.25">
      <c r="A919">
        <v>34</v>
      </c>
      <c r="B919" t="s">
        <v>44</v>
      </c>
      <c r="C919" t="s">
        <v>37</v>
      </c>
      <c r="D919">
        <v>131</v>
      </c>
      <c r="E919" t="s">
        <v>38</v>
      </c>
      <c r="G919">
        <v>2</v>
      </c>
      <c r="H919">
        <v>3</v>
      </c>
      <c r="I919" t="s">
        <v>60</v>
      </c>
      <c r="J919" t="str">
        <f>WA_Fn_UseC__HR_Employee_Attrition[[#This Row],[EducationField]]&amp;"-"&amp;WA_Fn_UseC__HR_Employee_Attrition[[#This Row],[Department]]</f>
        <v>Marketing-Sales</v>
      </c>
      <c r="K919">
        <v>1</v>
      </c>
      <c r="L919">
        <v>1281</v>
      </c>
      <c r="M919">
        <v>3</v>
      </c>
      <c r="N919" t="s">
        <v>40</v>
      </c>
      <c r="O919">
        <v>86</v>
      </c>
      <c r="P919">
        <v>3</v>
      </c>
      <c r="Q919">
        <v>2</v>
      </c>
      <c r="R919" t="s">
        <v>41</v>
      </c>
      <c r="S919">
        <v>1</v>
      </c>
      <c r="T919" t="s">
        <v>42</v>
      </c>
      <c r="U919">
        <v>4538</v>
      </c>
      <c r="V919" t="str" cm="1">
        <f t="array" ref="V91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19">
        <v>6039</v>
      </c>
      <c r="X919">
        <v>0</v>
      </c>
      <c r="Y919" t="s">
        <v>43</v>
      </c>
      <c r="Z919" t="s">
        <v>36</v>
      </c>
      <c r="AA919">
        <v>12</v>
      </c>
      <c r="AB919">
        <v>3</v>
      </c>
      <c r="AC919">
        <v>4</v>
      </c>
      <c r="AD919">
        <v>80</v>
      </c>
      <c r="AE919">
        <v>0</v>
      </c>
      <c r="AF919">
        <v>4</v>
      </c>
      <c r="AG919">
        <v>3</v>
      </c>
      <c r="AH919">
        <v>3</v>
      </c>
      <c r="AI919">
        <v>3</v>
      </c>
      <c r="AJ919">
        <v>2</v>
      </c>
      <c r="AK919">
        <v>0</v>
      </c>
      <c r="AL919" t="str" cm="1">
        <f t="array" ref="AL91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19">
        <v>2</v>
      </c>
    </row>
    <row r="920" spans="1:39" x14ac:dyDescent="0.25">
      <c r="A920">
        <v>51</v>
      </c>
      <c r="B920" t="s">
        <v>44</v>
      </c>
      <c r="C920" t="s">
        <v>45</v>
      </c>
      <c r="D920">
        <v>237</v>
      </c>
      <c r="E920" t="s">
        <v>38</v>
      </c>
      <c r="G920">
        <v>9</v>
      </c>
      <c r="H920">
        <v>3</v>
      </c>
      <c r="I920" t="s">
        <v>39</v>
      </c>
      <c r="J920" t="str">
        <f>WA_Fn_UseC__HR_Employee_Attrition[[#This Row],[EducationField]]&amp;"-"&amp;WA_Fn_UseC__HR_Employee_Attrition[[#This Row],[Department]]</f>
        <v>Life Sciences-Sales</v>
      </c>
      <c r="K920">
        <v>1</v>
      </c>
      <c r="L920">
        <v>1282</v>
      </c>
      <c r="M920">
        <v>4</v>
      </c>
      <c r="N920" t="s">
        <v>47</v>
      </c>
      <c r="O920">
        <v>83</v>
      </c>
      <c r="P920">
        <v>3</v>
      </c>
      <c r="Q920">
        <v>5</v>
      </c>
      <c r="R920" t="s">
        <v>57</v>
      </c>
      <c r="S920">
        <v>2</v>
      </c>
      <c r="T920" t="s">
        <v>53</v>
      </c>
      <c r="U920">
        <v>19847</v>
      </c>
      <c r="V920" t="str" cm="1">
        <f t="array" ref="V92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20">
        <v>19196</v>
      </c>
      <c r="X920">
        <v>4</v>
      </c>
      <c r="Y920" t="s">
        <v>43</v>
      </c>
      <c r="Z920" t="s">
        <v>36</v>
      </c>
      <c r="AA920">
        <v>24</v>
      </c>
      <c r="AB920">
        <v>4</v>
      </c>
      <c r="AC920">
        <v>1</v>
      </c>
      <c r="AD920">
        <v>80</v>
      </c>
      <c r="AE920">
        <v>1</v>
      </c>
      <c r="AF920">
        <v>31</v>
      </c>
      <c r="AG920">
        <v>5</v>
      </c>
      <c r="AH920">
        <v>2</v>
      </c>
      <c r="AI920">
        <v>29</v>
      </c>
      <c r="AJ920">
        <v>10</v>
      </c>
      <c r="AK920">
        <v>11</v>
      </c>
      <c r="AL920" t="str" cm="1">
        <f t="array" ref="AL92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20">
        <v>10</v>
      </c>
    </row>
    <row r="921" spans="1:39" x14ac:dyDescent="0.25">
      <c r="A921">
        <v>59</v>
      </c>
      <c r="B921" t="s">
        <v>44</v>
      </c>
      <c r="C921" t="s">
        <v>37</v>
      </c>
      <c r="D921">
        <v>1429</v>
      </c>
      <c r="E921" t="s">
        <v>46</v>
      </c>
      <c r="G921">
        <v>18</v>
      </c>
      <c r="H921">
        <v>4</v>
      </c>
      <c r="I921" t="s">
        <v>52</v>
      </c>
      <c r="J921" t="str">
        <f>WA_Fn_UseC__HR_Employee_Attrition[[#This Row],[EducationField]]&amp;"-"&amp;WA_Fn_UseC__HR_Employee_Attrition[[#This Row],[Department]]</f>
        <v>Medical-Research &amp; Development</v>
      </c>
      <c r="K921">
        <v>1</v>
      </c>
      <c r="L921">
        <v>1283</v>
      </c>
      <c r="M921">
        <v>4</v>
      </c>
      <c r="N921" t="s">
        <v>47</v>
      </c>
      <c r="O921">
        <v>67</v>
      </c>
      <c r="P921">
        <v>3</v>
      </c>
      <c r="Q921">
        <v>3</v>
      </c>
      <c r="R921" t="s">
        <v>54</v>
      </c>
      <c r="S921">
        <v>4</v>
      </c>
      <c r="T921" t="s">
        <v>42</v>
      </c>
      <c r="U921">
        <v>10512</v>
      </c>
      <c r="V921" t="str" cm="1">
        <f t="array" ref="V92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21">
        <v>20002</v>
      </c>
      <c r="X921">
        <v>6</v>
      </c>
      <c r="Y921" t="s">
        <v>43</v>
      </c>
      <c r="Z921" t="s">
        <v>44</v>
      </c>
      <c r="AA921">
        <v>12</v>
      </c>
      <c r="AB921">
        <v>3</v>
      </c>
      <c r="AC921">
        <v>4</v>
      </c>
      <c r="AD921">
        <v>80</v>
      </c>
      <c r="AE921">
        <v>0</v>
      </c>
      <c r="AF921">
        <v>25</v>
      </c>
      <c r="AG921">
        <v>6</v>
      </c>
      <c r="AH921">
        <v>2</v>
      </c>
      <c r="AI921">
        <v>9</v>
      </c>
      <c r="AJ921">
        <v>7</v>
      </c>
      <c r="AK921">
        <v>5</v>
      </c>
      <c r="AL921" t="str" cm="1">
        <f t="array" ref="AL92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21">
        <v>4</v>
      </c>
    </row>
    <row r="922" spans="1:39" x14ac:dyDescent="0.25">
      <c r="A922">
        <v>34</v>
      </c>
      <c r="B922" t="s">
        <v>44</v>
      </c>
      <c r="C922" t="s">
        <v>45</v>
      </c>
      <c r="D922">
        <v>135</v>
      </c>
      <c r="E922" t="s">
        <v>46</v>
      </c>
      <c r="G922">
        <v>19</v>
      </c>
      <c r="H922">
        <v>3</v>
      </c>
      <c r="I922" t="s">
        <v>52</v>
      </c>
      <c r="J922" t="str">
        <f>WA_Fn_UseC__HR_Employee_Attrition[[#This Row],[EducationField]]&amp;"-"&amp;WA_Fn_UseC__HR_Employee_Attrition[[#This Row],[Department]]</f>
        <v>Medical-Research &amp; Development</v>
      </c>
      <c r="K922">
        <v>1</v>
      </c>
      <c r="L922">
        <v>1285</v>
      </c>
      <c r="M922">
        <v>3</v>
      </c>
      <c r="N922" t="s">
        <v>40</v>
      </c>
      <c r="O922">
        <v>46</v>
      </c>
      <c r="P922">
        <v>3</v>
      </c>
      <c r="Q922">
        <v>2</v>
      </c>
      <c r="R922" t="s">
        <v>51</v>
      </c>
      <c r="S922">
        <v>2</v>
      </c>
      <c r="T922" t="s">
        <v>53</v>
      </c>
      <c r="U922">
        <v>4444</v>
      </c>
      <c r="V922" t="str" cm="1">
        <f t="array" ref="V92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22">
        <v>22534</v>
      </c>
      <c r="X922">
        <v>4</v>
      </c>
      <c r="Y922" t="s">
        <v>43</v>
      </c>
      <c r="Z922" t="s">
        <v>44</v>
      </c>
      <c r="AA922">
        <v>13</v>
      </c>
      <c r="AB922">
        <v>3</v>
      </c>
      <c r="AC922">
        <v>3</v>
      </c>
      <c r="AD922">
        <v>80</v>
      </c>
      <c r="AE922">
        <v>2</v>
      </c>
      <c r="AF922">
        <v>15</v>
      </c>
      <c r="AG922">
        <v>2</v>
      </c>
      <c r="AH922">
        <v>4</v>
      </c>
      <c r="AI922">
        <v>11</v>
      </c>
      <c r="AJ922">
        <v>8</v>
      </c>
      <c r="AK922">
        <v>5</v>
      </c>
      <c r="AL922" t="str" cm="1">
        <f t="array" ref="AL92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22">
        <v>10</v>
      </c>
    </row>
    <row r="923" spans="1:39" x14ac:dyDescent="0.25">
      <c r="A923">
        <v>28</v>
      </c>
      <c r="B923" t="s">
        <v>44</v>
      </c>
      <c r="C923" t="s">
        <v>45</v>
      </c>
      <c r="D923">
        <v>791</v>
      </c>
      <c r="E923" t="s">
        <v>46</v>
      </c>
      <c r="G923">
        <v>1</v>
      </c>
      <c r="H923">
        <v>4</v>
      </c>
      <c r="I923" t="s">
        <v>52</v>
      </c>
      <c r="J923" t="str">
        <f>WA_Fn_UseC__HR_Employee_Attrition[[#This Row],[EducationField]]&amp;"-"&amp;WA_Fn_UseC__HR_Employee_Attrition[[#This Row],[Department]]</f>
        <v>Medical-Research &amp; Development</v>
      </c>
      <c r="K923">
        <v>1</v>
      </c>
      <c r="L923">
        <v>1286</v>
      </c>
      <c r="M923">
        <v>4</v>
      </c>
      <c r="N923" t="s">
        <v>47</v>
      </c>
      <c r="O923">
        <v>44</v>
      </c>
      <c r="P923">
        <v>3</v>
      </c>
      <c r="Q923">
        <v>1</v>
      </c>
      <c r="R923" t="s">
        <v>51</v>
      </c>
      <c r="S923">
        <v>3</v>
      </c>
      <c r="T923" t="s">
        <v>42</v>
      </c>
      <c r="U923">
        <v>2154</v>
      </c>
      <c r="V923" t="str" cm="1">
        <f t="array" ref="V92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23">
        <v>6842</v>
      </c>
      <c r="X923">
        <v>0</v>
      </c>
      <c r="Y923" t="s">
        <v>43</v>
      </c>
      <c r="Z923" t="s">
        <v>36</v>
      </c>
      <c r="AA923">
        <v>11</v>
      </c>
      <c r="AB923">
        <v>3</v>
      </c>
      <c r="AC923">
        <v>3</v>
      </c>
      <c r="AD923">
        <v>80</v>
      </c>
      <c r="AE923">
        <v>0</v>
      </c>
      <c r="AF923">
        <v>5</v>
      </c>
      <c r="AG923">
        <v>2</v>
      </c>
      <c r="AH923">
        <v>2</v>
      </c>
      <c r="AI923">
        <v>4</v>
      </c>
      <c r="AJ923">
        <v>2</v>
      </c>
      <c r="AK923">
        <v>0</v>
      </c>
      <c r="AL923" t="str" cm="1">
        <f t="array" ref="AL92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23">
        <v>2</v>
      </c>
    </row>
    <row r="924" spans="1:39" x14ac:dyDescent="0.25">
      <c r="A924">
        <v>44</v>
      </c>
      <c r="B924" t="s">
        <v>44</v>
      </c>
      <c r="C924" t="s">
        <v>37</v>
      </c>
      <c r="D924">
        <v>1199</v>
      </c>
      <c r="E924" t="s">
        <v>46</v>
      </c>
      <c r="G924">
        <v>4</v>
      </c>
      <c r="H924">
        <v>2</v>
      </c>
      <c r="I924" t="s">
        <v>39</v>
      </c>
      <c r="J924" t="str">
        <f>WA_Fn_UseC__HR_Employee_Attrition[[#This Row],[EducationField]]&amp;"-"&amp;WA_Fn_UseC__HR_Employee_Attrition[[#This Row],[Department]]</f>
        <v>Life Sciences-Research &amp; Development</v>
      </c>
      <c r="K924">
        <v>1</v>
      </c>
      <c r="L924">
        <v>1288</v>
      </c>
      <c r="M924">
        <v>3</v>
      </c>
      <c r="N924" t="s">
        <v>47</v>
      </c>
      <c r="O924">
        <v>92</v>
      </c>
      <c r="P924">
        <v>4</v>
      </c>
      <c r="Q924">
        <v>5</v>
      </c>
      <c r="R924" t="s">
        <v>57</v>
      </c>
      <c r="S924">
        <v>1</v>
      </c>
      <c r="T924" t="s">
        <v>53</v>
      </c>
      <c r="U924">
        <v>19190</v>
      </c>
      <c r="V924" t="str" cm="1">
        <f t="array" ref="V92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24">
        <v>17477</v>
      </c>
      <c r="X924">
        <v>1</v>
      </c>
      <c r="Y924" t="s">
        <v>43</v>
      </c>
      <c r="Z924" t="s">
        <v>44</v>
      </c>
      <c r="AA924">
        <v>14</v>
      </c>
      <c r="AB924">
        <v>3</v>
      </c>
      <c r="AC924">
        <v>4</v>
      </c>
      <c r="AD924">
        <v>80</v>
      </c>
      <c r="AE924">
        <v>2</v>
      </c>
      <c r="AF924">
        <v>26</v>
      </c>
      <c r="AG924">
        <v>4</v>
      </c>
      <c r="AH924">
        <v>2</v>
      </c>
      <c r="AI924">
        <v>25</v>
      </c>
      <c r="AJ924">
        <v>9</v>
      </c>
      <c r="AK924">
        <v>14</v>
      </c>
      <c r="AL924" t="str" cm="1">
        <f t="array" ref="AL92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24">
        <v>13</v>
      </c>
    </row>
    <row r="925" spans="1:39" x14ac:dyDescent="0.25">
      <c r="A925">
        <v>34</v>
      </c>
      <c r="B925" t="s">
        <v>44</v>
      </c>
      <c r="C925" t="s">
        <v>45</v>
      </c>
      <c r="D925">
        <v>648</v>
      </c>
      <c r="E925" t="s">
        <v>62</v>
      </c>
      <c r="G925">
        <v>11</v>
      </c>
      <c r="H925">
        <v>3</v>
      </c>
      <c r="I925" t="s">
        <v>39</v>
      </c>
      <c r="J925" t="str">
        <f>WA_Fn_UseC__HR_Employee_Attrition[[#This Row],[EducationField]]&amp;"-"&amp;WA_Fn_UseC__HR_Employee_Attrition[[#This Row],[Department]]</f>
        <v>Life Sciences-Human Resources</v>
      </c>
      <c r="K925">
        <v>1</v>
      </c>
      <c r="L925">
        <v>1289</v>
      </c>
      <c r="M925">
        <v>3</v>
      </c>
      <c r="N925" t="s">
        <v>47</v>
      </c>
      <c r="O925">
        <v>56</v>
      </c>
      <c r="P925">
        <v>2</v>
      </c>
      <c r="Q925">
        <v>2</v>
      </c>
      <c r="R925" t="s">
        <v>62</v>
      </c>
      <c r="S925">
        <v>2</v>
      </c>
      <c r="T925" t="s">
        <v>49</v>
      </c>
      <c r="U925">
        <v>4490</v>
      </c>
      <c r="V925" t="str" cm="1">
        <f t="array" ref="V92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25">
        <v>21833</v>
      </c>
      <c r="X925">
        <v>4</v>
      </c>
      <c r="Y925" t="s">
        <v>43</v>
      </c>
      <c r="Z925" t="s">
        <v>44</v>
      </c>
      <c r="AA925">
        <v>11</v>
      </c>
      <c r="AB925">
        <v>3</v>
      </c>
      <c r="AC925">
        <v>4</v>
      </c>
      <c r="AD925">
        <v>80</v>
      </c>
      <c r="AE925">
        <v>2</v>
      </c>
      <c r="AF925">
        <v>14</v>
      </c>
      <c r="AG925">
        <v>5</v>
      </c>
      <c r="AH925">
        <v>4</v>
      </c>
      <c r="AI925">
        <v>10</v>
      </c>
      <c r="AJ925">
        <v>9</v>
      </c>
      <c r="AK925">
        <v>1</v>
      </c>
      <c r="AL925" t="str" cm="1">
        <f t="array" ref="AL92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25">
        <v>8</v>
      </c>
    </row>
    <row r="926" spans="1:39" x14ac:dyDescent="0.25">
      <c r="A926">
        <v>35</v>
      </c>
      <c r="B926" t="s">
        <v>44</v>
      </c>
      <c r="C926" t="s">
        <v>37</v>
      </c>
      <c r="D926">
        <v>735</v>
      </c>
      <c r="E926" t="s">
        <v>46</v>
      </c>
      <c r="G926">
        <v>6</v>
      </c>
      <c r="H926">
        <v>1</v>
      </c>
      <c r="I926" t="s">
        <v>39</v>
      </c>
      <c r="J926" t="str">
        <f>WA_Fn_UseC__HR_Employee_Attrition[[#This Row],[EducationField]]&amp;"-"&amp;WA_Fn_UseC__HR_Employee_Attrition[[#This Row],[Department]]</f>
        <v>Life Sciences-Research &amp; Development</v>
      </c>
      <c r="K926">
        <v>1</v>
      </c>
      <c r="L926">
        <v>1291</v>
      </c>
      <c r="M926">
        <v>3</v>
      </c>
      <c r="N926" t="s">
        <v>47</v>
      </c>
      <c r="O926">
        <v>66</v>
      </c>
      <c r="P926">
        <v>3</v>
      </c>
      <c r="Q926">
        <v>1</v>
      </c>
      <c r="R926" t="s">
        <v>48</v>
      </c>
      <c r="S926">
        <v>3</v>
      </c>
      <c r="T926" t="s">
        <v>49</v>
      </c>
      <c r="U926">
        <v>3506</v>
      </c>
      <c r="V926" t="str" cm="1">
        <f t="array" ref="V92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26">
        <v>6020</v>
      </c>
      <c r="X926">
        <v>0</v>
      </c>
      <c r="Y926" t="s">
        <v>43</v>
      </c>
      <c r="Z926" t="s">
        <v>36</v>
      </c>
      <c r="AA926">
        <v>14</v>
      </c>
      <c r="AB926">
        <v>3</v>
      </c>
      <c r="AC926">
        <v>4</v>
      </c>
      <c r="AD926">
        <v>80</v>
      </c>
      <c r="AE926">
        <v>0</v>
      </c>
      <c r="AF926">
        <v>4</v>
      </c>
      <c r="AG926">
        <v>3</v>
      </c>
      <c r="AH926">
        <v>3</v>
      </c>
      <c r="AI926">
        <v>3</v>
      </c>
      <c r="AJ926">
        <v>2</v>
      </c>
      <c r="AK926">
        <v>2</v>
      </c>
      <c r="AL926" t="str" cm="1">
        <f t="array" ref="AL92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26">
        <v>2</v>
      </c>
    </row>
    <row r="927" spans="1:39" x14ac:dyDescent="0.25">
      <c r="A927">
        <v>42</v>
      </c>
      <c r="B927" t="s">
        <v>44</v>
      </c>
      <c r="C927" t="s">
        <v>37</v>
      </c>
      <c r="D927">
        <v>603</v>
      </c>
      <c r="E927" t="s">
        <v>46</v>
      </c>
      <c r="G927">
        <v>7</v>
      </c>
      <c r="H927">
        <v>4</v>
      </c>
      <c r="I927" t="s">
        <v>52</v>
      </c>
      <c r="J927" t="str">
        <f>WA_Fn_UseC__HR_Employee_Attrition[[#This Row],[EducationField]]&amp;"-"&amp;WA_Fn_UseC__HR_Employee_Attrition[[#This Row],[Department]]</f>
        <v>Medical-Research &amp; Development</v>
      </c>
      <c r="K927">
        <v>1</v>
      </c>
      <c r="L927">
        <v>1292</v>
      </c>
      <c r="M927">
        <v>2</v>
      </c>
      <c r="N927" t="s">
        <v>40</v>
      </c>
      <c r="O927">
        <v>78</v>
      </c>
      <c r="P927">
        <v>4</v>
      </c>
      <c r="Q927">
        <v>2</v>
      </c>
      <c r="R927" t="s">
        <v>48</v>
      </c>
      <c r="S927">
        <v>2</v>
      </c>
      <c r="T927" t="s">
        <v>49</v>
      </c>
      <c r="U927">
        <v>2372</v>
      </c>
      <c r="V927" t="str" cm="1">
        <f t="array" ref="V92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27">
        <v>5628</v>
      </c>
      <c r="X927">
        <v>6</v>
      </c>
      <c r="Y927" t="s">
        <v>43</v>
      </c>
      <c r="Z927" t="s">
        <v>36</v>
      </c>
      <c r="AA927">
        <v>16</v>
      </c>
      <c r="AB927">
        <v>3</v>
      </c>
      <c r="AC927">
        <v>4</v>
      </c>
      <c r="AD927">
        <v>80</v>
      </c>
      <c r="AE927">
        <v>0</v>
      </c>
      <c r="AF927">
        <v>18</v>
      </c>
      <c r="AG927">
        <v>2</v>
      </c>
      <c r="AH927">
        <v>3</v>
      </c>
      <c r="AI927">
        <v>1</v>
      </c>
      <c r="AJ927">
        <v>0</v>
      </c>
      <c r="AK927">
        <v>0</v>
      </c>
      <c r="AL927" t="str" cm="1">
        <f t="array" ref="AL92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27">
        <v>0</v>
      </c>
    </row>
    <row r="928" spans="1:39" x14ac:dyDescent="0.25">
      <c r="A928">
        <v>43</v>
      </c>
      <c r="B928" t="s">
        <v>44</v>
      </c>
      <c r="C928" t="s">
        <v>37</v>
      </c>
      <c r="D928">
        <v>531</v>
      </c>
      <c r="E928" t="s">
        <v>38</v>
      </c>
      <c r="G928">
        <v>4</v>
      </c>
      <c r="H928">
        <v>4</v>
      </c>
      <c r="I928" t="s">
        <v>60</v>
      </c>
      <c r="J928" t="str">
        <f>WA_Fn_UseC__HR_Employee_Attrition[[#This Row],[EducationField]]&amp;"-"&amp;WA_Fn_UseC__HR_Employee_Attrition[[#This Row],[Department]]</f>
        <v>Marketing-Sales</v>
      </c>
      <c r="K928">
        <v>1</v>
      </c>
      <c r="L928">
        <v>1293</v>
      </c>
      <c r="M928">
        <v>4</v>
      </c>
      <c r="N928" t="s">
        <v>40</v>
      </c>
      <c r="O928">
        <v>56</v>
      </c>
      <c r="P928">
        <v>2</v>
      </c>
      <c r="Q928">
        <v>3</v>
      </c>
      <c r="R928" t="s">
        <v>41</v>
      </c>
      <c r="S928">
        <v>4</v>
      </c>
      <c r="T928" t="s">
        <v>42</v>
      </c>
      <c r="U928">
        <v>10231</v>
      </c>
      <c r="V928" t="str" cm="1">
        <f t="array" ref="V92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28">
        <v>20364</v>
      </c>
      <c r="X928">
        <v>3</v>
      </c>
      <c r="Y928" t="s">
        <v>43</v>
      </c>
      <c r="Z928" t="s">
        <v>44</v>
      </c>
      <c r="AA928">
        <v>14</v>
      </c>
      <c r="AB928">
        <v>3</v>
      </c>
      <c r="AC928">
        <v>4</v>
      </c>
      <c r="AD928">
        <v>80</v>
      </c>
      <c r="AE928">
        <v>0</v>
      </c>
      <c r="AF928">
        <v>23</v>
      </c>
      <c r="AG928">
        <v>3</v>
      </c>
      <c r="AH928">
        <v>4</v>
      </c>
      <c r="AI928">
        <v>21</v>
      </c>
      <c r="AJ928">
        <v>7</v>
      </c>
      <c r="AK928">
        <v>15</v>
      </c>
      <c r="AL928" t="str" cm="1">
        <f t="array" ref="AL92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28">
        <v>17</v>
      </c>
    </row>
    <row r="929" spans="1:39" x14ac:dyDescent="0.25">
      <c r="A929">
        <v>36</v>
      </c>
      <c r="B929" t="s">
        <v>44</v>
      </c>
      <c r="C929" t="s">
        <v>37</v>
      </c>
      <c r="D929">
        <v>429</v>
      </c>
      <c r="E929" t="s">
        <v>46</v>
      </c>
      <c r="G929">
        <v>2</v>
      </c>
      <c r="H929">
        <v>4</v>
      </c>
      <c r="I929" t="s">
        <v>39</v>
      </c>
      <c r="J929" t="str">
        <f>WA_Fn_UseC__HR_Employee_Attrition[[#This Row],[EducationField]]&amp;"-"&amp;WA_Fn_UseC__HR_Employee_Attrition[[#This Row],[Department]]</f>
        <v>Life Sciences-Research &amp; Development</v>
      </c>
      <c r="K929">
        <v>1</v>
      </c>
      <c r="L929">
        <v>1294</v>
      </c>
      <c r="M929">
        <v>3</v>
      </c>
      <c r="N929" t="s">
        <v>40</v>
      </c>
      <c r="O929">
        <v>53</v>
      </c>
      <c r="P929">
        <v>3</v>
      </c>
      <c r="Q929">
        <v>2</v>
      </c>
      <c r="R929" t="s">
        <v>54</v>
      </c>
      <c r="S929">
        <v>2</v>
      </c>
      <c r="T929" t="s">
        <v>42</v>
      </c>
      <c r="U929">
        <v>5410</v>
      </c>
      <c r="V929" t="str" cm="1">
        <f t="array" ref="V92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29">
        <v>2323</v>
      </c>
      <c r="X929">
        <v>9</v>
      </c>
      <c r="Y929" t="s">
        <v>43</v>
      </c>
      <c r="Z929" t="s">
        <v>36</v>
      </c>
      <c r="AA929">
        <v>11</v>
      </c>
      <c r="AB929">
        <v>3</v>
      </c>
      <c r="AC929">
        <v>4</v>
      </c>
      <c r="AD929">
        <v>80</v>
      </c>
      <c r="AE929">
        <v>0</v>
      </c>
      <c r="AF929">
        <v>18</v>
      </c>
      <c r="AG929">
        <v>2</v>
      </c>
      <c r="AH929">
        <v>3</v>
      </c>
      <c r="AI929">
        <v>16</v>
      </c>
      <c r="AJ929">
        <v>14</v>
      </c>
      <c r="AK929">
        <v>5</v>
      </c>
      <c r="AL929" t="str" cm="1">
        <f t="array" ref="AL92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29">
        <v>12</v>
      </c>
    </row>
    <row r="930" spans="1:39" x14ac:dyDescent="0.25">
      <c r="A930">
        <v>44</v>
      </c>
      <c r="B930" t="s">
        <v>36</v>
      </c>
      <c r="C930" t="s">
        <v>37</v>
      </c>
      <c r="D930">
        <v>621</v>
      </c>
      <c r="E930" t="s">
        <v>46</v>
      </c>
      <c r="G930">
        <v>15</v>
      </c>
      <c r="H930">
        <v>3</v>
      </c>
      <c r="I930" t="s">
        <v>52</v>
      </c>
      <c r="J930" t="str">
        <f>WA_Fn_UseC__HR_Employee_Attrition[[#This Row],[EducationField]]&amp;"-"&amp;WA_Fn_UseC__HR_Employee_Attrition[[#This Row],[Department]]</f>
        <v>Medical-Research &amp; Development</v>
      </c>
      <c r="K930">
        <v>1</v>
      </c>
      <c r="L930">
        <v>1295</v>
      </c>
      <c r="M930">
        <v>1</v>
      </c>
      <c r="N930" t="s">
        <v>40</v>
      </c>
      <c r="O930">
        <v>73</v>
      </c>
      <c r="P930">
        <v>3</v>
      </c>
      <c r="Q930">
        <v>3</v>
      </c>
      <c r="R930" t="s">
        <v>55</v>
      </c>
      <c r="S930">
        <v>4</v>
      </c>
      <c r="T930" t="s">
        <v>49</v>
      </c>
      <c r="U930">
        <v>7978</v>
      </c>
      <c r="V930" t="str" cm="1">
        <f t="array" ref="V93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30">
        <v>14075</v>
      </c>
      <c r="X930">
        <v>1</v>
      </c>
      <c r="Y930" t="s">
        <v>43</v>
      </c>
      <c r="Z930" t="s">
        <v>44</v>
      </c>
      <c r="AA930">
        <v>11</v>
      </c>
      <c r="AB930">
        <v>3</v>
      </c>
      <c r="AC930">
        <v>4</v>
      </c>
      <c r="AD930">
        <v>80</v>
      </c>
      <c r="AE930">
        <v>1</v>
      </c>
      <c r="AF930">
        <v>10</v>
      </c>
      <c r="AG930">
        <v>2</v>
      </c>
      <c r="AH930">
        <v>3</v>
      </c>
      <c r="AI930">
        <v>10</v>
      </c>
      <c r="AJ930">
        <v>7</v>
      </c>
      <c r="AK930">
        <v>0</v>
      </c>
      <c r="AL930" t="str" cm="1">
        <f t="array" ref="AL93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30">
        <v>5</v>
      </c>
    </row>
    <row r="931" spans="1:39" x14ac:dyDescent="0.25">
      <c r="A931">
        <v>28</v>
      </c>
      <c r="B931" t="s">
        <v>44</v>
      </c>
      <c r="C931" t="s">
        <v>45</v>
      </c>
      <c r="D931">
        <v>193</v>
      </c>
      <c r="E931" t="s">
        <v>46</v>
      </c>
      <c r="G931">
        <v>2</v>
      </c>
      <c r="H931">
        <v>3</v>
      </c>
      <c r="I931" t="s">
        <v>39</v>
      </c>
      <c r="J931" t="str">
        <f>WA_Fn_UseC__HR_Employee_Attrition[[#This Row],[EducationField]]&amp;"-"&amp;WA_Fn_UseC__HR_Employee_Attrition[[#This Row],[Department]]</f>
        <v>Life Sciences-Research &amp; Development</v>
      </c>
      <c r="K931">
        <v>1</v>
      </c>
      <c r="L931">
        <v>1296</v>
      </c>
      <c r="M931">
        <v>4</v>
      </c>
      <c r="N931" t="s">
        <v>47</v>
      </c>
      <c r="O931">
        <v>52</v>
      </c>
      <c r="P931">
        <v>2</v>
      </c>
      <c r="Q931">
        <v>1</v>
      </c>
      <c r="R931" t="s">
        <v>51</v>
      </c>
      <c r="S931">
        <v>4</v>
      </c>
      <c r="T931" t="s">
        <v>49</v>
      </c>
      <c r="U931">
        <v>3867</v>
      </c>
      <c r="V931" t="str" cm="1">
        <f t="array" ref="V93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31">
        <v>14222</v>
      </c>
      <c r="X931">
        <v>1</v>
      </c>
      <c r="Y931" t="s">
        <v>43</v>
      </c>
      <c r="Z931" t="s">
        <v>36</v>
      </c>
      <c r="AA931">
        <v>12</v>
      </c>
      <c r="AB931">
        <v>3</v>
      </c>
      <c r="AC931">
        <v>2</v>
      </c>
      <c r="AD931">
        <v>80</v>
      </c>
      <c r="AE931">
        <v>1</v>
      </c>
      <c r="AF931">
        <v>2</v>
      </c>
      <c r="AG931">
        <v>2</v>
      </c>
      <c r="AH931">
        <v>3</v>
      </c>
      <c r="AI931">
        <v>2</v>
      </c>
      <c r="AJ931">
        <v>2</v>
      </c>
      <c r="AK931">
        <v>2</v>
      </c>
      <c r="AL931" t="str" cm="1">
        <f t="array" ref="AL93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31">
        <v>2</v>
      </c>
    </row>
    <row r="932" spans="1:39" x14ac:dyDescent="0.25">
      <c r="A932">
        <v>51</v>
      </c>
      <c r="B932" t="s">
        <v>44</v>
      </c>
      <c r="C932" t="s">
        <v>45</v>
      </c>
      <c r="D932">
        <v>968</v>
      </c>
      <c r="E932" t="s">
        <v>46</v>
      </c>
      <c r="G932">
        <v>6</v>
      </c>
      <c r="H932">
        <v>2</v>
      </c>
      <c r="I932" t="s">
        <v>52</v>
      </c>
      <c r="J932" t="str">
        <f>WA_Fn_UseC__HR_Employee_Attrition[[#This Row],[EducationField]]&amp;"-"&amp;WA_Fn_UseC__HR_Employee_Attrition[[#This Row],[Department]]</f>
        <v>Medical-Research &amp; Development</v>
      </c>
      <c r="K932">
        <v>1</v>
      </c>
      <c r="L932">
        <v>1297</v>
      </c>
      <c r="M932">
        <v>2</v>
      </c>
      <c r="N932" t="s">
        <v>40</v>
      </c>
      <c r="O932">
        <v>40</v>
      </c>
      <c r="P932">
        <v>2</v>
      </c>
      <c r="Q932">
        <v>1</v>
      </c>
      <c r="R932" t="s">
        <v>51</v>
      </c>
      <c r="S932">
        <v>3</v>
      </c>
      <c r="T932" t="s">
        <v>42</v>
      </c>
      <c r="U932">
        <v>2838</v>
      </c>
      <c r="V932" t="str" cm="1">
        <f t="array" ref="V93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32">
        <v>4257</v>
      </c>
      <c r="X932">
        <v>0</v>
      </c>
      <c r="Y932" t="s">
        <v>43</v>
      </c>
      <c r="Z932" t="s">
        <v>44</v>
      </c>
      <c r="AA932">
        <v>14</v>
      </c>
      <c r="AB932">
        <v>3</v>
      </c>
      <c r="AC932">
        <v>2</v>
      </c>
      <c r="AD932">
        <v>80</v>
      </c>
      <c r="AE932">
        <v>0</v>
      </c>
      <c r="AF932">
        <v>8</v>
      </c>
      <c r="AG932">
        <v>6</v>
      </c>
      <c r="AH932">
        <v>2</v>
      </c>
      <c r="AI932">
        <v>7</v>
      </c>
      <c r="AJ932">
        <v>0</v>
      </c>
      <c r="AK932">
        <v>7</v>
      </c>
      <c r="AL932" t="str" cm="1">
        <f t="array" ref="AL93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32">
        <v>7</v>
      </c>
    </row>
    <row r="933" spans="1:39" x14ac:dyDescent="0.25">
      <c r="A933">
        <v>30</v>
      </c>
      <c r="B933" t="s">
        <v>44</v>
      </c>
      <c r="C933" t="s">
        <v>56</v>
      </c>
      <c r="D933">
        <v>879</v>
      </c>
      <c r="E933" t="s">
        <v>46</v>
      </c>
      <c r="G933">
        <v>9</v>
      </c>
      <c r="H933">
        <v>2</v>
      </c>
      <c r="I933" t="s">
        <v>52</v>
      </c>
      <c r="J933" t="str">
        <f>WA_Fn_UseC__HR_Employee_Attrition[[#This Row],[EducationField]]&amp;"-"&amp;WA_Fn_UseC__HR_Employee_Attrition[[#This Row],[Department]]</f>
        <v>Medical-Research &amp; Development</v>
      </c>
      <c r="K933">
        <v>1</v>
      </c>
      <c r="L933">
        <v>1298</v>
      </c>
      <c r="M933">
        <v>3</v>
      </c>
      <c r="N933" t="s">
        <v>40</v>
      </c>
      <c r="O933">
        <v>72</v>
      </c>
      <c r="P933">
        <v>3</v>
      </c>
      <c r="Q933">
        <v>2</v>
      </c>
      <c r="R933" t="s">
        <v>54</v>
      </c>
      <c r="S933">
        <v>3</v>
      </c>
      <c r="T933" t="s">
        <v>42</v>
      </c>
      <c r="U933">
        <v>4695</v>
      </c>
      <c r="V933" t="str" cm="1">
        <f t="array" ref="V93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33">
        <v>12858</v>
      </c>
      <c r="X933">
        <v>7</v>
      </c>
      <c r="Y933" t="s">
        <v>43</v>
      </c>
      <c r="Z933" t="s">
        <v>36</v>
      </c>
      <c r="AA933">
        <v>18</v>
      </c>
      <c r="AB933">
        <v>3</v>
      </c>
      <c r="AC933">
        <v>3</v>
      </c>
      <c r="AD933">
        <v>80</v>
      </c>
      <c r="AE933">
        <v>0</v>
      </c>
      <c r="AF933">
        <v>10</v>
      </c>
      <c r="AG933">
        <v>3</v>
      </c>
      <c r="AH933">
        <v>3</v>
      </c>
      <c r="AI933">
        <v>8</v>
      </c>
      <c r="AJ933">
        <v>4</v>
      </c>
      <c r="AK933">
        <v>1</v>
      </c>
      <c r="AL933" t="str" cm="1">
        <f t="array" ref="AL93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33">
        <v>7</v>
      </c>
    </row>
    <row r="934" spans="1:39" x14ac:dyDescent="0.25">
      <c r="A934">
        <v>29</v>
      </c>
      <c r="B934" t="s">
        <v>36</v>
      </c>
      <c r="C934" t="s">
        <v>37</v>
      </c>
      <c r="D934">
        <v>806</v>
      </c>
      <c r="E934" t="s">
        <v>46</v>
      </c>
      <c r="G934">
        <v>7</v>
      </c>
      <c r="H934">
        <v>3</v>
      </c>
      <c r="I934" t="s">
        <v>61</v>
      </c>
      <c r="J934" t="str">
        <f>WA_Fn_UseC__HR_Employee_Attrition[[#This Row],[EducationField]]&amp;"-"&amp;WA_Fn_UseC__HR_Employee_Attrition[[#This Row],[Department]]</f>
        <v>Technical Degree-Research &amp; Development</v>
      </c>
      <c r="K934">
        <v>1</v>
      </c>
      <c r="L934">
        <v>1299</v>
      </c>
      <c r="M934">
        <v>2</v>
      </c>
      <c r="N934" t="s">
        <v>40</v>
      </c>
      <c r="O934">
        <v>39</v>
      </c>
      <c r="P934">
        <v>3</v>
      </c>
      <c r="Q934">
        <v>1</v>
      </c>
      <c r="R934" t="s">
        <v>51</v>
      </c>
      <c r="S934">
        <v>3</v>
      </c>
      <c r="T934" t="s">
        <v>53</v>
      </c>
      <c r="U934">
        <v>3339</v>
      </c>
      <c r="V934" t="str" cm="1">
        <f t="array" ref="V93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34">
        <v>17285</v>
      </c>
      <c r="X934">
        <v>3</v>
      </c>
      <c r="Y934" t="s">
        <v>43</v>
      </c>
      <c r="Z934" t="s">
        <v>36</v>
      </c>
      <c r="AA934">
        <v>13</v>
      </c>
      <c r="AB934">
        <v>3</v>
      </c>
      <c r="AC934">
        <v>1</v>
      </c>
      <c r="AD934">
        <v>80</v>
      </c>
      <c r="AE934">
        <v>2</v>
      </c>
      <c r="AF934">
        <v>10</v>
      </c>
      <c r="AG934">
        <v>2</v>
      </c>
      <c r="AH934">
        <v>3</v>
      </c>
      <c r="AI934">
        <v>7</v>
      </c>
      <c r="AJ934">
        <v>7</v>
      </c>
      <c r="AK934">
        <v>7</v>
      </c>
      <c r="AL934" t="str" cm="1">
        <f t="array" ref="AL93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34">
        <v>7</v>
      </c>
    </row>
    <row r="935" spans="1:39" x14ac:dyDescent="0.25">
      <c r="A935">
        <v>28</v>
      </c>
      <c r="B935" t="s">
        <v>44</v>
      </c>
      <c r="C935" t="s">
        <v>37</v>
      </c>
      <c r="D935">
        <v>640</v>
      </c>
      <c r="E935" t="s">
        <v>46</v>
      </c>
      <c r="G935">
        <v>1</v>
      </c>
      <c r="H935">
        <v>3</v>
      </c>
      <c r="I935" t="s">
        <v>61</v>
      </c>
      <c r="J935" t="str">
        <f>WA_Fn_UseC__HR_Employee_Attrition[[#This Row],[EducationField]]&amp;"-"&amp;WA_Fn_UseC__HR_Employee_Attrition[[#This Row],[Department]]</f>
        <v>Technical Degree-Research &amp; Development</v>
      </c>
      <c r="K935">
        <v>1</v>
      </c>
      <c r="L935">
        <v>1301</v>
      </c>
      <c r="M935">
        <v>4</v>
      </c>
      <c r="N935" t="s">
        <v>47</v>
      </c>
      <c r="O935">
        <v>84</v>
      </c>
      <c r="P935">
        <v>3</v>
      </c>
      <c r="Q935">
        <v>1</v>
      </c>
      <c r="R935" t="s">
        <v>48</v>
      </c>
      <c r="S935">
        <v>1</v>
      </c>
      <c r="T935" t="s">
        <v>42</v>
      </c>
      <c r="U935">
        <v>2080</v>
      </c>
      <c r="V935" t="str" cm="1">
        <f t="array" ref="V93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35">
        <v>4732</v>
      </c>
      <c r="X935">
        <v>2</v>
      </c>
      <c r="Y935" t="s">
        <v>43</v>
      </c>
      <c r="Z935" t="s">
        <v>44</v>
      </c>
      <c r="AA935">
        <v>11</v>
      </c>
      <c r="AB935">
        <v>3</v>
      </c>
      <c r="AC935">
        <v>2</v>
      </c>
      <c r="AD935">
        <v>80</v>
      </c>
      <c r="AE935">
        <v>0</v>
      </c>
      <c r="AF935">
        <v>5</v>
      </c>
      <c r="AG935">
        <v>2</v>
      </c>
      <c r="AH935">
        <v>2</v>
      </c>
      <c r="AI935">
        <v>3</v>
      </c>
      <c r="AJ935">
        <v>2</v>
      </c>
      <c r="AK935">
        <v>1</v>
      </c>
      <c r="AL935" t="str" cm="1">
        <f t="array" ref="AL93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35">
        <v>2</v>
      </c>
    </row>
    <row r="936" spans="1:39" x14ac:dyDescent="0.25">
      <c r="A936">
        <v>25</v>
      </c>
      <c r="B936" t="s">
        <v>44</v>
      </c>
      <c r="C936" t="s">
        <v>37</v>
      </c>
      <c r="D936">
        <v>266</v>
      </c>
      <c r="E936" t="s">
        <v>46</v>
      </c>
      <c r="G936">
        <v>1</v>
      </c>
      <c r="H936">
        <v>3</v>
      </c>
      <c r="I936" t="s">
        <v>52</v>
      </c>
      <c r="J936" t="str">
        <f>WA_Fn_UseC__HR_Employee_Attrition[[#This Row],[EducationField]]&amp;"-"&amp;WA_Fn_UseC__HR_Employee_Attrition[[#This Row],[Department]]</f>
        <v>Medical-Research &amp; Development</v>
      </c>
      <c r="K936">
        <v>1</v>
      </c>
      <c r="L936">
        <v>1303</v>
      </c>
      <c r="M936">
        <v>4</v>
      </c>
      <c r="N936" t="s">
        <v>40</v>
      </c>
      <c r="O936">
        <v>40</v>
      </c>
      <c r="P936">
        <v>3</v>
      </c>
      <c r="Q936">
        <v>1</v>
      </c>
      <c r="R936" t="s">
        <v>48</v>
      </c>
      <c r="S936">
        <v>2</v>
      </c>
      <c r="T936" t="s">
        <v>42</v>
      </c>
      <c r="U936">
        <v>2096</v>
      </c>
      <c r="V936" t="str" cm="1">
        <f t="array" ref="V93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36">
        <v>18830</v>
      </c>
      <c r="X936">
        <v>1</v>
      </c>
      <c r="Y936" t="s">
        <v>43</v>
      </c>
      <c r="Z936" t="s">
        <v>44</v>
      </c>
      <c r="AA936">
        <v>18</v>
      </c>
      <c r="AB936">
        <v>3</v>
      </c>
      <c r="AC936">
        <v>4</v>
      </c>
      <c r="AD936">
        <v>80</v>
      </c>
      <c r="AE936">
        <v>0</v>
      </c>
      <c r="AF936">
        <v>2</v>
      </c>
      <c r="AG936">
        <v>3</v>
      </c>
      <c r="AH936">
        <v>2</v>
      </c>
      <c r="AI936">
        <v>2</v>
      </c>
      <c r="AJ936">
        <v>2</v>
      </c>
      <c r="AK936">
        <v>2</v>
      </c>
      <c r="AL936" t="str" cm="1">
        <f t="array" ref="AL93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36">
        <v>1</v>
      </c>
    </row>
    <row r="937" spans="1:39" x14ac:dyDescent="0.25">
      <c r="A937">
        <v>32</v>
      </c>
      <c r="B937" t="s">
        <v>44</v>
      </c>
      <c r="C937" t="s">
        <v>37</v>
      </c>
      <c r="D937">
        <v>604</v>
      </c>
      <c r="E937" t="s">
        <v>38</v>
      </c>
      <c r="G937">
        <v>8</v>
      </c>
      <c r="H937">
        <v>3</v>
      </c>
      <c r="I937" t="s">
        <v>52</v>
      </c>
      <c r="J937" t="str">
        <f>WA_Fn_UseC__HR_Employee_Attrition[[#This Row],[EducationField]]&amp;"-"&amp;WA_Fn_UseC__HR_Employee_Attrition[[#This Row],[Department]]</f>
        <v>Medical-Sales</v>
      </c>
      <c r="K937">
        <v>1</v>
      </c>
      <c r="L937">
        <v>1304</v>
      </c>
      <c r="M937">
        <v>3</v>
      </c>
      <c r="N937" t="s">
        <v>47</v>
      </c>
      <c r="O937">
        <v>56</v>
      </c>
      <c r="P937">
        <v>4</v>
      </c>
      <c r="Q937">
        <v>2</v>
      </c>
      <c r="R937" t="s">
        <v>41</v>
      </c>
      <c r="S937">
        <v>4</v>
      </c>
      <c r="T937" t="s">
        <v>49</v>
      </c>
      <c r="U937">
        <v>6209</v>
      </c>
      <c r="V937" t="str" cm="1">
        <f t="array" ref="V93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37">
        <v>11693</v>
      </c>
      <c r="X937">
        <v>1</v>
      </c>
      <c r="Y937" t="s">
        <v>43</v>
      </c>
      <c r="Z937" t="s">
        <v>44</v>
      </c>
      <c r="AA937">
        <v>15</v>
      </c>
      <c r="AB937">
        <v>3</v>
      </c>
      <c r="AC937">
        <v>3</v>
      </c>
      <c r="AD937">
        <v>80</v>
      </c>
      <c r="AE937">
        <v>2</v>
      </c>
      <c r="AF937">
        <v>10</v>
      </c>
      <c r="AG937">
        <v>4</v>
      </c>
      <c r="AH937">
        <v>4</v>
      </c>
      <c r="AI937">
        <v>10</v>
      </c>
      <c r="AJ937">
        <v>7</v>
      </c>
      <c r="AK937">
        <v>0</v>
      </c>
      <c r="AL937" t="str" cm="1">
        <f t="array" ref="AL93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37">
        <v>8</v>
      </c>
    </row>
    <row r="938" spans="1:39" x14ac:dyDescent="0.25">
      <c r="A938">
        <v>45</v>
      </c>
      <c r="B938" t="s">
        <v>44</v>
      </c>
      <c r="C938" t="s">
        <v>45</v>
      </c>
      <c r="D938">
        <v>364</v>
      </c>
      <c r="E938" t="s">
        <v>46</v>
      </c>
      <c r="G938">
        <v>25</v>
      </c>
      <c r="H938">
        <v>3</v>
      </c>
      <c r="I938" t="s">
        <v>52</v>
      </c>
      <c r="J938" t="str">
        <f>WA_Fn_UseC__HR_Employee_Attrition[[#This Row],[EducationField]]&amp;"-"&amp;WA_Fn_UseC__HR_Employee_Attrition[[#This Row],[Department]]</f>
        <v>Medical-Research &amp; Development</v>
      </c>
      <c r="K938">
        <v>1</v>
      </c>
      <c r="L938">
        <v>1306</v>
      </c>
      <c r="M938">
        <v>2</v>
      </c>
      <c r="N938" t="s">
        <v>40</v>
      </c>
      <c r="O938">
        <v>83</v>
      </c>
      <c r="P938">
        <v>3</v>
      </c>
      <c r="Q938">
        <v>5</v>
      </c>
      <c r="R938" t="s">
        <v>57</v>
      </c>
      <c r="S938">
        <v>2</v>
      </c>
      <c r="T938" t="s">
        <v>42</v>
      </c>
      <c r="U938">
        <v>18061</v>
      </c>
      <c r="V938" t="str" cm="1">
        <f t="array" ref="V93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38">
        <v>13035</v>
      </c>
      <c r="X938">
        <v>3</v>
      </c>
      <c r="Y938" t="s">
        <v>43</v>
      </c>
      <c r="Z938" t="s">
        <v>44</v>
      </c>
      <c r="AA938">
        <v>22</v>
      </c>
      <c r="AB938">
        <v>4</v>
      </c>
      <c r="AC938">
        <v>3</v>
      </c>
      <c r="AD938">
        <v>80</v>
      </c>
      <c r="AE938">
        <v>0</v>
      </c>
      <c r="AF938">
        <v>22</v>
      </c>
      <c r="AG938">
        <v>4</v>
      </c>
      <c r="AH938">
        <v>3</v>
      </c>
      <c r="AI938">
        <v>0</v>
      </c>
      <c r="AJ938">
        <v>0</v>
      </c>
      <c r="AK938">
        <v>0</v>
      </c>
      <c r="AL938" t="str" cm="1">
        <f t="array" ref="AL93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38">
        <v>0</v>
      </c>
    </row>
    <row r="939" spans="1:39" x14ac:dyDescent="0.25">
      <c r="A939">
        <v>39</v>
      </c>
      <c r="B939" t="s">
        <v>44</v>
      </c>
      <c r="C939" t="s">
        <v>37</v>
      </c>
      <c r="D939">
        <v>412</v>
      </c>
      <c r="E939" t="s">
        <v>46</v>
      </c>
      <c r="G939">
        <v>13</v>
      </c>
      <c r="H939">
        <v>4</v>
      </c>
      <c r="I939" t="s">
        <v>52</v>
      </c>
      <c r="J939" t="str">
        <f>WA_Fn_UseC__HR_Employee_Attrition[[#This Row],[EducationField]]&amp;"-"&amp;WA_Fn_UseC__HR_Employee_Attrition[[#This Row],[Department]]</f>
        <v>Medical-Research &amp; Development</v>
      </c>
      <c r="K939">
        <v>1</v>
      </c>
      <c r="L939">
        <v>1307</v>
      </c>
      <c r="M939">
        <v>3</v>
      </c>
      <c r="N939" t="s">
        <v>40</v>
      </c>
      <c r="O939">
        <v>94</v>
      </c>
      <c r="P939">
        <v>2</v>
      </c>
      <c r="Q939">
        <v>4</v>
      </c>
      <c r="R939" t="s">
        <v>57</v>
      </c>
      <c r="S939">
        <v>2</v>
      </c>
      <c r="T939" t="s">
        <v>53</v>
      </c>
      <c r="U939">
        <v>17123</v>
      </c>
      <c r="V939" t="str" cm="1">
        <f t="array" ref="V93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39">
        <v>17334</v>
      </c>
      <c r="X939">
        <v>6</v>
      </c>
      <c r="Y939" t="s">
        <v>43</v>
      </c>
      <c r="Z939" t="s">
        <v>36</v>
      </c>
      <c r="AA939">
        <v>13</v>
      </c>
      <c r="AB939">
        <v>3</v>
      </c>
      <c r="AC939">
        <v>4</v>
      </c>
      <c r="AD939">
        <v>80</v>
      </c>
      <c r="AE939">
        <v>2</v>
      </c>
      <c r="AF939">
        <v>21</v>
      </c>
      <c r="AG939">
        <v>4</v>
      </c>
      <c r="AH939">
        <v>3</v>
      </c>
      <c r="AI939">
        <v>19</v>
      </c>
      <c r="AJ939">
        <v>9</v>
      </c>
      <c r="AK939">
        <v>15</v>
      </c>
      <c r="AL939" t="str" cm="1">
        <f t="array" ref="AL93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39">
        <v>2</v>
      </c>
    </row>
    <row r="940" spans="1:39" x14ac:dyDescent="0.25">
      <c r="A940">
        <v>58</v>
      </c>
      <c r="B940" t="s">
        <v>44</v>
      </c>
      <c r="C940" t="s">
        <v>37</v>
      </c>
      <c r="D940">
        <v>848</v>
      </c>
      <c r="E940" t="s">
        <v>46</v>
      </c>
      <c r="G940">
        <v>23</v>
      </c>
      <c r="H940">
        <v>4</v>
      </c>
      <c r="I940" t="s">
        <v>39</v>
      </c>
      <c r="J940" t="str">
        <f>WA_Fn_UseC__HR_Employee_Attrition[[#This Row],[EducationField]]&amp;"-"&amp;WA_Fn_UseC__HR_Employee_Attrition[[#This Row],[Department]]</f>
        <v>Life Sciences-Research &amp; Development</v>
      </c>
      <c r="K940">
        <v>1</v>
      </c>
      <c r="L940">
        <v>1308</v>
      </c>
      <c r="M940">
        <v>1</v>
      </c>
      <c r="N940" t="s">
        <v>47</v>
      </c>
      <c r="O940">
        <v>88</v>
      </c>
      <c r="P940">
        <v>3</v>
      </c>
      <c r="Q940">
        <v>1</v>
      </c>
      <c r="R940" t="s">
        <v>48</v>
      </c>
      <c r="S940">
        <v>3</v>
      </c>
      <c r="T940" t="s">
        <v>53</v>
      </c>
      <c r="U940">
        <v>2372</v>
      </c>
      <c r="V940" t="str" cm="1">
        <f t="array" ref="V94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40">
        <v>26076</v>
      </c>
      <c r="X940">
        <v>1</v>
      </c>
      <c r="Y940" t="s">
        <v>43</v>
      </c>
      <c r="Z940" t="s">
        <v>44</v>
      </c>
      <c r="AA940">
        <v>12</v>
      </c>
      <c r="AB940">
        <v>3</v>
      </c>
      <c r="AC940">
        <v>4</v>
      </c>
      <c r="AD940">
        <v>80</v>
      </c>
      <c r="AE940">
        <v>2</v>
      </c>
      <c r="AF940">
        <v>2</v>
      </c>
      <c r="AG940">
        <v>3</v>
      </c>
      <c r="AH940">
        <v>3</v>
      </c>
      <c r="AI940">
        <v>2</v>
      </c>
      <c r="AJ940">
        <v>2</v>
      </c>
      <c r="AK940">
        <v>2</v>
      </c>
      <c r="AL940" t="str" cm="1">
        <f t="array" ref="AL94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40">
        <v>2</v>
      </c>
    </row>
    <row r="941" spans="1:39" x14ac:dyDescent="0.25">
      <c r="A941">
        <v>32</v>
      </c>
      <c r="B941" t="s">
        <v>36</v>
      </c>
      <c r="C941" t="s">
        <v>37</v>
      </c>
      <c r="D941">
        <v>1089</v>
      </c>
      <c r="E941" t="s">
        <v>46</v>
      </c>
      <c r="G941">
        <v>7</v>
      </c>
      <c r="H941">
        <v>2</v>
      </c>
      <c r="I941" t="s">
        <v>39</v>
      </c>
      <c r="J941" t="str">
        <f>WA_Fn_UseC__HR_Employee_Attrition[[#This Row],[EducationField]]&amp;"-"&amp;WA_Fn_UseC__HR_Employee_Attrition[[#This Row],[Department]]</f>
        <v>Life Sciences-Research &amp; Development</v>
      </c>
      <c r="K941">
        <v>1</v>
      </c>
      <c r="L941">
        <v>1309</v>
      </c>
      <c r="M941">
        <v>4</v>
      </c>
      <c r="N941" t="s">
        <v>47</v>
      </c>
      <c r="O941">
        <v>79</v>
      </c>
      <c r="P941">
        <v>3</v>
      </c>
      <c r="Q941">
        <v>2</v>
      </c>
      <c r="R941" t="s">
        <v>51</v>
      </c>
      <c r="S941">
        <v>3</v>
      </c>
      <c r="T941" t="s">
        <v>49</v>
      </c>
      <c r="U941">
        <v>4883</v>
      </c>
      <c r="V941" t="str" cm="1">
        <f t="array" ref="V94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41">
        <v>22845</v>
      </c>
      <c r="X941">
        <v>1</v>
      </c>
      <c r="Y941" t="s">
        <v>43</v>
      </c>
      <c r="Z941" t="s">
        <v>44</v>
      </c>
      <c r="AA941">
        <v>18</v>
      </c>
      <c r="AB941">
        <v>3</v>
      </c>
      <c r="AC941">
        <v>1</v>
      </c>
      <c r="AD941">
        <v>80</v>
      </c>
      <c r="AE941">
        <v>1</v>
      </c>
      <c r="AF941">
        <v>10</v>
      </c>
      <c r="AG941">
        <v>3</v>
      </c>
      <c r="AH941">
        <v>3</v>
      </c>
      <c r="AI941">
        <v>10</v>
      </c>
      <c r="AJ941">
        <v>4</v>
      </c>
      <c r="AK941">
        <v>1</v>
      </c>
      <c r="AL941" t="str" cm="1">
        <f t="array" ref="AL94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41">
        <v>1</v>
      </c>
    </row>
    <row r="942" spans="1:39" x14ac:dyDescent="0.25">
      <c r="A942">
        <v>39</v>
      </c>
      <c r="B942" t="s">
        <v>36</v>
      </c>
      <c r="C942" t="s">
        <v>37</v>
      </c>
      <c r="D942">
        <v>360</v>
      </c>
      <c r="E942" t="s">
        <v>46</v>
      </c>
      <c r="G942">
        <v>23</v>
      </c>
      <c r="H942">
        <v>3</v>
      </c>
      <c r="I942" t="s">
        <v>52</v>
      </c>
      <c r="J942" t="str">
        <f>WA_Fn_UseC__HR_Employee_Attrition[[#This Row],[EducationField]]&amp;"-"&amp;WA_Fn_UseC__HR_Employee_Attrition[[#This Row],[Department]]</f>
        <v>Medical-Research &amp; Development</v>
      </c>
      <c r="K942">
        <v>1</v>
      </c>
      <c r="L942">
        <v>1310</v>
      </c>
      <c r="M942">
        <v>3</v>
      </c>
      <c r="N942" t="s">
        <v>47</v>
      </c>
      <c r="O942">
        <v>93</v>
      </c>
      <c r="P942">
        <v>3</v>
      </c>
      <c r="Q942">
        <v>1</v>
      </c>
      <c r="R942" t="s">
        <v>48</v>
      </c>
      <c r="S942">
        <v>1</v>
      </c>
      <c r="T942" t="s">
        <v>42</v>
      </c>
      <c r="U942">
        <v>3904</v>
      </c>
      <c r="V942" t="str" cm="1">
        <f t="array" ref="V94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42">
        <v>22154</v>
      </c>
      <c r="X942">
        <v>0</v>
      </c>
      <c r="Y942" t="s">
        <v>43</v>
      </c>
      <c r="Z942" t="s">
        <v>44</v>
      </c>
      <c r="AA942">
        <v>13</v>
      </c>
      <c r="AB942">
        <v>3</v>
      </c>
      <c r="AC942">
        <v>1</v>
      </c>
      <c r="AD942">
        <v>80</v>
      </c>
      <c r="AE942">
        <v>0</v>
      </c>
      <c r="AF942">
        <v>6</v>
      </c>
      <c r="AG942">
        <v>2</v>
      </c>
      <c r="AH942">
        <v>3</v>
      </c>
      <c r="AI942">
        <v>5</v>
      </c>
      <c r="AJ942">
        <v>2</v>
      </c>
      <c r="AK942">
        <v>0</v>
      </c>
      <c r="AL942" t="str" cm="1">
        <f t="array" ref="AL94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42">
        <v>3</v>
      </c>
    </row>
    <row r="943" spans="1:39" x14ac:dyDescent="0.25">
      <c r="A943">
        <v>30</v>
      </c>
      <c r="B943" t="s">
        <v>44</v>
      </c>
      <c r="C943" t="s">
        <v>37</v>
      </c>
      <c r="D943">
        <v>1138</v>
      </c>
      <c r="E943" t="s">
        <v>46</v>
      </c>
      <c r="G943">
        <v>6</v>
      </c>
      <c r="H943">
        <v>3</v>
      </c>
      <c r="I943" t="s">
        <v>61</v>
      </c>
      <c r="J943" t="str">
        <f>WA_Fn_UseC__HR_Employee_Attrition[[#This Row],[EducationField]]&amp;"-"&amp;WA_Fn_UseC__HR_Employee_Attrition[[#This Row],[Department]]</f>
        <v>Technical Degree-Research &amp; Development</v>
      </c>
      <c r="K943">
        <v>1</v>
      </c>
      <c r="L943">
        <v>1311</v>
      </c>
      <c r="M943">
        <v>1</v>
      </c>
      <c r="N943" t="s">
        <v>40</v>
      </c>
      <c r="O943">
        <v>48</v>
      </c>
      <c r="P943">
        <v>2</v>
      </c>
      <c r="Q943">
        <v>2</v>
      </c>
      <c r="R943" t="s">
        <v>51</v>
      </c>
      <c r="S943">
        <v>4</v>
      </c>
      <c r="T943" t="s">
        <v>49</v>
      </c>
      <c r="U943">
        <v>4627</v>
      </c>
      <c r="V943" t="str" cm="1">
        <f t="array" ref="V94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43">
        <v>23631</v>
      </c>
      <c r="X943">
        <v>0</v>
      </c>
      <c r="Y943" t="s">
        <v>43</v>
      </c>
      <c r="Z943" t="s">
        <v>44</v>
      </c>
      <c r="AA943">
        <v>12</v>
      </c>
      <c r="AB943">
        <v>3</v>
      </c>
      <c r="AC943">
        <v>1</v>
      </c>
      <c r="AD943">
        <v>80</v>
      </c>
      <c r="AE943">
        <v>1</v>
      </c>
      <c r="AF943">
        <v>10</v>
      </c>
      <c r="AG943">
        <v>6</v>
      </c>
      <c r="AH943">
        <v>3</v>
      </c>
      <c r="AI943">
        <v>9</v>
      </c>
      <c r="AJ943">
        <v>2</v>
      </c>
      <c r="AK943">
        <v>6</v>
      </c>
      <c r="AL943" t="str" cm="1">
        <f t="array" ref="AL94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43">
        <v>7</v>
      </c>
    </row>
    <row r="944" spans="1:39" x14ac:dyDescent="0.25">
      <c r="A944">
        <v>36</v>
      </c>
      <c r="B944" t="s">
        <v>44</v>
      </c>
      <c r="C944" t="s">
        <v>37</v>
      </c>
      <c r="D944">
        <v>325</v>
      </c>
      <c r="E944" t="s">
        <v>46</v>
      </c>
      <c r="G944">
        <v>10</v>
      </c>
      <c r="H944">
        <v>4</v>
      </c>
      <c r="I944" t="s">
        <v>61</v>
      </c>
      <c r="J944" t="str">
        <f>WA_Fn_UseC__HR_Employee_Attrition[[#This Row],[EducationField]]&amp;"-"&amp;WA_Fn_UseC__HR_Employee_Attrition[[#This Row],[Department]]</f>
        <v>Technical Degree-Research &amp; Development</v>
      </c>
      <c r="K944">
        <v>1</v>
      </c>
      <c r="L944">
        <v>1312</v>
      </c>
      <c r="M944">
        <v>4</v>
      </c>
      <c r="N944" t="s">
        <v>40</v>
      </c>
      <c r="O944">
        <v>63</v>
      </c>
      <c r="P944">
        <v>3</v>
      </c>
      <c r="Q944">
        <v>3</v>
      </c>
      <c r="R944" t="s">
        <v>55</v>
      </c>
      <c r="S944">
        <v>3</v>
      </c>
      <c r="T944" t="s">
        <v>49</v>
      </c>
      <c r="U944">
        <v>7094</v>
      </c>
      <c r="V944" t="str" cm="1">
        <f t="array" ref="V94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44">
        <v>5747</v>
      </c>
      <c r="X944">
        <v>3</v>
      </c>
      <c r="Y944" t="s">
        <v>43</v>
      </c>
      <c r="Z944" t="s">
        <v>44</v>
      </c>
      <c r="AA944">
        <v>12</v>
      </c>
      <c r="AB944">
        <v>3</v>
      </c>
      <c r="AC944">
        <v>1</v>
      </c>
      <c r="AD944">
        <v>80</v>
      </c>
      <c r="AE944">
        <v>0</v>
      </c>
      <c r="AF944">
        <v>10</v>
      </c>
      <c r="AG944">
        <v>0</v>
      </c>
      <c r="AH944">
        <v>3</v>
      </c>
      <c r="AI944">
        <v>7</v>
      </c>
      <c r="AJ944">
        <v>7</v>
      </c>
      <c r="AK944">
        <v>1</v>
      </c>
      <c r="AL944" t="str" cm="1">
        <f t="array" ref="AL94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44">
        <v>7</v>
      </c>
    </row>
    <row r="945" spans="1:39" x14ac:dyDescent="0.25">
      <c r="A945">
        <v>46</v>
      </c>
      <c r="B945" t="s">
        <v>44</v>
      </c>
      <c r="C945" t="s">
        <v>37</v>
      </c>
      <c r="D945">
        <v>991</v>
      </c>
      <c r="E945" t="s">
        <v>62</v>
      </c>
      <c r="G945">
        <v>1</v>
      </c>
      <c r="H945">
        <v>2</v>
      </c>
      <c r="I945" t="s">
        <v>39</v>
      </c>
      <c r="J945" t="str">
        <f>WA_Fn_UseC__HR_Employee_Attrition[[#This Row],[EducationField]]&amp;"-"&amp;WA_Fn_UseC__HR_Employee_Attrition[[#This Row],[Department]]</f>
        <v>Life Sciences-Human Resources</v>
      </c>
      <c r="K945">
        <v>1</v>
      </c>
      <c r="L945">
        <v>1314</v>
      </c>
      <c r="M945">
        <v>4</v>
      </c>
      <c r="N945" t="s">
        <v>40</v>
      </c>
      <c r="O945">
        <v>44</v>
      </c>
      <c r="P945">
        <v>3</v>
      </c>
      <c r="Q945">
        <v>1</v>
      </c>
      <c r="R945" t="s">
        <v>62</v>
      </c>
      <c r="S945">
        <v>1</v>
      </c>
      <c r="T945" t="s">
        <v>42</v>
      </c>
      <c r="U945">
        <v>3423</v>
      </c>
      <c r="V945" t="str" cm="1">
        <f t="array" ref="V94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45">
        <v>22957</v>
      </c>
      <c r="X945">
        <v>6</v>
      </c>
      <c r="Y945" t="s">
        <v>43</v>
      </c>
      <c r="Z945" t="s">
        <v>44</v>
      </c>
      <c r="AA945">
        <v>12</v>
      </c>
      <c r="AB945">
        <v>3</v>
      </c>
      <c r="AC945">
        <v>3</v>
      </c>
      <c r="AD945">
        <v>80</v>
      </c>
      <c r="AE945">
        <v>0</v>
      </c>
      <c r="AF945">
        <v>10</v>
      </c>
      <c r="AG945">
        <v>3</v>
      </c>
      <c r="AH945">
        <v>4</v>
      </c>
      <c r="AI945">
        <v>7</v>
      </c>
      <c r="AJ945">
        <v>6</v>
      </c>
      <c r="AK945">
        <v>5</v>
      </c>
      <c r="AL945" t="str" cm="1">
        <f t="array" ref="AL94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45">
        <v>7</v>
      </c>
    </row>
    <row r="946" spans="1:39" x14ac:dyDescent="0.25">
      <c r="A946">
        <v>28</v>
      </c>
      <c r="B946" t="s">
        <v>44</v>
      </c>
      <c r="C946" t="s">
        <v>56</v>
      </c>
      <c r="D946">
        <v>1476</v>
      </c>
      <c r="E946" t="s">
        <v>46</v>
      </c>
      <c r="G946">
        <v>1</v>
      </c>
      <c r="H946">
        <v>3</v>
      </c>
      <c r="I946" t="s">
        <v>39</v>
      </c>
      <c r="J946" t="str">
        <f>WA_Fn_UseC__HR_Employee_Attrition[[#This Row],[EducationField]]&amp;"-"&amp;WA_Fn_UseC__HR_Employee_Attrition[[#This Row],[Department]]</f>
        <v>Life Sciences-Research &amp; Development</v>
      </c>
      <c r="K946">
        <v>1</v>
      </c>
      <c r="L946">
        <v>1315</v>
      </c>
      <c r="M946">
        <v>3</v>
      </c>
      <c r="N946" t="s">
        <v>40</v>
      </c>
      <c r="O946">
        <v>55</v>
      </c>
      <c r="P946">
        <v>1</v>
      </c>
      <c r="Q946">
        <v>2</v>
      </c>
      <c r="R946" t="s">
        <v>51</v>
      </c>
      <c r="S946">
        <v>4</v>
      </c>
      <c r="T946" t="s">
        <v>49</v>
      </c>
      <c r="U946">
        <v>6674</v>
      </c>
      <c r="V946" t="str" cm="1">
        <f t="array" ref="V94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46">
        <v>16392</v>
      </c>
      <c r="X946">
        <v>0</v>
      </c>
      <c r="Y946" t="s">
        <v>43</v>
      </c>
      <c r="Z946" t="s">
        <v>44</v>
      </c>
      <c r="AA946">
        <v>11</v>
      </c>
      <c r="AB946">
        <v>3</v>
      </c>
      <c r="AC946">
        <v>1</v>
      </c>
      <c r="AD946">
        <v>80</v>
      </c>
      <c r="AE946">
        <v>3</v>
      </c>
      <c r="AF946">
        <v>10</v>
      </c>
      <c r="AG946">
        <v>6</v>
      </c>
      <c r="AH946">
        <v>3</v>
      </c>
      <c r="AI946">
        <v>9</v>
      </c>
      <c r="AJ946">
        <v>8</v>
      </c>
      <c r="AK946">
        <v>7</v>
      </c>
      <c r="AL946" t="str" cm="1">
        <f t="array" ref="AL94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46">
        <v>5</v>
      </c>
    </row>
    <row r="947" spans="1:39" x14ac:dyDescent="0.25">
      <c r="A947">
        <v>50</v>
      </c>
      <c r="B947" t="s">
        <v>44</v>
      </c>
      <c r="C947" t="s">
        <v>37</v>
      </c>
      <c r="D947">
        <v>1322</v>
      </c>
      <c r="E947" t="s">
        <v>46</v>
      </c>
      <c r="G947">
        <v>28</v>
      </c>
      <c r="H947">
        <v>3</v>
      </c>
      <c r="I947" t="s">
        <v>39</v>
      </c>
      <c r="J947" t="str">
        <f>WA_Fn_UseC__HR_Employee_Attrition[[#This Row],[EducationField]]&amp;"-"&amp;WA_Fn_UseC__HR_Employee_Attrition[[#This Row],[Department]]</f>
        <v>Life Sciences-Research &amp; Development</v>
      </c>
      <c r="K947">
        <v>1</v>
      </c>
      <c r="L947">
        <v>1317</v>
      </c>
      <c r="M947">
        <v>4</v>
      </c>
      <c r="N947" t="s">
        <v>40</v>
      </c>
      <c r="O947">
        <v>43</v>
      </c>
      <c r="P947">
        <v>3</v>
      </c>
      <c r="Q947">
        <v>4</v>
      </c>
      <c r="R947" t="s">
        <v>59</v>
      </c>
      <c r="S947">
        <v>1</v>
      </c>
      <c r="T947" t="s">
        <v>49</v>
      </c>
      <c r="U947">
        <v>16880</v>
      </c>
      <c r="V947" t="str" cm="1">
        <f t="array" ref="V94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47">
        <v>22422</v>
      </c>
      <c r="X947">
        <v>4</v>
      </c>
      <c r="Y947" t="s">
        <v>43</v>
      </c>
      <c r="Z947" t="s">
        <v>36</v>
      </c>
      <c r="AA947">
        <v>11</v>
      </c>
      <c r="AB947">
        <v>3</v>
      </c>
      <c r="AC947">
        <v>2</v>
      </c>
      <c r="AD947">
        <v>80</v>
      </c>
      <c r="AE947">
        <v>0</v>
      </c>
      <c r="AF947">
        <v>25</v>
      </c>
      <c r="AG947">
        <v>2</v>
      </c>
      <c r="AH947">
        <v>3</v>
      </c>
      <c r="AI947">
        <v>3</v>
      </c>
      <c r="AJ947">
        <v>2</v>
      </c>
      <c r="AK947">
        <v>1</v>
      </c>
      <c r="AL947" t="str" cm="1">
        <f t="array" ref="AL94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47">
        <v>2</v>
      </c>
    </row>
    <row r="948" spans="1:39" x14ac:dyDescent="0.25">
      <c r="A948">
        <v>40</v>
      </c>
      <c r="B948" t="s">
        <v>36</v>
      </c>
      <c r="C948" t="s">
        <v>37</v>
      </c>
      <c r="D948">
        <v>299</v>
      </c>
      <c r="E948" t="s">
        <v>38</v>
      </c>
      <c r="G948">
        <v>25</v>
      </c>
      <c r="H948">
        <v>4</v>
      </c>
      <c r="I948" t="s">
        <v>60</v>
      </c>
      <c r="J948" t="str">
        <f>WA_Fn_UseC__HR_Employee_Attrition[[#This Row],[EducationField]]&amp;"-"&amp;WA_Fn_UseC__HR_Employee_Attrition[[#This Row],[Department]]</f>
        <v>Marketing-Sales</v>
      </c>
      <c r="K948">
        <v>1</v>
      </c>
      <c r="L948">
        <v>1318</v>
      </c>
      <c r="M948">
        <v>4</v>
      </c>
      <c r="N948" t="s">
        <v>47</v>
      </c>
      <c r="O948">
        <v>57</v>
      </c>
      <c r="P948">
        <v>2</v>
      </c>
      <c r="Q948">
        <v>3</v>
      </c>
      <c r="R948" t="s">
        <v>41</v>
      </c>
      <c r="S948">
        <v>2</v>
      </c>
      <c r="T948" t="s">
        <v>42</v>
      </c>
      <c r="U948">
        <v>9094</v>
      </c>
      <c r="V948" t="str" cm="1">
        <f t="array" ref="V94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48">
        <v>17235</v>
      </c>
      <c r="X948">
        <v>2</v>
      </c>
      <c r="Y948" t="s">
        <v>43</v>
      </c>
      <c r="Z948" t="s">
        <v>36</v>
      </c>
      <c r="AA948">
        <v>12</v>
      </c>
      <c r="AB948">
        <v>3</v>
      </c>
      <c r="AC948">
        <v>3</v>
      </c>
      <c r="AD948">
        <v>80</v>
      </c>
      <c r="AE948">
        <v>0</v>
      </c>
      <c r="AF948">
        <v>9</v>
      </c>
      <c r="AG948">
        <v>2</v>
      </c>
      <c r="AH948">
        <v>3</v>
      </c>
      <c r="AI948">
        <v>5</v>
      </c>
      <c r="AJ948">
        <v>4</v>
      </c>
      <c r="AK948">
        <v>1</v>
      </c>
      <c r="AL948" t="str" cm="1">
        <f t="array" ref="AL94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48">
        <v>0</v>
      </c>
    </row>
    <row r="949" spans="1:39" x14ac:dyDescent="0.25">
      <c r="A949">
        <v>52</v>
      </c>
      <c r="B949" t="s">
        <v>36</v>
      </c>
      <c r="C949" t="s">
        <v>37</v>
      </c>
      <c r="D949">
        <v>1030</v>
      </c>
      <c r="E949" t="s">
        <v>38</v>
      </c>
      <c r="G949">
        <v>5</v>
      </c>
      <c r="H949">
        <v>3</v>
      </c>
      <c r="I949" t="s">
        <v>39</v>
      </c>
      <c r="J949" t="str">
        <f>WA_Fn_UseC__HR_Employee_Attrition[[#This Row],[EducationField]]&amp;"-"&amp;WA_Fn_UseC__HR_Employee_Attrition[[#This Row],[Department]]</f>
        <v>Life Sciences-Sales</v>
      </c>
      <c r="K949">
        <v>1</v>
      </c>
      <c r="L949">
        <v>1319</v>
      </c>
      <c r="M949">
        <v>2</v>
      </c>
      <c r="N949" t="s">
        <v>47</v>
      </c>
      <c r="O949">
        <v>64</v>
      </c>
      <c r="P949">
        <v>3</v>
      </c>
      <c r="Q949">
        <v>3</v>
      </c>
      <c r="R949" t="s">
        <v>41</v>
      </c>
      <c r="S949">
        <v>2</v>
      </c>
      <c r="T949" t="s">
        <v>42</v>
      </c>
      <c r="U949">
        <v>8446</v>
      </c>
      <c r="V949" t="str" cm="1">
        <f t="array" ref="V94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49">
        <v>21534</v>
      </c>
      <c r="X949">
        <v>9</v>
      </c>
      <c r="Y949" t="s">
        <v>43</v>
      </c>
      <c r="Z949" t="s">
        <v>36</v>
      </c>
      <c r="AA949">
        <v>19</v>
      </c>
      <c r="AB949">
        <v>3</v>
      </c>
      <c r="AC949">
        <v>3</v>
      </c>
      <c r="AD949">
        <v>80</v>
      </c>
      <c r="AE949">
        <v>0</v>
      </c>
      <c r="AF949">
        <v>10</v>
      </c>
      <c r="AG949">
        <v>2</v>
      </c>
      <c r="AH949">
        <v>2</v>
      </c>
      <c r="AI949">
        <v>8</v>
      </c>
      <c r="AJ949">
        <v>7</v>
      </c>
      <c r="AK949">
        <v>7</v>
      </c>
      <c r="AL949" t="str" cm="1">
        <f t="array" ref="AL94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49">
        <v>7</v>
      </c>
    </row>
    <row r="950" spans="1:39" x14ac:dyDescent="0.25">
      <c r="A950">
        <v>30</v>
      </c>
      <c r="B950" t="s">
        <v>44</v>
      </c>
      <c r="C950" t="s">
        <v>37</v>
      </c>
      <c r="D950">
        <v>634</v>
      </c>
      <c r="E950" t="s">
        <v>46</v>
      </c>
      <c r="G950">
        <v>17</v>
      </c>
      <c r="H950">
        <v>4</v>
      </c>
      <c r="I950" t="s">
        <v>52</v>
      </c>
      <c r="J950" t="str">
        <f>WA_Fn_UseC__HR_Employee_Attrition[[#This Row],[EducationField]]&amp;"-"&amp;WA_Fn_UseC__HR_Employee_Attrition[[#This Row],[Department]]</f>
        <v>Medical-Research &amp; Development</v>
      </c>
      <c r="K950">
        <v>1</v>
      </c>
      <c r="L950">
        <v>1321</v>
      </c>
      <c r="M950">
        <v>2</v>
      </c>
      <c r="N950" t="s">
        <v>40</v>
      </c>
      <c r="O950">
        <v>95</v>
      </c>
      <c r="P950">
        <v>3</v>
      </c>
      <c r="Q950">
        <v>3</v>
      </c>
      <c r="R950" t="s">
        <v>57</v>
      </c>
      <c r="S950">
        <v>1</v>
      </c>
      <c r="T950" t="s">
        <v>49</v>
      </c>
      <c r="U950">
        <v>11916</v>
      </c>
      <c r="V950" t="str" cm="1">
        <f t="array" ref="V95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50">
        <v>25927</v>
      </c>
      <c r="X950">
        <v>1</v>
      </c>
      <c r="Y950" t="s">
        <v>43</v>
      </c>
      <c r="Z950" t="s">
        <v>36</v>
      </c>
      <c r="AA950">
        <v>23</v>
      </c>
      <c r="AB950">
        <v>4</v>
      </c>
      <c r="AC950">
        <v>4</v>
      </c>
      <c r="AD950">
        <v>80</v>
      </c>
      <c r="AE950">
        <v>2</v>
      </c>
      <c r="AF950">
        <v>9</v>
      </c>
      <c r="AG950">
        <v>2</v>
      </c>
      <c r="AH950">
        <v>3</v>
      </c>
      <c r="AI950">
        <v>9</v>
      </c>
      <c r="AJ950">
        <v>1</v>
      </c>
      <c r="AK950">
        <v>0</v>
      </c>
      <c r="AL950" t="str" cm="1">
        <f t="array" ref="AL95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50">
        <v>8</v>
      </c>
    </row>
    <row r="951" spans="1:39" x14ac:dyDescent="0.25">
      <c r="A951">
        <v>39</v>
      </c>
      <c r="B951" t="s">
        <v>44</v>
      </c>
      <c r="C951" t="s">
        <v>37</v>
      </c>
      <c r="D951">
        <v>524</v>
      </c>
      <c r="E951" t="s">
        <v>46</v>
      </c>
      <c r="G951">
        <v>18</v>
      </c>
      <c r="H951">
        <v>2</v>
      </c>
      <c r="I951" t="s">
        <v>39</v>
      </c>
      <c r="J951" t="str">
        <f>WA_Fn_UseC__HR_Employee_Attrition[[#This Row],[EducationField]]&amp;"-"&amp;WA_Fn_UseC__HR_Employee_Attrition[[#This Row],[Department]]</f>
        <v>Life Sciences-Research &amp; Development</v>
      </c>
      <c r="K951">
        <v>1</v>
      </c>
      <c r="L951">
        <v>1322</v>
      </c>
      <c r="M951">
        <v>1</v>
      </c>
      <c r="N951" t="s">
        <v>47</v>
      </c>
      <c r="O951">
        <v>32</v>
      </c>
      <c r="P951">
        <v>3</v>
      </c>
      <c r="Q951">
        <v>2</v>
      </c>
      <c r="R951" t="s">
        <v>54</v>
      </c>
      <c r="S951">
        <v>3</v>
      </c>
      <c r="T951" t="s">
        <v>42</v>
      </c>
      <c r="U951">
        <v>4534</v>
      </c>
      <c r="V951" t="str" cm="1">
        <f t="array" ref="V95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51">
        <v>13352</v>
      </c>
      <c r="X951">
        <v>0</v>
      </c>
      <c r="Y951" t="s">
        <v>43</v>
      </c>
      <c r="Z951" t="s">
        <v>44</v>
      </c>
      <c r="AA951">
        <v>11</v>
      </c>
      <c r="AB951">
        <v>3</v>
      </c>
      <c r="AC951">
        <v>1</v>
      </c>
      <c r="AD951">
        <v>80</v>
      </c>
      <c r="AE951">
        <v>0</v>
      </c>
      <c r="AF951">
        <v>9</v>
      </c>
      <c r="AG951">
        <v>6</v>
      </c>
      <c r="AH951">
        <v>3</v>
      </c>
      <c r="AI951">
        <v>8</v>
      </c>
      <c r="AJ951">
        <v>7</v>
      </c>
      <c r="AK951">
        <v>1</v>
      </c>
      <c r="AL951" t="str" cm="1">
        <f t="array" ref="AL95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51">
        <v>7</v>
      </c>
    </row>
    <row r="952" spans="1:39" x14ac:dyDescent="0.25">
      <c r="A952">
        <v>31</v>
      </c>
      <c r="B952" t="s">
        <v>44</v>
      </c>
      <c r="C952" t="s">
        <v>56</v>
      </c>
      <c r="D952">
        <v>587</v>
      </c>
      <c r="E952" t="s">
        <v>38</v>
      </c>
      <c r="G952">
        <v>2</v>
      </c>
      <c r="H952">
        <v>4</v>
      </c>
      <c r="I952" t="s">
        <v>39</v>
      </c>
      <c r="J952" t="str">
        <f>WA_Fn_UseC__HR_Employee_Attrition[[#This Row],[EducationField]]&amp;"-"&amp;WA_Fn_UseC__HR_Employee_Attrition[[#This Row],[Department]]</f>
        <v>Life Sciences-Sales</v>
      </c>
      <c r="K952">
        <v>1</v>
      </c>
      <c r="L952">
        <v>1324</v>
      </c>
      <c r="M952">
        <v>4</v>
      </c>
      <c r="N952" t="s">
        <v>40</v>
      </c>
      <c r="O952">
        <v>57</v>
      </c>
      <c r="P952">
        <v>3</v>
      </c>
      <c r="Q952">
        <v>3</v>
      </c>
      <c r="R952" t="s">
        <v>41</v>
      </c>
      <c r="S952">
        <v>3</v>
      </c>
      <c r="T952" t="s">
        <v>53</v>
      </c>
      <c r="U952">
        <v>9852</v>
      </c>
      <c r="V952" t="str" cm="1">
        <f t="array" ref="V95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52">
        <v>8935</v>
      </c>
      <c r="X952">
        <v>1</v>
      </c>
      <c r="Y952" t="s">
        <v>43</v>
      </c>
      <c r="Z952" t="s">
        <v>36</v>
      </c>
      <c r="AA952">
        <v>19</v>
      </c>
      <c r="AB952">
        <v>3</v>
      </c>
      <c r="AC952">
        <v>1</v>
      </c>
      <c r="AD952">
        <v>80</v>
      </c>
      <c r="AE952">
        <v>1</v>
      </c>
      <c r="AF952">
        <v>10</v>
      </c>
      <c r="AG952">
        <v>5</v>
      </c>
      <c r="AH952">
        <v>2</v>
      </c>
      <c r="AI952">
        <v>10</v>
      </c>
      <c r="AJ952">
        <v>8</v>
      </c>
      <c r="AK952">
        <v>9</v>
      </c>
      <c r="AL952" t="str" cm="1">
        <f t="array" ref="AL95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52">
        <v>6</v>
      </c>
    </row>
    <row r="953" spans="1:39" x14ac:dyDescent="0.25">
      <c r="A953">
        <v>41</v>
      </c>
      <c r="B953" t="s">
        <v>44</v>
      </c>
      <c r="C953" t="s">
        <v>56</v>
      </c>
      <c r="D953">
        <v>256</v>
      </c>
      <c r="E953" t="s">
        <v>38</v>
      </c>
      <c r="G953">
        <v>10</v>
      </c>
      <c r="H953">
        <v>2</v>
      </c>
      <c r="I953" t="s">
        <v>52</v>
      </c>
      <c r="J953" t="str">
        <f>WA_Fn_UseC__HR_Employee_Attrition[[#This Row],[EducationField]]&amp;"-"&amp;WA_Fn_UseC__HR_Employee_Attrition[[#This Row],[Department]]</f>
        <v>Medical-Sales</v>
      </c>
      <c r="K953">
        <v>1</v>
      </c>
      <c r="L953">
        <v>1329</v>
      </c>
      <c r="M953">
        <v>3</v>
      </c>
      <c r="N953" t="s">
        <v>47</v>
      </c>
      <c r="O953">
        <v>40</v>
      </c>
      <c r="P953">
        <v>1</v>
      </c>
      <c r="Q953">
        <v>2</v>
      </c>
      <c r="R953" t="s">
        <v>41</v>
      </c>
      <c r="S953">
        <v>2</v>
      </c>
      <c r="T953" t="s">
        <v>42</v>
      </c>
      <c r="U953">
        <v>6151</v>
      </c>
      <c r="V953" t="str" cm="1">
        <f t="array" ref="V95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53">
        <v>22074</v>
      </c>
      <c r="X953">
        <v>1</v>
      </c>
      <c r="Y953" t="s">
        <v>43</v>
      </c>
      <c r="Z953" t="s">
        <v>44</v>
      </c>
      <c r="AA953">
        <v>13</v>
      </c>
      <c r="AB953">
        <v>3</v>
      </c>
      <c r="AC953">
        <v>1</v>
      </c>
      <c r="AD953">
        <v>80</v>
      </c>
      <c r="AE953">
        <v>0</v>
      </c>
      <c r="AF953">
        <v>19</v>
      </c>
      <c r="AG953">
        <v>4</v>
      </c>
      <c r="AH953">
        <v>3</v>
      </c>
      <c r="AI953">
        <v>19</v>
      </c>
      <c r="AJ953">
        <v>2</v>
      </c>
      <c r="AK953">
        <v>11</v>
      </c>
      <c r="AL953" t="str" cm="1">
        <f t="array" ref="AL95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53">
        <v>9</v>
      </c>
    </row>
    <row r="954" spans="1:39" x14ac:dyDescent="0.25">
      <c r="A954">
        <v>31</v>
      </c>
      <c r="B954" t="s">
        <v>36</v>
      </c>
      <c r="C954" t="s">
        <v>45</v>
      </c>
      <c r="D954">
        <v>1060</v>
      </c>
      <c r="E954" t="s">
        <v>38</v>
      </c>
      <c r="G954">
        <v>1</v>
      </c>
      <c r="H954">
        <v>3</v>
      </c>
      <c r="I954" t="s">
        <v>39</v>
      </c>
      <c r="J954" t="str">
        <f>WA_Fn_UseC__HR_Employee_Attrition[[#This Row],[EducationField]]&amp;"-"&amp;WA_Fn_UseC__HR_Employee_Attrition[[#This Row],[Department]]</f>
        <v>Life Sciences-Sales</v>
      </c>
      <c r="K954">
        <v>1</v>
      </c>
      <c r="L954">
        <v>1331</v>
      </c>
      <c r="M954">
        <v>4</v>
      </c>
      <c r="N954" t="s">
        <v>40</v>
      </c>
      <c r="O954">
        <v>54</v>
      </c>
      <c r="P954">
        <v>3</v>
      </c>
      <c r="Q954">
        <v>1</v>
      </c>
      <c r="R954" t="s">
        <v>58</v>
      </c>
      <c r="S954">
        <v>2</v>
      </c>
      <c r="T954" t="s">
        <v>42</v>
      </c>
      <c r="U954">
        <v>2302</v>
      </c>
      <c r="V954" t="str" cm="1">
        <f t="array" ref="V95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54">
        <v>8319</v>
      </c>
      <c r="X954">
        <v>1</v>
      </c>
      <c r="Y954" t="s">
        <v>43</v>
      </c>
      <c r="Z954" t="s">
        <v>36</v>
      </c>
      <c r="AA954">
        <v>11</v>
      </c>
      <c r="AB954">
        <v>3</v>
      </c>
      <c r="AC954">
        <v>1</v>
      </c>
      <c r="AD954">
        <v>80</v>
      </c>
      <c r="AE954">
        <v>0</v>
      </c>
      <c r="AF954">
        <v>3</v>
      </c>
      <c r="AG954">
        <v>2</v>
      </c>
      <c r="AH954">
        <v>4</v>
      </c>
      <c r="AI954">
        <v>3</v>
      </c>
      <c r="AJ954">
        <v>2</v>
      </c>
      <c r="AK954">
        <v>2</v>
      </c>
      <c r="AL954" t="str" cm="1">
        <f t="array" ref="AL95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54">
        <v>2</v>
      </c>
    </row>
    <row r="955" spans="1:39" x14ac:dyDescent="0.25">
      <c r="A955">
        <v>44</v>
      </c>
      <c r="B955" t="s">
        <v>36</v>
      </c>
      <c r="C955" t="s">
        <v>37</v>
      </c>
      <c r="D955">
        <v>935</v>
      </c>
      <c r="E955" t="s">
        <v>46</v>
      </c>
      <c r="G955">
        <v>3</v>
      </c>
      <c r="H955">
        <v>3</v>
      </c>
      <c r="I955" t="s">
        <v>39</v>
      </c>
      <c r="J955" t="str">
        <f>WA_Fn_UseC__HR_Employee_Attrition[[#This Row],[EducationField]]&amp;"-"&amp;WA_Fn_UseC__HR_Employee_Attrition[[#This Row],[Department]]</f>
        <v>Life Sciences-Research &amp; Development</v>
      </c>
      <c r="K955">
        <v>1</v>
      </c>
      <c r="L955">
        <v>1333</v>
      </c>
      <c r="M955">
        <v>1</v>
      </c>
      <c r="N955" t="s">
        <v>47</v>
      </c>
      <c r="O955">
        <v>89</v>
      </c>
      <c r="P955">
        <v>3</v>
      </c>
      <c r="Q955">
        <v>1</v>
      </c>
      <c r="R955" t="s">
        <v>51</v>
      </c>
      <c r="S955">
        <v>1</v>
      </c>
      <c r="T955" t="s">
        <v>49</v>
      </c>
      <c r="U955">
        <v>2362</v>
      </c>
      <c r="V955" t="str" cm="1">
        <f t="array" ref="V95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55">
        <v>14669</v>
      </c>
      <c r="X955">
        <v>4</v>
      </c>
      <c r="Y955" t="s">
        <v>43</v>
      </c>
      <c r="Z955" t="s">
        <v>44</v>
      </c>
      <c r="AA955">
        <v>12</v>
      </c>
      <c r="AB955">
        <v>3</v>
      </c>
      <c r="AC955">
        <v>3</v>
      </c>
      <c r="AD955">
        <v>80</v>
      </c>
      <c r="AE955">
        <v>0</v>
      </c>
      <c r="AF955">
        <v>10</v>
      </c>
      <c r="AG955">
        <v>4</v>
      </c>
      <c r="AH955">
        <v>4</v>
      </c>
      <c r="AI955">
        <v>3</v>
      </c>
      <c r="AJ955">
        <v>2</v>
      </c>
      <c r="AK955">
        <v>1</v>
      </c>
      <c r="AL955" t="str" cm="1">
        <f t="array" ref="AL95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55">
        <v>2</v>
      </c>
    </row>
    <row r="956" spans="1:39" x14ac:dyDescent="0.25">
      <c r="A956">
        <v>42</v>
      </c>
      <c r="B956" t="s">
        <v>44</v>
      </c>
      <c r="C956" t="s">
        <v>56</v>
      </c>
      <c r="D956">
        <v>495</v>
      </c>
      <c r="E956" t="s">
        <v>46</v>
      </c>
      <c r="G956">
        <v>2</v>
      </c>
      <c r="H956">
        <v>1</v>
      </c>
      <c r="I956" t="s">
        <v>39</v>
      </c>
      <c r="J956" t="str">
        <f>WA_Fn_UseC__HR_Employee_Attrition[[#This Row],[EducationField]]&amp;"-"&amp;WA_Fn_UseC__HR_Employee_Attrition[[#This Row],[Department]]</f>
        <v>Life Sciences-Research &amp; Development</v>
      </c>
      <c r="K956">
        <v>1</v>
      </c>
      <c r="L956">
        <v>1334</v>
      </c>
      <c r="M956">
        <v>3</v>
      </c>
      <c r="N956" t="s">
        <v>47</v>
      </c>
      <c r="O956">
        <v>37</v>
      </c>
      <c r="P956">
        <v>3</v>
      </c>
      <c r="Q956">
        <v>4</v>
      </c>
      <c r="R956" t="s">
        <v>57</v>
      </c>
      <c r="S956">
        <v>3</v>
      </c>
      <c r="T956" t="s">
        <v>49</v>
      </c>
      <c r="U956">
        <v>17861</v>
      </c>
      <c r="V956" t="str" cm="1">
        <f t="array" ref="V95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56">
        <v>26582</v>
      </c>
      <c r="X956">
        <v>0</v>
      </c>
      <c r="Y956" t="s">
        <v>43</v>
      </c>
      <c r="Z956" t="s">
        <v>36</v>
      </c>
      <c r="AA956">
        <v>13</v>
      </c>
      <c r="AB956">
        <v>3</v>
      </c>
      <c r="AC956">
        <v>4</v>
      </c>
      <c r="AD956">
        <v>80</v>
      </c>
      <c r="AE956">
        <v>0</v>
      </c>
      <c r="AF956">
        <v>21</v>
      </c>
      <c r="AG956">
        <v>3</v>
      </c>
      <c r="AH956">
        <v>2</v>
      </c>
      <c r="AI956">
        <v>20</v>
      </c>
      <c r="AJ956">
        <v>8</v>
      </c>
      <c r="AK956">
        <v>2</v>
      </c>
      <c r="AL956" t="str" cm="1">
        <f t="array" ref="AL95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56">
        <v>10</v>
      </c>
    </row>
    <row r="957" spans="1:39" x14ac:dyDescent="0.25">
      <c r="A957">
        <v>55</v>
      </c>
      <c r="B957" t="s">
        <v>44</v>
      </c>
      <c r="C957" t="s">
        <v>37</v>
      </c>
      <c r="D957">
        <v>282</v>
      </c>
      <c r="E957" t="s">
        <v>46</v>
      </c>
      <c r="G957">
        <v>2</v>
      </c>
      <c r="H957">
        <v>2</v>
      </c>
      <c r="I957" t="s">
        <v>52</v>
      </c>
      <c r="J957" t="str">
        <f>WA_Fn_UseC__HR_Employee_Attrition[[#This Row],[EducationField]]&amp;"-"&amp;WA_Fn_UseC__HR_Employee_Attrition[[#This Row],[Department]]</f>
        <v>Medical-Research &amp; Development</v>
      </c>
      <c r="K957">
        <v>1</v>
      </c>
      <c r="L957">
        <v>1336</v>
      </c>
      <c r="M957">
        <v>4</v>
      </c>
      <c r="N957" t="s">
        <v>40</v>
      </c>
      <c r="O957">
        <v>58</v>
      </c>
      <c r="P957">
        <v>1</v>
      </c>
      <c r="Q957">
        <v>5</v>
      </c>
      <c r="R957" t="s">
        <v>57</v>
      </c>
      <c r="S957">
        <v>3</v>
      </c>
      <c r="T957" t="s">
        <v>49</v>
      </c>
      <c r="U957">
        <v>19187</v>
      </c>
      <c r="V957" t="str" cm="1">
        <f t="array" ref="V95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57">
        <v>6992</v>
      </c>
      <c r="X957">
        <v>4</v>
      </c>
      <c r="Y957" t="s">
        <v>43</v>
      </c>
      <c r="Z957" t="s">
        <v>44</v>
      </c>
      <c r="AA957">
        <v>14</v>
      </c>
      <c r="AB957">
        <v>3</v>
      </c>
      <c r="AC957">
        <v>4</v>
      </c>
      <c r="AD957">
        <v>80</v>
      </c>
      <c r="AE957">
        <v>1</v>
      </c>
      <c r="AF957">
        <v>23</v>
      </c>
      <c r="AG957">
        <v>5</v>
      </c>
      <c r="AH957">
        <v>3</v>
      </c>
      <c r="AI957">
        <v>19</v>
      </c>
      <c r="AJ957">
        <v>9</v>
      </c>
      <c r="AK957">
        <v>9</v>
      </c>
      <c r="AL957" t="str" cm="1">
        <f t="array" ref="AL95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57">
        <v>11</v>
      </c>
    </row>
    <row r="958" spans="1:39" x14ac:dyDescent="0.25">
      <c r="A958">
        <v>56</v>
      </c>
      <c r="B958" t="s">
        <v>44</v>
      </c>
      <c r="C958" t="s">
        <v>37</v>
      </c>
      <c r="D958">
        <v>206</v>
      </c>
      <c r="E958" t="s">
        <v>62</v>
      </c>
      <c r="G958">
        <v>8</v>
      </c>
      <c r="H958">
        <v>4</v>
      </c>
      <c r="I958" t="s">
        <v>39</v>
      </c>
      <c r="J958" t="str">
        <f>WA_Fn_UseC__HR_Employee_Attrition[[#This Row],[EducationField]]&amp;"-"&amp;WA_Fn_UseC__HR_Employee_Attrition[[#This Row],[Department]]</f>
        <v>Life Sciences-Human Resources</v>
      </c>
      <c r="K958">
        <v>1</v>
      </c>
      <c r="L958">
        <v>1338</v>
      </c>
      <c r="M958">
        <v>4</v>
      </c>
      <c r="N958" t="s">
        <v>47</v>
      </c>
      <c r="O958">
        <v>99</v>
      </c>
      <c r="P958">
        <v>3</v>
      </c>
      <c r="Q958">
        <v>5</v>
      </c>
      <c r="R958" t="s">
        <v>57</v>
      </c>
      <c r="S958">
        <v>2</v>
      </c>
      <c r="T958" t="s">
        <v>42</v>
      </c>
      <c r="U958">
        <v>19717</v>
      </c>
      <c r="V958" t="str" cm="1">
        <f t="array" ref="V95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58">
        <v>4022</v>
      </c>
      <c r="X958">
        <v>6</v>
      </c>
      <c r="Y958" t="s">
        <v>43</v>
      </c>
      <c r="Z958" t="s">
        <v>44</v>
      </c>
      <c r="AA958">
        <v>14</v>
      </c>
      <c r="AB958">
        <v>3</v>
      </c>
      <c r="AC958">
        <v>1</v>
      </c>
      <c r="AD958">
        <v>80</v>
      </c>
      <c r="AE958">
        <v>0</v>
      </c>
      <c r="AF958">
        <v>36</v>
      </c>
      <c r="AG958">
        <v>4</v>
      </c>
      <c r="AH958">
        <v>3</v>
      </c>
      <c r="AI958">
        <v>7</v>
      </c>
      <c r="AJ958">
        <v>3</v>
      </c>
      <c r="AK958">
        <v>7</v>
      </c>
      <c r="AL958" t="str" cm="1">
        <f t="array" ref="AL95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58">
        <v>7</v>
      </c>
    </row>
    <row r="959" spans="1:39" x14ac:dyDescent="0.25">
      <c r="A959">
        <v>40</v>
      </c>
      <c r="B959" t="s">
        <v>44</v>
      </c>
      <c r="C959" t="s">
        <v>56</v>
      </c>
      <c r="D959">
        <v>458</v>
      </c>
      <c r="E959" t="s">
        <v>46</v>
      </c>
      <c r="G959">
        <v>16</v>
      </c>
      <c r="H959">
        <v>2</v>
      </c>
      <c r="I959" t="s">
        <v>39</v>
      </c>
      <c r="J959" t="str">
        <f>WA_Fn_UseC__HR_Employee_Attrition[[#This Row],[EducationField]]&amp;"-"&amp;WA_Fn_UseC__HR_Employee_Attrition[[#This Row],[Department]]</f>
        <v>Life Sciences-Research &amp; Development</v>
      </c>
      <c r="K959">
        <v>1</v>
      </c>
      <c r="L959">
        <v>1340</v>
      </c>
      <c r="M959">
        <v>3</v>
      </c>
      <c r="N959" t="s">
        <v>47</v>
      </c>
      <c r="O959">
        <v>74</v>
      </c>
      <c r="P959">
        <v>3</v>
      </c>
      <c r="Q959">
        <v>1</v>
      </c>
      <c r="R959" t="s">
        <v>48</v>
      </c>
      <c r="S959">
        <v>3</v>
      </c>
      <c r="T959" t="s">
        <v>53</v>
      </c>
      <c r="U959">
        <v>3544</v>
      </c>
      <c r="V959" t="str" cm="1">
        <f t="array" ref="V95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59">
        <v>8532</v>
      </c>
      <c r="X959">
        <v>9</v>
      </c>
      <c r="Y959" t="s">
        <v>43</v>
      </c>
      <c r="Z959" t="s">
        <v>44</v>
      </c>
      <c r="AA959">
        <v>16</v>
      </c>
      <c r="AB959">
        <v>3</v>
      </c>
      <c r="AC959">
        <v>2</v>
      </c>
      <c r="AD959">
        <v>80</v>
      </c>
      <c r="AE959">
        <v>1</v>
      </c>
      <c r="AF959">
        <v>6</v>
      </c>
      <c r="AG959">
        <v>0</v>
      </c>
      <c r="AH959">
        <v>3</v>
      </c>
      <c r="AI959">
        <v>4</v>
      </c>
      <c r="AJ959">
        <v>2</v>
      </c>
      <c r="AK959">
        <v>0</v>
      </c>
      <c r="AL959" t="str" cm="1">
        <f t="array" ref="AL95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59">
        <v>0</v>
      </c>
    </row>
    <row r="960" spans="1:39" x14ac:dyDescent="0.25">
      <c r="A960">
        <v>34</v>
      </c>
      <c r="B960" t="s">
        <v>44</v>
      </c>
      <c r="C960" t="s">
        <v>37</v>
      </c>
      <c r="D960">
        <v>943</v>
      </c>
      <c r="E960" t="s">
        <v>46</v>
      </c>
      <c r="G960">
        <v>9</v>
      </c>
      <c r="H960">
        <v>3</v>
      </c>
      <c r="I960" t="s">
        <v>39</v>
      </c>
      <c r="J960" t="str">
        <f>WA_Fn_UseC__HR_Employee_Attrition[[#This Row],[EducationField]]&amp;"-"&amp;WA_Fn_UseC__HR_Employee_Attrition[[#This Row],[Department]]</f>
        <v>Life Sciences-Research &amp; Development</v>
      </c>
      <c r="K960">
        <v>1</v>
      </c>
      <c r="L960">
        <v>1344</v>
      </c>
      <c r="M960">
        <v>4</v>
      </c>
      <c r="N960" t="s">
        <v>47</v>
      </c>
      <c r="O960">
        <v>86</v>
      </c>
      <c r="P960">
        <v>3</v>
      </c>
      <c r="Q960">
        <v>3</v>
      </c>
      <c r="R960" t="s">
        <v>55</v>
      </c>
      <c r="S960">
        <v>4</v>
      </c>
      <c r="T960" t="s">
        <v>53</v>
      </c>
      <c r="U960">
        <v>8500</v>
      </c>
      <c r="V960" t="str" cm="1">
        <f t="array" ref="V96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60">
        <v>5494</v>
      </c>
      <c r="X960">
        <v>0</v>
      </c>
      <c r="Y960" t="s">
        <v>43</v>
      </c>
      <c r="Z960" t="s">
        <v>44</v>
      </c>
      <c r="AA960">
        <v>11</v>
      </c>
      <c r="AB960">
        <v>3</v>
      </c>
      <c r="AC960">
        <v>4</v>
      </c>
      <c r="AD960">
        <v>80</v>
      </c>
      <c r="AE960">
        <v>1</v>
      </c>
      <c r="AF960">
        <v>10</v>
      </c>
      <c r="AG960">
        <v>0</v>
      </c>
      <c r="AH960">
        <v>2</v>
      </c>
      <c r="AI960">
        <v>9</v>
      </c>
      <c r="AJ960">
        <v>7</v>
      </c>
      <c r="AK960">
        <v>1</v>
      </c>
      <c r="AL960" t="str" cm="1">
        <f t="array" ref="AL96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60">
        <v>6</v>
      </c>
    </row>
    <row r="961" spans="1:39" x14ac:dyDescent="0.25">
      <c r="A961">
        <v>40</v>
      </c>
      <c r="B961" t="s">
        <v>44</v>
      </c>
      <c r="C961" t="s">
        <v>37</v>
      </c>
      <c r="D961">
        <v>523</v>
      </c>
      <c r="E961" t="s">
        <v>46</v>
      </c>
      <c r="G961">
        <v>2</v>
      </c>
      <c r="H961">
        <v>3</v>
      </c>
      <c r="I961" t="s">
        <v>39</v>
      </c>
      <c r="J961" t="str">
        <f>WA_Fn_UseC__HR_Employee_Attrition[[#This Row],[EducationField]]&amp;"-"&amp;WA_Fn_UseC__HR_Employee_Attrition[[#This Row],[Department]]</f>
        <v>Life Sciences-Research &amp; Development</v>
      </c>
      <c r="K961">
        <v>1</v>
      </c>
      <c r="L961">
        <v>1346</v>
      </c>
      <c r="M961">
        <v>3</v>
      </c>
      <c r="N961" t="s">
        <v>47</v>
      </c>
      <c r="O961">
        <v>98</v>
      </c>
      <c r="P961">
        <v>3</v>
      </c>
      <c r="Q961">
        <v>2</v>
      </c>
      <c r="R961" t="s">
        <v>48</v>
      </c>
      <c r="S961">
        <v>4</v>
      </c>
      <c r="T961" t="s">
        <v>42</v>
      </c>
      <c r="U961">
        <v>4661</v>
      </c>
      <c r="V961" t="str" cm="1">
        <f t="array" ref="V96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61">
        <v>22455</v>
      </c>
      <c r="X961">
        <v>1</v>
      </c>
      <c r="Y961" t="s">
        <v>43</v>
      </c>
      <c r="Z961" t="s">
        <v>44</v>
      </c>
      <c r="AA961">
        <v>13</v>
      </c>
      <c r="AB961">
        <v>3</v>
      </c>
      <c r="AC961">
        <v>3</v>
      </c>
      <c r="AD961">
        <v>80</v>
      </c>
      <c r="AE961">
        <v>0</v>
      </c>
      <c r="AF961">
        <v>9</v>
      </c>
      <c r="AG961">
        <v>4</v>
      </c>
      <c r="AH961">
        <v>3</v>
      </c>
      <c r="AI961">
        <v>9</v>
      </c>
      <c r="AJ961">
        <v>8</v>
      </c>
      <c r="AK961">
        <v>8</v>
      </c>
      <c r="AL961" t="str" cm="1">
        <f t="array" ref="AL96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61">
        <v>8</v>
      </c>
    </row>
    <row r="962" spans="1:39" x14ac:dyDescent="0.25">
      <c r="A962">
        <v>41</v>
      </c>
      <c r="B962" t="s">
        <v>44</v>
      </c>
      <c r="C962" t="s">
        <v>45</v>
      </c>
      <c r="D962">
        <v>1018</v>
      </c>
      <c r="E962" t="s">
        <v>38</v>
      </c>
      <c r="G962">
        <v>1</v>
      </c>
      <c r="H962">
        <v>3</v>
      </c>
      <c r="I962" t="s">
        <v>60</v>
      </c>
      <c r="J962" t="str">
        <f>WA_Fn_UseC__HR_Employee_Attrition[[#This Row],[EducationField]]&amp;"-"&amp;WA_Fn_UseC__HR_Employee_Attrition[[#This Row],[Department]]</f>
        <v>Marketing-Sales</v>
      </c>
      <c r="K962">
        <v>1</v>
      </c>
      <c r="L962">
        <v>1349</v>
      </c>
      <c r="M962">
        <v>3</v>
      </c>
      <c r="N962" t="s">
        <v>40</v>
      </c>
      <c r="O962">
        <v>66</v>
      </c>
      <c r="P962">
        <v>3</v>
      </c>
      <c r="Q962">
        <v>2</v>
      </c>
      <c r="R962" t="s">
        <v>41</v>
      </c>
      <c r="S962">
        <v>1</v>
      </c>
      <c r="T962" t="s">
        <v>53</v>
      </c>
      <c r="U962">
        <v>4103</v>
      </c>
      <c r="V962" t="str" cm="1">
        <f t="array" ref="V96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62">
        <v>4297</v>
      </c>
      <c r="X962">
        <v>0</v>
      </c>
      <c r="Y962" t="s">
        <v>43</v>
      </c>
      <c r="Z962" t="s">
        <v>44</v>
      </c>
      <c r="AA962">
        <v>17</v>
      </c>
      <c r="AB962">
        <v>3</v>
      </c>
      <c r="AC962">
        <v>4</v>
      </c>
      <c r="AD962">
        <v>80</v>
      </c>
      <c r="AE962">
        <v>1</v>
      </c>
      <c r="AF962">
        <v>10</v>
      </c>
      <c r="AG962">
        <v>2</v>
      </c>
      <c r="AH962">
        <v>3</v>
      </c>
      <c r="AI962">
        <v>9</v>
      </c>
      <c r="AJ962">
        <v>3</v>
      </c>
      <c r="AK962">
        <v>1</v>
      </c>
      <c r="AL962" t="str" cm="1">
        <f t="array" ref="AL96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62">
        <v>7</v>
      </c>
    </row>
    <row r="963" spans="1:39" x14ac:dyDescent="0.25">
      <c r="A963">
        <v>35</v>
      </c>
      <c r="B963" t="s">
        <v>44</v>
      </c>
      <c r="C963" t="s">
        <v>45</v>
      </c>
      <c r="D963">
        <v>482</v>
      </c>
      <c r="E963" t="s">
        <v>46</v>
      </c>
      <c r="G963">
        <v>4</v>
      </c>
      <c r="H963">
        <v>4</v>
      </c>
      <c r="I963" t="s">
        <v>39</v>
      </c>
      <c r="J963" t="str">
        <f>WA_Fn_UseC__HR_Employee_Attrition[[#This Row],[EducationField]]&amp;"-"&amp;WA_Fn_UseC__HR_Employee_Attrition[[#This Row],[Department]]</f>
        <v>Life Sciences-Research &amp; Development</v>
      </c>
      <c r="K963">
        <v>1</v>
      </c>
      <c r="L963">
        <v>1350</v>
      </c>
      <c r="M963">
        <v>3</v>
      </c>
      <c r="N963" t="s">
        <v>47</v>
      </c>
      <c r="O963">
        <v>87</v>
      </c>
      <c r="P963">
        <v>3</v>
      </c>
      <c r="Q963">
        <v>2</v>
      </c>
      <c r="R963" t="s">
        <v>48</v>
      </c>
      <c r="S963">
        <v>3</v>
      </c>
      <c r="T963" t="s">
        <v>42</v>
      </c>
      <c r="U963">
        <v>4249</v>
      </c>
      <c r="V963" t="str" cm="1">
        <f t="array" ref="V96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63">
        <v>2690</v>
      </c>
      <c r="X963">
        <v>1</v>
      </c>
      <c r="Y963" t="s">
        <v>43</v>
      </c>
      <c r="Z963" t="s">
        <v>36</v>
      </c>
      <c r="AA963">
        <v>11</v>
      </c>
      <c r="AB963">
        <v>3</v>
      </c>
      <c r="AC963">
        <v>2</v>
      </c>
      <c r="AD963">
        <v>80</v>
      </c>
      <c r="AE963">
        <v>0</v>
      </c>
      <c r="AF963">
        <v>9</v>
      </c>
      <c r="AG963">
        <v>3</v>
      </c>
      <c r="AH963">
        <v>3</v>
      </c>
      <c r="AI963">
        <v>9</v>
      </c>
      <c r="AJ963">
        <v>6</v>
      </c>
      <c r="AK963">
        <v>1</v>
      </c>
      <c r="AL963" t="str" cm="1">
        <f t="array" ref="AL96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63">
        <v>1</v>
      </c>
    </row>
    <row r="964" spans="1:39" x14ac:dyDescent="0.25">
      <c r="A964">
        <v>51</v>
      </c>
      <c r="B964" t="s">
        <v>44</v>
      </c>
      <c r="C964" t="s">
        <v>37</v>
      </c>
      <c r="D964">
        <v>770</v>
      </c>
      <c r="E964" t="s">
        <v>62</v>
      </c>
      <c r="G964">
        <v>5</v>
      </c>
      <c r="H964">
        <v>3</v>
      </c>
      <c r="I964" t="s">
        <v>39</v>
      </c>
      <c r="J964" t="str">
        <f>WA_Fn_UseC__HR_Employee_Attrition[[#This Row],[EducationField]]&amp;"-"&amp;WA_Fn_UseC__HR_Employee_Attrition[[#This Row],[Department]]</f>
        <v>Life Sciences-Human Resources</v>
      </c>
      <c r="K964">
        <v>1</v>
      </c>
      <c r="L964">
        <v>1352</v>
      </c>
      <c r="M964">
        <v>3</v>
      </c>
      <c r="N964" t="s">
        <v>47</v>
      </c>
      <c r="O964">
        <v>84</v>
      </c>
      <c r="P964">
        <v>3</v>
      </c>
      <c r="Q964">
        <v>4</v>
      </c>
      <c r="R964" t="s">
        <v>57</v>
      </c>
      <c r="S964">
        <v>2</v>
      </c>
      <c r="T964" t="s">
        <v>53</v>
      </c>
      <c r="U964">
        <v>14026</v>
      </c>
      <c r="V964" t="str" cm="1">
        <f t="array" ref="V96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64">
        <v>17588</v>
      </c>
      <c r="X964">
        <v>1</v>
      </c>
      <c r="Y964" t="s">
        <v>43</v>
      </c>
      <c r="Z964" t="s">
        <v>36</v>
      </c>
      <c r="AA964">
        <v>11</v>
      </c>
      <c r="AB964">
        <v>3</v>
      </c>
      <c r="AC964">
        <v>2</v>
      </c>
      <c r="AD964">
        <v>80</v>
      </c>
      <c r="AE964">
        <v>1</v>
      </c>
      <c r="AF964">
        <v>33</v>
      </c>
      <c r="AG964">
        <v>2</v>
      </c>
      <c r="AH964">
        <v>3</v>
      </c>
      <c r="AI964">
        <v>33</v>
      </c>
      <c r="AJ964">
        <v>9</v>
      </c>
      <c r="AK964">
        <v>0</v>
      </c>
      <c r="AL964" t="str" cm="1">
        <f t="array" ref="AL96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64">
        <v>10</v>
      </c>
    </row>
    <row r="965" spans="1:39" x14ac:dyDescent="0.25">
      <c r="A965">
        <v>38</v>
      </c>
      <c r="B965" t="s">
        <v>44</v>
      </c>
      <c r="C965" t="s">
        <v>37</v>
      </c>
      <c r="D965">
        <v>1009</v>
      </c>
      <c r="E965" t="s">
        <v>38</v>
      </c>
      <c r="G965">
        <v>2</v>
      </c>
      <c r="H965">
        <v>2</v>
      </c>
      <c r="I965" t="s">
        <v>39</v>
      </c>
      <c r="J965" t="str">
        <f>WA_Fn_UseC__HR_Employee_Attrition[[#This Row],[EducationField]]&amp;"-"&amp;WA_Fn_UseC__HR_Employee_Attrition[[#This Row],[Department]]</f>
        <v>Life Sciences-Sales</v>
      </c>
      <c r="K965">
        <v>1</v>
      </c>
      <c r="L965">
        <v>1355</v>
      </c>
      <c r="M965">
        <v>2</v>
      </c>
      <c r="N965" t="s">
        <v>40</v>
      </c>
      <c r="O965">
        <v>31</v>
      </c>
      <c r="P965">
        <v>3</v>
      </c>
      <c r="Q965">
        <v>2</v>
      </c>
      <c r="R965" t="s">
        <v>41</v>
      </c>
      <c r="S965">
        <v>1</v>
      </c>
      <c r="T965" t="s">
        <v>53</v>
      </c>
      <c r="U965">
        <v>6893</v>
      </c>
      <c r="V965" t="str" cm="1">
        <f t="array" ref="V96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65">
        <v>19461</v>
      </c>
      <c r="X965">
        <v>3</v>
      </c>
      <c r="Y965" t="s">
        <v>43</v>
      </c>
      <c r="Z965" t="s">
        <v>44</v>
      </c>
      <c r="AA965">
        <v>15</v>
      </c>
      <c r="AB965">
        <v>3</v>
      </c>
      <c r="AC965">
        <v>4</v>
      </c>
      <c r="AD965">
        <v>80</v>
      </c>
      <c r="AE965">
        <v>1</v>
      </c>
      <c r="AF965">
        <v>11</v>
      </c>
      <c r="AG965">
        <v>3</v>
      </c>
      <c r="AH965">
        <v>3</v>
      </c>
      <c r="AI965">
        <v>7</v>
      </c>
      <c r="AJ965">
        <v>7</v>
      </c>
      <c r="AK965">
        <v>1</v>
      </c>
      <c r="AL965" t="str" cm="1">
        <f t="array" ref="AL96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65">
        <v>7</v>
      </c>
    </row>
    <row r="966" spans="1:39" x14ac:dyDescent="0.25">
      <c r="A966">
        <v>34</v>
      </c>
      <c r="B966" t="s">
        <v>44</v>
      </c>
      <c r="C966" t="s">
        <v>37</v>
      </c>
      <c r="D966">
        <v>507</v>
      </c>
      <c r="E966" t="s">
        <v>38</v>
      </c>
      <c r="G966">
        <v>15</v>
      </c>
      <c r="H966">
        <v>2</v>
      </c>
      <c r="I966" t="s">
        <v>52</v>
      </c>
      <c r="J966" t="str">
        <f>WA_Fn_UseC__HR_Employee_Attrition[[#This Row],[EducationField]]&amp;"-"&amp;WA_Fn_UseC__HR_Employee_Attrition[[#This Row],[Department]]</f>
        <v>Medical-Sales</v>
      </c>
      <c r="K966">
        <v>1</v>
      </c>
      <c r="L966">
        <v>1356</v>
      </c>
      <c r="M966">
        <v>3</v>
      </c>
      <c r="N966" t="s">
        <v>40</v>
      </c>
      <c r="O966">
        <v>66</v>
      </c>
      <c r="P966">
        <v>3</v>
      </c>
      <c r="Q966">
        <v>2</v>
      </c>
      <c r="R966" t="s">
        <v>41</v>
      </c>
      <c r="S966">
        <v>1</v>
      </c>
      <c r="T966" t="s">
        <v>42</v>
      </c>
      <c r="U966">
        <v>6125</v>
      </c>
      <c r="V966" t="str" cm="1">
        <f t="array" ref="V96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66">
        <v>23553</v>
      </c>
      <c r="X966">
        <v>1</v>
      </c>
      <c r="Y966" t="s">
        <v>43</v>
      </c>
      <c r="Z966" t="s">
        <v>44</v>
      </c>
      <c r="AA966">
        <v>12</v>
      </c>
      <c r="AB966">
        <v>3</v>
      </c>
      <c r="AC966">
        <v>4</v>
      </c>
      <c r="AD966">
        <v>80</v>
      </c>
      <c r="AE966">
        <v>0</v>
      </c>
      <c r="AF966">
        <v>10</v>
      </c>
      <c r="AG966">
        <v>6</v>
      </c>
      <c r="AH966">
        <v>4</v>
      </c>
      <c r="AI966">
        <v>10</v>
      </c>
      <c r="AJ966">
        <v>8</v>
      </c>
      <c r="AK966">
        <v>9</v>
      </c>
      <c r="AL966" t="str" cm="1">
        <f t="array" ref="AL96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66">
        <v>6</v>
      </c>
    </row>
    <row r="967" spans="1:39" x14ac:dyDescent="0.25">
      <c r="A967">
        <v>25</v>
      </c>
      <c r="B967" t="s">
        <v>44</v>
      </c>
      <c r="C967" t="s">
        <v>37</v>
      </c>
      <c r="D967">
        <v>882</v>
      </c>
      <c r="E967" t="s">
        <v>46</v>
      </c>
      <c r="G967">
        <v>19</v>
      </c>
      <c r="H967">
        <v>1</v>
      </c>
      <c r="I967" t="s">
        <v>52</v>
      </c>
      <c r="J967" t="str">
        <f>WA_Fn_UseC__HR_Employee_Attrition[[#This Row],[EducationField]]&amp;"-"&amp;WA_Fn_UseC__HR_Employee_Attrition[[#This Row],[Department]]</f>
        <v>Medical-Research &amp; Development</v>
      </c>
      <c r="K967">
        <v>1</v>
      </c>
      <c r="L967">
        <v>1358</v>
      </c>
      <c r="M967">
        <v>4</v>
      </c>
      <c r="N967" t="s">
        <v>47</v>
      </c>
      <c r="O967">
        <v>67</v>
      </c>
      <c r="P967">
        <v>3</v>
      </c>
      <c r="Q967">
        <v>1</v>
      </c>
      <c r="R967" t="s">
        <v>51</v>
      </c>
      <c r="S967">
        <v>4</v>
      </c>
      <c r="T967" t="s">
        <v>49</v>
      </c>
      <c r="U967">
        <v>3669</v>
      </c>
      <c r="V967" t="str" cm="1">
        <f t="array" ref="V96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67">
        <v>9075</v>
      </c>
      <c r="X967">
        <v>3</v>
      </c>
      <c r="Y967" t="s">
        <v>43</v>
      </c>
      <c r="Z967" t="s">
        <v>44</v>
      </c>
      <c r="AA967">
        <v>11</v>
      </c>
      <c r="AB967">
        <v>3</v>
      </c>
      <c r="AC967">
        <v>3</v>
      </c>
      <c r="AD967">
        <v>80</v>
      </c>
      <c r="AE967">
        <v>3</v>
      </c>
      <c r="AF967">
        <v>7</v>
      </c>
      <c r="AG967">
        <v>6</v>
      </c>
      <c r="AH967">
        <v>2</v>
      </c>
      <c r="AI967">
        <v>3</v>
      </c>
      <c r="AJ967">
        <v>2</v>
      </c>
      <c r="AK967">
        <v>1</v>
      </c>
      <c r="AL967" t="str" cm="1">
        <f t="array" ref="AL96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67">
        <v>2</v>
      </c>
    </row>
    <row r="968" spans="1:39" x14ac:dyDescent="0.25">
      <c r="A968">
        <v>58</v>
      </c>
      <c r="B968" t="s">
        <v>36</v>
      </c>
      <c r="C968" t="s">
        <v>37</v>
      </c>
      <c r="D968">
        <v>601</v>
      </c>
      <c r="E968" t="s">
        <v>46</v>
      </c>
      <c r="G968">
        <v>7</v>
      </c>
      <c r="H968">
        <v>4</v>
      </c>
      <c r="I968" t="s">
        <v>52</v>
      </c>
      <c r="J968" t="str">
        <f>WA_Fn_UseC__HR_Employee_Attrition[[#This Row],[EducationField]]&amp;"-"&amp;WA_Fn_UseC__HR_Employee_Attrition[[#This Row],[Department]]</f>
        <v>Medical-Research &amp; Development</v>
      </c>
      <c r="K968">
        <v>1</v>
      </c>
      <c r="L968">
        <v>1360</v>
      </c>
      <c r="M968">
        <v>3</v>
      </c>
      <c r="N968" t="s">
        <v>40</v>
      </c>
      <c r="O968">
        <v>53</v>
      </c>
      <c r="P968">
        <v>2</v>
      </c>
      <c r="Q968">
        <v>3</v>
      </c>
      <c r="R968" t="s">
        <v>54</v>
      </c>
      <c r="S968">
        <v>1</v>
      </c>
      <c r="T968" t="s">
        <v>49</v>
      </c>
      <c r="U968">
        <v>10008</v>
      </c>
      <c r="V968" t="str" cm="1">
        <f t="array" ref="V96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68">
        <v>12023</v>
      </c>
      <c r="X968">
        <v>7</v>
      </c>
      <c r="Y968" t="s">
        <v>43</v>
      </c>
      <c r="Z968" t="s">
        <v>36</v>
      </c>
      <c r="AA968">
        <v>14</v>
      </c>
      <c r="AB968">
        <v>3</v>
      </c>
      <c r="AC968">
        <v>4</v>
      </c>
      <c r="AD968">
        <v>80</v>
      </c>
      <c r="AE968">
        <v>0</v>
      </c>
      <c r="AF968">
        <v>31</v>
      </c>
      <c r="AG968">
        <v>0</v>
      </c>
      <c r="AH968">
        <v>2</v>
      </c>
      <c r="AI968">
        <v>10</v>
      </c>
      <c r="AJ968">
        <v>9</v>
      </c>
      <c r="AK968">
        <v>5</v>
      </c>
      <c r="AL968" t="str" cm="1">
        <f t="array" ref="AL96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68">
        <v>9</v>
      </c>
    </row>
    <row r="969" spans="1:39" x14ac:dyDescent="0.25">
      <c r="A969">
        <v>40</v>
      </c>
      <c r="B969" t="s">
        <v>44</v>
      </c>
      <c r="C969" t="s">
        <v>37</v>
      </c>
      <c r="D969">
        <v>329</v>
      </c>
      <c r="E969" t="s">
        <v>46</v>
      </c>
      <c r="G969">
        <v>1</v>
      </c>
      <c r="H969">
        <v>4</v>
      </c>
      <c r="I969" t="s">
        <v>39</v>
      </c>
      <c r="J969" t="str">
        <f>WA_Fn_UseC__HR_Employee_Attrition[[#This Row],[EducationField]]&amp;"-"&amp;WA_Fn_UseC__HR_Employee_Attrition[[#This Row],[Department]]</f>
        <v>Life Sciences-Research &amp; Development</v>
      </c>
      <c r="K969">
        <v>1</v>
      </c>
      <c r="L969">
        <v>1361</v>
      </c>
      <c r="M969">
        <v>2</v>
      </c>
      <c r="N969" t="s">
        <v>47</v>
      </c>
      <c r="O969">
        <v>88</v>
      </c>
      <c r="P969">
        <v>3</v>
      </c>
      <c r="Q969">
        <v>1</v>
      </c>
      <c r="R969" t="s">
        <v>51</v>
      </c>
      <c r="S969">
        <v>2</v>
      </c>
      <c r="T969" t="s">
        <v>49</v>
      </c>
      <c r="U969">
        <v>2387</v>
      </c>
      <c r="V969" t="str" cm="1">
        <f t="array" ref="V96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69">
        <v>6762</v>
      </c>
      <c r="X969">
        <v>3</v>
      </c>
      <c r="Y969" t="s">
        <v>43</v>
      </c>
      <c r="Z969" t="s">
        <v>44</v>
      </c>
      <c r="AA969">
        <v>22</v>
      </c>
      <c r="AB969">
        <v>4</v>
      </c>
      <c r="AC969">
        <v>3</v>
      </c>
      <c r="AD969">
        <v>80</v>
      </c>
      <c r="AE969">
        <v>1</v>
      </c>
      <c r="AF969">
        <v>7</v>
      </c>
      <c r="AG969">
        <v>3</v>
      </c>
      <c r="AH969">
        <v>3</v>
      </c>
      <c r="AI969">
        <v>4</v>
      </c>
      <c r="AJ969">
        <v>2</v>
      </c>
      <c r="AK969">
        <v>0</v>
      </c>
      <c r="AL969" t="str" cm="1">
        <f t="array" ref="AL96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69">
        <v>3</v>
      </c>
    </row>
    <row r="970" spans="1:39" x14ac:dyDescent="0.25">
      <c r="A970">
        <v>36</v>
      </c>
      <c r="B970" t="s">
        <v>44</v>
      </c>
      <c r="C970" t="s">
        <v>45</v>
      </c>
      <c r="D970">
        <v>607</v>
      </c>
      <c r="E970" t="s">
        <v>38</v>
      </c>
      <c r="G970">
        <v>7</v>
      </c>
      <c r="H970">
        <v>3</v>
      </c>
      <c r="I970" t="s">
        <v>60</v>
      </c>
      <c r="J970" t="str">
        <f>WA_Fn_UseC__HR_Employee_Attrition[[#This Row],[EducationField]]&amp;"-"&amp;WA_Fn_UseC__HR_Employee_Attrition[[#This Row],[Department]]</f>
        <v>Marketing-Sales</v>
      </c>
      <c r="K970">
        <v>1</v>
      </c>
      <c r="L970">
        <v>1362</v>
      </c>
      <c r="M970">
        <v>1</v>
      </c>
      <c r="N970" t="s">
        <v>40</v>
      </c>
      <c r="O970">
        <v>83</v>
      </c>
      <c r="P970">
        <v>4</v>
      </c>
      <c r="Q970">
        <v>2</v>
      </c>
      <c r="R970" t="s">
        <v>41</v>
      </c>
      <c r="S970">
        <v>1</v>
      </c>
      <c r="T970" t="s">
        <v>49</v>
      </c>
      <c r="U970">
        <v>4639</v>
      </c>
      <c r="V970" t="str" cm="1">
        <f t="array" ref="V97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70">
        <v>2261</v>
      </c>
      <c r="X970">
        <v>2</v>
      </c>
      <c r="Y970" t="s">
        <v>43</v>
      </c>
      <c r="Z970" t="s">
        <v>44</v>
      </c>
      <c r="AA970">
        <v>16</v>
      </c>
      <c r="AB970">
        <v>3</v>
      </c>
      <c r="AC970">
        <v>4</v>
      </c>
      <c r="AD970">
        <v>80</v>
      </c>
      <c r="AE970">
        <v>1</v>
      </c>
      <c r="AF970">
        <v>17</v>
      </c>
      <c r="AG970">
        <v>2</v>
      </c>
      <c r="AH970">
        <v>2</v>
      </c>
      <c r="AI970">
        <v>15</v>
      </c>
      <c r="AJ970">
        <v>7</v>
      </c>
      <c r="AK970">
        <v>6</v>
      </c>
      <c r="AL970" t="str" cm="1">
        <f t="array" ref="AL97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70">
        <v>13</v>
      </c>
    </row>
    <row r="971" spans="1:39" x14ac:dyDescent="0.25">
      <c r="A971">
        <v>48</v>
      </c>
      <c r="B971" t="s">
        <v>44</v>
      </c>
      <c r="C971" t="s">
        <v>37</v>
      </c>
      <c r="D971">
        <v>855</v>
      </c>
      <c r="E971" t="s">
        <v>46</v>
      </c>
      <c r="G971">
        <v>4</v>
      </c>
      <c r="H971">
        <v>3</v>
      </c>
      <c r="I971" t="s">
        <v>39</v>
      </c>
      <c r="J971" t="str">
        <f>WA_Fn_UseC__HR_Employee_Attrition[[#This Row],[EducationField]]&amp;"-"&amp;WA_Fn_UseC__HR_Employee_Attrition[[#This Row],[Department]]</f>
        <v>Life Sciences-Research &amp; Development</v>
      </c>
      <c r="K971">
        <v>1</v>
      </c>
      <c r="L971">
        <v>1363</v>
      </c>
      <c r="M971">
        <v>4</v>
      </c>
      <c r="N971" t="s">
        <v>47</v>
      </c>
      <c r="O971">
        <v>54</v>
      </c>
      <c r="P971">
        <v>3</v>
      </c>
      <c r="Q971">
        <v>3</v>
      </c>
      <c r="R971" t="s">
        <v>54</v>
      </c>
      <c r="S971">
        <v>4</v>
      </c>
      <c r="T971" t="s">
        <v>42</v>
      </c>
      <c r="U971">
        <v>7898</v>
      </c>
      <c r="V971" t="str" cm="1">
        <f t="array" ref="V97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71">
        <v>18706</v>
      </c>
      <c r="X971">
        <v>1</v>
      </c>
      <c r="Y971" t="s">
        <v>43</v>
      </c>
      <c r="Z971" t="s">
        <v>44</v>
      </c>
      <c r="AA971">
        <v>11</v>
      </c>
      <c r="AB971">
        <v>3</v>
      </c>
      <c r="AC971">
        <v>3</v>
      </c>
      <c r="AD971">
        <v>80</v>
      </c>
      <c r="AE971">
        <v>0</v>
      </c>
      <c r="AF971">
        <v>11</v>
      </c>
      <c r="AG971">
        <v>2</v>
      </c>
      <c r="AH971">
        <v>3</v>
      </c>
      <c r="AI971">
        <v>10</v>
      </c>
      <c r="AJ971">
        <v>9</v>
      </c>
      <c r="AK971">
        <v>0</v>
      </c>
      <c r="AL971" t="str" cm="1">
        <f t="array" ref="AL97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71">
        <v>8</v>
      </c>
    </row>
    <row r="972" spans="1:39" x14ac:dyDescent="0.25">
      <c r="A972">
        <v>27</v>
      </c>
      <c r="B972" t="s">
        <v>44</v>
      </c>
      <c r="C972" t="s">
        <v>37</v>
      </c>
      <c r="D972">
        <v>1291</v>
      </c>
      <c r="E972" t="s">
        <v>38</v>
      </c>
      <c r="G972">
        <v>11</v>
      </c>
      <c r="H972">
        <v>3</v>
      </c>
      <c r="I972" t="s">
        <v>52</v>
      </c>
      <c r="J972" t="str">
        <f>WA_Fn_UseC__HR_Employee_Attrition[[#This Row],[EducationField]]&amp;"-"&amp;WA_Fn_UseC__HR_Employee_Attrition[[#This Row],[Department]]</f>
        <v>Medical-Sales</v>
      </c>
      <c r="K972">
        <v>1</v>
      </c>
      <c r="L972">
        <v>1364</v>
      </c>
      <c r="M972">
        <v>3</v>
      </c>
      <c r="N972" t="s">
        <v>40</v>
      </c>
      <c r="O972">
        <v>98</v>
      </c>
      <c r="P972">
        <v>4</v>
      </c>
      <c r="Q972">
        <v>1</v>
      </c>
      <c r="R972" t="s">
        <v>58</v>
      </c>
      <c r="S972">
        <v>4</v>
      </c>
      <c r="T972" t="s">
        <v>49</v>
      </c>
      <c r="U972">
        <v>2534</v>
      </c>
      <c r="V972" t="str" cm="1">
        <f t="array" ref="V97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72">
        <v>6527</v>
      </c>
      <c r="X972">
        <v>8</v>
      </c>
      <c r="Y972" t="s">
        <v>43</v>
      </c>
      <c r="Z972" t="s">
        <v>44</v>
      </c>
      <c r="AA972">
        <v>14</v>
      </c>
      <c r="AB972">
        <v>3</v>
      </c>
      <c r="AC972">
        <v>2</v>
      </c>
      <c r="AD972">
        <v>80</v>
      </c>
      <c r="AE972">
        <v>1</v>
      </c>
      <c r="AF972">
        <v>5</v>
      </c>
      <c r="AG972">
        <v>4</v>
      </c>
      <c r="AH972">
        <v>3</v>
      </c>
      <c r="AI972">
        <v>1</v>
      </c>
      <c r="AJ972">
        <v>0</v>
      </c>
      <c r="AK972">
        <v>0</v>
      </c>
      <c r="AL972" t="str" cm="1">
        <f t="array" ref="AL97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72">
        <v>0</v>
      </c>
    </row>
    <row r="973" spans="1:39" x14ac:dyDescent="0.25">
      <c r="A973">
        <v>51</v>
      </c>
      <c r="B973" t="s">
        <v>44</v>
      </c>
      <c r="C973" t="s">
        <v>37</v>
      </c>
      <c r="D973">
        <v>1405</v>
      </c>
      <c r="E973" t="s">
        <v>46</v>
      </c>
      <c r="G973">
        <v>11</v>
      </c>
      <c r="H973">
        <v>2</v>
      </c>
      <c r="I973" t="s">
        <v>61</v>
      </c>
      <c r="J973" t="str">
        <f>WA_Fn_UseC__HR_Employee_Attrition[[#This Row],[EducationField]]&amp;"-"&amp;WA_Fn_UseC__HR_Employee_Attrition[[#This Row],[Department]]</f>
        <v>Technical Degree-Research &amp; Development</v>
      </c>
      <c r="K973">
        <v>1</v>
      </c>
      <c r="L973">
        <v>1367</v>
      </c>
      <c r="M973">
        <v>4</v>
      </c>
      <c r="N973" t="s">
        <v>40</v>
      </c>
      <c r="O973">
        <v>82</v>
      </c>
      <c r="P973">
        <v>2</v>
      </c>
      <c r="Q973">
        <v>4</v>
      </c>
      <c r="R973" t="s">
        <v>54</v>
      </c>
      <c r="S973">
        <v>2</v>
      </c>
      <c r="T973" t="s">
        <v>42</v>
      </c>
      <c r="U973">
        <v>13142</v>
      </c>
      <c r="V973" t="str" cm="1">
        <f t="array" ref="V97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73">
        <v>24439</v>
      </c>
      <c r="X973">
        <v>3</v>
      </c>
      <c r="Y973" t="s">
        <v>43</v>
      </c>
      <c r="Z973" t="s">
        <v>44</v>
      </c>
      <c r="AA973">
        <v>16</v>
      </c>
      <c r="AB973">
        <v>3</v>
      </c>
      <c r="AC973">
        <v>2</v>
      </c>
      <c r="AD973">
        <v>80</v>
      </c>
      <c r="AE973">
        <v>0</v>
      </c>
      <c r="AF973">
        <v>29</v>
      </c>
      <c r="AG973">
        <v>1</v>
      </c>
      <c r="AH973">
        <v>2</v>
      </c>
      <c r="AI973">
        <v>5</v>
      </c>
      <c r="AJ973">
        <v>2</v>
      </c>
      <c r="AK973">
        <v>0</v>
      </c>
      <c r="AL973" t="str" cm="1">
        <f t="array" ref="AL97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73">
        <v>3</v>
      </c>
    </row>
    <row r="974" spans="1:39" x14ac:dyDescent="0.25">
      <c r="A974">
        <v>18</v>
      </c>
      <c r="B974" t="s">
        <v>44</v>
      </c>
      <c r="C974" t="s">
        <v>56</v>
      </c>
      <c r="D974">
        <v>1124</v>
      </c>
      <c r="E974" t="s">
        <v>46</v>
      </c>
      <c r="G974">
        <v>1</v>
      </c>
      <c r="H974">
        <v>3</v>
      </c>
      <c r="I974" t="s">
        <v>39</v>
      </c>
      <c r="J974" t="str">
        <f>WA_Fn_UseC__HR_Employee_Attrition[[#This Row],[EducationField]]&amp;"-"&amp;WA_Fn_UseC__HR_Employee_Attrition[[#This Row],[Department]]</f>
        <v>Life Sciences-Research &amp; Development</v>
      </c>
      <c r="K974">
        <v>1</v>
      </c>
      <c r="L974">
        <v>1368</v>
      </c>
      <c r="M974">
        <v>4</v>
      </c>
      <c r="N974" t="s">
        <v>40</v>
      </c>
      <c r="O974">
        <v>97</v>
      </c>
      <c r="P974">
        <v>3</v>
      </c>
      <c r="Q974">
        <v>1</v>
      </c>
      <c r="R974" t="s">
        <v>51</v>
      </c>
      <c r="S974">
        <v>4</v>
      </c>
      <c r="T974" t="s">
        <v>42</v>
      </c>
      <c r="U974">
        <v>1611</v>
      </c>
      <c r="V974" t="str" cm="1">
        <f t="array" ref="V97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74">
        <v>19305</v>
      </c>
      <c r="X974">
        <v>1</v>
      </c>
      <c r="Y974" t="s">
        <v>43</v>
      </c>
      <c r="Z974" t="s">
        <v>44</v>
      </c>
      <c r="AA974">
        <v>15</v>
      </c>
      <c r="AB974">
        <v>3</v>
      </c>
      <c r="AC974">
        <v>3</v>
      </c>
      <c r="AD974">
        <v>80</v>
      </c>
      <c r="AE974">
        <v>0</v>
      </c>
      <c r="AF974">
        <v>0</v>
      </c>
      <c r="AG974">
        <v>5</v>
      </c>
      <c r="AH974">
        <v>4</v>
      </c>
      <c r="AI974">
        <v>0</v>
      </c>
      <c r="AJ974">
        <v>0</v>
      </c>
      <c r="AK974">
        <v>0</v>
      </c>
      <c r="AL974" t="str" cm="1">
        <f t="array" ref="AL97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74">
        <v>0</v>
      </c>
    </row>
    <row r="975" spans="1:39" x14ac:dyDescent="0.25">
      <c r="A975">
        <v>35</v>
      </c>
      <c r="B975" t="s">
        <v>44</v>
      </c>
      <c r="C975" t="s">
        <v>37</v>
      </c>
      <c r="D975">
        <v>817</v>
      </c>
      <c r="E975" t="s">
        <v>46</v>
      </c>
      <c r="G975">
        <v>1</v>
      </c>
      <c r="H975">
        <v>3</v>
      </c>
      <c r="I975" t="s">
        <v>52</v>
      </c>
      <c r="J975" t="str">
        <f>WA_Fn_UseC__HR_Employee_Attrition[[#This Row],[EducationField]]&amp;"-"&amp;WA_Fn_UseC__HR_Employee_Attrition[[#This Row],[Department]]</f>
        <v>Medical-Research &amp; Development</v>
      </c>
      <c r="K975">
        <v>1</v>
      </c>
      <c r="L975">
        <v>1369</v>
      </c>
      <c r="M975">
        <v>4</v>
      </c>
      <c r="N975" t="s">
        <v>40</v>
      </c>
      <c r="O975">
        <v>60</v>
      </c>
      <c r="P975">
        <v>2</v>
      </c>
      <c r="Q975">
        <v>2</v>
      </c>
      <c r="R975" t="s">
        <v>51</v>
      </c>
      <c r="S975">
        <v>4</v>
      </c>
      <c r="T975" t="s">
        <v>49</v>
      </c>
      <c r="U975">
        <v>5363</v>
      </c>
      <c r="V975" t="str" cm="1">
        <f t="array" ref="V97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75">
        <v>10846</v>
      </c>
      <c r="X975">
        <v>0</v>
      </c>
      <c r="Y975" t="s">
        <v>43</v>
      </c>
      <c r="Z975" t="s">
        <v>44</v>
      </c>
      <c r="AA975">
        <v>12</v>
      </c>
      <c r="AB975">
        <v>3</v>
      </c>
      <c r="AC975">
        <v>2</v>
      </c>
      <c r="AD975">
        <v>80</v>
      </c>
      <c r="AE975">
        <v>1</v>
      </c>
      <c r="AF975">
        <v>10</v>
      </c>
      <c r="AG975">
        <v>0</v>
      </c>
      <c r="AH975">
        <v>3</v>
      </c>
      <c r="AI975">
        <v>9</v>
      </c>
      <c r="AJ975">
        <v>7</v>
      </c>
      <c r="AK975">
        <v>0</v>
      </c>
      <c r="AL975" t="str" cm="1">
        <f t="array" ref="AL97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75">
        <v>0</v>
      </c>
    </row>
    <row r="976" spans="1:39" x14ac:dyDescent="0.25">
      <c r="A976">
        <v>27</v>
      </c>
      <c r="B976" t="s">
        <v>44</v>
      </c>
      <c r="C976" t="s">
        <v>45</v>
      </c>
      <c r="D976">
        <v>793</v>
      </c>
      <c r="E976" t="s">
        <v>38</v>
      </c>
      <c r="G976">
        <v>2</v>
      </c>
      <c r="H976">
        <v>1</v>
      </c>
      <c r="I976" t="s">
        <v>39</v>
      </c>
      <c r="J976" t="str">
        <f>WA_Fn_UseC__HR_Employee_Attrition[[#This Row],[EducationField]]&amp;"-"&amp;WA_Fn_UseC__HR_Employee_Attrition[[#This Row],[Department]]</f>
        <v>Life Sciences-Sales</v>
      </c>
      <c r="K976">
        <v>1</v>
      </c>
      <c r="L976">
        <v>1371</v>
      </c>
      <c r="M976">
        <v>4</v>
      </c>
      <c r="N976" t="s">
        <v>47</v>
      </c>
      <c r="O976">
        <v>43</v>
      </c>
      <c r="P976">
        <v>1</v>
      </c>
      <c r="Q976">
        <v>2</v>
      </c>
      <c r="R976" t="s">
        <v>41</v>
      </c>
      <c r="S976">
        <v>4</v>
      </c>
      <c r="T976" t="s">
        <v>42</v>
      </c>
      <c r="U976">
        <v>5071</v>
      </c>
      <c r="V976" t="str" cm="1">
        <f t="array" ref="V97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76">
        <v>20392</v>
      </c>
      <c r="X976">
        <v>3</v>
      </c>
      <c r="Y976" t="s">
        <v>43</v>
      </c>
      <c r="Z976" t="s">
        <v>44</v>
      </c>
      <c r="AA976">
        <v>20</v>
      </c>
      <c r="AB976">
        <v>4</v>
      </c>
      <c r="AC976">
        <v>2</v>
      </c>
      <c r="AD976">
        <v>80</v>
      </c>
      <c r="AE976">
        <v>0</v>
      </c>
      <c r="AF976">
        <v>8</v>
      </c>
      <c r="AG976">
        <v>3</v>
      </c>
      <c r="AH976">
        <v>3</v>
      </c>
      <c r="AI976">
        <v>6</v>
      </c>
      <c r="AJ976">
        <v>2</v>
      </c>
      <c r="AK976">
        <v>0</v>
      </c>
      <c r="AL976" t="str" cm="1">
        <f t="array" ref="AL97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76">
        <v>0</v>
      </c>
    </row>
    <row r="977" spans="1:39" x14ac:dyDescent="0.25">
      <c r="A977">
        <v>55</v>
      </c>
      <c r="B977" t="s">
        <v>36</v>
      </c>
      <c r="C977" t="s">
        <v>37</v>
      </c>
      <c r="D977">
        <v>267</v>
      </c>
      <c r="E977" t="s">
        <v>38</v>
      </c>
      <c r="G977">
        <v>13</v>
      </c>
      <c r="H977">
        <v>4</v>
      </c>
      <c r="I977" t="s">
        <v>60</v>
      </c>
      <c r="J977" t="str">
        <f>WA_Fn_UseC__HR_Employee_Attrition[[#This Row],[EducationField]]&amp;"-"&amp;WA_Fn_UseC__HR_Employee_Attrition[[#This Row],[Department]]</f>
        <v>Marketing-Sales</v>
      </c>
      <c r="K977">
        <v>1</v>
      </c>
      <c r="L977">
        <v>1372</v>
      </c>
      <c r="M977">
        <v>1</v>
      </c>
      <c r="N977" t="s">
        <v>47</v>
      </c>
      <c r="O977">
        <v>85</v>
      </c>
      <c r="P977">
        <v>4</v>
      </c>
      <c r="Q977">
        <v>4</v>
      </c>
      <c r="R977" t="s">
        <v>41</v>
      </c>
      <c r="S977">
        <v>3</v>
      </c>
      <c r="T977" t="s">
        <v>42</v>
      </c>
      <c r="U977">
        <v>13695</v>
      </c>
      <c r="V977" t="str" cm="1">
        <f t="array" ref="V97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77">
        <v>9277</v>
      </c>
      <c r="X977">
        <v>6</v>
      </c>
      <c r="Y977" t="s">
        <v>43</v>
      </c>
      <c r="Z977" t="s">
        <v>36</v>
      </c>
      <c r="AA977">
        <v>17</v>
      </c>
      <c r="AB977">
        <v>3</v>
      </c>
      <c r="AC977">
        <v>3</v>
      </c>
      <c r="AD977">
        <v>80</v>
      </c>
      <c r="AE977">
        <v>0</v>
      </c>
      <c r="AF977">
        <v>24</v>
      </c>
      <c r="AG977">
        <v>2</v>
      </c>
      <c r="AH977">
        <v>2</v>
      </c>
      <c r="AI977">
        <v>19</v>
      </c>
      <c r="AJ977">
        <v>7</v>
      </c>
      <c r="AK977">
        <v>3</v>
      </c>
      <c r="AL977" t="str" cm="1">
        <f t="array" ref="AL97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77">
        <v>8</v>
      </c>
    </row>
    <row r="978" spans="1:39" x14ac:dyDescent="0.25">
      <c r="A978">
        <v>56</v>
      </c>
      <c r="B978" t="s">
        <v>44</v>
      </c>
      <c r="C978" t="s">
        <v>37</v>
      </c>
      <c r="D978">
        <v>1369</v>
      </c>
      <c r="E978" t="s">
        <v>46</v>
      </c>
      <c r="G978">
        <v>23</v>
      </c>
      <c r="H978">
        <v>3</v>
      </c>
      <c r="I978" t="s">
        <v>39</v>
      </c>
      <c r="J978" t="str">
        <f>WA_Fn_UseC__HR_Employee_Attrition[[#This Row],[EducationField]]&amp;"-"&amp;WA_Fn_UseC__HR_Employee_Attrition[[#This Row],[Department]]</f>
        <v>Life Sciences-Research &amp; Development</v>
      </c>
      <c r="K978">
        <v>1</v>
      </c>
      <c r="L978">
        <v>1373</v>
      </c>
      <c r="M978">
        <v>4</v>
      </c>
      <c r="N978" t="s">
        <v>47</v>
      </c>
      <c r="O978">
        <v>68</v>
      </c>
      <c r="P978">
        <v>3</v>
      </c>
      <c r="Q978">
        <v>4</v>
      </c>
      <c r="R978" t="s">
        <v>54</v>
      </c>
      <c r="S978">
        <v>2</v>
      </c>
      <c r="T978" t="s">
        <v>49</v>
      </c>
      <c r="U978">
        <v>13402</v>
      </c>
      <c r="V978" t="str" cm="1">
        <f t="array" ref="V97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78">
        <v>18235</v>
      </c>
      <c r="X978">
        <v>4</v>
      </c>
      <c r="Y978" t="s">
        <v>43</v>
      </c>
      <c r="Z978" t="s">
        <v>36</v>
      </c>
      <c r="AA978">
        <v>12</v>
      </c>
      <c r="AB978">
        <v>3</v>
      </c>
      <c r="AC978">
        <v>1</v>
      </c>
      <c r="AD978">
        <v>80</v>
      </c>
      <c r="AE978">
        <v>1</v>
      </c>
      <c r="AF978">
        <v>33</v>
      </c>
      <c r="AG978">
        <v>0</v>
      </c>
      <c r="AH978">
        <v>3</v>
      </c>
      <c r="AI978">
        <v>19</v>
      </c>
      <c r="AJ978">
        <v>16</v>
      </c>
      <c r="AK978">
        <v>15</v>
      </c>
      <c r="AL978" t="str" cm="1">
        <f t="array" ref="AL97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78">
        <v>9</v>
      </c>
    </row>
    <row r="979" spans="1:39" x14ac:dyDescent="0.25">
      <c r="A979">
        <v>34</v>
      </c>
      <c r="B979" t="s">
        <v>44</v>
      </c>
      <c r="C979" t="s">
        <v>56</v>
      </c>
      <c r="D979">
        <v>999</v>
      </c>
      <c r="E979" t="s">
        <v>46</v>
      </c>
      <c r="G979">
        <v>26</v>
      </c>
      <c r="H979">
        <v>1</v>
      </c>
      <c r="I979" t="s">
        <v>61</v>
      </c>
      <c r="J979" t="str">
        <f>WA_Fn_UseC__HR_Employee_Attrition[[#This Row],[EducationField]]&amp;"-"&amp;WA_Fn_UseC__HR_Employee_Attrition[[#This Row],[Department]]</f>
        <v>Technical Degree-Research &amp; Development</v>
      </c>
      <c r="K979">
        <v>1</v>
      </c>
      <c r="L979">
        <v>1374</v>
      </c>
      <c r="M979">
        <v>1</v>
      </c>
      <c r="N979" t="s">
        <v>40</v>
      </c>
      <c r="O979">
        <v>92</v>
      </c>
      <c r="P979">
        <v>2</v>
      </c>
      <c r="Q979">
        <v>1</v>
      </c>
      <c r="R979" t="s">
        <v>48</v>
      </c>
      <c r="S979">
        <v>3</v>
      </c>
      <c r="T979" t="s">
        <v>53</v>
      </c>
      <c r="U979">
        <v>2029</v>
      </c>
      <c r="V979" t="str" cm="1">
        <f t="array" ref="V97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79">
        <v>15891</v>
      </c>
      <c r="X979">
        <v>1</v>
      </c>
      <c r="Y979" t="s">
        <v>43</v>
      </c>
      <c r="Z979" t="s">
        <v>44</v>
      </c>
      <c r="AA979">
        <v>20</v>
      </c>
      <c r="AB979">
        <v>4</v>
      </c>
      <c r="AC979">
        <v>3</v>
      </c>
      <c r="AD979">
        <v>80</v>
      </c>
      <c r="AE979">
        <v>3</v>
      </c>
      <c r="AF979">
        <v>5</v>
      </c>
      <c r="AG979">
        <v>2</v>
      </c>
      <c r="AH979">
        <v>3</v>
      </c>
      <c r="AI979">
        <v>5</v>
      </c>
      <c r="AJ979">
        <v>4</v>
      </c>
      <c r="AK979">
        <v>0</v>
      </c>
      <c r="AL979" t="str" cm="1">
        <f t="array" ref="AL97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79">
        <v>0</v>
      </c>
    </row>
    <row r="980" spans="1:39" x14ac:dyDescent="0.25">
      <c r="A980">
        <v>40</v>
      </c>
      <c r="B980" t="s">
        <v>44</v>
      </c>
      <c r="C980" t="s">
        <v>37</v>
      </c>
      <c r="D980">
        <v>1202</v>
      </c>
      <c r="E980" t="s">
        <v>46</v>
      </c>
      <c r="G980">
        <v>2</v>
      </c>
      <c r="H980">
        <v>1</v>
      </c>
      <c r="I980" t="s">
        <v>52</v>
      </c>
      <c r="J980" t="str">
        <f>WA_Fn_UseC__HR_Employee_Attrition[[#This Row],[EducationField]]&amp;"-"&amp;WA_Fn_UseC__HR_Employee_Attrition[[#This Row],[Department]]</f>
        <v>Medical-Research &amp; Development</v>
      </c>
      <c r="K980">
        <v>1</v>
      </c>
      <c r="L980">
        <v>1375</v>
      </c>
      <c r="M980">
        <v>2</v>
      </c>
      <c r="N980" t="s">
        <v>40</v>
      </c>
      <c r="O980">
        <v>89</v>
      </c>
      <c r="P980">
        <v>4</v>
      </c>
      <c r="Q980">
        <v>2</v>
      </c>
      <c r="R980" t="s">
        <v>55</v>
      </c>
      <c r="S980">
        <v>3</v>
      </c>
      <c r="T980" t="s">
        <v>53</v>
      </c>
      <c r="U980">
        <v>6377</v>
      </c>
      <c r="V980" t="str" cm="1">
        <f t="array" ref="V98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80">
        <v>13888</v>
      </c>
      <c r="X980">
        <v>5</v>
      </c>
      <c r="Y980" t="s">
        <v>43</v>
      </c>
      <c r="Z980" t="s">
        <v>44</v>
      </c>
      <c r="AA980">
        <v>20</v>
      </c>
      <c r="AB980">
        <v>4</v>
      </c>
      <c r="AC980">
        <v>2</v>
      </c>
      <c r="AD980">
        <v>80</v>
      </c>
      <c r="AE980">
        <v>3</v>
      </c>
      <c r="AF980">
        <v>15</v>
      </c>
      <c r="AG980">
        <v>0</v>
      </c>
      <c r="AH980">
        <v>3</v>
      </c>
      <c r="AI980">
        <v>12</v>
      </c>
      <c r="AJ980">
        <v>11</v>
      </c>
      <c r="AK980">
        <v>11</v>
      </c>
      <c r="AL980" t="str" cm="1">
        <f t="array" ref="AL98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80">
        <v>8</v>
      </c>
    </row>
    <row r="981" spans="1:39" x14ac:dyDescent="0.25">
      <c r="A981">
        <v>34</v>
      </c>
      <c r="B981" t="s">
        <v>44</v>
      </c>
      <c r="C981" t="s">
        <v>37</v>
      </c>
      <c r="D981">
        <v>285</v>
      </c>
      <c r="E981" t="s">
        <v>46</v>
      </c>
      <c r="G981">
        <v>29</v>
      </c>
      <c r="H981">
        <v>3</v>
      </c>
      <c r="I981" t="s">
        <v>52</v>
      </c>
      <c r="J981" t="str">
        <f>WA_Fn_UseC__HR_Employee_Attrition[[#This Row],[EducationField]]&amp;"-"&amp;WA_Fn_UseC__HR_Employee_Attrition[[#This Row],[Department]]</f>
        <v>Medical-Research &amp; Development</v>
      </c>
      <c r="K981">
        <v>1</v>
      </c>
      <c r="L981">
        <v>1377</v>
      </c>
      <c r="M981">
        <v>2</v>
      </c>
      <c r="N981" t="s">
        <v>47</v>
      </c>
      <c r="O981">
        <v>86</v>
      </c>
      <c r="P981">
        <v>3</v>
      </c>
      <c r="Q981">
        <v>2</v>
      </c>
      <c r="R981" t="s">
        <v>51</v>
      </c>
      <c r="S981">
        <v>3</v>
      </c>
      <c r="T981" t="s">
        <v>49</v>
      </c>
      <c r="U981">
        <v>5429</v>
      </c>
      <c r="V981" t="str" cm="1">
        <f t="array" ref="V98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81">
        <v>17491</v>
      </c>
      <c r="X981">
        <v>4</v>
      </c>
      <c r="Y981" t="s">
        <v>43</v>
      </c>
      <c r="Z981" t="s">
        <v>44</v>
      </c>
      <c r="AA981">
        <v>13</v>
      </c>
      <c r="AB981">
        <v>3</v>
      </c>
      <c r="AC981">
        <v>1</v>
      </c>
      <c r="AD981">
        <v>80</v>
      </c>
      <c r="AE981">
        <v>2</v>
      </c>
      <c r="AF981">
        <v>10</v>
      </c>
      <c r="AG981">
        <v>1</v>
      </c>
      <c r="AH981">
        <v>3</v>
      </c>
      <c r="AI981">
        <v>8</v>
      </c>
      <c r="AJ981">
        <v>7</v>
      </c>
      <c r="AK981">
        <v>7</v>
      </c>
      <c r="AL981" t="str" cm="1">
        <f t="array" ref="AL98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81">
        <v>7</v>
      </c>
    </row>
    <row r="982" spans="1:39" x14ac:dyDescent="0.25">
      <c r="A982">
        <v>31</v>
      </c>
      <c r="B982" t="s">
        <v>36</v>
      </c>
      <c r="C982" t="s">
        <v>45</v>
      </c>
      <c r="D982">
        <v>703</v>
      </c>
      <c r="E982" t="s">
        <v>38</v>
      </c>
      <c r="G982">
        <v>2</v>
      </c>
      <c r="H982">
        <v>3</v>
      </c>
      <c r="I982" t="s">
        <v>39</v>
      </c>
      <c r="J982" t="str">
        <f>WA_Fn_UseC__HR_Employee_Attrition[[#This Row],[EducationField]]&amp;"-"&amp;WA_Fn_UseC__HR_Employee_Attrition[[#This Row],[Department]]</f>
        <v>Life Sciences-Sales</v>
      </c>
      <c r="K982">
        <v>1</v>
      </c>
      <c r="L982">
        <v>1379</v>
      </c>
      <c r="M982">
        <v>3</v>
      </c>
      <c r="N982" t="s">
        <v>40</v>
      </c>
      <c r="O982">
        <v>90</v>
      </c>
      <c r="P982">
        <v>2</v>
      </c>
      <c r="Q982">
        <v>1</v>
      </c>
      <c r="R982" t="s">
        <v>58</v>
      </c>
      <c r="S982">
        <v>4</v>
      </c>
      <c r="T982" t="s">
        <v>42</v>
      </c>
      <c r="U982">
        <v>2785</v>
      </c>
      <c r="V982" t="str" cm="1">
        <f t="array" ref="V98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82">
        <v>11882</v>
      </c>
      <c r="X982">
        <v>7</v>
      </c>
      <c r="Y982" t="s">
        <v>43</v>
      </c>
      <c r="Z982" t="s">
        <v>44</v>
      </c>
      <c r="AA982">
        <v>14</v>
      </c>
      <c r="AB982">
        <v>3</v>
      </c>
      <c r="AC982">
        <v>3</v>
      </c>
      <c r="AD982">
        <v>80</v>
      </c>
      <c r="AE982">
        <v>0</v>
      </c>
      <c r="AF982">
        <v>3</v>
      </c>
      <c r="AG982">
        <v>3</v>
      </c>
      <c r="AH982">
        <v>4</v>
      </c>
      <c r="AI982">
        <v>1</v>
      </c>
      <c r="AJ982">
        <v>0</v>
      </c>
      <c r="AK982">
        <v>0</v>
      </c>
      <c r="AL982" t="str" cm="1">
        <f t="array" ref="AL98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82">
        <v>0</v>
      </c>
    </row>
    <row r="983" spans="1:39" x14ac:dyDescent="0.25">
      <c r="A983">
        <v>35</v>
      </c>
      <c r="B983" t="s">
        <v>36</v>
      </c>
      <c r="C983" t="s">
        <v>45</v>
      </c>
      <c r="D983">
        <v>662</v>
      </c>
      <c r="E983" t="s">
        <v>38</v>
      </c>
      <c r="G983">
        <v>18</v>
      </c>
      <c r="H983">
        <v>4</v>
      </c>
      <c r="I983" t="s">
        <v>60</v>
      </c>
      <c r="J983" t="str">
        <f>WA_Fn_UseC__HR_Employee_Attrition[[#This Row],[EducationField]]&amp;"-"&amp;WA_Fn_UseC__HR_Employee_Attrition[[#This Row],[Department]]</f>
        <v>Marketing-Sales</v>
      </c>
      <c r="K983">
        <v>1</v>
      </c>
      <c r="L983">
        <v>1380</v>
      </c>
      <c r="M983">
        <v>4</v>
      </c>
      <c r="N983" t="s">
        <v>40</v>
      </c>
      <c r="O983">
        <v>67</v>
      </c>
      <c r="P983">
        <v>3</v>
      </c>
      <c r="Q983">
        <v>2</v>
      </c>
      <c r="R983" t="s">
        <v>41</v>
      </c>
      <c r="S983">
        <v>3</v>
      </c>
      <c r="T983" t="s">
        <v>49</v>
      </c>
      <c r="U983">
        <v>4614</v>
      </c>
      <c r="V983" t="str" cm="1">
        <f t="array" ref="V98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83">
        <v>23288</v>
      </c>
      <c r="X983">
        <v>0</v>
      </c>
      <c r="Y983" t="s">
        <v>43</v>
      </c>
      <c r="Z983" t="s">
        <v>36</v>
      </c>
      <c r="AA983">
        <v>18</v>
      </c>
      <c r="AB983">
        <v>3</v>
      </c>
      <c r="AC983">
        <v>3</v>
      </c>
      <c r="AD983">
        <v>80</v>
      </c>
      <c r="AE983">
        <v>1</v>
      </c>
      <c r="AF983">
        <v>5</v>
      </c>
      <c r="AG983">
        <v>0</v>
      </c>
      <c r="AH983">
        <v>2</v>
      </c>
      <c r="AI983">
        <v>4</v>
      </c>
      <c r="AJ983">
        <v>2</v>
      </c>
      <c r="AK983">
        <v>3</v>
      </c>
      <c r="AL983" t="str" cm="1">
        <f t="array" ref="AL98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83">
        <v>2</v>
      </c>
    </row>
    <row r="984" spans="1:39" x14ac:dyDescent="0.25">
      <c r="A984">
        <v>38</v>
      </c>
      <c r="B984" t="s">
        <v>44</v>
      </c>
      <c r="C984" t="s">
        <v>45</v>
      </c>
      <c r="D984">
        <v>693</v>
      </c>
      <c r="E984" t="s">
        <v>46</v>
      </c>
      <c r="G984">
        <v>7</v>
      </c>
      <c r="H984">
        <v>3</v>
      </c>
      <c r="I984" t="s">
        <v>39</v>
      </c>
      <c r="J984" t="str">
        <f>WA_Fn_UseC__HR_Employee_Attrition[[#This Row],[EducationField]]&amp;"-"&amp;WA_Fn_UseC__HR_Employee_Attrition[[#This Row],[Department]]</f>
        <v>Life Sciences-Research &amp; Development</v>
      </c>
      <c r="K984">
        <v>1</v>
      </c>
      <c r="L984">
        <v>1382</v>
      </c>
      <c r="M984">
        <v>4</v>
      </c>
      <c r="N984" t="s">
        <v>47</v>
      </c>
      <c r="O984">
        <v>57</v>
      </c>
      <c r="P984">
        <v>4</v>
      </c>
      <c r="Q984">
        <v>1</v>
      </c>
      <c r="R984" t="s">
        <v>48</v>
      </c>
      <c r="S984">
        <v>3</v>
      </c>
      <c r="T984" t="s">
        <v>53</v>
      </c>
      <c r="U984">
        <v>2610</v>
      </c>
      <c r="V984" t="str" cm="1">
        <f t="array" ref="V98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84">
        <v>15748</v>
      </c>
      <c r="X984">
        <v>1</v>
      </c>
      <c r="Y984" t="s">
        <v>43</v>
      </c>
      <c r="Z984" t="s">
        <v>44</v>
      </c>
      <c r="AA984">
        <v>11</v>
      </c>
      <c r="AB984">
        <v>3</v>
      </c>
      <c r="AC984">
        <v>4</v>
      </c>
      <c r="AD984">
        <v>80</v>
      </c>
      <c r="AE984">
        <v>3</v>
      </c>
      <c r="AF984">
        <v>4</v>
      </c>
      <c r="AG984">
        <v>2</v>
      </c>
      <c r="AH984">
        <v>3</v>
      </c>
      <c r="AI984">
        <v>4</v>
      </c>
      <c r="AJ984">
        <v>2</v>
      </c>
      <c r="AK984">
        <v>0</v>
      </c>
      <c r="AL984" t="str" cm="1">
        <f t="array" ref="AL98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84">
        <v>3</v>
      </c>
    </row>
    <row r="985" spans="1:39" x14ac:dyDescent="0.25">
      <c r="A985">
        <v>34</v>
      </c>
      <c r="B985" t="s">
        <v>44</v>
      </c>
      <c r="C985" t="s">
        <v>37</v>
      </c>
      <c r="D985">
        <v>404</v>
      </c>
      <c r="E985" t="s">
        <v>46</v>
      </c>
      <c r="G985">
        <v>2</v>
      </c>
      <c r="H985">
        <v>4</v>
      </c>
      <c r="I985" t="s">
        <v>61</v>
      </c>
      <c r="J985" t="str">
        <f>WA_Fn_UseC__HR_Employee_Attrition[[#This Row],[EducationField]]&amp;"-"&amp;WA_Fn_UseC__HR_Employee_Attrition[[#This Row],[Department]]</f>
        <v>Technical Degree-Research &amp; Development</v>
      </c>
      <c r="K985">
        <v>1</v>
      </c>
      <c r="L985">
        <v>1383</v>
      </c>
      <c r="M985">
        <v>3</v>
      </c>
      <c r="N985" t="s">
        <v>40</v>
      </c>
      <c r="O985">
        <v>98</v>
      </c>
      <c r="P985">
        <v>3</v>
      </c>
      <c r="Q985">
        <v>2</v>
      </c>
      <c r="R985" t="s">
        <v>55</v>
      </c>
      <c r="S985">
        <v>4</v>
      </c>
      <c r="T985" t="s">
        <v>42</v>
      </c>
      <c r="U985">
        <v>6687</v>
      </c>
      <c r="V985" t="str" cm="1">
        <f t="array" ref="V98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85">
        <v>6163</v>
      </c>
      <c r="X985">
        <v>1</v>
      </c>
      <c r="Y985" t="s">
        <v>43</v>
      </c>
      <c r="Z985" t="s">
        <v>44</v>
      </c>
      <c r="AA985">
        <v>11</v>
      </c>
      <c r="AB985">
        <v>3</v>
      </c>
      <c r="AC985">
        <v>4</v>
      </c>
      <c r="AD985">
        <v>80</v>
      </c>
      <c r="AE985">
        <v>0</v>
      </c>
      <c r="AF985">
        <v>14</v>
      </c>
      <c r="AG985">
        <v>2</v>
      </c>
      <c r="AH985">
        <v>4</v>
      </c>
      <c r="AI985">
        <v>14</v>
      </c>
      <c r="AJ985">
        <v>11</v>
      </c>
      <c r="AK985">
        <v>4</v>
      </c>
      <c r="AL985" t="str" cm="1">
        <f t="array" ref="AL98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85">
        <v>11</v>
      </c>
    </row>
    <row r="986" spans="1:39" x14ac:dyDescent="0.25">
      <c r="A986">
        <v>28</v>
      </c>
      <c r="B986" t="s">
        <v>44</v>
      </c>
      <c r="C986" t="s">
        <v>37</v>
      </c>
      <c r="D986">
        <v>736</v>
      </c>
      <c r="E986" t="s">
        <v>38</v>
      </c>
      <c r="G986">
        <v>26</v>
      </c>
      <c r="H986">
        <v>3</v>
      </c>
      <c r="I986" t="s">
        <v>39</v>
      </c>
      <c r="J986" t="str">
        <f>WA_Fn_UseC__HR_Employee_Attrition[[#This Row],[EducationField]]&amp;"-"&amp;WA_Fn_UseC__HR_Employee_Attrition[[#This Row],[Department]]</f>
        <v>Life Sciences-Sales</v>
      </c>
      <c r="K986">
        <v>1</v>
      </c>
      <c r="L986">
        <v>1387</v>
      </c>
      <c r="M986">
        <v>3</v>
      </c>
      <c r="N986" t="s">
        <v>47</v>
      </c>
      <c r="O986">
        <v>48</v>
      </c>
      <c r="P986">
        <v>2</v>
      </c>
      <c r="Q986">
        <v>2</v>
      </c>
      <c r="R986" t="s">
        <v>41</v>
      </c>
      <c r="S986">
        <v>1</v>
      </c>
      <c r="T986" t="s">
        <v>49</v>
      </c>
      <c r="U986">
        <v>4724</v>
      </c>
      <c r="V986" t="str" cm="1">
        <f t="array" ref="V98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86">
        <v>24232</v>
      </c>
      <c r="X986">
        <v>1</v>
      </c>
      <c r="Y986" t="s">
        <v>43</v>
      </c>
      <c r="Z986" t="s">
        <v>44</v>
      </c>
      <c r="AA986">
        <v>11</v>
      </c>
      <c r="AB986">
        <v>3</v>
      </c>
      <c r="AC986">
        <v>3</v>
      </c>
      <c r="AD986">
        <v>80</v>
      </c>
      <c r="AE986">
        <v>1</v>
      </c>
      <c r="AF986">
        <v>5</v>
      </c>
      <c r="AG986">
        <v>0</v>
      </c>
      <c r="AH986">
        <v>3</v>
      </c>
      <c r="AI986">
        <v>5</v>
      </c>
      <c r="AJ986">
        <v>3</v>
      </c>
      <c r="AK986">
        <v>0</v>
      </c>
      <c r="AL986" t="str" cm="1">
        <f t="array" ref="AL98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86">
        <v>4</v>
      </c>
    </row>
    <row r="987" spans="1:39" x14ac:dyDescent="0.25">
      <c r="A987">
        <v>31</v>
      </c>
      <c r="B987" t="s">
        <v>36</v>
      </c>
      <c r="C987" t="s">
        <v>37</v>
      </c>
      <c r="D987">
        <v>330</v>
      </c>
      <c r="E987" t="s">
        <v>46</v>
      </c>
      <c r="G987">
        <v>22</v>
      </c>
      <c r="H987">
        <v>4</v>
      </c>
      <c r="I987" t="s">
        <v>52</v>
      </c>
      <c r="J987" t="str">
        <f>WA_Fn_UseC__HR_Employee_Attrition[[#This Row],[EducationField]]&amp;"-"&amp;WA_Fn_UseC__HR_Employee_Attrition[[#This Row],[Department]]</f>
        <v>Medical-Research &amp; Development</v>
      </c>
      <c r="K987">
        <v>1</v>
      </c>
      <c r="L987">
        <v>1389</v>
      </c>
      <c r="M987">
        <v>4</v>
      </c>
      <c r="N987" t="s">
        <v>47</v>
      </c>
      <c r="O987">
        <v>98</v>
      </c>
      <c r="P987">
        <v>3</v>
      </c>
      <c r="Q987">
        <v>2</v>
      </c>
      <c r="R987" t="s">
        <v>54</v>
      </c>
      <c r="S987">
        <v>3</v>
      </c>
      <c r="T987" t="s">
        <v>49</v>
      </c>
      <c r="U987">
        <v>6179</v>
      </c>
      <c r="V987" t="str" cm="1">
        <f t="array" ref="V98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87">
        <v>21057</v>
      </c>
      <c r="X987">
        <v>1</v>
      </c>
      <c r="Y987" t="s">
        <v>43</v>
      </c>
      <c r="Z987" t="s">
        <v>36</v>
      </c>
      <c r="AA987">
        <v>15</v>
      </c>
      <c r="AB987">
        <v>3</v>
      </c>
      <c r="AC987">
        <v>4</v>
      </c>
      <c r="AD987">
        <v>80</v>
      </c>
      <c r="AE987">
        <v>2</v>
      </c>
      <c r="AF987">
        <v>10</v>
      </c>
      <c r="AG987">
        <v>3</v>
      </c>
      <c r="AH987">
        <v>2</v>
      </c>
      <c r="AI987">
        <v>10</v>
      </c>
      <c r="AJ987">
        <v>2</v>
      </c>
      <c r="AK987">
        <v>6</v>
      </c>
      <c r="AL987" t="str" cm="1">
        <f t="array" ref="AL98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87">
        <v>7</v>
      </c>
    </row>
    <row r="988" spans="1:39" x14ac:dyDescent="0.25">
      <c r="A988">
        <v>39</v>
      </c>
      <c r="B988" t="s">
        <v>44</v>
      </c>
      <c r="C988" t="s">
        <v>37</v>
      </c>
      <c r="D988">
        <v>1498</v>
      </c>
      <c r="E988" t="s">
        <v>38</v>
      </c>
      <c r="G988">
        <v>21</v>
      </c>
      <c r="H988">
        <v>4</v>
      </c>
      <c r="I988" t="s">
        <v>39</v>
      </c>
      <c r="J988" t="str">
        <f>WA_Fn_UseC__HR_Employee_Attrition[[#This Row],[EducationField]]&amp;"-"&amp;WA_Fn_UseC__HR_Employee_Attrition[[#This Row],[Department]]</f>
        <v>Life Sciences-Sales</v>
      </c>
      <c r="K988">
        <v>1</v>
      </c>
      <c r="L988">
        <v>1390</v>
      </c>
      <c r="M988">
        <v>1</v>
      </c>
      <c r="N988" t="s">
        <v>47</v>
      </c>
      <c r="O988">
        <v>44</v>
      </c>
      <c r="P988">
        <v>2</v>
      </c>
      <c r="Q988">
        <v>2</v>
      </c>
      <c r="R988" t="s">
        <v>41</v>
      </c>
      <c r="S988">
        <v>4</v>
      </c>
      <c r="T988" t="s">
        <v>49</v>
      </c>
      <c r="U988">
        <v>6120</v>
      </c>
      <c r="V988" t="str" cm="1">
        <f t="array" ref="V98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88">
        <v>3567</v>
      </c>
      <c r="X988">
        <v>3</v>
      </c>
      <c r="Y988" t="s">
        <v>43</v>
      </c>
      <c r="Z988" t="s">
        <v>36</v>
      </c>
      <c r="AA988">
        <v>12</v>
      </c>
      <c r="AB988">
        <v>3</v>
      </c>
      <c r="AC988">
        <v>4</v>
      </c>
      <c r="AD988">
        <v>80</v>
      </c>
      <c r="AE988">
        <v>2</v>
      </c>
      <c r="AF988">
        <v>8</v>
      </c>
      <c r="AG988">
        <v>2</v>
      </c>
      <c r="AH988">
        <v>4</v>
      </c>
      <c r="AI988">
        <v>5</v>
      </c>
      <c r="AJ988">
        <v>4</v>
      </c>
      <c r="AK988">
        <v>1</v>
      </c>
      <c r="AL988" t="str" cm="1">
        <f t="array" ref="AL98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88">
        <v>4</v>
      </c>
    </row>
    <row r="989" spans="1:39" x14ac:dyDescent="0.25">
      <c r="A989">
        <v>51</v>
      </c>
      <c r="B989" t="s">
        <v>44</v>
      </c>
      <c r="C989" t="s">
        <v>45</v>
      </c>
      <c r="D989">
        <v>541</v>
      </c>
      <c r="E989" t="s">
        <v>38</v>
      </c>
      <c r="G989">
        <v>2</v>
      </c>
      <c r="H989">
        <v>3</v>
      </c>
      <c r="I989" t="s">
        <v>60</v>
      </c>
      <c r="J989" t="str">
        <f>WA_Fn_UseC__HR_Employee_Attrition[[#This Row],[EducationField]]&amp;"-"&amp;WA_Fn_UseC__HR_Employee_Attrition[[#This Row],[Department]]</f>
        <v>Marketing-Sales</v>
      </c>
      <c r="K989">
        <v>1</v>
      </c>
      <c r="L989">
        <v>1391</v>
      </c>
      <c r="M989">
        <v>2</v>
      </c>
      <c r="N989" t="s">
        <v>47</v>
      </c>
      <c r="O989">
        <v>52</v>
      </c>
      <c r="P989">
        <v>3</v>
      </c>
      <c r="Q989">
        <v>3</v>
      </c>
      <c r="R989" t="s">
        <v>41</v>
      </c>
      <c r="S989">
        <v>2</v>
      </c>
      <c r="T989" t="s">
        <v>49</v>
      </c>
      <c r="U989">
        <v>10596</v>
      </c>
      <c r="V989" t="str" cm="1">
        <f t="array" ref="V98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89">
        <v>15395</v>
      </c>
      <c r="X989">
        <v>2</v>
      </c>
      <c r="Y989" t="s">
        <v>43</v>
      </c>
      <c r="Z989" t="s">
        <v>44</v>
      </c>
      <c r="AA989">
        <v>11</v>
      </c>
      <c r="AB989">
        <v>3</v>
      </c>
      <c r="AC989">
        <v>2</v>
      </c>
      <c r="AD989">
        <v>80</v>
      </c>
      <c r="AE989">
        <v>0</v>
      </c>
      <c r="AF989">
        <v>14</v>
      </c>
      <c r="AG989">
        <v>5</v>
      </c>
      <c r="AH989">
        <v>3</v>
      </c>
      <c r="AI989">
        <v>4</v>
      </c>
      <c r="AJ989">
        <v>2</v>
      </c>
      <c r="AK989">
        <v>3</v>
      </c>
      <c r="AL989" t="str" cm="1">
        <f t="array" ref="AL98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89">
        <v>2</v>
      </c>
    </row>
    <row r="990" spans="1:39" x14ac:dyDescent="0.25">
      <c r="A990">
        <v>41</v>
      </c>
      <c r="B990" t="s">
        <v>44</v>
      </c>
      <c r="C990" t="s">
        <v>45</v>
      </c>
      <c r="D990">
        <v>1200</v>
      </c>
      <c r="E990" t="s">
        <v>46</v>
      </c>
      <c r="G990">
        <v>22</v>
      </c>
      <c r="H990">
        <v>3</v>
      </c>
      <c r="I990" t="s">
        <v>39</v>
      </c>
      <c r="J990" t="str">
        <f>WA_Fn_UseC__HR_Employee_Attrition[[#This Row],[EducationField]]&amp;"-"&amp;WA_Fn_UseC__HR_Employee_Attrition[[#This Row],[Department]]</f>
        <v>Life Sciences-Research &amp; Development</v>
      </c>
      <c r="K990">
        <v>1</v>
      </c>
      <c r="L990">
        <v>1392</v>
      </c>
      <c r="M990">
        <v>4</v>
      </c>
      <c r="N990" t="s">
        <v>40</v>
      </c>
      <c r="O990">
        <v>75</v>
      </c>
      <c r="P990">
        <v>3</v>
      </c>
      <c r="Q990">
        <v>2</v>
      </c>
      <c r="R990" t="s">
        <v>48</v>
      </c>
      <c r="S990">
        <v>4</v>
      </c>
      <c r="T990" t="s">
        <v>53</v>
      </c>
      <c r="U990">
        <v>5467</v>
      </c>
      <c r="V990" t="str" cm="1">
        <f t="array" ref="V99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90">
        <v>13953</v>
      </c>
      <c r="X990">
        <v>3</v>
      </c>
      <c r="Y990" t="s">
        <v>43</v>
      </c>
      <c r="Z990" t="s">
        <v>36</v>
      </c>
      <c r="AA990">
        <v>14</v>
      </c>
      <c r="AB990">
        <v>3</v>
      </c>
      <c r="AC990">
        <v>1</v>
      </c>
      <c r="AD990">
        <v>80</v>
      </c>
      <c r="AE990">
        <v>2</v>
      </c>
      <c r="AF990">
        <v>12</v>
      </c>
      <c r="AG990">
        <v>4</v>
      </c>
      <c r="AH990">
        <v>2</v>
      </c>
      <c r="AI990">
        <v>6</v>
      </c>
      <c r="AJ990">
        <v>2</v>
      </c>
      <c r="AK990">
        <v>3</v>
      </c>
      <c r="AL990" t="str" cm="1">
        <f t="array" ref="AL99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90">
        <v>3</v>
      </c>
    </row>
    <row r="991" spans="1:39" x14ac:dyDescent="0.25">
      <c r="A991">
        <v>37</v>
      </c>
      <c r="B991" t="s">
        <v>44</v>
      </c>
      <c r="C991" t="s">
        <v>37</v>
      </c>
      <c r="D991">
        <v>1439</v>
      </c>
      <c r="E991" t="s">
        <v>46</v>
      </c>
      <c r="G991">
        <v>4</v>
      </c>
      <c r="H991">
        <v>1</v>
      </c>
      <c r="I991" t="s">
        <v>39</v>
      </c>
      <c r="J991" t="str">
        <f>WA_Fn_UseC__HR_Employee_Attrition[[#This Row],[EducationField]]&amp;"-"&amp;WA_Fn_UseC__HR_Employee_Attrition[[#This Row],[Department]]</f>
        <v>Life Sciences-Research &amp; Development</v>
      </c>
      <c r="K991">
        <v>1</v>
      </c>
      <c r="L991">
        <v>1394</v>
      </c>
      <c r="M991">
        <v>3</v>
      </c>
      <c r="N991" t="s">
        <v>47</v>
      </c>
      <c r="O991">
        <v>54</v>
      </c>
      <c r="P991">
        <v>3</v>
      </c>
      <c r="Q991">
        <v>1</v>
      </c>
      <c r="R991" t="s">
        <v>48</v>
      </c>
      <c r="S991">
        <v>3</v>
      </c>
      <c r="T991" t="s">
        <v>49</v>
      </c>
      <c r="U991">
        <v>2996</v>
      </c>
      <c r="V991" t="str" cm="1">
        <f t="array" ref="V99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91">
        <v>5182</v>
      </c>
      <c r="X991">
        <v>7</v>
      </c>
      <c r="Y991" t="s">
        <v>43</v>
      </c>
      <c r="Z991" t="s">
        <v>36</v>
      </c>
      <c r="AA991">
        <v>15</v>
      </c>
      <c r="AB991">
        <v>3</v>
      </c>
      <c r="AC991">
        <v>4</v>
      </c>
      <c r="AD991">
        <v>80</v>
      </c>
      <c r="AE991">
        <v>0</v>
      </c>
      <c r="AF991">
        <v>8</v>
      </c>
      <c r="AG991">
        <v>2</v>
      </c>
      <c r="AH991">
        <v>3</v>
      </c>
      <c r="AI991">
        <v>6</v>
      </c>
      <c r="AJ991">
        <v>4</v>
      </c>
      <c r="AK991">
        <v>1</v>
      </c>
      <c r="AL991" t="str" cm="1">
        <f t="array" ref="AL99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91">
        <v>3</v>
      </c>
    </row>
    <row r="992" spans="1:39" x14ac:dyDescent="0.25">
      <c r="A992">
        <v>33</v>
      </c>
      <c r="B992" t="s">
        <v>44</v>
      </c>
      <c r="C992" t="s">
        <v>45</v>
      </c>
      <c r="D992">
        <v>1111</v>
      </c>
      <c r="E992" t="s">
        <v>38</v>
      </c>
      <c r="G992">
        <v>5</v>
      </c>
      <c r="H992">
        <v>1</v>
      </c>
      <c r="I992" t="s">
        <v>39</v>
      </c>
      <c r="J992" t="str">
        <f>WA_Fn_UseC__HR_Employee_Attrition[[#This Row],[EducationField]]&amp;"-"&amp;WA_Fn_UseC__HR_Employee_Attrition[[#This Row],[Department]]</f>
        <v>Life Sciences-Sales</v>
      </c>
      <c r="K992">
        <v>1</v>
      </c>
      <c r="L992">
        <v>1395</v>
      </c>
      <c r="M992">
        <v>2</v>
      </c>
      <c r="N992" t="s">
        <v>47</v>
      </c>
      <c r="O992">
        <v>61</v>
      </c>
      <c r="P992">
        <v>3</v>
      </c>
      <c r="Q992">
        <v>2</v>
      </c>
      <c r="R992" t="s">
        <v>41</v>
      </c>
      <c r="S992">
        <v>4</v>
      </c>
      <c r="T992" t="s">
        <v>49</v>
      </c>
      <c r="U992">
        <v>9998</v>
      </c>
      <c r="V992" t="str" cm="1">
        <f t="array" ref="V99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92">
        <v>19293</v>
      </c>
      <c r="X992">
        <v>6</v>
      </c>
      <c r="Y992" t="s">
        <v>43</v>
      </c>
      <c r="Z992" t="s">
        <v>44</v>
      </c>
      <c r="AA992">
        <v>13</v>
      </c>
      <c r="AB992">
        <v>3</v>
      </c>
      <c r="AC992">
        <v>1</v>
      </c>
      <c r="AD992">
        <v>80</v>
      </c>
      <c r="AE992">
        <v>0</v>
      </c>
      <c r="AF992">
        <v>8</v>
      </c>
      <c r="AG992">
        <v>2</v>
      </c>
      <c r="AH992">
        <v>4</v>
      </c>
      <c r="AI992">
        <v>5</v>
      </c>
      <c r="AJ992">
        <v>4</v>
      </c>
      <c r="AK992">
        <v>1</v>
      </c>
      <c r="AL992" t="str" cm="1">
        <f t="array" ref="AL99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92">
        <v>2</v>
      </c>
    </row>
    <row r="993" spans="1:39" x14ac:dyDescent="0.25">
      <c r="A993">
        <v>32</v>
      </c>
      <c r="B993" t="s">
        <v>44</v>
      </c>
      <c r="C993" t="s">
        <v>37</v>
      </c>
      <c r="D993">
        <v>499</v>
      </c>
      <c r="E993" t="s">
        <v>38</v>
      </c>
      <c r="G993">
        <v>2</v>
      </c>
      <c r="H993">
        <v>1</v>
      </c>
      <c r="I993" t="s">
        <v>60</v>
      </c>
      <c r="J993" t="str">
        <f>WA_Fn_UseC__HR_Employee_Attrition[[#This Row],[EducationField]]&amp;"-"&amp;WA_Fn_UseC__HR_Employee_Attrition[[#This Row],[Department]]</f>
        <v>Marketing-Sales</v>
      </c>
      <c r="K993">
        <v>1</v>
      </c>
      <c r="L993">
        <v>1396</v>
      </c>
      <c r="M993">
        <v>3</v>
      </c>
      <c r="N993" t="s">
        <v>47</v>
      </c>
      <c r="O993">
        <v>36</v>
      </c>
      <c r="P993">
        <v>3</v>
      </c>
      <c r="Q993">
        <v>2</v>
      </c>
      <c r="R993" t="s">
        <v>41</v>
      </c>
      <c r="S993">
        <v>2</v>
      </c>
      <c r="T993" t="s">
        <v>49</v>
      </c>
      <c r="U993">
        <v>4078</v>
      </c>
      <c r="V993" t="str" cm="1">
        <f t="array" ref="V99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93">
        <v>20497</v>
      </c>
      <c r="X993">
        <v>0</v>
      </c>
      <c r="Y993" t="s">
        <v>43</v>
      </c>
      <c r="Z993" t="s">
        <v>36</v>
      </c>
      <c r="AA993">
        <v>13</v>
      </c>
      <c r="AB993">
        <v>3</v>
      </c>
      <c r="AC993">
        <v>1</v>
      </c>
      <c r="AD993">
        <v>80</v>
      </c>
      <c r="AE993">
        <v>3</v>
      </c>
      <c r="AF993">
        <v>4</v>
      </c>
      <c r="AG993">
        <v>3</v>
      </c>
      <c r="AH993">
        <v>2</v>
      </c>
      <c r="AI993">
        <v>3</v>
      </c>
      <c r="AJ993">
        <v>2</v>
      </c>
      <c r="AK993">
        <v>1</v>
      </c>
      <c r="AL993" t="str" cm="1">
        <f t="array" ref="AL99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93">
        <v>2</v>
      </c>
    </row>
    <row r="994" spans="1:39" x14ac:dyDescent="0.25">
      <c r="A994">
        <v>39</v>
      </c>
      <c r="B994" t="s">
        <v>44</v>
      </c>
      <c r="C994" t="s">
        <v>56</v>
      </c>
      <c r="D994">
        <v>1485</v>
      </c>
      <c r="E994" t="s">
        <v>46</v>
      </c>
      <c r="G994">
        <v>25</v>
      </c>
      <c r="H994">
        <v>2</v>
      </c>
      <c r="I994" t="s">
        <v>39</v>
      </c>
      <c r="J994" t="str">
        <f>WA_Fn_UseC__HR_Employee_Attrition[[#This Row],[EducationField]]&amp;"-"&amp;WA_Fn_UseC__HR_Employee_Attrition[[#This Row],[Department]]</f>
        <v>Life Sciences-Research &amp; Development</v>
      </c>
      <c r="K994">
        <v>1</v>
      </c>
      <c r="L994">
        <v>1397</v>
      </c>
      <c r="M994">
        <v>3</v>
      </c>
      <c r="N994" t="s">
        <v>47</v>
      </c>
      <c r="O994">
        <v>71</v>
      </c>
      <c r="P994">
        <v>3</v>
      </c>
      <c r="Q994">
        <v>3</v>
      </c>
      <c r="R994" t="s">
        <v>55</v>
      </c>
      <c r="S994">
        <v>3</v>
      </c>
      <c r="T994" t="s">
        <v>49</v>
      </c>
      <c r="U994">
        <v>10920</v>
      </c>
      <c r="V994" t="str" cm="1">
        <f t="array" ref="V99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94">
        <v>3449</v>
      </c>
      <c r="X994">
        <v>3</v>
      </c>
      <c r="Y994" t="s">
        <v>43</v>
      </c>
      <c r="Z994" t="s">
        <v>44</v>
      </c>
      <c r="AA994">
        <v>21</v>
      </c>
      <c r="AB994">
        <v>4</v>
      </c>
      <c r="AC994">
        <v>2</v>
      </c>
      <c r="AD994">
        <v>80</v>
      </c>
      <c r="AE994">
        <v>1</v>
      </c>
      <c r="AF994">
        <v>13</v>
      </c>
      <c r="AG994">
        <v>2</v>
      </c>
      <c r="AH994">
        <v>3</v>
      </c>
      <c r="AI994">
        <v>6</v>
      </c>
      <c r="AJ994">
        <v>4</v>
      </c>
      <c r="AK994">
        <v>0</v>
      </c>
      <c r="AL994" t="str" cm="1">
        <f t="array" ref="AL99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94">
        <v>5</v>
      </c>
    </row>
    <row r="995" spans="1:39" x14ac:dyDescent="0.25">
      <c r="A995">
        <v>25</v>
      </c>
      <c r="B995" t="s">
        <v>44</v>
      </c>
      <c r="C995" t="s">
        <v>37</v>
      </c>
      <c r="D995">
        <v>1372</v>
      </c>
      <c r="E995" t="s">
        <v>38</v>
      </c>
      <c r="G995">
        <v>18</v>
      </c>
      <c r="H995">
        <v>1</v>
      </c>
      <c r="I995" t="s">
        <v>39</v>
      </c>
      <c r="J995" t="str">
        <f>WA_Fn_UseC__HR_Employee_Attrition[[#This Row],[EducationField]]&amp;"-"&amp;WA_Fn_UseC__HR_Employee_Attrition[[#This Row],[Department]]</f>
        <v>Life Sciences-Sales</v>
      </c>
      <c r="K995">
        <v>1</v>
      </c>
      <c r="L995">
        <v>1399</v>
      </c>
      <c r="M995">
        <v>1</v>
      </c>
      <c r="N995" t="s">
        <v>47</v>
      </c>
      <c r="O995">
        <v>93</v>
      </c>
      <c r="P995">
        <v>4</v>
      </c>
      <c r="Q995">
        <v>2</v>
      </c>
      <c r="R995" t="s">
        <v>41</v>
      </c>
      <c r="S995">
        <v>3</v>
      </c>
      <c r="T995" t="s">
        <v>49</v>
      </c>
      <c r="U995">
        <v>6232</v>
      </c>
      <c r="V995" t="str" cm="1">
        <f t="array" ref="V99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95">
        <v>12477</v>
      </c>
      <c r="X995">
        <v>2</v>
      </c>
      <c r="Y995" t="s">
        <v>43</v>
      </c>
      <c r="Z995" t="s">
        <v>44</v>
      </c>
      <c r="AA995">
        <v>11</v>
      </c>
      <c r="AB995">
        <v>3</v>
      </c>
      <c r="AC995">
        <v>2</v>
      </c>
      <c r="AD995">
        <v>80</v>
      </c>
      <c r="AE995">
        <v>0</v>
      </c>
      <c r="AF995">
        <v>6</v>
      </c>
      <c r="AG995">
        <v>3</v>
      </c>
      <c r="AH995">
        <v>2</v>
      </c>
      <c r="AI995">
        <v>3</v>
      </c>
      <c r="AJ995">
        <v>2</v>
      </c>
      <c r="AK995">
        <v>1</v>
      </c>
      <c r="AL995" t="str" cm="1">
        <f t="array" ref="AL99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95">
        <v>2</v>
      </c>
    </row>
    <row r="996" spans="1:39" x14ac:dyDescent="0.25">
      <c r="A996">
        <v>52</v>
      </c>
      <c r="B996" t="s">
        <v>44</v>
      </c>
      <c r="C996" t="s">
        <v>45</v>
      </c>
      <c r="D996">
        <v>322</v>
      </c>
      <c r="E996" t="s">
        <v>46</v>
      </c>
      <c r="G996">
        <v>28</v>
      </c>
      <c r="H996">
        <v>2</v>
      </c>
      <c r="I996" t="s">
        <v>52</v>
      </c>
      <c r="J996" t="str">
        <f>WA_Fn_UseC__HR_Employee_Attrition[[#This Row],[EducationField]]&amp;"-"&amp;WA_Fn_UseC__HR_Employee_Attrition[[#This Row],[Department]]</f>
        <v>Medical-Research &amp; Development</v>
      </c>
      <c r="K996">
        <v>1</v>
      </c>
      <c r="L996">
        <v>1401</v>
      </c>
      <c r="M996">
        <v>4</v>
      </c>
      <c r="N996" t="s">
        <v>40</v>
      </c>
      <c r="O996">
        <v>59</v>
      </c>
      <c r="P996">
        <v>4</v>
      </c>
      <c r="Q996">
        <v>4</v>
      </c>
      <c r="R996" t="s">
        <v>54</v>
      </c>
      <c r="S996">
        <v>3</v>
      </c>
      <c r="T996" t="s">
        <v>49</v>
      </c>
      <c r="U996">
        <v>13247</v>
      </c>
      <c r="V996" t="str" cm="1">
        <f t="array" ref="V99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996">
        <v>9731</v>
      </c>
      <c r="X996">
        <v>2</v>
      </c>
      <c r="Y996" t="s">
        <v>43</v>
      </c>
      <c r="Z996" t="s">
        <v>36</v>
      </c>
      <c r="AA996">
        <v>11</v>
      </c>
      <c r="AB996">
        <v>3</v>
      </c>
      <c r="AC996">
        <v>2</v>
      </c>
      <c r="AD996">
        <v>80</v>
      </c>
      <c r="AE996">
        <v>1</v>
      </c>
      <c r="AF996">
        <v>24</v>
      </c>
      <c r="AG996">
        <v>3</v>
      </c>
      <c r="AH996">
        <v>2</v>
      </c>
      <c r="AI996">
        <v>5</v>
      </c>
      <c r="AJ996">
        <v>3</v>
      </c>
      <c r="AK996">
        <v>0</v>
      </c>
      <c r="AL996" t="str" cm="1">
        <f t="array" ref="AL99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996">
        <v>2</v>
      </c>
    </row>
    <row r="997" spans="1:39" x14ac:dyDescent="0.25">
      <c r="A997">
        <v>43</v>
      </c>
      <c r="B997" t="s">
        <v>44</v>
      </c>
      <c r="C997" t="s">
        <v>37</v>
      </c>
      <c r="D997">
        <v>930</v>
      </c>
      <c r="E997" t="s">
        <v>46</v>
      </c>
      <c r="G997">
        <v>6</v>
      </c>
      <c r="H997">
        <v>3</v>
      </c>
      <c r="I997" t="s">
        <v>52</v>
      </c>
      <c r="J997" t="str">
        <f>WA_Fn_UseC__HR_Employee_Attrition[[#This Row],[EducationField]]&amp;"-"&amp;WA_Fn_UseC__HR_Employee_Attrition[[#This Row],[Department]]</f>
        <v>Medical-Research &amp; Development</v>
      </c>
      <c r="K997">
        <v>1</v>
      </c>
      <c r="L997">
        <v>1402</v>
      </c>
      <c r="M997">
        <v>1</v>
      </c>
      <c r="N997" t="s">
        <v>40</v>
      </c>
      <c r="O997">
        <v>73</v>
      </c>
      <c r="P997">
        <v>2</v>
      </c>
      <c r="Q997">
        <v>2</v>
      </c>
      <c r="R997" t="s">
        <v>48</v>
      </c>
      <c r="S997">
        <v>3</v>
      </c>
      <c r="T997" t="s">
        <v>42</v>
      </c>
      <c r="U997">
        <v>4081</v>
      </c>
      <c r="V997" t="str" cm="1">
        <f t="array" ref="V99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97">
        <v>20003</v>
      </c>
      <c r="X997">
        <v>1</v>
      </c>
      <c r="Y997" t="s">
        <v>43</v>
      </c>
      <c r="Z997" t="s">
        <v>36</v>
      </c>
      <c r="AA997">
        <v>14</v>
      </c>
      <c r="AB997">
        <v>3</v>
      </c>
      <c r="AC997">
        <v>1</v>
      </c>
      <c r="AD997">
        <v>80</v>
      </c>
      <c r="AE997">
        <v>0</v>
      </c>
      <c r="AF997">
        <v>20</v>
      </c>
      <c r="AG997">
        <v>3</v>
      </c>
      <c r="AH997">
        <v>1</v>
      </c>
      <c r="AI997">
        <v>20</v>
      </c>
      <c r="AJ997">
        <v>7</v>
      </c>
      <c r="AK997">
        <v>1</v>
      </c>
      <c r="AL997" t="str" cm="1">
        <f t="array" ref="AL99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97">
        <v>8</v>
      </c>
    </row>
    <row r="998" spans="1:39" x14ac:dyDescent="0.25">
      <c r="A998">
        <v>27</v>
      </c>
      <c r="B998" t="s">
        <v>44</v>
      </c>
      <c r="C998" t="s">
        <v>37</v>
      </c>
      <c r="D998">
        <v>205</v>
      </c>
      <c r="E998" t="s">
        <v>38</v>
      </c>
      <c r="G998">
        <v>10</v>
      </c>
      <c r="H998">
        <v>3</v>
      </c>
      <c r="I998" t="s">
        <v>60</v>
      </c>
      <c r="J998" t="str">
        <f>WA_Fn_UseC__HR_Employee_Attrition[[#This Row],[EducationField]]&amp;"-"&amp;WA_Fn_UseC__HR_Employee_Attrition[[#This Row],[Department]]</f>
        <v>Marketing-Sales</v>
      </c>
      <c r="K998">
        <v>1</v>
      </c>
      <c r="L998">
        <v>1403</v>
      </c>
      <c r="M998">
        <v>4</v>
      </c>
      <c r="N998" t="s">
        <v>40</v>
      </c>
      <c r="O998">
        <v>98</v>
      </c>
      <c r="P998">
        <v>2</v>
      </c>
      <c r="Q998">
        <v>2</v>
      </c>
      <c r="R998" t="s">
        <v>41</v>
      </c>
      <c r="S998">
        <v>4</v>
      </c>
      <c r="T998" t="s">
        <v>49</v>
      </c>
      <c r="U998">
        <v>5769</v>
      </c>
      <c r="V998" t="str" cm="1">
        <f t="array" ref="V99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998">
        <v>7100</v>
      </c>
      <c r="X998">
        <v>1</v>
      </c>
      <c r="Y998" t="s">
        <v>43</v>
      </c>
      <c r="Z998" t="s">
        <v>36</v>
      </c>
      <c r="AA998">
        <v>11</v>
      </c>
      <c r="AB998">
        <v>3</v>
      </c>
      <c r="AC998">
        <v>4</v>
      </c>
      <c r="AD998">
        <v>80</v>
      </c>
      <c r="AE998">
        <v>0</v>
      </c>
      <c r="AF998">
        <v>6</v>
      </c>
      <c r="AG998">
        <v>3</v>
      </c>
      <c r="AH998">
        <v>3</v>
      </c>
      <c r="AI998">
        <v>6</v>
      </c>
      <c r="AJ998">
        <v>2</v>
      </c>
      <c r="AK998">
        <v>4</v>
      </c>
      <c r="AL998" t="str" cm="1">
        <f t="array" ref="AL99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998">
        <v>4</v>
      </c>
    </row>
    <row r="999" spans="1:39" x14ac:dyDescent="0.25">
      <c r="A999">
        <v>27</v>
      </c>
      <c r="B999" t="s">
        <v>36</v>
      </c>
      <c r="C999" t="s">
        <v>37</v>
      </c>
      <c r="D999">
        <v>135</v>
      </c>
      <c r="E999" t="s">
        <v>46</v>
      </c>
      <c r="G999">
        <v>17</v>
      </c>
      <c r="H999">
        <v>4</v>
      </c>
      <c r="I999" t="s">
        <v>39</v>
      </c>
      <c r="J999" t="str">
        <f>WA_Fn_UseC__HR_Employee_Attrition[[#This Row],[EducationField]]&amp;"-"&amp;WA_Fn_UseC__HR_Employee_Attrition[[#This Row],[Department]]</f>
        <v>Life Sciences-Research &amp; Development</v>
      </c>
      <c r="K999">
        <v>1</v>
      </c>
      <c r="L999">
        <v>1405</v>
      </c>
      <c r="M999">
        <v>4</v>
      </c>
      <c r="N999" t="s">
        <v>40</v>
      </c>
      <c r="O999">
        <v>51</v>
      </c>
      <c r="P999">
        <v>3</v>
      </c>
      <c r="Q999">
        <v>1</v>
      </c>
      <c r="R999" t="s">
        <v>48</v>
      </c>
      <c r="S999">
        <v>3</v>
      </c>
      <c r="T999" t="s">
        <v>42</v>
      </c>
      <c r="U999">
        <v>2394</v>
      </c>
      <c r="V999" t="str" cm="1">
        <f t="array" ref="V99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999">
        <v>25681</v>
      </c>
      <c r="X999">
        <v>1</v>
      </c>
      <c r="Y999" t="s">
        <v>43</v>
      </c>
      <c r="Z999" t="s">
        <v>36</v>
      </c>
      <c r="AA999">
        <v>13</v>
      </c>
      <c r="AB999">
        <v>3</v>
      </c>
      <c r="AC999">
        <v>4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8</v>
      </c>
      <c r="AJ999">
        <v>2</v>
      </c>
      <c r="AK999">
        <v>7</v>
      </c>
      <c r="AL999" t="str" cm="1">
        <f t="array" ref="AL99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999">
        <v>7</v>
      </c>
    </row>
    <row r="1000" spans="1:39" x14ac:dyDescent="0.25">
      <c r="A1000">
        <v>26</v>
      </c>
      <c r="B1000" t="s">
        <v>44</v>
      </c>
      <c r="C1000" t="s">
        <v>37</v>
      </c>
      <c r="D1000">
        <v>683</v>
      </c>
      <c r="E1000" t="s">
        <v>46</v>
      </c>
      <c r="G1000">
        <v>2</v>
      </c>
      <c r="H1000">
        <v>1</v>
      </c>
      <c r="I1000" t="s">
        <v>52</v>
      </c>
      <c r="J1000" t="str">
        <f>WA_Fn_UseC__HR_Employee_Attrition[[#This Row],[EducationField]]&amp;"-"&amp;WA_Fn_UseC__HR_Employee_Attrition[[#This Row],[Department]]</f>
        <v>Medical-Research &amp; Development</v>
      </c>
      <c r="K1000">
        <v>1</v>
      </c>
      <c r="L1000">
        <v>1407</v>
      </c>
      <c r="M1000">
        <v>1</v>
      </c>
      <c r="N1000" t="s">
        <v>47</v>
      </c>
      <c r="O1000">
        <v>36</v>
      </c>
      <c r="P1000">
        <v>2</v>
      </c>
      <c r="Q1000">
        <v>1</v>
      </c>
      <c r="R1000" t="s">
        <v>48</v>
      </c>
      <c r="S1000">
        <v>4</v>
      </c>
      <c r="T1000" t="s">
        <v>42</v>
      </c>
      <c r="U1000">
        <v>3904</v>
      </c>
      <c r="V1000" t="str" cm="1">
        <f t="array" ref="V100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00">
        <v>4050</v>
      </c>
      <c r="X1000">
        <v>0</v>
      </c>
      <c r="Y1000" t="s">
        <v>43</v>
      </c>
      <c r="Z1000" t="s">
        <v>44</v>
      </c>
      <c r="AA1000">
        <v>12</v>
      </c>
      <c r="AB1000">
        <v>3</v>
      </c>
      <c r="AC1000">
        <v>4</v>
      </c>
      <c r="AD1000">
        <v>80</v>
      </c>
      <c r="AE1000">
        <v>0</v>
      </c>
      <c r="AF1000">
        <v>5</v>
      </c>
      <c r="AG1000">
        <v>2</v>
      </c>
      <c r="AH1000">
        <v>3</v>
      </c>
      <c r="AI1000">
        <v>4</v>
      </c>
      <c r="AJ1000">
        <v>3</v>
      </c>
      <c r="AK1000">
        <v>1</v>
      </c>
      <c r="AL1000" t="str" cm="1">
        <f t="array" ref="AL100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00">
        <v>1</v>
      </c>
    </row>
    <row r="1001" spans="1:39" x14ac:dyDescent="0.25">
      <c r="A1001">
        <v>42</v>
      </c>
      <c r="B1001" t="s">
        <v>44</v>
      </c>
      <c r="C1001" t="s">
        <v>37</v>
      </c>
      <c r="D1001">
        <v>1147</v>
      </c>
      <c r="E1001" t="s">
        <v>62</v>
      </c>
      <c r="G1001">
        <v>10</v>
      </c>
      <c r="H1001">
        <v>3</v>
      </c>
      <c r="I1001" t="s">
        <v>62</v>
      </c>
      <c r="J1001" t="str">
        <f>WA_Fn_UseC__HR_Employee_Attrition[[#This Row],[EducationField]]&amp;"-"&amp;WA_Fn_UseC__HR_Employee_Attrition[[#This Row],[Department]]</f>
        <v>Human Resources-Human Resources</v>
      </c>
      <c r="K1001">
        <v>1</v>
      </c>
      <c r="L1001">
        <v>1408</v>
      </c>
      <c r="M1001">
        <v>3</v>
      </c>
      <c r="N1001" t="s">
        <v>40</v>
      </c>
      <c r="O1001">
        <v>31</v>
      </c>
      <c r="P1001">
        <v>3</v>
      </c>
      <c r="Q1001">
        <v>4</v>
      </c>
      <c r="R1001" t="s">
        <v>57</v>
      </c>
      <c r="S1001">
        <v>1</v>
      </c>
      <c r="T1001" t="s">
        <v>49</v>
      </c>
      <c r="U1001">
        <v>16799</v>
      </c>
      <c r="V1001" t="str" cm="1">
        <f t="array" ref="V100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01">
        <v>16616</v>
      </c>
      <c r="X1001">
        <v>0</v>
      </c>
      <c r="Y1001" t="s">
        <v>43</v>
      </c>
      <c r="Z1001" t="s">
        <v>44</v>
      </c>
      <c r="AA1001">
        <v>14</v>
      </c>
      <c r="AB1001">
        <v>3</v>
      </c>
      <c r="AC1001">
        <v>3</v>
      </c>
      <c r="AD1001">
        <v>80</v>
      </c>
      <c r="AE1001">
        <v>1</v>
      </c>
      <c r="AF1001">
        <v>21</v>
      </c>
      <c r="AG1001">
        <v>5</v>
      </c>
      <c r="AH1001">
        <v>3</v>
      </c>
      <c r="AI1001">
        <v>20</v>
      </c>
      <c r="AJ1001">
        <v>7</v>
      </c>
      <c r="AK1001">
        <v>0</v>
      </c>
      <c r="AL1001" t="str" cm="1">
        <f t="array" ref="AL100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01">
        <v>9</v>
      </c>
    </row>
    <row r="1002" spans="1:39" x14ac:dyDescent="0.25">
      <c r="A1002">
        <v>52</v>
      </c>
      <c r="B1002" t="s">
        <v>44</v>
      </c>
      <c r="C1002" t="s">
        <v>37</v>
      </c>
      <c r="D1002">
        <v>258</v>
      </c>
      <c r="E1002" t="s">
        <v>46</v>
      </c>
      <c r="G1002">
        <v>8</v>
      </c>
      <c r="H1002">
        <v>4</v>
      </c>
      <c r="I1002" t="s">
        <v>50</v>
      </c>
      <c r="J1002" t="str">
        <f>WA_Fn_UseC__HR_Employee_Attrition[[#This Row],[EducationField]]&amp;"-"&amp;WA_Fn_UseC__HR_Employee_Attrition[[#This Row],[Department]]</f>
        <v>Other-Research &amp; Development</v>
      </c>
      <c r="K1002">
        <v>1</v>
      </c>
      <c r="L1002">
        <v>1409</v>
      </c>
      <c r="M1002">
        <v>3</v>
      </c>
      <c r="N1002" t="s">
        <v>40</v>
      </c>
      <c r="O1002">
        <v>54</v>
      </c>
      <c r="P1002">
        <v>3</v>
      </c>
      <c r="Q1002">
        <v>1</v>
      </c>
      <c r="R1002" t="s">
        <v>51</v>
      </c>
      <c r="S1002">
        <v>1</v>
      </c>
      <c r="T1002" t="s">
        <v>49</v>
      </c>
      <c r="U1002">
        <v>2950</v>
      </c>
      <c r="V1002" t="str" cm="1">
        <f t="array" ref="V100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02">
        <v>17363</v>
      </c>
      <c r="X1002">
        <v>9</v>
      </c>
      <c r="Y1002" t="s">
        <v>43</v>
      </c>
      <c r="Z1002" t="s">
        <v>44</v>
      </c>
      <c r="AA1002">
        <v>13</v>
      </c>
      <c r="AB1002">
        <v>3</v>
      </c>
      <c r="AC1002">
        <v>3</v>
      </c>
      <c r="AD1002">
        <v>80</v>
      </c>
      <c r="AE1002">
        <v>0</v>
      </c>
      <c r="AF1002">
        <v>12</v>
      </c>
      <c r="AG1002">
        <v>2</v>
      </c>
      <c r="AH1002">
        <v>1</v>
      </c>
      <c r="AI1002">
        <v>5</v>
      </c>
      <c r="AJ1002">
        <v>4</v>
      </c>
      <c r="AK1002">
        <v>0</v>
      </c>
      <c r="AL1002" t="str" cm="1">
        <f t="array" ref="AL100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02">
        <v>4</v>
      </c>
    </row>
    <row r="1003" spans="1:39" x14ac:dyDescent="0.25">
      <c r="A1003">
        <v>37</v>
      </c>
      <c r="B1003" t="s">
        <v>44</v>
      </c>
      <c r="C1003" t="s">
        <v>37</v>
      </c>
      <c r="D1003">
        <v>1462</v>
      </c>
      <c r="E1003" t="s">
        <v>46</v>
      </c>
      <c r="G1003">
        <v>11</v>
      </c>
      <c r="H1003">
        <v>3</v>
      </c>
      <c r="I1003" t="s">
        <v>52</v>
      </c>
      <c r="J1003" t="str">
        <f>WA_Fn_UseC__HR_Employee_Attrition[[#This Row],[EducationField]]&amp;"-"&amp;WA_Fn_UseC__HR_Employee_Attrition[[#This Row],[Department]]</f>
        <v>Medical-Research &amp; Development</v>
      </c>
      <c r="K1003">
        <v>1</v>
      </c>
      <c r="L1003">
        <v>1411</v>
      </c>
      <c r="M1003">
        <v>1</v>
      </c>
      <c r="N1003" t="s">
        <v>40</v>
      </c>
      <c r="O1003">
        <v>94</v>
      </c>
      <c r="P1003">
        <v>3</v>
      </c>
      <c r="Q1003">
        <v>1</v>
      </c>
      <c r="R1003" t="s">
        <v>51</v>
      </c>
      <c r="S1003">
        <v>3</v>
      </c>
      <c r="T1003" t="s">
        <v>42</v>
      </c>
      <c r="U1003">
        <v>3629</v>
      </c>
      <c r="V1003" t="str" cm="1">
        <f t="array" ref="V100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03">
        <v>19106</v>
      </c>
      <c r="X1003">
        <v>4</v>
      </c>
      <c r="Y1003" t="s">
        <v>43</v>
      </c>
      <c r="Z1003" t="s">
        <v>44</v>
      </c>
      <c r="AA1003">
        <v>18</v>
      </c>
      <c r="AB1003">
        <v>3</v>
      </c>
      <c r="AC1003">
        <v>1</v>
      </c>
      <c r="AD1003">
        <v>80</v>
      </c>
      <c r="AE1003">
        <v>0</v>
      </c>
      <c r="AF1003">
        <v>8</v>
      </c>
      <c r="AG1003">
        <v>6</v>
      </c>
      <c r="AH1003">
        <v>3</v>
      </c>
      <c r="AI1003">
        <v>3</v>
      </c>
      <c r="AJ1003">
        <v>2</v>
      </c>
      <c r="AK1003">
        <v>0</v>
      </c>
      <c r="AL1003" t="str" cm="1">
        <f t="array" ref="AL100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03">
        <v>2</v>
      </c>
    </row>
    <row r="1004" spans="1:39" x14ac:dyDescent="0.25">
      <c r="A1004">
        <v>35</v>
      </c>
      <c r="B1004" t="s">
        <v>44</v>
      </c>
      <c r="C1004" t="s">
        <v>45</v>
      </c>
      <c r="D1004">
        <v>200</v>
      </c>
      <c r="E1004" t="s">
        <v>46</v>
      </c>
      <c r="G1004">
        <v>18</v>
      </c>
      <c r="H1004">
        <v>2</v>
      </c>
      <c r="I1004" t="s">
        <v>39</v>
      </c>
      <c r="J1004" t="str">
        <f>WA_Fn_UseC__HR_Employee_Attrition[[#This Row],[EducationField]]&amp;"-"&amp;WA_Fn_UseC__HR_Employee_Attrition[[#This Row],[Department]]</f>
        <v>Life Sciences-Research &amp; Development</v>
      </c>
      <c r="K1004">
        <v>1</v>
      </c>
      <c r="L1004">
        <v>1412</v>
      </c>
      <c r="M1004">
        <v>3</v>
      </c>
      <c r="N1004" t="s">
        <v>47</v>
      </c>
      <c r="O1004">
        <v>60</v>
      </c>
      <c r="P1004">
        <v>3</v>
      </c>
      <c r="Q1004">
        <v>3</v>
      </c>
      <c r="R1004" t="s">
        <v>54</v>
      </c>
      <c r="S1004">
        <v>4</v>
      </c>
      <c r="T1004" t="s">
        <v>42</v>
      </c>
      <c r="U1004">
        <v>9362</v>
      </c>
      <c r="V1004" t="str" cm="1">
        <f t="array" ref="V100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04">
        <v>19944</v>
      </c>
      <c r="X1004">
        <v>2</v>
      </c>
      <c r="Y1004" t="s">
        <v>43</v>
      </c>
      <c r="Z1004" t="s">
        <v>44</v>
      </c>
      <c r="AA1004">
        <v>11</v>
      </c>
      <c r="AB1004">
        <v>3</v>
      </c>
      <c r="AC1004">
        <v>3</v>
      </c>
      <c r="AD1004">
        <v>80</v>
      </c>
      <c r="AE1004">
        <v>0</v>
      </c>
      <c r="AF1004">
        <v>10</v>
      </c>
      <c r="AG1004">
        <v>2</v>
      </c>
      <c r="AH1004">
        <v>3</v>
      </c>
      <c r="AI1004">
        <v>2</v>
      </c>
      <c r="AJ1004">
        <v>2</v>
      </c>
      <c r="AK1004">
        <v>2</v>
      </c>
      <c r="AL1004" t="str" cm="1">
        <f t="array" ref="AL100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04">
        <v>2</v>
      </c>
    </row>
    <row r="1005" spans="1:39" x14ac:dyDescent="0.25">
      <c r="A1005">
        <v>25</v>
      </c>
      <c r="B1005" t="s">
        <v>44</v>
      </c>
      <c r="C1005" t="s">
        <v>37</v>
      </c>
      <c r="D1005">
        <v>949</v>
      </c>
      <c r="E1005" t="s">
        <v>46</v>
      </c>
      <c r="G1005">
        <v>1</v>
      </c>
      <c r="H1005">
        <v>3</v>
      </c>
      <c r="I1005" t="s">
        <v>61</v>
      </c>
      <c r="J1005" t="str">
        <f>WA_Fn_UseC__HR_Employee_Attrition[[#This Row],[EducationField]]&amp;"-"&amp;WA_Fn_UseC__HR_Employee_Attrition[[#This Row],[Department]]</f>
        <v>Technical Degree-Research &amp; Development</v>
      </c>
      <c r="K1005">
        <v>1</v>
      </c>
      <c r="L1005">
        <v>1415</v>
      </c>
      <c r="M1005">
        <v>1</v>
      </c>
      <c r="N1005" t="s">
        <v>47</v>
      </c>
      <c r="O1005">
        <v>81</v>
      </c>
      <c r="P1005">
        <v>3</v>
      </c>
      <c r="Q1005">
        <v>1</v>
      </c>
      <c r="R1005" t="s">
        <v>51</v>
      </c>
      <c r="S1005">
        <v>4</v>
      </c>
      <c r="T1005" t="s">
        <v>49</v>
      </c>
      <c r="U1005">
        <v>3229</v>
      </c>
      <c r="V1005" t="str" cm="1">
        <f t="array" ref="V100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05">
        <v>4910</v>
      </c>
      <c r="X1005">
        <v>4</v>
      </c>
      <c r="Y1005" t="s">
        <v>43</v>
      </c>
      <c r="Z1005" t="s">
        <v>44</v>
      </c>
      <c r="AA1005">
        <v>11</v>
      </c>
      <c r="AB1005">
        <v>3</v>
      </c>
      <c r="AC1005">
        <v>2</v>
      </c>
      <c r="AD1005">
        <v>80</v>
      </c>
      <c r="AE1005">
        <v>1</v>
      </c>
      <c r="AF1005">
        <v>7</v>
      </c>
      <c r="AG1005">
        <v>2</v>
      </c>
      <c r="AH1005">
        <v>2</v>
      </c>
      <c r="AI1005">
        <v>3</v>
      </c>
      <c r="AJ1005">
        <v>2</v>
      </c>
      <c r="AK1005">
        <v>0</v>
      </c>
      <c r="AL1005" t="str" cm="1">
        <f t="array" ref="AL100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05">
        <v>2</v>
      </c>
    </row>
    <row r="1006" spans="1:39" x14ac:dyDescent="0.25">
      <c r="A1006">
        <v>26</v>
      </c>
      <c r="B1006" t="s">
        <v>44</v>
      </c>
      <c r="C1006" t="s">
        <v>37</v>
      </c>
      <c r="D1006">
        <v>652</v>
      </c>
      <c r="E1006" t="s">
        <v>46</v>
      </c>
      <c r="G1006">
        <v>7</v>
      </c>
      <c r="H1006">
        <v>3</v>
      </c>
      <c r="I1006" t="s">
        <v>50</v>
      </c>
      <c r="J1006" t="str">
        <f>WA_Fn_UseC__HR_Employee_Attrition[[#This Row],[EducationField]]&amp;"-"&amp;WA_Fn_UseC__HR_Employee_Attrition[[#This Row],[Department]]</f>
        <v>Other-Research &amp; Development</v>
      </c>
      <c r="K1006">
        <v>1</v>
      </c>
      <c r="L1006">
        <v>1417</v>
      </c>
      <c r="M1006">
        <v>3</v>
      </c>
      <c r="N1006" t="s">
        <v>47</v>
      </c>
      <c r="O1006">
        <v>100</v>
      </c>
      <c r="P1006">
        <v>4</v>
      </c>
      <c r="Q1006">
        <v>1</v>
      </c>
      <c r="R1006" t="s">
        <v>51</v>
      </c>
      <c r="S1006">
        <v>1</v>
      </c>
      <c r="T1006" t="s">
        <v>42</v>
      </c>
      <c r="U1006">
        <v>3578</v>
      </c>
      <c r="V1006" t="str" cm="1">
        <f t="array" ref="V100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06">
        <v>23577</v>
      </c>
      <c r="X1006">
        <v>0</v>
      </c>
      <c r="Y1006" t="s">
        <v>43</v>
      </c>
      <c r="Z1006" t="s">
        <v>44</v>
      </c>
      <c r="AA1006">
        <v>12</v>
      </c>
      <c r="AB1006">
        <v>3</v>
      </c>
      <c r="AC1006">
        <v>4</v>
      </c>
      <c r="AD1006">
        <v>80</v>
      </c>
      <c r="AE1006">
        <v>0</v>
      </c>
      <c r="AF1006">
        <v>8</v>
      </c>
      <c r="AG1006">
        <v>2</v>
      </c>
      <c r="AH1006">
        <v>3</v>
      </c>
      <c r="AI1006">
        <v>7</v>
      </c>
      <c r="AJ1006">
        <v>7</v>
      </c>
      <c r="AK1006">
        <v>0</v>
      </c>
      <c r="AL1006" t="str" cm="1">
        <f t="array" ref="AL100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06">
        <v>7</v>
      </c>
    </row>
    <row r="1007" spans="1:39" x14ac:dyDescent="0.25">
      <c r="A1007">
        <v>29</v>
      </c>
      <c r="B1007" t="s">
        <v>44</v>
      </c>
      <c r="C1007" t="s">
        <v>37</v>
      </c>
      <c r="D1007">
        <v>332</v>
      </c>
      <c r="E1007" t="s">
        <v>62</v>
      </c>
      <c r="G1007">
        <v>17</v>
      </c>
      <c r="H1007">
        <v>3</v>
      </c>
      <c r="I1007" t="s">
        <v>50</v>
      </c>
      <c r="J1007" t="str">
        <f>WA_Fn_UseC__HR_Employee_Attrition[[#This Row],[EducationField]]&amp;"-"&amp;WA_Fn_UseC__HR_Employee_Attrition[[#This Row],[Department]]</f>
        <v>Other-Human Resources</v>
      </c>
      <c r="K1007">
        <v>1</v>
      </c>
      <c r="L1007">
        <v>1419</v>
      </c>
      <c r="M1007">
        <v>2</v>
      </c>
      <c r="N1007" t="s">
        <v>47</v>
      </c>
      <c r="O1007">
        <v>51</v>
      </c>
      <c r="P1007">
        <v>2</v>
      </c>
      <c r="Q1007">
        <v>3</v>
      </c>
      <c r="R1007" t="s">
        <v>62</v>
      </c>
      <c r="S1007">
        <v>1</v>
      </c>
      <c r="T1007" t="s">
        <v>42</v>
      </c>
      <c r="U1007">
        <v>7988</v>
      </c>
      <c r="V1007" t="str" cm="1">
        <f t="array" ref="V100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07">
        <v>9769</v>
      </c>
      <c r="X1007">
        <v>1</v>
      </c>
      <c r="Y1007" t="s">
        <v>43</v>
      </c>
      <c r="Z1007" t="s">
        <v>44</v>
      </c>
      <c r="AA1007">
        <v>13</v>
      </c>
      <c r="AB1007">
        <v>3</v>
      </c>
      <c r="AC1007">
        <v>1</v>
      </c>
      <c r="AD1007">
        <v>80</v>
      </c>
      <c r="AE1007">
        <v>0</v>
      </c>
      <c r="AF1007">
        <v>10</v>
      </c>
      <c r="AG1007">
        <v>3</v>
      </c>
      <c r="AH1007">
        <v>2</v>
      </c>
      <c r="AI1007">
        <v>10</v>
      </c>
      <c r="AJ1007">
        <v>9</v>
      </c>
      <c r="AK1007">
        <v>0</v>
      </c>
      <c r="AL1007" t="str" cm="1">
        <f t="array" ref="AL100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07">
        <v>9</v>
      </c>
    </row>
    <row r="1008" spans="1:39" x14ac:dyDescent="0.25">
      <c r="A1008">
        <v>49</v>
      </c>
      <c r="B1008" t="s">
        <v>36</v>
      </c>
      <c r="C1008" t="s">
        <v>45</v>
      </c>
      <c r="D1008">
        <v>1475</v>
      </c>
      <c r="E1008" t="s">
        <v>46</v>
      </c>
      <c r="G1008">
        <v>28</v>
      </c>
      <c r="H1008">
        <v>2</v>
      </c>
      <c r="I1008" t="s">
        <v>39</v>
      </c>
      <c r="J1008" t="str">
        <f>WA_Fn_UseC__HR_Employee_Attrition[[#This Row],[EducationField]]&amp;"-"&amp;WA_Fn_UseC__HR_Employee_Attrition[[#This Row],[Department]]</f>
        <v>Life Sciences-Research &amp; Development</v>
      </c>
      <c r="K1008">
        <v>1</v>
      </c>
      <c r="L1008">
        <v>1420</v>
      </c>
      <c r="M1008">
        <v>1</v>
      </c>
      <c r="N1008" t="s">
        <v>47</v>
      </c>
      <c r="O1008">
        <v>97</v>
      </c>
      <c r="P1008">
        <v>2</v>
      </c>
      <c r="Q1008">
        <v>2</v>
      </c>
      <c r="R1008" t="s">
        <v>51</v>
      </c>
      <c r="S1008">
        <v>1</v>
      </c>
      <c r="T1008" t="s">
        <v>42</v>
      </c>
      <c r="U1008">
        <v>4284</v>
      </c>
      <c r="V1008" t="str" cm="1">
        <f t="array" ref="V100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08">
        <v>22710</v>
      </c>
      <c r="X1008">
        <v>3</v>
      </c>
      <c r="Y1008" t="s">
        <v>43</v>
      </c>
      <c r="Z1008" t="s">
        <v>44</v>
      </c>
      <c r="AA1008">
        <v>20</v>
      </c>
      <c r="AB1008">
        <v>4</v>
      </c>
      <c r="AC1008">
        <v>1</v>
      </c>
      <c r="AD1008">
        <v>80</v>
      </c>
      <c r="AE1008">
        <v>0</v>
      </c>
      <c r="AF1008">
        <v>20</v>
      </c>
      <c r="AG1008">
        <v>2</v>
      </c>
      <c r="AH1008">
        <v>3</v>
      </c>
      <c r="AI1008">
        <v>4</v>
      </c>
      <c r="AJ1008">
        <v>3</v>
      </c>
      <c r="AK1008">
        <v>1</v>
      </c>
      <c r="AL1008" t="str" cm="1">
        <f t="array" ref="AL100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08">
        <v>3</v>
      </c>
    </row>
    <row r="1009" spans="1:39" x14ac:dyDescent="0.25">
      <c r="A1009">
        <v>29</v>
      </c>
      <c r="B1009" t="s">
        <v>36</v>
      </c>
      <c r="C1009" t="s">
        <v>45</v>
      </c>
      <c r="D1009">
        <v>337</v>
      </c>
      <c r="E1009" t="s">
        <v>46</v>
      </c>
      <c r="G1009">
        <v>14</v>
      </c>
      <c r="H1009">
        <v>1</v>
      </c>
      <c r="I1009" t="s">
        <v>50</v>
      </c>
      <c r="J1009" t="str">
        <f>WA_Fn_UseC__HR_Employee_Attrition[[#This Row],[EducationField]]&amp;"-"&amp;WA_Fn_UseC__HR_Employee_Attrition[[#This Row],[Department]]</f>
        <v>Other-Research &amp; Development</v>
      </c>
      <c r="K1009">
        <v>1</v>
      </c>
      <c r="L1009">
        <v>1421</v>
      </c>
      <c r="M1009">
        <v>3</v>
      </c>
      <c r="N1009" t="s">
        <v>40</v>
      </c>
      <c r="O1009">
        <v>84</v>
      </c>
      <c r="P1009">
        <v>3</v>
      </c>
      <c r="Q1009">
        <v>3</v>
      </c>
      <c r="R1009" t="s">
        <v>55</v>
      </c>
      <c r="S1009">
        <v>4</v>
      </c>
      <c r="T1009" t="s">
        <v>42</v>
      </c>
      <c r="U1009">
        <v>7553</v>
      </c>
      <c r="V1009" t="str" cm="1">
        <f t="array" ref="V100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09">
        <v>22930</v>
      </c>
      <c r="X1009">
        <v>0</v>
      </c>
      <c r="Y1009" t="s">
        <v>43</v>
      </c>
      <c r="Z1009" t="s">
        <v>36</v>
      </c>
      <c r="AA1009">
        <v>12</v>
      </c>
      <c r="AB1009">
        <v>3</v>
      </c>
      <c r="AC1009">
        <v>1</v>
      </c>
      <c r="AD1009">
        <v>80</v>
      </c>
      <c r="AE1009">
        <v>0</v>
      </c>
      <c r="AF1009">
        <v>9</v>
      </c>
      <c r="AG1009">
        <v>1</v>
      </c>
      <c r="AH1009">
        <v>3</v>
      </c>
      <c r="AI1009">
        <v>8</v>
      </c>
      <c r="AJ1009">
        <v>7</v>
      </c>
      <c r="AK1009">
        <v>7</v>
      </c>
      <c r="AL1009" t="str" cm="1">
        <f t="array" ref="AL100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09">
        <v>7</v>
      </c>
    </row>
    <row r="1010" spans="1:39" x14ac:dyDescent="0.25">
      <c r="A1010">
        <v>54</v>
      </c>
      <c r="B1010" t="s">
        <v>44</v>
      </c>
      <c r="C1010" t="s">
        <v>37</v>
      </c>
      <c r="D1010">
        <v>971</v>
      </c>
      <c r="E1010" t="s">
        <v>46</v>
      </c>
      <c r="G1010">
        <v>1</v>
      </c>
      <c r="H1010">
        <v>3</v>
      </c>
      <c r="I1010" t="s">
        <v>52</v>
      </c>
      <c r="J1010" t="str">
        <f>WA_Fn_UseC__HR_Employee_Attrition[[#This Row],[EducationField]]&amp;"-"&amp;WA_Fn_UseC__HR_Employee_Attrition[[#This Row],[Department]]</f>
        <v>Medical-Research &amp; Development</v>
      </c>
      <c r="K1010">
        <v>1</v>
      </c>
      <c r="L1010">
        <v>1422</v>
      </c>
      <c r="M1010">
        <v>4</v>
      </c>
      <c r="N1010" t="s">
        <v>40</v>
      </c>
      <c r="O1010">
        <v>54</v>
      </c>
      <c r="P1010">
        <v>3</v>
      </c>
      <c r="Q1010">
        <v>4</v>
      </c>
      <c r="R1010" t="s">
        <v>59</v>
      </c>
      <c r="S1010">
        <v>4</v>
      </c>
      <c r="T1010" t="s">
        <v>42</v>
      </c>
      <c r="U1010">
        <v>17328</v>
      </c>
      <c r="V1010" t="str" cm="1">
        <f t="array" ref="V101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10">
        <v>5652</v>
      </c>
      <c r="X1010">
        <v>6</v>
      </c>
      <c r="Y1010" t="s">
        <v>43</v>
      </c>
      <c r="Z1010" t="s">
        <v>44</v>
      </c>
      <c r="AA1010">
        <v>19</v>
      </c>
      <c r="AB1010">
        <v>3</v>
      </c>
      <c r="AC1010">
        <v>4</v>
      </c>
      <c r="AD1010">
        <v>80</v>
      </c>
      <c r="AE1010">
        <v>0</v>
      </c>
      <c r="AF1010">
        <v>29</v>
      </c>
      <c r="AG1010">
        <v>3</v>
      </c>
      <c r="AH1010">
        <v>2</v>
      </c>
      <c r="AI1010">
        <v>20</v>
      </c>
      <c r="AJ1010">
        <v>7</v>
      </c>
      <c r="AK1010">
        <v>12</v>
      </c>
      <c r="AL1010" t="str" cm="1">
        <f t="array" ref="AL101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10">
        <v>7</v>
      </c>
    </row>
    <row r="1011" spans="1:39" x14ac:dyDescent="0.25">
      <c r="A1011">
        <v>58</v>
      </c>
      <c r="B1011" t="s">
        <v>44</v>
      </c>
      <c r="C1011" t="s">
        <v>37</v>
      </c>
      <c r="D1011">
        <v>1055</v>
      </c>
      <c r="E1011" t="s">
        <v>46</v>
      </c>
      <c r="G1011">
        <v>1</v>
      </c>
      <c r="H1011">
        <v>3</v>
      </c>
      <c r="I1011" t="s">
        <v>52</v>
      </c>
      <c r="J1011" t="str">
        <f>WA_Fn_UseC__HR_Employee_Attrition[[#This Row],[EducationField]]&amp;"-"&amp;WA_Fn_UseC__HR_Employee_Attrition[[#This Row],[Department]]</f>
        <v>Medical-Research &amp; Development</v>
      </c>
      <c r="K1011">
        <v>1</v>
      </c>
      <c r="L1011">
        <v>1423</v>
      </c>
      <c r="M1011">
        <v>4</v>
      </c>
      <c r="N1011" t="s">
        <v>40</v>
      </c>
      <c r="O1011">
        <v>76</v>
      </c>
      <c r="P1011">
        <v>3</v>
      </c>
      <c r="Q1011">
        <v>5</v>
      </c>
      <c r="R1011" t="s">
        <v>59</v>
      </c>
      <c r="S1011">
        <v>1</v>
      </c>
      <c r="T1011" t="s">
        <v>49</v>
      </c>
      <c r="U1011">
        <v>19701</v>
      </c>
      <c r="V1011" t="str" cm="1">
        <f t="array" ref="V101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11">
        <v>22456</v>
      </c>
      <c r="X1011">
        <v>3</v>
      </c>
      <c r="Y1011" t="s">
        <v>43</v>
      </c>
      <c r="Z1011" t="s">
        <v>36</v>
      </c>
      <c r="AA1011">
        <v>21</v>
      </c>
      <c r="AB1011">
        <v>4</v>
      </c>
      <c r="AC1011">
        <v>3</v>
      </c>
      <c r="AD1011">
        <v>80</v>
      </c>
      <c r="AE1011">
        <v>1</v>
      </c>
      <c r="AF1011">
        <v>32</v>
      </c>
      <c r="AG1011">
        <v>3</v>
      </c>
      <c r="AH1011">
        <v>3</v>
      </c>
      <c r="AI1011">
        <v>9</v>
      </c>
      <c r="AJ1011">
        <v>8</v>
      </c>
      <c r="AK1011">
        <v>1</v>
      </c>
      <c r="AL1011" t="str" cm="1">
        <f t="array" ref="AL101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11">
        <v>5</v>
      </c>
    </row>
    <row r="1012" spans="1:39" x14ac:dyDescent="0.25">
      <c r="A1012">
        <v>55</v>
      </c>
      <c r="B1012" t="s">
        <v>44</v>
      </c>
      <c r="C1012" t="s">
        <v>37</v>
      </c>
      <c r="D1012">
        <v>1136</v>
      </c>
      <c r="E1012" t="s">
        <v>46</v>
      </c>
      <c r="G1012">
        <v>1</v>
      </c>
      <c r="H1012">
        <v>4</v>
      </c>
      <c r="I1012" t="s">
        <v>52</v>
      </c>
      <c r="J1012" t="str">
        <f>WA_Fn_UseC__HR_Employee_Attrition[[#This Row],[EducationField]]&amp;"-"&amp;WA_Fn_UseC__HR_Employee_Attrition[[#This Row],[Department]]</f>
        <v>Medical-Research &amp; Development</v>
      </c>
      <c r="K1012">
        <v>1</v>
      </c>
      <c r="L1012">
        <v>1424</v>
      </c>
      <c r="M1012">
        <v>2</v>
      </c>
      <c r="N1012" t="s">
        <v>47</v>
      </c>
      <c r="O1012">
        <v>81</v>
      </c>
      <c r="P1012">
        <v>4</v>
      </c>
      <c r="Q1012">
        <v>4</v>
      </c>
      <c r="R1012" t="s">
        <v>59</v>
      </c>
      <c r="S1012">
        <v>4</v>
      </c>
      <c r="T1012" t="s">
        <v>53</v>
      </c>
      <c r="U1012">
        <v>14732</v>
      </c>
      <c r="V1012" t="str" cm="1">
        <f t="array" ref="V101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12">
        <v>12414</v>
      </c>
      <c r="X1012">
        <v>2</v>
      </c>
      <c r="Y1012" t="s">
        <v>43</v>
      </c>
      <c r="Z1012" t="s">
        <v>44</v>
      </c>
      <c r="AA1012">
        <v>13</v>
      </c>
      <c r="AB1012">
        <v>3</v>
      </c>
      <c r="AC1012">
        <v>4</v>
      </c>
      <c r="AD1012">
        <v>80</v>
      </c>
      <c r="AE1012">
        <v>2</v>
      </c>
      <c r="AF1012">
        <v>31</v>
      </c>
      <c r="AG1012">
        <v>4</v>
      </c>
      <c r="AH1012">
        <v>4</v>
      </c>
      <c r="AI1012">
        <v>7</v>
      </c>
      <c r="AJ1012">
        <v>7</v>
      </c>
      <c r="AK1012">
        <v>0</v>
      </c>
      <c r="AL1012" t="str" cm="1">
        <f t="array" ref="AL101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12">
        <v>0</v>
      </c>
    </row>
    <row r="1013" spans="1:39" x14ac:dyDescent="0.25">
      <c r="A1013">
        <v>36</v>
      </c>
      <c r="B1013" t="s">
        <v>44</v>
      </c>
      <c r="C1013" t="s">
        <v>37</v>
      </c>
      <c r="D1013">
        <v>1174</v>
      </c>
      <c r="E1013" t="s">
        <v>38</v>
      </c>
      <c r="G1013">
        <v>3</v>
      </c>
      <c r="H1013">
        <v>4</v>
      </c>
      <c r="I1013" t="s">
        <v>60</v>
      </c>
      <c r="J1013" t="str">
        <f>WA_Fn_UseC__HR_Employee_Attrition[[#This Row],[EducationField]]&amp;"-"&amp;WA_Fn_UseC__HR_Employee_Attrition[[#This Row],[Department]]</f>
        <v>Marketing-Sales</v>
      </c>
      <c r="K1013">
        <v>1</v>
      </c>
      <c r="L1013">
        <v>1425</v>
      </c>
      <c r="M1013">
        <v>1</v>
      </c>
      <c r="N1013" t="s">
        <v>40</v>
      </c>
      <c r="O1013">
        <v>99</v>
      </c>
      <c r="P1013">
        <v>3</v>
      </c>
      <c r="Q1013">
        <v>2</v>
      </c>
      <c r="R1013" t="s">
        <v>41</v>
      </c>
      <c r="S1013">
        <v>2</v>
      </c>
      <c r="T1013" t="s">
        <v>42</v>
      </c>
      <c r="U1013">
        <v>9278</v>
      </c>
      <c r="V1013" t="str" cm="1">
        <f t="array" ref="V101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13">
        <v>20763</v>
      </c>
      <c r="X1013">
        <v>3</v>
      </c>
      <c r="Y1013" t="s">
        <v>43</v>
      </c>
      <c r="Z1013" t="s">
        <v>36</v>
      </c>
      <c r="AA1013">
        <v>16</v>
      </c>
      <c r="AB1013">
        <v>3</v>
      </c>
      <c r="AC1013">
        <v>4</v>
      </c>
      <c r="AD1013">
        <v>80</v>
      </c>
      <c r="AE1013">
        <v>0</v>
      </c>
      <c r="AF1013">
        <v>15</v>
      </c>
      <c r="AG1013">
        <v>3</v>
      </c>
      <c r="AH1013">
        <v>3</v>
      </c>
      <c r="AI1013">
        <v>5</v>
      </c>
      <c r="AJ1013">
        <v>4</v>
      </c>
      <c r="AK1013">
        <v>0</v>
      </c>
      <c r="AL1013" t="str" cm="1">
        <f t="array" ref="AL101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13">
        <v>1</v>
      </c>
    </row>
    <row r="1014" spans="1:39" x14ac:dyDescent="0.25">
      <c r="A1014">
        <v>31</v>
      </c>
      <c r="B1014" t="s">
        <v>36</v>
      </c>
      <c r="C1014" t="s">
        <v>45</v>
      </c>
      <c r="D1014">
        <v>667</v>
      </c>
      <c r="E1014" t="s">
        <v>38</v>
      </c>
      <c r="G1014">
        <v>1</v>
      </c>
      <c r="H1014">
        <v>4</v>
      </c>
      <c r="I1014" t="s">
        <v>39</v>
      </c>
      <c r="J1014" t="str">
        <f>WA_Fn_UseC__HR_Employee_Attrition[[#This Row],[EducationField]]&amp;"-"&amp;WA_Fn_UseC__HR_Employee_Attrition[[#This Row],[Department]]</f>
        <v>Life Sciences-Sales</v>
      </c>
      <c r="K1014">
        <v>1</v>
      </c>
      <c r="L1014">
        <v>1427</v>
      </c>
      <c r="M1014">
        <v>2</v>
      </c>
      <c r="N1014" t="s">
        <v>40</v>
      </c>
      <c r="O1014">
        <v>50</v>
      </c>
      <c r="P1014">
        <v>1</v>
      </c>
      <c r="Q1014">
        <v>1</v>
      </c>
      <c r="R1014" t="s">
        <v>58</v>
      </c>
      <c r="S1014">
        <v>3</v>
      </c>
      <c r="T1014" t="s">
        <v>42</v>
      </c>
      <c r="U1014">
        <v>1359</v>
      </c>
      <c r="V1014" t="str" cm="1">
        <f t="array" ref="V101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14">
        <v>16154</v>
      </c>
      <c r="X1014">
        <v>1</v>
      </c>
      <c r="Y1014" t="s">
        <v>43</v>
      </c>
      <c r="Z1014" t="s">
        <v>44</v>
      </c>
      <c r="AA1014">
        <v>12</v>
      </c>
      <c r="AB1014">
        <v>3</v>
      </c>
      <c r="AC1014">
        <v>2</v>
      </c>
      <c r="AD1014">
        <v>80</v>
      </c>
      <c r="AE1014">
        <v>0</v>
      </c>
      <c r="AF1014">
        <v>1</v>
      </c>
      <c r="AG1014">
        <v>3</v>
      </c>
      <c r="AH1014">
        <v>3</v>
      </c>
      <c r="AI1014">
        <v>1</v>
      </c>
      <c r="AJ1014">
        <v>0</v>
      </c>
      <c r="AK1014">
        <v>0</v>
      </c>
      <c r="AL1014" t="str" cm="1">
        <f t="array" ref="AL101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14">
        <v>0</v>
      </c>
    </row>
    <row r="1015" spans="1:39" x14ac:dyDescent="0.25">
      <c r="A1015">
        <v>30</v>
      </c>
      <c r="B1015" t="s">
        <v>44</v>
      </c>
      <c r="C1015" t="s">
        <v>37</v>
      </c>
      <c r="D1015">
        <v>855</v>
      </c>
      <c r="E1015" t="s">
        <v>38</v>
      </c>
      <c r="G1015">
        <v>7</v>
      </c>
      <c r="H1015">
        <v>4</v>
      </c>
      <c r="I1015" t="s">
        <v>60</v>
      </c>
      <c r="J1015" t="str">
        <f>WA_Fn_UseC__HR_Employee_Attrition[[#This Row],[EducationField]]&amp;"-"&amp;WA_Fn_UseC__HR_Employee_Attrition[[#This Row],[Department]]</f>
        <v>Marketing-Sales</v>
      </c>
      <c r="K1015">
        <v>1</v>
      </c>
      <c r="L1015">
        <v>1428</v>
      </c>
      <c r="M1015">
        <v>4</v>
      </c>
      <c r="N1015" t="s">
        <v>40</v>
      </c>
      <c r="O1015">
        <v>73</v>
      </c>
      <c r="P1015">
        <v>3</v>
      </c>
      <c r="Q1015">
        <v>2</v>
      </c>
      <c r="R1015" t="s">
        <v>41</v>
      </c>
      <c r="S1015">
        <v>1</v>
      </c>
      <c r="T1015" t="s">
        <v>53</v>
      </c>
      <c r="U1015">
        <v>4779</v>
      </c>
      <c r="V1015" t="str" cm="1">
        <f t="array" ref="V101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15">
        <v>12761</v>
      </c>
      <c r="X1015">
        <v>7</v>
      </c>
      <c r="Y1015" t="s">
        <v>43</v>
      </c>
      <c r="Z1015" t="s">
        <v>44</v>
      </c>
      <c r="AA1015">
        <v>14</v>
      </c>
      <c r="AB1015">
        <v>3</v>
      </c>
      <c r="AC1015">
        <v>2</v>
      </c>
      <c r="AD1015">
        <v>80</v>
      </c>
      <c r="AE1015">
        <v>2</v>
      </c>
      <c r="AF1015">
        <v>8</v>
      </c>
      <c r="AG1015">
        <v>3</v>
      </c>
      <c r="AH1015">
        <v>3</v>
      </c>
      <c r="AI1015">
        <v>3</v>
      </c>
      <c r="AJ1015">
        <v>2</v>
      </c>
      <c r="AK1015">
        <v>0</v>
      </c>
      <c r="AL1015" t="str" cm="1">
        <f t="array" ref="AL101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15">
        <v>2</v>
      </c>
    </row>
    <row r="1016" spans="1:39" x14ac:dyDescent="0.25">
      <c r="A1016">
        <v>31</v>
      </c>
      <c r="B1016" t="s">
        <v>44</v>
      </c>
      <c r="C1016" t="s">
        <v>37</v>
      </c>
      <c r="D1016">
        <v>182</v>
      </c>
      <c r="E1016" t="s">
        <v>46</v>
      </c>
      <c r="G1016">
        <v>8</v>
      </c>
      <c r="H1016">
        <v>5</v>
      </c>
      <c r="I1016" t="s">
        <v>39</v>
      </c>
      <c r="J1016" t="str">
        <f>WA_Fn_UseC__HR_Employee_Attrition[[#This Row],[EducationField]]&amp;"-"&amp;WA_Fn_UseC__HR_Employee_Attrition[[#This Row],[Department]]</f>
        <v>Life Sciences-Research &amp; Development</v>
      </c>
      <c r="K1016">
        <v>1</v>
      </c>
      <c r="L1016">
        <v>1430</v>
      </c>
      <c r="M1016">
        <v>1</v>
      </c>
      <c r="N1016" t="s">
        <v>40</v>
      </c>
      <c r="O1016">
        <v>93</v>
      </c>
      <c r="P1016">
        <v>3</v>
      </c>
      <c r="Q1016">
        <v>4</v>
      </c>
      <c r="R1016" t="s">
        <v>59</v>
      </c>
      <c r="S1016">
        <v>2</v>
      </c>
      <c r="T1016" t="s">
        <v>42</v>
      </c>
      <c r="U1016">
        <v>16422</v>
      </c>
      <c r="V1016" t="str" cm="1">
        <f t="array" ref="V101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16">
        <v>8847</v>
      </c>
      <c r="X1016">
        <v>3</v>
      </c>
      <c r="Y1016" t="s">
        <v>43</v>
      </c>
      <c r="Z1016" t="s">
        <v>44</v>
      </c>
      <c r="AA1016">
        <v>11</v>
      </c>
      <c r="AB1016">
        <v>3</v>
      </c>
      <c r="AC1016">
        <v>3</v>
      </c>
      <c r="AD1016">
        <v>80</v>
      </c>
      <c r="AE1016">
        <v>0</v>
      </c>
      <c r="AF1016">
        <v>9</v>
      </c>
      <c r="AG1016">
        <v>3</v>
      </c>
      <c r="AH1016">
        <v>4</v>
      </c>
      <c r="AI1016">
        <v>3</v>
      </c>
      <c r="AJ1016">
        <v>2</v>
      </c>
      <c r="AK1016">
        <v>1</v>
      </c>
      <c r="AL1016" t="str" cm="1">
        <f t="array" ref="AL101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16">
        <v>0</v>
      </c>
    </row>
    <row r="1017" spans="1:39" x14ac:dyDescent="0.25">
      <c r="A1017">
        <v>34</v>
      </c>
      <c r="B1017" t="s">
        <v>44</v>
      </c>
      <c r="C1017" t="s">
        <v>45</v>
      </c>
      <c r="D1017">
        <v>560</v>
      </c>
      <c r="E1017" t="s">
        <v>46</v>
      </c>
      <c r="G1017">
        <v>1</v>
      </c>
      <c r="H1017">
        <v>4</v>
      </c>
      <c r="I1017" t="s">
        <v>50</v>
      </c>
      <c r="J1017" t="str">
        <f>WA_Fn_UseC__HR_Employee_Attrition[[#This Row],[EducationField]]&amp;"-"&amp;WA_Fn_UseC__HR_Employee_Attrition[[#This Row],[Department]]</f>
        <v>Other-Research &amp; Development</v>
      </c>
      <c r="K1017">
        <v>1</v>
      </c>
      <c r="L1017">
        <v>1431</v>
      </c>
      <c r="M1017">
        <v>4</v>
      </c>
      <c r="N1017" t="s">
        <v>47</v>
      </c>
      <c r="O1017">
        <v>91</v>
      </c>
      <c r="P1017">
        <v>3</v>
      </c>
      <c r="Q1017">
        <v>1</v>
      </c>
      <c r="R1017" t="s">
        <v>48</v>
      </c>
      <c r="S1017">
        <v>1</v>
      </c>
      <c r="T1017" t="s">
        <v>53</v>
      </c>
      <c r="U1017">
        <v>2996</v>
      </c>
      <c r="V1017" t="str" cm="1">
        <f t="array" ref="V101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17">
        <v>20284</v>
      </c>
      <c r="X1017">
        <v>5</v>
      </c>
      <c r="Y1017" t="s">
        <v>43</v>
      </c>
      <c r="Z1017" t="s">
        <v>44</v>
      </c>
      <c r="AA1017">
        <v>14</v>
      </c>
      <c r="AB1017">
        <v>3</v>
      </c>
      <c r="AC1017">
        <v>3</v>
      </c>
      <c r="AD1017">
        <v>80</v>
      </c>
      <c r="AE1017">
        <v>2</v>
      </c>
      <c r="AF1017">
        <v>10</v>
      </c>
      <c r="AG1017">
        <v>2</v>
      </c>
      <c r="AH1017">
        <v>3</v>
      </c>
      <c r="AI1017">
        <v>4</v>
      </c>
      <c r="AJ1017">
        <v>3</v>
      </c>
      <c r="AK1017">
        <v>1</v>
      </c>
      <c r="AL1017" t="str" cm="1">
        <f t="array" ref="AL101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17">
        <v>3</v>
      </c>
    </row>
    <row r="1018" spans="1:39" x14ac:dyDescent="0.25">
      <c r="A1018">
        <v>31</v>
      </c>
      <c r="B1018" t="s">
        <v>36</v>
      </c>
      <c r="C1018" t="s">
        <v>37</v>
      </c>
      <c r="D1018">
        <v>202</v>
      </c>
      <c r="E1018" t="s">
        <v>46</v>
      </c>
      <c r="G1018">
        <v>8</v>
      </c>
      <c r="H1018">
        <v>3</v>
      </c>
      <c r="I1018" t="s">
        <v>39</v>
      </c>
      <c r="J1018" t="str">
        <f>WA_Fn_UseC__HR_Employee_Attrition[[#This Row],[EducationField]]&amp;"-"&amp;WA_Fn_UseC__HR_Employee_Attrition[[#This Row],[Department]]</f>
        <v>Life Sciences-Research &amp; Development</v>
      </c>
      <c r="K1018">
        <v>1</v>
      </c>
      <c r="L1018">
        <v>1433</v>
      </c>
      <c r="M1018">
        <v>1</v>
      </c>
      <c r="N1018" t="s">
        <v>40</v>
      </c>
      <c r="O1018">
        <v>34</v>
      </c>
      <c r="P1018">
        <v>2</v>
      </c>
      <c r="Q1018">
        <v>1</v>
      </c>
      <c r="R1018" t="s">
        <v>48</v>
      </c>
      <c r="S1018">
        <v>2</v>
      </c>
      <c r="T1018" t="s">
        <v>42</v>
      </c>
      <c r="U1018">
        <v>1261</v>
      </c>
      <c r="V1018" t="str" cm="1">
        <f t="array" ref="V101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18">
        <v>22262</v>
      </c>
      <c r="X1018">
        <v>1</v>
      </c>
      <c r="Y1018" t="s">
        <v>43</v>
      </c>
      <c r="Z1018" t="s">
        <v>44</v>
      </c>
      <c r="AA1018">
        <v>12</v>
      </c>
      <c r="AB1018">
        <v>3</v>
      </c>
      <c r="AC1018">
        <v>3</v>
      </c>
      <c r="AD1018">
        <v>80</v>
      </c>
      <c r="AE1018">
        <v>0</v>
      </c>
      <c r="AF1018">
        <v>1</v>
      </c>
      <c r="AG1018">
        <v>3</v>
      </c>
      <c r="AH1018">
        <v>4</v>
      </c>
      <c r="AI1018">
        <v>1</v>
      </c>
      <c r="AJ1018">
        <v>0</v>
      </c>
      <c r="AK1018">
        <v>0</v>
      </c>
      <c r="AL1018" t="str" cm="1">
        <f t="array" ref="AL101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18">
        <v>0</v>
      </c>
    </row>
    <row r="1019" spans="1:39" x14ac:dyDescent="0.25">
      <c r="A1019">
        <v>27</v>
      </c>
      <c r="B1019" t="s">
        <v>44</v>
      </c>
      <c r="C1019" t="s">
        <v>37</v>
      </c>
      <c r="D1019">
        <v>1377</v>
      </c>
      <c r="E1019" t="s">
        <v>46</v>
      </c>
      <c r="G1019">
        <v>11</v>
      </c>
      <c r="H1019">
        <v>1</v>
      </c>
      <c r="I1019" t="s">
        <v>39</v>
      </c>
      <c r="J1019" t="str">
        <f>WA_Fn_UseC__HR_Employee_Attrition[[#This Row],[EducationField]]&amp;"-"&amp;WA_Fn_UseC__HR_Employee_Attrition[[#This Row],[Department]]</f>
        <v>Life Sciences-Research &amp; Development</v>
      </c>
      <c r="K1019">
        <v>1</v>
      </c>
      <c r="L1019">
        <v>1434</v>
      </c>
      <c r="M1019">
        <v>2</v>
      </c>
      <c r="N1019" t="s">
        <v>47</v>
      </c>
      <c r="O1019">
        <v>91</v>
      </c>
      <c r="P1019">
        <v>3</v>
      </c>
      <c r="Q1019">
        <v>1</v>
      </c>
      <c r="R1019" t="s">
        <v>51</v>
      </c>
      <c r="S1019">
        <v>1</v>
      </c>
      <c r="T1019" t="s">
        <v>49</v>
      </c>
      <c r="U1019">
        <v>2099</v>
      </c>
      <c r="V1019" t="str" cm="1">
        <f t="array" ref="V101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19">
        <v>7679</v>
      </c>
      <c r="X1019">
        <v>0</v>
      </c>
      <c r="Y1019" t="s">
        <v>43</v>
      </c>
      <c r="Z1019" t="s">
        <v>44</v>
      </c>
      <c r="AA1019">
        <v>14</v>
      </c>
      <c r="AB1019">
        <v>3</v>
      </c>
      <c r="AC1019">
        <v>2</v>
      </c>
      <c r="AD1019">
        <v>80</v>
      </c>
      <c r="AE1019">
        <v>0</v>
      </c>
      <c r="AF1019">
        <v>6</v>
      </c>
      <c r="AG1019">
        <v>3</v>
      </c>
      <c r="AH1019">
        <v>4</v>
      </c>
      <c r="AI1019">
        <v>5</v>
      </c>
      <c r="AJ1019">
        <v>0</v>
      </c>
      <c r="AK1019">
        <v>1</v>
      </c>
      <c r="AL1019" t="str" cm="1">
        <f t="array" ref="AL101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19">
        <v>4</v>
      </c>
    </row>
    <row r="1020" spans="1:39" x14ac:dyDescent="0.25">
      <c r="A1020">
        <v>36</v>
      </c>
      <c r="B1020" t="s">
        <v>44</v>
      </c>
      <c r="C1020" t="s">
        <v>37</v>
      </c>
      <c r="D1020">
        <v>172</v>
      </c>
      <c r="E1020" t="s">
        <v>46</v>
      </c>
      <c r="G1020">
        <v>4</v>
      </c>
      <c r="H1020">
        <v>4</v>
      </c>
      <c r="I1020" t="s">
        <v>39</v>
      </c>
      <c r="J1020" t="str">
        <f>WA_Fn_UseC__HR_Employee_Attrition[[#This Row],[EducationField]]&amp;"-"&amp;WA_Fn_UseC__HR_Employee_Attrition[[#This Row],[Department]]</f>
        <v>Life Sciences-Research &amp; Development</v>
      </c>
      <c r="K1020">
        <v>1</v>
      </c>
      <c r="L1020">
        <v>1435</v>
      </c>
      <c r="M1020">
        <v>1</v>
      </c>
      <c r="N1020" t="s">
        <v>47</v>
      </c>
      <c r="O1020">
        <v>37</v>
      </c>
      <c r="P1020">
        <v>2</v>
      </c>
      <c r="Q1020">
        <v>2</v>
      </c>
      <c r="R1020" t="s">
        <v>51</v>
      </c>
      <c r="S1020">
        <v>4</v>
      </c>
      <c r="T1020" t="s">
        <v>42</v>
      </c>
      <c r="U1020">
        <v>5810</v>
      </c>
      <c r="V1020" t="str" cm="1">
        <f t="array" ref="V102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20">
        <v>22604</v>
      </c>
      <c r="X1020">
        <v>1</v>
      </c>
      <c r="Y1020" t="s">
        <v>43</v>
      </c>
      <c r="Z1020" t="s">
        <v>44</v>
      </c>
      <c r="AA1020">
        <v>16</v>
      </c>
      <c r="AB1020">
        <v>3</v>
      </c>
      <c r="AC1020">
        <v>3</v>
      </c>
      <c r="AD1020">
        <v>80</v>
      </c>
      <c r="AE1020">
        <v>0</v>
      </c>
      <c r="AF1020">
        <v>10</v>
      </c>
      <c r="AG1020">
        <v>2</v>
      </c>
      <c r="AH1020">
        <v>2</v>
      </c>
      <c r="AI1020">
        <v>10</v>
      </c>
      <c r="AJ1020">
        <v>4</v>
      </c>
      <c r="AK1020">
        <v>1</v>
      </c>
      <c r="AL1020" t="str" cm="1">
        <f t="array" ref="AL102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20">
        <v>8</v>
      </c>
    </row>
    <row r="1021" spans="1:39" x14ac:dyDescent="0.25">
      <c r="A1021">
        <v>36</v>
      </c>
      <c r="B1021" t="s">
        <v>44</v>
      </c>
      <c r="C1021" t="s">
        <v>37</v>
      </c>
      <c r="D1021">
        <v>329</v>
      </c>
      <c r="E1021" t="s">
        <v>38</v>
      </c>
      <c r="G1021">
        <v>16</v>
      </c>
      <c r="H1021">
        <v>4</v>
      </c>
      <c r="I1021" t="s">
        <v>60</v>
      </c>
      <c r="J1021" t="str">
        <f>WA_Fn_UseC__HR_Employee_Attrition[[#This Row],[EducationField]]&amp;"-"&amp;WA_Fn_UseC__HR_Employee_Attrition[[#This Row],[Department]]</f>
        <v>Marketing-Sales</v>
      </c>
      <c r="K1021">
        <v>1</v>
      </c>
      <c r="L1021">
        <v>1436</v>
      </c>
      <c r="M1021">
        <v>3</v>
      </c>
      <c r="N1021" t="s">
        <v>40</v>
      </c>
      <c r="O1021">
        <v>98</v>
      </c>
      <c r="P1021">
        <v>2</v>
      </c>
      <c r="Q1021">
        <v>2</v>
      </c>
      <c r="R1021" t="s">
        <v>41</v>
      </c>
      <c r="S1021">
        <v>1</v>
      </c>
      <c r="T1021" t="s">
        <v>49</v>
      </c>
      <c r="U1021">
        <v>5647</v>
      </c>
      <c r="V1021" t="str" cm="1">
        <f t="array" ref="V102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21">
        <v>13494</v>
      </c>
      <c r="X1021">
        <v>4</v>
      </c>
      <c r="Y1021" t="s">
        <v>43</v>
      </c>
      <c r="Z1021" t="s">
        <v>44</v>
      </c>
      <c r="AA1021">
        <v>13</v>
      </c>
      <c r="AB1021">
        <v>3</v>
      </c>
      <c r="AC1021">
        <v>1</v>
      </c>
      <c r="AD1021">
        <v>80</v>
      </c>
      <c r="AE1021">
        <v>2</v>
      </c>
      <c r="AF1021">
        <v>11</v>
      </c>
      <c r="AG1021">
        <v>3</v>
      </c>
      <c r="AH1021">
        <v>2</v>
      </c>
      <c r="AI1021">
        <v>3</v>
      </c>
      <c r="AJ1021">
        <v>2</v>
      </c>
      <c r="AK1021">
        <v>0</v>
      </c>
      <c r="AL1021" t="str" cm="1">
        <f t="array" ref="AL102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21">
        <v>2</v>
      </c>
    </row>
    <row r="1022" spans="1:39" x14ac:dyDescent="0.25">
      <c r="A1022">
        <v>47</v>
      </c>
      <c r="B1022" t="s">
        <v>44</v>
      </c>
      <c r="C1022" t="s">
        <v>37</v>
      </c>
      <c r="D1022">
        <v>465</v>
      </c>
      <c r="E1022" t="s">
        <v>46</v>
      </c>
      <c r="G1022">
        <v>1</v>
      </c>
      <c r="H1022">
        <v>3</v>
      </c>
      <c r="I1022" t="s">
        <v>61</v>
      </c>
      <c r="J1022" t="str">
        <f>WA_Fn_UseC__HR_Employee_Attrition[[#This Row],[EducationField]]&amp;"-"&amp;WA_Fn_UseC__HR_Employee_Attrition[[#This Row],[Department]]</f>
        <v>Technical Degree-Research &amp; Development</v>
      </c>
      <c r="K1022">
        <v>1</v>
      </c>
      <c r="L1022">
        <v>1438</v>
      </c>
      <c r="M1022">
        <v>1</v>
      </c>
      <c r="N1022" t="s">
        <v>47</v>
      </c>
      <c r="O1022">
        <v>74</v>
      </c>
      <c r="P1022">
        <v>3</v>
      </c>
      <c r="Q1022">
        <v>1</v>
      </c>
      <c r="R1022" t="s">
        <v>48</v>
      </c>
      <c r="S1022">
        <v>4</v>
      </c>
      <c r="T1022" t="s">
        <v>49</v>
      </c>
      <c r="U1022">
        <v>3420</v>
      </c>
      <c r="V1022" t="str" cm="1">
        <f t="array" ref="V102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22">
        <v>10205</v>
      </c>
      <c r="X1022">
        <v>7</v>
      </c>
      <c r="Y1022" t="s">
        <v>43</v>
      </c>
      <c r="Z1022" t="s">
        <v>44</v>
      </c>
      <c r="AA1022">
        <v>12</v>
      </c>
      <c r="AB1022">
        <v>3</v>
      </c>
      <c r="AC1022">
        <v>3</v>
      </c>
      <c r="AD1022">
        <v>80</v>
      </c>
      <c r="AE1022">
        <v>1</v>
      </c>
      <c r="AF1022">
        <v>17</v>
      </c>
      <c r="AG1022">
        <v>2</v>
      </c>
      <c r="AH1022">
        <v>2</v>
      </c>
      <c r="AI1022">
        <v>6</v>
      </c>
      <c r="AJ1022">
        <v>5</v>
      </c>
      <c r="AK1022">
        <v>1</v>
      </c>
      <c r="AL1022" t="str" cm="1">
        <f t="array" ref="AL102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22">
        <v>2</v>
      </c>
    </row>
    <row r="1023" spans="1:39" x14ac:dyDescent="0.25">
      <c r="A1023">
        <v>25</v>
      </c>
      <c r="B1023" t="s">
        <v>36</v>
      </c>
      <c r="C1023" t="s">
        <v>37</v>
      </c>
      <c r="D1023">
        <v>383</v>
      </c>
      <c r="E1023" t="s">
        <v>38</v>
      </c>
      <c r="G1023">
        <v>9</v>
      </c>
      <c r="H1023">
        <v>2</v>
      </c>
      <c r="I1023" t="s">
        <v>39</v>
      </c>
      <c r="J1023" t="str">
        <f>WA_Fn_UseC__HR_Employee_Attrition[[#This Row],[EducationField]]&amp;"-"&amp;WA_Fn_UseC__HR_Employee_Attrition[[#This Row],[Department]]</f>
        <v>Life Sciences-Sales</v>
      </c>
      <c r="K1023">
        <v>1</v>
      </c>
      <c r="L1023">
        <v>1439</v>
      </c>
      <c r="M1023">
        <v>1</v>
      </c>
      <c r="N1023" t="s">
        <v>47</v>
      </c>
      <c r="O1023">
        <v>68</v>
      </c>
      <c r="P1023">
        <v>2</v>
      </c>
      <c r="Q1023">
        <v>1</v>
      </c>
      <c r="R1023" t="s">
        <v>58</v>
      </c>
      <c r="S1023">
        <v>1</v>
      </c>
      <c r="T1023" t="s">
        <v>49</v>
      </c>
      <c r="U1023">
        <v>4400</v>
      </c>
      <c r="V1023" t="str" cm="1">
        <f t="array" ref="V102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23">
        <v>15182</v>
      </c>
      <c r="X1023">
        <v>3</v>
      </c>
      <c r="Y1023" t="s">
        <v>43</v>
      </c>
      <c r="Z1023" t="s">
        <v>44</v>
      </c>
      <c r="AA1023">
        <v>12</v>
      </c>
      <c r="AB1023">
        <v>3</v>
      </c>
      <c r="AC1023">
        <v>1</v>
      </c>
      <c r="AD1023">
        <v>80</v>
      </c>
      <c r="AE1023">
        <v>0</v>
      </c>
      <c r="AF1023">
        <v>6</v>
      </c>
      <c r="AG1023">
        <v>2</v>
      </c>
      <c r="AH1023">
        <v>3</v>
      </c>
      <c r="AI1023">
        <v>3</v>
      </c>
      <c r="AJ1023">
        <v>2</v>
      </c>
      <c r="AK1023">
        <v>2</v>
      </c>
      <c r="AL1023" t="str" cm="1">
        <f t="array" ref="AL102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23">
        <v>2</v>
      </c>
    </row>
    <row r="1024" spans="1:39" x14ac:dyDescent="0.25">
      <c r="A1024">
        <v>37</v>
      </c>
      <c r="B1024" t="s">
        <v>44</v>
      </c>
      <c r="C1024" t="s">
        <v>56</v>
      </c>
      <c r="D1024">
        <v>1413</v>
      </c>
      <c r="E1024" t="s">
        <v>46</v>
      </c>
      <c r="G1024">
        <v>5</v>
      </c>
      <c r="H1024">
        <v>2</v>
      </c>
      <c r="I1024" t="s">
        <v>61</v>
      </c>
      <c r="J1024" t="str">
        <f>WA_Fn_UseC__HR_Employee_Attrition[[#This Row],[EducationField]]&amp;"-"&amp;WA_Fn_UseC__HR_Employee_Attrition[[#This Row],[Department]]</f>
        <v>Technical Degree-Research &amp; Development</v>
      </c>
      <c r="K1024">
        <v>1</v>
      </c>
      <c r="L1024">
        <v>1440</v>
      </c>
      <c r="M1024">
        <v>3</v>
      </c>
      <c r="N1024" t="s">
        <v>47</v>
      </c>
      <c r="O1024">
        <v>84</v>
      </c>
      <c r="P1024">
        <v>4</v>
      </c>
      <c r="Q1024">
        <v>1</v>
      </c>
      <c r="R1024" t="s">
        <v>51</v>
      </c>
      <c r="S1024">
        <v>3</v>
      </c>
      <c r="T1024" t="s">
        <v>42</v>
      </c>
      <c r="U1024">
        <v>3500</v>
      </c>
      <c r="V1024" t="str" cm="1">
        <f t="array" ref="V102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24">
        <v>25470</v>
      </c>
      <c r="X1024">
        <v>0</v>
      </c>
      <c r="Y1024" t="s">
        <v>43</v>
      </c>
      <c r="Z1024" t="s">
        <v>44</v>
      </c>
      <c r="AA1024">
        <v>14</v>
      </c>
      <c r="AB1024">
        <v>3</v>
      </c>
      <c r="AC1024">
        <v>1</v>
      </c>
      <c r="AD1024">
        <v>80</v>
      </c>
      <c r="AE1024">
        <v>0</v>
      </c>
      <c r="AF1024">
        <v>7</v>
      </c>
      <c r="AG1024">
        <v>2</v>
      </c>
      <c r="AH1024">
        <v>1</v>
      </c>
      <c r="AI1024">
        <v>6</v>
      </c>
      <c r="AJ1024">
        <v>5</v>
      </c>
      <c r="AK1024">
        <v>1</v>
      </c>
      <c r="AL1024" t="str" cm="1">
        <f t="array" ref="AL102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24">
        <v>3</v>
      </c>
    </row>
    <row r="1025" spans="1:39" x14ac:dyDescent="0.25">
      <c r="A1025">
        <v>56</v>
      </c>
      <c r="B1025" t="s">
        <v>44</v>
      </c>
      <c r="C1025" t="s">
        <v>37</v>
      </c>
      <c r="D1025">
        <v>1255</v>
      </c>
      <c r="E1025" t="s">
        <v>46</v>
      </c>
      <c r="G1025">
        <v>1</v>
      </c>
      <c r="H1025">
        <v>2</v>
      </c>
      <c r="I1025" t="s">
        <v>39</v>
      </c>
      <c r="J1025" t="str">
        <f>WA_Fn_UseC__HR_Employee_Attrition[[#This Row],[EducationField]]&amp;"-"&amp;WA_Fn_UseC__HR_Employee_Attrition[[#This Row],[Department]]</f>
        <v>Life Sciences-Research &amp; Development</v>
      </c>
      <c r="K1025">
        <v>1</v>
      </c>
      <c r="L1025">
        <v>1441</v>
      </c>
      <c r="M1025">
        <v>1</v>
      </c>
      <c r="N1025" t="s">
        <v>40</v>
      </c>
      <c r="O1025">
        <v>90</v>
      </c>
      <c r="P1025">
        <v>3</v>
      </c>
      <c r="Q1025">
        <v>1</v>
      </c>
      <c r="R1025" t="s">
        <v>48</v>
      </c>
      <c r="S1025">
        <v>1</v>
      </c>
      <c r="T1025" t="s">
        <v>49</v>
      </c>
      <c r="U1025">
        <v>2066</v>
      </c>
      <c r="V1025" t="str" cm="1">
        <f t="array" ref="V102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25">
        <v>10494</v>
      </c>
      <c r="X1025">
        <v>2</v>
      </c>
      <c r="Y1025" t="s">
        <v>43</v>
      </c>
      <c r="Z1025" t="s">
        <v>44</v>
      </c>
      <c r="AA1025">
        <v>22</v>
      </c>
      <c r="AB1025">
        <v>4</v>
      </c>
      <c r="AC1025">
        <v>4</v>
      </c>
      <c r="AD1025">
        <v>80</v>
      </c>
      <c r="AE1025">
        <v>1</v>
      </c>
      <c r="AF1025">
        <v>5</v>
      </c>
      <c r="AG1025">
        <v>3</v>
      </c>
      <c r="AH1025">
        <v>4</v>
      </c>
      <c r="AI1025">
        <v>3</v>
      </c>
      <c r="AJ1025">
        <v>2</v>
      </c>
      <c r="AK1025">
        <v>1</v>
      </c>
      <c r="AL1025" t="str" cm="1">
        <f t="array" ref="AL102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25">
        <v>0</v>
      </c>
    </row>
    <row r="1026" spans="1:39" x14ac:dyDescent="0.25">
      <c r="A1026">
        <v>47</v>
      </c>
      <c r="B1026" t="s">
        <v>44</v>
      </c>
      <c r="C1026" t="s">
        <v>37</v>
      </c>
      <c r="D1026">
        <v>359</v>
      </c>
      <c r="E1026" t="s">
        <v>46</v>
      </c>
      <c r="G1026">
        <v>2</v>
      </c>
      <c r="H1026">
        <v>4</v>
      </c>
      <c r="I1026" t="s">
        <v>52</v>
      </c>
      <c r="J1026" t="str">
        <f>WA_Fn_UseC__HR_Employee_Attrition[[#This Row],[EducationField]]&amp;"-"&amp;WA_Fn_UseC__HR_Employee_Attrition[[#This Row],[Department]]</f>
        <v>Medical-Research &amp; Development</v>
      </c>
      <c r="K1026">
        <v>1</v>
      </c>
      <c r="L1026">
        <v>1443</v>
      </c>
      <c r="M1026">
        <v>1</v>
      </c>
      <c r="N1026" t="s">
        <v>40</v>
      </c>
      <c r="O1026">
        <v>82</v>
      </c>
      <c r="P1026">
        <v>3</v>
      </c>
      <c r="Q1026">
        <v>4</v>
      </c>
      <c r="R1026" t="s">
        <v>59</v>
      </c>
      <c r="S1026">
        <v>3</v>
      </c>
      <c r="T1026" t="s">
        <v>49</v>
      </c>
      <c r="U1026">
        <v>17169</v>
      </c>
      <c r="V1026" t="str" cm="1">
        <f t="array" ref="V102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26">
        <v>26703</v>
      </c>
      <c r="X1026">
        <v>3</v>
      </c>
      <c r="Y1026" t="s">
        <v>43</v>
      </c>
      <c r="Z1026" t="s">
        <v>44</v>
      </c>
      <c r="AA1026">
        <v>19</v>
      </c>
      <c r="AB1026">
        <v>3</v>
      </c>
      <c r="AC1026">
        <v>2</v>
      </c>
      <c r="AD1026">
        <v>80</v>
      </c>
      <c r="AE1026">
        <v>2</v>
      </c>
      <c r="AF1026">
        <v>26</v>
      </c>
      <c r="AG1026">
        <v>2</v>
      </c>
      <c r="AH1026">
        <v>4</v>
      </c>
      <c r="AI1026">
        <v>20</v>
      </c>
      <c r="AJ1026">
        <v>17</v>
      </c>
      <c r="AK1026">
        <v>5</v>
      </c>
      <c r="AL1026" t="str" cm="1">
        <f t="array" ref="AL102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26">
        <v>6</v>
      </c>
    </row>
    <row r="1027" spans="1:39" x14ac:dyDescent="0.25">
      <c r="A1027">
        <v>24</v>
      </c>
      <c r="B1027" t="s">
        <v>44</v>
      </c>
      <c r="C1027" t="s">
        <v>37</v>
      </c>
      <c r="D1027">
        <v>1476</v>
      </c>
      <c r="E1027" t="s">
        <v>38</v>
      </c>
      <c r="G1027">
        <v>4</v>
      </c>
      <c r="H1027">
        <v>1</v>
      </c>
      <c r="I1027" t="s">
        <v>52</v>
      </c>
      <c r="J1027" t="str">
        <f>WA_Fn_UseC__HR_Employee_Attrition[[#This Row],[EducationField]]&amp;"-"&amp;WA_Fn_UseC__HR_Employee_Attrition[[#This Row],[Department]]</f>
        <v>Medical-Sales</v>
      </c>
      <c r="K1027">
        <v>1</v>
      </c>
      <c r="L1027">
        <v>1445</v>
      </c>
      <c r="M1027">
        <v>4</v>
      </c>
      <c r="N1027" t="s">
        <v>40</v>
      </c>
      <c r="O1027">
        <v>42</v>
      </c>
      <c r="P1027">
        <v>3</v>
      </c>
      <c r="Q1027">
        <v>2</v>
      </c>
      <c r="R1027" t="s">
        <v>41</v>
      </c>
      <c r="S1027">
        <v>3</v>
      </c>
      <c r="T1027" t="s">
        <v>49</v>
      </c>
      <c r="U1027">
        <v>4162</v>
      </c>
      <c r="V1027" t="str" cm="1">
        <f t="array" ref="V102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27">
        <v>15211</v>
      </c>
      <c r="X1027">
        <v>1</v>
      </c>
      <c r="Y1027" t="s">
        <v>43</v>
      </c>
      <c r="Z1027" t="s">
        <v>36</v>
      </c>
      <c r="AA1027">
        <v>12</v>
      </c>
      <c r="AB1027">
        <v>3</v>
      </c>
      <c r="AC1027">
        <v>3</v>
      </c>
      <c r="AD1027">
        <v>80</v>
      </c>
      <c r="AE1027">
        <v>2</v>
      </c>
      <c r="AF1027">
        <v>5</v>
      </c>
      <c r="AG1027">
        <v>3</v>
      </c>
      <c r="AH1027">
        <v>3</v>
      </c>
      <c r="AI1027">
        <v>5</v>
      </c>
      <c r="AJ1027">
        <v>4</v>
      </c>
      <c r="AK1027">
        <v>0</v>
      </c>
      <c r="AL1027" t="str" cm="1">
        <f t="array" ref="AL102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27">
        <v>3</v>
      </c>
    </row>
    <row r="1028" spans="1:39" x14ac:dyDescent="0.25">
      <c r="A1028">
        <v>32</v>
      </c>
      <c r="B1028" t="s">
        <v>44</v>
      </c>
      <c r="C1028" t="s">
        <v>37</v>
      </c>
      <c r="D1028">
        <v>601</v>
      </c>
      <c r="E1028" t="s">
        <v>38</v>
      </c>
      <c r="G1028">
        <v>7</v>
      </c>
      <c r="H1028">
        <v>5</v>
      </c>
      <c r="I1028" t="s">
        <v>60</v>
      </c>
      <c r="J1028" t="str">
        <f>WA_Fn_UseC__HR_Employee_Attrition[[#This Row],[EducationField]]&amp;"-"&amp;WA_Fn_UseC__HR_Employee_Attrition[[#This Row],[Department]]</f>
        <v>Marketing-Sales</v>
      </c>
      <c r="K1028">
        <v>1</v>
      </c>
      <c r="L1028">
        <v>1446</v>
      </c>
      <c r="M1028">
        <v>4</v>
      </c>
      <c r="N1028" t="s">
        <v>47</v>
      </c>
      <c r="O1028">
        <v>97</v>
      </c>
      <c r="P1028">
        <v>3</v>
      </c>
      <c r="Q1028">
        <v>2</v>
      </c>
      <c r="R1028" t="s">
        <v>41</v>
      </c>
      <c r="S1028">
        <v>4</v>
      </c>
      <c r="T1028" t="s">
        <v>49</v>
      </c>
      <c r="U1028">
        <v>9204</v>
      </c>
      <c r="V1028" t="str" cm="1">
        <f t="array" ref="V102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28">
        <v>23343</v>
      </c>
      <c r="X1028">
        <v>4</v>
      </c>
      <c r="Y1028" t="s">
        <v>43</v>
      </c>
      <c r="Z1028" t="s">
        <v>44</v>
      </c>
      <c r="AA1028">
        <v>12</v>
      </c>
      <c r="AB1028">
        <v>3</v>
      </c>
      <c r="AC1028">
        <v>3</v>
      </c>
      <c r="AD1028">
        <v>80</v>
      </c>
      <c r="AE1028">
        <v>1</v>
      </c>
      <c r="AF1028">
        <v>7</v>
      </c>
      <c r="AG1028">
        <v>3</v>
      </c>
      <c r="AH1028">
        <v>2</v>
      </c>
      <c r="AI1028">
        <v>4</v>
      </c>
      <c r="AJ1028">
        <v>3</v>
      </c>
      <c r="AK1028">
        <v>0</v>
      </c>
      <c r="AL1028" t="str" cm="1">
        <f t="array" ref="AL102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28">
        <v>3</v>
      </c>
    </row>
    <row r="1029" spans="1:39" x14ac:dyDescent="0.25">
      <c r="A1029">
        <v>34</v>
      </c>
      <c r="B1029" t="s">
        <v>44</v>
      </c>
      <c r="C1029" t="s">
        <v>37</v>
      </c>
      <c r="D1029">
        <v>401</v>
      </c>
      <c r="E1029" t="s">
        <v>46</v>
      </c>
      <c r="G1029">
        <v>1</v>
      </c>
      <c r="H1029">
        <v>3</v>
      </c>
      <c r="I1029" t="s">
        <v>39</v>
      </c>
      <c r="J1029" t="str">
        <f>WA_Fn_UseC__HR_Employee_Attrition[[#This Row],[EducationField]]&amp;"-"&amp;WA_Fn_UseC__HR_Employee_Attrition[[#This Row],[Department]]</f>
        <v>Life Sciences-Research &amp; Development</v>
      </c>
      <c r="K1029">
        <v>1</v>
      </c>
      <c r="L1029">
        <v>1447</v>
      </c>
      <c r="M1029">
        <v>4</v>
      </c>
      <c r="N1029" t="s">
        <v>40</v>
      </c>
      <c r="O1029">
        <v>86</v>
      </c>
      <c r="P1029">
        <v>2</v>
      </c>
      <c r="Q1029">
        <v>1</v>
      </c>
      <c r="R1029" t="s">
        <v>51</v>
      </c>
      <c r="S1029">
        <v>2</v>
      </c>
      <c r="T1029" t="s">
        <v>49</v>
      </c>
      <c r="U1029">
        <v>3294</v>
      </c>
      <c r="V1029" t="str" cm="1">
        <f t="array" ref="V102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29">
        <v>3708</v>
      </c>
      <c r="X1029">
        <v>5</v>
      </c>
      <c r="Y1029" t="s">
        <v>43</v>
      </c>
      <c r="Z1029" t="s">
        <v>44</v>
      </c>
      <c r="AA1029">
        <v>17</v>
      </c>
      <c r="AB1029">
        <v>3</v>
      </c>
      <c r="AC1029">
        <v>1</v>
      </c>
      <c r="AD1029">
        <v>80</v>
      </c>
      <c r="AE1029">
        <v>1</v>
      </c>
      <c r="AF1029">
        <v>7</v>
      </c>
      <c r="AG1029">
        <v>2</v>
      </c>
      <c r="AH1029">
        <v>2</v>
      </c>
      <c r="AI1029">
        <v>5</v>
      </c>
      <c r="AJ1029">
        <v>4</v>
      </c>
      <c r="AK1029">
        <v>0</v>
      </c>
      <c r="AL1029" t="str" cm="1">
        <f t="array" ref="AL102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29">
        <v>2</v>
      </c>
    </row>
    <row r="1030" spans="1:39" x14ac:dyDescent="0.25">
      <c r="A1030">
        <v>41</v>
      </c>
      <c r="B1030" t="s">
        <v>44</v>
      </c>
      <c r="C1030" t="s">
        <v>37</v>
      </c>
      <c r="D1030">
        <v>1283</v>
      </c>
      <c r="E1030" t="s">
        <v>46</v>
      </c>
      <c r="G1030">
        <v>5</v>
      </c>
      <c r="H1030">
        <v>5</v>
      </c>
      <c r="I1030" t="s">
        <v>52</v>
      </c>
      <c r="J1030" t="str">
        <f>WA_Fn_UseC__HR_Employee_Attrition[[#This Row],[EducationField]]&amp;"-"&amp;WA_Fn_UseC__HR_Employee_Attrition[[#This Row],[Department]]</f>
        <v>Medical-Research &amp; Development</v>
      </c>
      <c r="K1030">
        <v>1</v>
      </c>
      <c r="L1030">
        <v>1448</v>
      </c>
      <c r="M1030">
        <v>2</v>
      </c>
      <c r="N1030" t="s">
        <v>47</v>
      </c>
      <c r="O1030">
        <v>90</v>
      </c>
      <c r="P1030">
        <v>4</v>
      </c>
      <c r="Q1030">
        <v>1</v>
      </c>
      <c r="R1030" t="s">
        <v>48</v>
      </c>
      <c r="S1030">
        <v>3</v>
      </c>
      <c r="T1030" t="s">
        <v>49</v>
      </c>
      <c r="U1030">
        <v>2127</v>
      </c>
      <c r="V1030" t="str" cm="1">
        <f t="array" ref="V103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30">
        <v>5561</v>
      </c>
      <c r="X1030">
        <v>2</v>
      </c>
      <c r="Y1030" t="s">
        <v>43</v>
      </c>
      <c r="Z1030" t="s">
        <v>36</v>
      </c>
      <c r="AA1030">
        <v>12</v>
      </c>
      <c r="AB1030">
        <v>3</v>
      </c>
      <c r="AC1030">
        <v>1</v>
      </c>
      <c r="AD1030">
        <v>80</v>
      </c>
      <c r="AE1030">
        <v>0</v>
      </c>
      <c r="AF1030">
        <v>7</v>
      </c>
      <c r="AG1030">
        <v>5</v>
      </c>
      <c r="AH1030">
        <v>2</v>
      </c>
      <c r="AI1030">
        <v>4</v>
      </c>
      <c r="AJ1030">
        <v>2</v>
      </c>
      <c r="AK1030">
        <v>0</v>
      </c>
      <c r="AL1030" t="str" cm="1">
        <f t="array" ref="AL103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30">
        <v>3</v>
      </c>
    </row>
    <row r="1031" spans="1:39" x14ac:dyDescent="0.25">
      <c r="A1031">
        <v>40</v>
      </c>
      <c r="B1031" t="s">
        <v>44</v>
      </c>
      <c r="C1031" t="s">
        <v>56</v>
      </c>
      <c r="D1031">
        <v>663</v>
      </c>
      <c r="E1031" t="s">
        <v>46</v>
      </c>
      <c r="G1031">
        <v>9</v>
      </c>
      <c r="H1031">
        <v>4</v>
      </c>
      <c r="I1031" t="s">
        <v>50</v>
      </c>
      <c r="J1031" t="str">
        <f>WA_Fn_UseC__HR_Employee_Attrition[[#This Row],[EducationField]]&amp;"-"&amp;WA_Fn_UseC__HR_Employee_Attrition[[#This Row],[Department]]</f>
        <v>Other-Research &amp; Development</v>
      </c>
      <c r="K1031">
        <v>1</v>
      </c>
      <c r="L1031">
        <v>1449</v>
      </c>
      <c r="M1031">
        <v>3</v>
      </c>
      <c r="N1031" t="s">
        <v>47</v>
      </c>
      <c r="O1031">
        <v>81</v>
      </c>
      <c r="P1031">
        <v>3</v>
      </c>
      <c r="Q1031">
        <v>2</v>
      </c>
      <c r="R1031" t="s">
        <v>51</v>
      </c>
      <c r="S1031">
        <v>3</v>
      </c>
      <c r="T1031" t="s">
        <v>53</v>
      </c>
      <c r="U1031">
        <v>3975</v>
      </c>
      <c r="V1031" t="str" cm="1">
        <f t="array" ref="V103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31">
        <v>23099</v>
      </c>
      <c r="X1031">
        <v>3</v>
      </c>
      <c r="Y1031" t="s">
        <v>43</v>
      </c>
      <c r="Z1031" t="s">
        <v>44</v>
      </c>
      <c r="AA1031">
        <v>11</v>
      </c>
      <c r="AB1031">
        <v>3</v>
      </c>
      <c r="AC1031">
        <v>3</v>
      </c>
      <c r="AD1031">
        <v>80</v>
      </c>
      <c r="AE1031">
        <v>2</v>
      </c>
      <c r="AF1031">
        <v>11</v>
      </c>
      <c r="AG1031">
        <v>2</v>
      </c>
      <c r="AH1031">
        <v>4</v>
      </c>
      <c r="AI1031">
        <v>8</v>
      </c>
      <c r="AJ1031">
        <v>7</v>
      </c>
      <c r="AK1031">
        <v>0</v>
      </c>
      <c r="AL1031" t="str" cm="1">
        <f t="array" ref="AL103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31">
        <v>7</v>
      </c>
    </row>
    <row r="1032" spans="1:39" x14ac:dyDescent="0.25">
      <c r="A1032">
        <v>31</v>
      </c>
      <c r="B1032" t="s">
        <v>44</v>
      </c>
      <c r="C1032" t="s">
        <v>37</v>
      </c>
      <c r="D1032">
        <v>326</v>
      </c>
      <c r="E1032" t="s">
        <v>38</v>
      </c>
      <c r="G1032">
        <v>8</v>
      </c>
      <c r="H1032">
        <v>2</v>
      </c>
      <c r="I1032" t="s">
        <v>39</v>
      </c>
      <c r="J1032" t="str">
        <f>WA_Fn_UseC__HR_Employee_Attrition[[#This Row],[EducationField]]&amp;"-"&amp;WA_Fn_UseC__HR_Employee_Attrition[[#This Row],[Department]]</f>
        <v>Life Sciences-Sales</v>
      </c>
      <c r="K1032">
        <v>1</v>
      </c>
      <c r="L1032">
        <v>1453</v>
      </c>
      <c r="M1032">
        <v>1</v>
      </c>
      <c r="N1032" t="s">
        <v>47</v>
      </c>
      <c r="O1032">
        <v>31</v>
      </c>
      <c r="P1032">
        <v>3</v>
      </c>
      <c r="Q1032">
        <v>3</v>
      </c>
      <c r="R1032" t="s">
        <v>41</v>
      </c>
      <c r="S1032">
        <v>4</v>
      </c>
      <c r="T1032" t="s">
        <v>53</v>
      </c>
      <c r="U1032">
        <v>10793</v>
      </c>
      <c r="V1032" t="str" cm="1">
        <f t="array" ref="V103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32">
        <v>8386</v>
      </c>
      <c r="X1032">
        <v>1</v>
      </c>
      <c r="Y1032" t="s">
        <v>43</v>
      </c>
      <c r="Z1032" t="s">
        <v>44</v>
      </c>
      <c r="AA1032">
        <v>18</v>
      </c>
      <c r="AB1032">
        <v>3</v>
      </c>
      <c r="AC1032">
        <v>1</v>
      </c>
      <c r="AD1032">
        <v>80</v>
      </c>
      <c r="AE1032">
        <v>1</v>
      </c>
      <c r="AF1032">
        <v>13</v>
      </c>
      <c r="AG1032">
        <v>5</v>
      </c>
      <c r="AH1032">
        <v>3</v>
      </c>
      <c r="AI1032">
        <v>13</v>
      </c>
      <c r="AJ1032">
        <v>7</v>
      </c>
      <c r="AK1032">
        <v>9</v>
      </c>
      <c r="AL1032" t="str" cm="1">
        <f t="array" ref="AL103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32">
        <v>9</v>
      </c>
    </row>
    <row r="1033" spans="1:39" x14ac:dyDescent="0.25">
      <c r="A1033">
        <v>46</v>
      </c>
      <c r="B1033" t="s">
        <v>36</v>
      </c>
      <c r="C1033" t="s">
        <v>37</v>
      </c>
      <c r="D1033">
        <v>377</v>
      </c>
      <c r="E1033" t="s">
        <v>38</v>
      </c>
      <c r="G1033">
        <v>9</v>
      </c>
      <c r="H1033">
        <v>3</v>
      </c>
      <c r="I1033" t="s">
        <v>60</v>
      </c>
      <c r="J1033" t="str">
        <f>WA_Fn_UseC__HR_Employee_Attrition[[#This Row],[EducationField]]&amp;"-"&amp;WA_Fn_UseC__HR_Employee_Attrition[[#This Row],[Department]]</f>
        <v>Marketing-Sales</v>
      </c>
      <c r="K1033">
        <v>1</v>
      </c>
      <c r="L1033">
        <v>1457</v>
      </c>
      <c r="M1033">
        <v>1</v>
      </c>
      <c r="N1033" t="s">
        <v>47</v>
      </c>
      <c r="O1033">
        <v>52</v>
      </c>
      <c r="P1033">
        <v>3</v>
      </c>
      <c r="Q1033">
        <v>3</v>
      </c>
      <c r="R1033" t="s">
        <v>41</v>
      </c>
      <c r="S1033">
        <v>4</v>
      </c>
      <c r="T1033" t="s">
        <v>53</v>
      </c>
      <c r="U1033">
        <v>10096</v>
      </c>
      <c r="V1033" t="str" cm="1">
        <f t="array" ref="V103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33">
        <v>15986</v>
      </c>
      <c r="X1033">
        <v>4</v>
      </c>
      <c r="Y1033" t="s">
        <v>43</v>
      </c>
      <c r="Z1033" t="s">
        <v>44</v>
      </c>
      <c r="AA1033">
        <v>11</v>
      </c>
      <c r="AB1033">
        <v>3</v>
      </c>
      <c r="AC1033">
        <v>1</v>
      </c>
      <c r="AD1033">
        <v>80</v>
      </c>
      <c r="AE1033">
        <v>1</v>
      </c>
      <c r="AF1033">
        <v>28</v>
      </c>
      <c r="AG1033">
        <v>1</v>
      </c>
      <c r="AH1033">
        <v>4</v>
      </c>
      <c r="AI1033">
        <v>7</v>
      </c>
      <c r="AJ1033">
        <v>7</v>
      </c>
      <c r="AK1033">
        <v>4</v>
      </c>
      <c r="AL1033" t="str" cm="1">
        <f t="array" ref="AL103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33">
        <v>3</v>
      </c>
    </row>
    <row r="1034" spans="1:39" x14ac:dyDescent="0.25">
      <c r="A1034">
        <v>39</v>
      </c>
      <c r="B1034" t="s">
        <v>36</v>
      </c>
      <c r="C1034" t="s">
        <v>56</v>
      </c>
      <c r="D1034">
        <v>592</v>
      </c>
      <c r="E1034" t="s">
        <v>46</v>
      </c>
      <c r="G1034">
        <v>2</v>
      </c>
      <c r="H1034">
        <v>3</v>
      </c>
      <c r="I1034" t="s">
        <v>39</v>
      </c>
      <c r="J1034" t="str">
        <f>WA_Fn_UseC__HR_Employee_Attrition[[#This Row],[EducationField]]&amp;"-"&amp;WA_Fn_UseC__HR_Employee_Attrition[[#This Row],[Department]]</f>
        <v>Life Sciences-Research &amp; Development</v>
      </c>
      <c r="K1034">
        <v>1</v>
      </c>
      <c r="L1034">
        <v>1458</v>
      </c>
      <c r="M1034">
        <v>1</v>
      </c>
      <c r="N1034" t="s">
        <v>40</v>
      </c>
      <c r="O1034">
        <v>54</v>
      </c>
      <c r="P1034">
        <v>2</v>
      </c>
      <c r="Q1034">
        <v>1</v>
      </c>
      <c r="R1034" t="s">
        <v>51</v>
      </c>
      <c r="S1034">
        <v>1</v>
      </c>
      <c r="T1034" t="s">
        <v>42</v>
      </c>
      <c r="U1034">
        <v>3646</v>
      </c>
      <c r="V1034" t="str" cm="1">
        <f t="array" ref="V103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34">
        <v>17181</v>
      </c>
      <c r="X1034">
        <v>2</v>
      </c>
      <c r="Y1034" t="s">
        <v>43</v>
      </c>
      <c r="Z1034" t="s">
        <v>36</v>
      </c>
      <c r="AA1034">
        <v>23</v>
      </c>
      <c r="AB1034">
        <v>4</v>
      </c>
      <c r="AC1034">
        <v>2</v>
      </c>
      <c r="AD1034">
        <v>80</v>
      </c>
      <c r="AE1034">
        <v>0</v>
      </c>
      <c r="AF1034">
        <v>11</v>
      </c>
      <c r="AG1034">
        <v>2</v>
      </c>
      <c r="AH1034">
        <v>4</v>
      </c>
      <c r="AI1034">
        <v>1</v>
      </c>
      <c r="AJ1034">
        <v>0</v>
      </c>
      <c r="AK1034">
        <v>0</v>
      </c>
      <c r="AL1034" t="str" cm="1">
        <f t="array" ref="AL103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34">
        <v>0</v>
      </c>
    </row>
    <row r="1035" spans="1:39" x14ac:dyDescent="0.25">
      <c r="A1035">
        <v>31</v>
      </c>
      <c r="B1035" t="s">
        <v>36</v>
      </c>
      <c r="C1035" t="s">
        <v>45</v>
      </c>
      <c r="D1035">
        <v>1445</v>
      </c>
      <c r="E1035" t="s">
        <v>46</v>
      </c>
      <c r="G1035">
        <v>1</v>
      </c>
      <c r="H1035">
        <v>5</v>
      </c>
      <c r="I1035" t="s">
        <v>39</v>
      </c>
      <c r="J1035" t="str">
        <f>WA_Fn_UseC__HR_Employee_Attrition[[#This Row],[EducationField]]&amp;"-"&amp;WA_Fn_UseC__HR_Employee_Attrition[[#This Row],[Department]]</f>
        <v>Life Sciences-Research &amp; Development</v>
      </c>
      <c r="K1035">
        <v>1</v>
      </c>
      <c r="L1035">
        <v>1459</v>
      </c>
      <c r="M1035">
        <v>3</v>
      </c>
      <c r="N1035" t="s">
        <v>40</v>
      </c>
      <c r="O1035">
        <v>100</v>
      </c>
      <c r="P1035">
        <v>4</v>
      </c>
      <c r="Q1035">
        <v>3</v>
      </c>
      <c r="R1035" t="s">
        <v>54</v>
      </c>
      <c r="S1035">
        <v>2</v>
      </c>
      <c r="T1035" t="s">
        <v>42</v>
      </c>
      <c r="U1035">
        <v>7446</v>
      </c>
      <c r="V1035" t="str" cm="1">
        <f t="array" ref="V103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35">
        <v>8931</v>
      </c>
      <c r="X1035">
        <v>1</v>
      </c>
      <c r="Y1035" t="s">
        <v>43</v>
      </c>
      <c r="Z1035" t="s">
        <v>44</v>
      </c>
      <c r="AA1035">
        <v>11</v>
      </c>
      <c r="AB1035">
        <v>3</v>
      </c>
      <c r="AC1035">
        <v>1</v>
      </c>
      <c r="AD1035">
        <v>80</v>
      </c>
      <c r="AE1035">
        <v>0</v>
      </c>
      <c r="AF1035">
        <v>10</v>
      </c>
      <c r="AG1035">
        <v>2</v>
      </c>
      <c r="AH1035">
        <v>3</v>
      </c>
      <c r="AI1035">
        <v>10</v>
      </c>
      <c r="AJ1035">
        <v>8</v>
      </c>
      <c r="AK1035">
        <v>4</v>
      </c>
      <c r="AL1035" t="str" cm="1">
        <f t="array" ref="AL103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35">
        <v>7</v>
      </c>
    </row>
    <row r="1036" spans="1:39" x14ac:dyDescent="0.25">
      <c r="A1036">
        <v>45</v>
      </c>
      <c r="B1036" t="s">
        <v>44</v>
      </c>
      <c r="C1036" t="s">
        <v>37</v>
      </c>
      <c r="D1036">
        <v>1038</v>
      </c>
      <c r="E1036" t="s">
        <v>46</v>
      </c>
      <c r="G1036">
        <v>20</v>
      </c>
      <c r="H1036">
        <v>3</v>
      </c>
      <c r="I1036" t="s">
        <v>52</v>
      </c>
      <c r="J1036" t="str">
        <f>WA_Fn_UseC__HR_Employee_Attrition[[#This Row],[EducationField]]&amp;"-"&amp;WA_Fn_UseC__HR_Employee_Attrition[[#This Row],[Department]]</f>
        <v>Medical-Research &amp; Development</v>
      </c>
      <c r="K1036">
        <v>1</v>
      </c>
      <c r="L1036">
        <v>1460</v>
      </c>
      <c r="M1036">
        <v>2</v>
      </c>
      <c r="N1036" t="s">
        <v>47</v>
      </c>
      <c r="O1036">
        <v>95</v>
      </c>
      <c r="P1036">
        <v>1</v>
      </c>
      <c r="Q1036">
        <v>3</v>
      </c>
      <c r="R1036" t="s">
        <v>55</v>
      </c>
      <c r="S1036">
        <v>1</v>
      </c>
      <c r="T1036" t="s">
        <v>53</v>
      </c>
      <c r="U1036">
        <v>10851</v>
      </c>
      <c r="V1036" t="str" cm="1">
        <f t="array" ref="V103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36">
        <v>19863</v>
      </c>
      <c r="X1036">
        <v>2</v>
      </c>
      <c r="Y1036" t="s">
        <v>43</v>
      </c>
      <c r="Z1036" t="s">
        <v>36</v>
      </c>
      <c r="AA1036">
        <v>18</v>
      </c>
      <c r="AB1036">
        <v>3</v>
      </c>
      <c r="AC1036">
        <v>2</v>
      </c>
      <c r="AD1036">
        <v>80</v>
      </c>
      <c r="AE1036">
        <v>1</v>
      </c>
      <c r="AF1036">
        <v>24</v>
      </c>
      <c r="AG1036">
        <v>2</v>
      </c>
      <c r="AH1036">
        <v>3</v>
      </c>
      <c r="AI1036">
        <v>7</v>
      </c>
      <c r="AJ1036">
        <v>7</v>
      </c>
      <c r="AK1036">
        <v>0</v>
      </c>
      <c r="AL1036" t="str" cm="1">
        <f t="array" ref="AL103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36">
        <v>7</v>
      </c>
    </row>
    <row r="1037" spans="1:39" x14ac:dyDescent="0.25">
      <c r="A1037">
        <v>31</v>
      </c>
      <c r="B1037" t="s">
        <v>44</v>
      </c>
      <c r="C1037" t="s">
        <v>37</v>
      </c>
      <c r="D1037">
        <v>1398</v>
      </c>
      <c r="E1037" t="s">
        <v>62</v>
      </c>
      <c r="G1037">
        <v>8</v>
      </c>
      <c r="H1037">
        <v>2</v>
      </c>
      <c r="I1037" t="s">
        <v>52</v>
      </c>
      <c r="J1037" t="str">
        <f>WA_Fn_UseC__HR_Employee_Attrition[[#This Row],[EducationField]]&amp;"-"&amp;WA_Fn_UseC__HR_Employee_Attrition[[#This Row],[Department]]</f>
        <v>Medical-Human Resources</v>
      </c>
      <c r="K1037">
        <v>1</v>
      </c>
      <c r="L1037">
        <v>1461</v>
      </c>
      <c r="M1037">
        <v>4</v>
      </c>
      <c r="N1037" t="s">
        <v>40</v>
      </c>
      <c r="O1037">
        <v>96</v>
      </c>
      <c r="P1037">
        <v>4</v>
      </c>
      <c r="Q1037">
        <v>1</v>
      </c>
      <c r="R1037" t="s">
        <v>62</v>
      </c>
      <c r="S1037">
        <v>2</v>
      </c>
      <c r="T1037" t="s">
        <v>42</v>
      </c>
      <c r="U1037">
        <v>2109</v>
      </c>
      <c r="V1037" t="str" cm="1">
        <f t="array" ref="V103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37">
        <v>24609</v>
      </c>
      <c r="X1037">
        <v>9</v>
      </c>
      <c r="Y1037" t="s">
        <v>43</v>
      </c>
      <c r="Z1037" t="s">
        <v>44</v>
      </c>
      <c r="AA1037">
        <v>18</v>
      </c>
      <c r="AB1037">
        <v>3</v>
      </c>
      <c r="AC1037">
        <v>4</v>
      </c>
      <c r="AD1037">
        <v>80</v>
      </c>
      <c r="AE1037">
        <v>0</v>
      </c>
      <c r="AF1037">
        <v>8</v>
      </c>
      <c r="AG1037">
        <v>3</v>
      </c>
      <c r="AH1037">
        <v>3</v>
      </c>
      <c r="AI1037">
        <v>3</v>
      </c>
      <c r="AJ1037">
        <v>2</v>
      </c>
      <c r="AK1037">
        <v>0</v>
      </c>
      <c r="AL1037" t="str" cm="1">
        <f t="array" ref="AL103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37">
        <v>2</v>
      </c>
    </row>
    <row r="1038" spans="1:39" x14ac:dyDescent="0.25">
      <c r="A1038">
        <v>31</v>
      </c>
      <c r="B1038" t="s">
        <v>36</v>
      </c>
      <c r="C1038" t="s">
        <v>45</v>
      </c>
      <c r="D1038">
        <v>523</v>
      </c>
      <c r="E1038" t="s">
        <v>46</v>
      </c>
      <c r="G1038">
        <v>2</v>
      </c>
      <c r="H1038">
        <v>3</v>
      </c>
      <c r="I1038" t="s">
        <v>39</v>
      </c>
      <c r="J1038" t="str">
        <f>WA_Fn_UseC__HR_Employee_Attrition[[#This Row],[EducationField]]&amp;"-"&amp;WA_Fn_UseC__HR_Employee_Attrition[[#This Row],[Department]]</f>
        <v>Life Sciences-Research &amp; Development</v>
      </c>
      <c r="K1038">
        <v>1</v>
      </c>
      <c r="L1038">
        <v>1464</v>
      </c>
      <c r="M1038">
        <v>2</v>
      </c>
      <c r="N1038" t="s">
        <v>47</v>
      </c>
      <c r="O1038">
        <v>94</v>
      </c>
      <c r="P1038">
        <v>3</v>
      </c>
      <c r="Q1038">
        <v>1</v>
      </c>
      <c r="R1038" t="s">
        <v>51</v>
      </c>
      <c r="S1038">
        <v>4</v>
      </c>
      <c r="T1038" t="s">
        <v>49</v>
      </c>
      <c r="U1038">
        <v>3722</v>
      </c>
      <c r="V1038" t="str" cm="1">
        <f t="array" ref="V103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38">
        <v>21081</v>
      </c>
      <c r="X1038">
        <v>6</v>
      </c>
      <c r="Y1038" t="s">
        <v>43</v>
      </c>
      <c r="Z1038" t="s">
        <v>36</v>
      </c>
      <c r="AA1038">
        <v>13</v>
      </c>
      <c r="AB1038">
        <v>3</v>
      </c>
      <c r="AC1038">
        <v>3</v>
      </c>
      <c r="AD1038">
        <v>80</v>
      </c>
      <c r="AE1038">
        <v>1</v>
      </c>
      <c r="AF1038">
        <v>7</v>
      </c>
      <c r="AG1038">
        <v>2</v>
      </c>
      <c r="AH1038">
        <v>1</v>
      </c>
      <c r="AI1038">
        <v>2</v>
      </c>
      <c r="AJ1038">
        <v>2</v>
      </c>
      <c r="AK1038">
        <v>2</v>
      </c>
      <c r="AL1038" t="str" cm="1">
        <f t="array" ref="AL103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38">
        <v>2</v>
      </c>
    </row>
    <row r="1039" spans="1:39" x14ac:dyDescent="0.25">
      <c r="A1039">
        <v>45</v>
      </c>
      <c r="B1039" t="s">
        <v>44</v>
      </c>
      <c r="C1039" t="s">
        <v>37</v>
      </c>
      <c r="D1039">
        <v>1448</v>
      </c>
      <c r="E1039" t="s">
        <v>46</v>
      </c>
      <c r="G1039">
        <v>29</v>
      </c>
      <c r="H1039">
        <v>3</v>
      </c>
      <c r="I1039" t="s">
        <v>61</v>
      </c>
      <c r="J1039" t="str">
        <f>WA_Fn_UseC__HR_Employee_Attrition[[#This Row],[EducationField]]&amp;"-"&amp;WA_Fn_UseC__HR_Employee_Attrition[[#This Row],[Department]]</f>
        <v>Technical Degree-Research &amp; Development</v>
      </c>
      <c r="K1039">
        <v>1</v>
      </c>
      <c r="L1039">
        <v>1465</v>
      </c>
      <c r="M1039">
        <v>2</v>
      </c>
      <c r="N1039" t="s">
        <v>47</v>
      </c>
      <c r="O1039">
        <v>55</v>
      </c>
      <c r="P1039">
        <v>3</v>
      </c>
      <c r="Q1039">
        <v>3</v>
      </c>
      <c r="R1039" t="s">
        <v>54</v>
      </c>
      <c r="S1039">
        <v>4</v>
      </c>
      <c r="T1039" t="s">
        <v>49</v>
      </c>
      <c r="U1039">
        <v>9380</v>
      </c>
      <c r="V1039" t="str" cm="1">
        <f t="array" ref="V103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39">
        <v>14720</v>
      </c>
      <c r="X1039">
        <v>4</v>
      </c>
      <c r="Y1039" t="s">
        <v>43</v>
      </c>
      <c r="Z1039" t="s">
        <v>36</v>
      </c>
      <c r="AA1039">
        <v>18</v>
      </c>
      <c r="AB1039">
        <v>3</v>
      </c>
      <c r="AC1039">
        <v>4</v>
      </c>
      <c r="AD1039">
        <v>80</v>
      </c>
      <c r="AE1039">
        <v>2</v>
      </c>
      <c r="AF1039">
        <v>10</v>
      </c>
      <c r="AG1039">
        <v>4</v>
      </c>
      <c r="AH1039">
        <v>4</v>
      </c>
      <c r="AI1039">
        <v>3</v>
      </c>
      <c r="AJ1039">
        <v>1</v>
      </c>
      <c r="AK1039">
        <v>1</v>
      </c>
      <c r="AL1039" t="str" cm="1">
        <f t="array" ref="AL103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39">
        <v>2</v>
      </c>
    </row>
    <row r="1040" spans="1:39" x14ac:dyDescent="0.25">
      <c r="A1040">
        <v>48</v>
      </c>
      <c r="B1040" t="s">
        <v>44</v>
      </c>
      <c r="C1040" t="s">
        <v>37</v>
      </c>
      <c r="D1040">
        <v>1221</v>
      </c>
      <c r="E1040" t="s">
        <v>38</v>
      </c>
      <c r="G1040">
        <v>7</v>
      </c>
      <c r="H1040">
        <v>3</v>
      </c>
      <c r="I1040" t="s">
        <v>60</v>
      </c>
      <c r="J1040" t="str">
        <f>WA_Fn_UseC__HR_Employee_Attrition[[#This Row],[EducationField]]&amp;"-"&amp;WA_Fn_UseC__HR_Employee_Attrition[[#This Row],[Department]]</f>
        <v>Marketing-Sales</v>
      </c>
      <c r="K1040">
        <v>1</v>
      </c>
      <c r="L1040">
        <v>1466</v>
      </c>
      <c r="M1040">
        <v>3</v>
      </c>
      <c r="N1040" t="s">
        <v>47</v>
      </c>
      <c r="O1040">
        <v>96</v>
      </c>
      <c r="P1040">
        <v>3</v>
      </c>
      <c r="Q1040">
        <v>2</v>
      </c>
      <c r="R1040" t="s">
        <v>41</v>
      </c>
      <c r="S1040">
        <v>1</v>
      </c>
      <c r="T1040" t="s">
        <v>53</v>
      </c>
      <c r="U1040">
        <v>5486</v>
      </c>
      <c r="V1040" t="str" cm="1">
        <f t="array" ref="V104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40">
        <v>24795</v>
      </c>
      <c r="X1040">
        <v>4</v>
      </c>
      <c r="Y1040" t="s">
        <v>43</v>
      </c>
      <c r="Z1040" t="s">
        <v>44</v>
      </c>
      <c r="AA1040">
        <v>11</v>
      </c>
      <c r="AB1040">
        <v>3</v>
      </c>
      <c r="AC1040">
        <v>1</v>
      </c>
      <c r="AD1040">
        <v>80</v>
      </c>
      <c r="AE1040">
        <v>3</v>
      </c>
      <c r="AF1040">
        <v>15</v>
      </c>
      <c r="AG1040">
        <v>3</v>
      </c>
      <c r="AH1040">
        <v>3</v>
      </c>
      <c r="AI1040">
        <v>2</v>
      </c>
      <c r="AJ1040">
        <v>2</v>
      </c>
      <c r="AK1040">
        <v>2</v>
      </c>
      <c r="AL1040" t="str" cm="1">
        <f t="array" ref="AL104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40">
        <v>2</v>
      </c>
    </row>
    <row r="1041" spans="1:39" x14ac:dyDescent="0.25">
      <c r="A1041">
        <v>34</v>
      </c>
      <c r="B1041" t="s">
        <v>36</v>
      </c>
      <c r="C1041" t="s">
        <v>37</v>
      </c>
      <c r="D1041">
        <v>1107</v>
      </c>
      <c r="E1041" t="s">
        <v>62</v>
      </c>
      <c r="G1041">
        <v>9</v>
      </c>
      <c r="H1041">
        <v>4</v>
      </c>
      <c r="I1041" t="s">
        <v>61</v>
      </c>
      <c r="J1041" t="str">
        <f>WA_Fn_UseC__HR_Employee_Attrition[[#This Row],[EducationField]]&amp;"-"&amp;WA_Fn_UseC__HR_Employee_Attrition[[#This Row],[Department]]</f>
        <v>Technical Degree-Human Resources</v>
      </c>
      <c r="K1041">
        <v>1</v>
      </c>
      <c r="L1041">
        <v>1467</v>
      </c>
      <c r="M1041">
        <v>1</v>
      </c>
      <c r="N1041" t="s">
        <v>40</v>
      </c>
      <c r="O1041">
        <v>52</v>
      </c>
      <c r="P1041">
        <v>3</v>
      </c>
      <c r="Q1041">
        <v>1</v>
      </c>
      <c r="R1041" t="s">
        <v>62</v>
      </c>
      <c r="S1041">
        <v>3</v>
      </c>
      <c r="T1041" t="s">
        <v>49</v>
      </c>
      <c r="U1041">
        <v>2742</v>
      </c>
      <c r="V1041" t="str" cm="1">
        <f t="array" ref="V104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41">
        <v>3072</v>
      </c>
      <c r="X1041">
        <v>1</v>
      </c>
      <c r="Y1041" t="s">
        <v>43</v>
      </c>
      <c r="Z1041" t="s">
        <v>44</v>
      </c>
      <c r="AA1041">
        <v>15</v>
      </c>
      <c r="AB1041">
        <v>3</v>
      </c>
      <c r="AC1041">
        <v>4</v>
      </c>
      <c r="AD1041">
        <v>80</v>
      </c>
      <c r="AE1041">
        <v>0</v>
      </c>
      <c r="AF1041">
        <v>2</v>
      </c>
      <c r="AG1041">
        <v>0</v>
      </c>
      <c r="AH1041">
        <v>3</v>
      </c>
      <c r="AI1041">
        <v>2</v>
      </c>
      <c r="AJ1041">
        <v>2</v>
      </c>
      <c r="AK1041">
        <v>2</v>
      </c>
      <c r="AL1041" t="str" cm="1">
        <f t="array" ref="AL104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41">
        <v>2</v>
      </c>
    </row>
    <row r="1042" spans="1:39" x14ac:dyDescent="0.25">
      <c r="A1042">
        <v>40</v>
      </c>
      <c r="B1042" t="s">
        <v>44</v>
      </c>
      <c r="C1042" t="s">
        <v>56</v>
      </c>
      <c r="D1042">
        <v>218</v>
      </c>
      <c r="E1042" t="s">
        <v>46</v>
      </c>
      <c r="G1042">
        <v>8</v>
      </c>
      <c r="H1042">
        <v>1</v>
      </c>
      <c r="I1042" t="s">
        <v>52</v>
      </c>
      <c r="J1042" t="str">
        <f>WA_Fn_UseC__HR_Employee_Attrition[[#This Row],[EducationField]]&amp;"-"&amp;WA_Fn_UseC__HR_Employee_Attrition[[#This Row],[Department]]</f>
        <v>Medical-Research &amp; Development</v>
      </c>
      <c r="K1042">
        <v>1</v>
      </c>
      <c r="L1042">
        <v>1468</v>
      </c>
      <c r="M1042">
        <v>4</v>
      </c>
      <c r="N1042" t="s">
        <v>47</v>
      </c>
      <c r="O1042">
        <v>55</v>
      </c>
      <c r="P1042">
        <v>2</v>
      </c>
      <c r="Q1042">
        <v>3</v>
      </c>
      <c r="R1042" t="s">
        <v>59</v>
      </c>
      <c r="S1042">
        <v>2</v>
      </c>
      <c r="T1042" t="s">
        <v>53</v>
      </c>
      <c r="U1042">
        <v>13757</v>
      </c>
      <c r="V1042" t="str" cm="1">
        <f t="array" ref="V104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42">
        <v>25178</v>
      </c>
      <c r="X1042">
        <v>2</v>
      </c>
      <c r="Y1042" t="s">
        <v>43</v>
      </c>
      <c r="Z1042" t="s">
        <v>44</v>
      </c>
      <c r="AA1042">
        <v>11</v>
      </c>
      <c r="AB1042">
        <v>3</v>
      </c>
      <c r="AC1042">
        <v>3</v>
      </c>
      <c r="AD1042">
        <v>80</v>
      </c>
      <c r="AE1042">
        <v>1</v>
      </c>
      <c r="AF1042">
        <v>16</v>
      </c>
      <c r="AG1042">
        <v>5</v>
      </c>
      <c r="AH1042">
        <v>3</v>
      </c>
      <c r="AI1042">
        <v>9</v>
      </c>
      <c r="AJ1042">
        <v>8</v>
      </c>
      <c r="AK1042">
        <v>4</v>
      </c>
      <c r="AL1042" t="str" cm="1">
        <f t="array" ref="AL104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42">
        <v>8</v>
      </c>
    </row>
    <row r="1043" spans="1:39" x14ac:dyDescent="0.25">
      <c r="A1043">
        <v>28</v>
      </c>
      <c r="B1043" t="s">
        <v>44</v>
      </c>
      <c r="C1043" t="s">
        <v>37</v>
      </c>
      <c r="D1043">
        <v>866</v>
      </c>
      <c r="E1043" t="s">
        <v>38</v>
      </c>
      <c r="G1043">
        <v>5</v>
      </c>
      <c r="H1043">
        <v>3</v>
      </c>
      <c r="I1043" t="s">
        <v>52</v>
      </c>
      <c r="J1043" t="str">
        <f>WA_Fn_UseC__HR_Employee_Attrition[[#This Row],[EducationField]]&amp;"-"&amp;WA_Fn_UseC__HR_Employee_Attrition[[#This Row],[Department]]</f>
        <v>Medical-Sales</v>
      </c>
      <c r="K1043">
        <v>1</v>
      </c>
      <c r="L1043">
        <v>1469</v>
      </c>
      <c r="M1043">
        <v>4</v>
      </c>
      <c r="N1043" t="s">
        <v>47</v>
      </c>
      <c r="O1043">
        <v>84</v>
      </c>
      <c r="P1043">
        <v>3</v>
      </c>
      <c r="Q1043">
        <v>2</v>
      </c>
      <c r="R1043" t="s">
        <v>41</v>
      </c>
      <c r="S1043">
        <v>1</v>
      </c>
      <c r="T1043" t="s">
        <v>42</v>
      </c>
      <c r="U1043">
        <v>8463</v>
      </c>
      <c r="V1043" t="str" cm="1">
        <f t="array" ref="V104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43">
        <v>23490</v>
      </c>
      <c r="X1043">
        <v>0</v>
      </c>
      <c r="Y1043" t="s">
        <v>43</v>
      </c>
      <c r="Z1043" t="s">
        <v>44</v>
      </c>
      <c r="AA1043">
        <v>18</v>
      </c>
      <c r="AB1043">
        <v>3</v>
      </c>
      <c r="AC1043">
        <v>4</v>
      </c>
      <c r="AD1043">
        <v>80</v>
      </c>
      <c r="AE1043">
        <v>0</v>
      </c>
      <c r="AF1043">
        <v>6</v>
      </c>
      <c r="AG1043">
        <v>4</v>
      </c>
      <c r="AH1043">
        <v>3</v>
      </c>
      <c r="AI1043">
        <v>5</v>
      </c>
      <c r="AJ1043">
        <v>4</v>
      </c>
      <c r="AK1043">
        <v>1</v>
      </c>
      <c r="AL1043" t="str" cm="1">
        <f t="array" ref="AL104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43">
        <v>3</v>
      </c>
    </row>
    <row r="1044" spans="1:39" x14ac:dyDescent="0.25">
      <c r="A1044">
        <v>44</v>
      </c>
      <c r="B1044" t="s">
        <v>44</v>
      </c>
      <c r="C1044" t="s">
        <v>56</v>
      </c>
      <c r="D1044">
        <v>981</v>
      </c>
      <c r="E1044" t="s">
        <v>46</v>
      </c>
      <c r="G1044">
        <v>5</v>
      </c>
      <c r="H1044">
        <v>3</v>
      </c>
      <c r="I1044" t="s">
        <v>39</v>
      </c>
      <c r="J1044" t="str">
        <f>WA_Fn_UseC__HR_Employee_Attrition[[#This Row],[EducationField]]&amp;"-"&amp;WA_Fn_UseC__HR_Employee_Attrition[[#This Row],[Department]]</f>
        <v>Life Sciences-Research &amp; Development</v>
      </c>
      <c r="K1044">
        <v>1</v>
      </c>
      <c r="L1044">
        <v>1471</v>
      </c>
      <c r="M1044">
        <v>3</v>
      </c>
      <c r="N1044" t="s">
        <v>47</v>
      </c>
      <c r="O1044">
        <v>90</v>
      </c>
      <c r="P1044">
        <v>2</v>
      </c>
      <c r="Q1044">
        <v>1</v>
      </c>
      <c r="R1044" t="s">
        <v>51</v>
      </c>
      <c r="S1044">
        <v>3</v>
      </c>
      <c r="T1044" t="s">
        <v>42</v>
      </c>
      <c r="U1044">
        <v>3162</v>
      </c>
      <c r="V1044" t="str" cm="1">
        <f t="array" ref="V104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44">
        <v>7973</v>
      </c>
      <c r="X1044">
        <v>3</v>
      </c>
      <c r="Y1044" t="s">
        <v>43</v>
      </c>
      <c r="Z1044" t="s">
        <v>44</v>
      </c>
      <c r="AA1044">
        <v>14</v>
      </c>
      <c r="AB1044">
        <v>3</v>
      </c>
      <c r="AC1044">
        <v>4</v>
      </c>
      <c r="AD1044">
        <v>80</v>
      </c>
      <c r="AE1044">
        <v>0</v>
      </c>
      <c r="AF1044">
        <v>7</v>
      </c>
      <c r="AG1044">
        <v>5</v>
      </c>
      <c r="AH1044">
        <v>3</v>
      </c>
      <c r="AI1044">
        <v>5</v>
      </c>
      <c r="AJ1044">
        <v>2</v>
      </c>
      <c r="AK1044">
        <v>0</v>
      </c>
      <c r="AL1044" t="str" cm="1">
        <f t="array" ref="AL104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44">
        <v>3</v>
      </c>
    </row>
    <row r="1045" spans="1:39" x14ac:dyDescent="0.25">
      <c r="A1045">
        <v>53</v>
      </c>
      <c r="B1045" t="s">
        <v>44</v>
      </c>
      <c r="C1045" t="s">
        <v>37</v>
      </c>
      <c r="D1045">
        <v>447</v>
      </c>
      <c r="E1045" t="s">
        <v>46</v>
      </c>
      <c r="G1045">
        <v>2</v>
      </c>
      <c r="H1045">
        <v>3</v>
      </c>
      <c r="I1045" t="s">
        <v>52</v>
      </c>
      <c r="J1045" t="str">
        <f>WA_Fn_UseC__HR_Employee_Attrition[[#This Row],[EducationField]]&amp;"-"&amp;WA_Fn_UseC__HR_Employee_Attrition[[#This Row],[Department]]</f>
        <v>Medical-Research &amp; Development</v>
      </c>
      <c r="K1045">
        <v>1</v>
      </c>
      <c r="L1045">
        <v>1472</v>
      </c>
      <c r="M1045">
        <v>4</v>
      </c>
      <c r="N1045" t="s">
        <v>47</v>
      </c>
      <c r="O1045">
        <v>39</v>
      </c>
      <c r="P1045">
        <v>4</v>
      </c>
      <c r="Q1045">
        <v>4</v>
      </c>
      <c r="R1045" t="s">
        <v>59</v>
      </c>
      <c r="S1045">
        <v>2</v>
      </c>
      <c r="T1045" t="s">
        <v>42</v>
      </c>
      <c r="U1045">
        <v>16598</v>
      </c>
      <c r="V1045" t="str" cm="1">
        <f t="array" ref="V104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45">
        <v>19764</v>
      </c>
      <c r="X1045">
        <v>4</v>
      </c>
      <c r="Y1045" t="s">
        <v>43</v>
      </c>
      <c r="Z1045" t="s">
        <v>44</v>
      </c>
      <c r="AA1045">
        <v>12</v>
      </c>
      <c r="AB1045">
        <v>3</v>
      </c>
      <c r="AC1045">
        <v>2</v>
      </c>
      <c r="AD1045">
        <v>80</v>
      </c>
      <c r="AE1045">
        <v>0</v>
      </c>
      <c r="AF1045">
        <v>35</v>
      </c>
      <c r="AG1045">
        <v>2</v>
      </c>
      <c r="AH1045">
        <v>2</v>
      </c>
      <c r="AI1045">
        <v>9</v>
      </c>
      <c r="AJ1045">
        <v>8</v>
      </c>
      <c r="AK1045">
        <v>8</v>
      </c>
      <c r="AL1045" t="str" cm="1">
        <f t="array" ref="AL104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45">
        <v>8</v>
      </c>
    </row>
    <row r="1046" spans="1:39" x14ac:dyDescent="0.25">
      <c r="A1046">
        <v>49</v>
      </c>
      <c r="B1046" t="s">
        <v>44</v>
      </c>
      <c r="C1046" t="s">
        <v>37</v>
      </c>
      <c r="D1046">
        <v>1495</v>
      </c>
      <c r="E1046" t="s">
        <v>46</v>
      </c>
      <c r="G1046">
        <v>5</v>
      </c>
      <c r="H1046">
        <v>4</v>
      </c>
      <c r="I1046" t="s">
        <v>61</v>
      </c>
      <c r="J1046" t="str">
        <f>WA_Fn_UseC__HR_Employee_Attrition[[#This Row],[EducationField]]&amp;"-"&amp;WA_Fn_UseC__HR_Employee_Attrition[[#This Row],[Department]]</f>
        <v>Technical Degree-Research &amp; Development</v>
      </c>
      <c r="K1046">
        <v>1</v>
      </c>
      <c r="L1046">
        <v>1473</v>
      </c>
      <c r="M1046">
        <v>1</v>
      </c>
      <c r="N1046" t="s">
        <v>47</v>
      </c>
      <c r="O1046">
        <v>96</v>
      </c>
      <c r="P1046">
        <v>3</v>
      </c>
      <c r="Q1046">
        <v>2</v>
      </c>
      <c r="R1046" t="s">
        <v>55</v>
      </c>
      <c r="S1046">
        <v>3</v>
      </c>
      <c r="T1046" t="s">
        <v>49</v>
      </c>
      <c r="U1046">
        <v>6651</v>
      </c>
      <c r="V1046" t="str" cm="1">
        <f t="array" ref="V104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46">
        <v>21534</v>
      </c>
      <c r="X1046">
        <v>2</v>
      </c>
      <c r="Y1046" t="s">
        <v>43</v>
      </c>
      <c r="Z1046" t="s">
        <v>44</v>
      </c>
      <c r="AA1046">
        <v>14</v>
      </c>
      <c r="AB1046">
        <v>3</v>
      </c>
      <c r="AC1046">
        <v>2</v>
      </c>
      <c r="AD1046">
        <v>80</v>
      </c>
      <c r="AE1046">
        <v>1</v>
      </c>
      <c r="AF1046">
        <v>20</v>
      </c>
      <c r="AG1046">
        <v>0</v>
      </c>
      <c r="AH1046">
        <v>2</v>
      </c>
      <c r="AI1046">
        <v>3</v>
      </c>
      <c r="AJ1046">
        <v>2</v>
      </c>
      <c r="AK1046">
        <v>1</v>
      </c>
      <c r="AL1046" t="str" cm="1">
        <f t="array" ref="AL104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46">
        <v>2</v>
      </c>
    </row>
    <row r="1047" spans="1:39" x14ac:dyDescent="0.25">
      <c r="A1047">
        <v>40</v>
      </c>
      <c r="B1047" t="s">
        <v>44</v>
      </c>
      <c r="C1047" t="s">
        <v>37</v>
      </c>
      <c r="D1047">
        <v>896</v>
      </c>
      <c r="E1047" t="s">
        <v>46</v>
      </c>
      <c r="G1047">
        <v>2</v>
      </c>
      <c r="H1047">
        <v>3</v>
      </c>
      <c r="I1047" t="s">
        <v>52</v>
      </c>
      <c r="J1047" t="str">
        <f>WA_Fn_UseC__HR_Employee_Attrition[[#This Row],[EducationField]]&amp;"-"&amp;WA_Fn_UseC__HR_Employee_Attrition[[#This Row],[Department]]</f>
        <v>Medical-Research &amp; Development</v>
      </c>
      <c r="K1047">
        <v>1</v>
      </c>
      <c r="L1047">
        <v>1474</v>
      </c>
      <c r="M1047">
        <v>3</v>
      </c>
      <c r="N1047" t="s">
        <v>47</v>
      </c>
      <c r="O1047">
        <v>68</v>
      </c>
      <c r="P1047">
        <v>3</v>
      </c>
      <c r="Q1047">
        <v>1</v>
      </c>
      <c r="R1047" t="s">
        <v>48</v>
      </c>
      <c r="S1047">
        <v>3</v>
      </c>
      <c r="T1047" t="s">
        <v>53</v>
      </c>
      <c r="U1047">
        <v>2345</v>
      </c>
      <c r="V1047" t="str" cm="1">
        <f t="array" ref="V104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47">
        <v>8045</v>
      </c>
      <c r="X1047">
        <v>2</v>
      </c>
      <c r="Y1047" t="s">
        <v>43</v>
      </c>
      <c r="Z1047" t="s">
        <v>44</v>
      </c>
      <c r="AA1047">
        <v>14</v>
      </c>
      <c r="AB1047">
        <v>3</v>
      </c>
      <c r="AC1047">
        <v>3</v>
      </c>
      <c r="AD1047">
        <v>80</v>
      </c>
      <c r="AE1047">
        <v>1</v>
      </c>
      <c r="AF1047">
        <v>8</v>
      </c>
      <c r="AG1047">
        <v>3</v>
      </c>
      <c r="AH1047">
        <v>4</v>
      </c>
      <c r="AI1047">
        <v>3</v>
      </c>
      <c r="AJ1047">
        <v>1</v>
      </c>
      <c r="AK1047">
        <v>1</v>
      </c>
      <c r="AL1047" t="str" cm="1">
        <f t="array" ref="AL104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47">
        <v>2</v>
      </c>
    </row>
    <row r="1048" spans="1:39" x14ac:dyDescent="0.25">
      <c r="A1048">
        <v>44</v>
      </c>
      <c r="B1048" t="s">
        <v>44</v>
      </c>
      <c r="C1048" t="s">
        <v>37</v>
      </c>
      <c r="D1048">
        <v>1467</v>
      </c>
      <c r="E1048" t="s">
        <v>46</v>
      </c>
      <c r="G1048">
        <v>20</v>
      </c>
      <c r="H1048">
        <v>3</v>
      </c>
      <c r="I1048" t="s">
        <v>39</v>
      </c>
      <c r="J1048" t="str">
        <f>WA_Fn_UseC__HR_Employee_Attrition[[#This Row],[EducationField]]&amp;"-"&amp;WA_Fn_UseC__HR_Employee_Attrition[[#This Row],[Department]]</f>
        <v>Life Sciences-Research &amp; Development</v>
      </c>
      <c r="K1048">
        <v>1</v>
      </c>
      <c r="L1048">
        <v>1475</v>
      </c>
      <c r="M1048">
        <v>4</v>
      </c>
      <c r="N1048" t="s">
        <v>47</v>
      </c>
      <c r="O1048">
        <v>49</v>
      </c>
      <c r="P1048">
        <v>3</v>
      </c>
      <c r="Q1048">
        <v>1</v>
      </c>
      <c r="R1048" t="s">
        <v>48</v>
      </c>
      <c r="S1048">
        <v>2</v>
      </c>
      <c r="T1048" t="s">
        <v>42</v>
      </c>
      <c r="U1048">
        <v>3420</v>
      </c>
      <c r="V1048" t="str" cm="1">
        <f t="array" ref="V104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48">
        <v>21158</v>
      </c>
      <c r="X1048">
        <v>1</v>
      </c>
      <c r="Y1048" t="s">
        <v>43</v>
      </c>
      <c r="Z1048" t="s">
        <v>44</v>
      </c>
      <c r="AA1048">
        <v>13</v>
      </c>
      <c r="AB1048">
        <v>3</v>
      </c>
      <c r="AC1048">
        <v>3</v>
      </c>
      <c r="AD1048">
        <v>80</v>
      </c>
      <c r="AE1048">
        <v>0</v>
      </c>
      <c r="AF1048">
        <v>6</v>
      </c>
      <c r="AG1048">
        <v>3</v>
      </c>
      <c r="AH1048">
        <v>2</v>
      </c>
      <c r="AI1048">
        <v>5</v>
      </c>
      <c r="AJ1048">
        <v>2</v>
      </c>
      <c r="AK1048">
        <v>1</v>
      </c>
      <c r="AL1048" t="str" cm="1">
        <f t="array" ref="AL104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48">
        <v>3</v>
      </c>
    </row>
    <row r="1049" spans="1:39" x14ac:dyDescent="0.25">
      <c r="A1049">
        <v>33</v>
      </c>
      <c r="B1049" t="s">
        <v>44</v>
      </c>
      <c r="C1049" t="s">
        <v>45</v>
      </c>
      <c r="D1049">
        <v>430</v>
      </c>
      <c r="E1049" t="s">
        <v>38</v>
      </c>
      <c r="G1049">
        <v>7</v>
      </c>
      <c r="H1049">
        <v>3</v>
      </c>
      <c r="I1049" t="s">
        <v>52</v>
      </c>
      <c r="J1049" t="str">
        <f>WA_Fn_UseC__HR_Employee_Attrition[[#This Row],[EducationField]]&amp;"-"&amp;WA_Fn_UseC__HR_Employee_Attrition[[#This Row],[Department]]</f>
        <v>Medical-Sales</v>
      </c>
      <c r="K1049">
        <v>1</v>
      </c>
      <c r="L1049">
        <v>1477</v>
      </c>
      <c r="M1049">
        <v>4</v>
      </c>
      <c r="N1049" t="s">
        <v>47</v>
      </c>
      <c r="O1049">
        <v>54</v>
      </c>
      <c r="P1049">
        <v>3</v>
      </c>
      <c r="Q1049">
        <v>2</v>
      </c>
      <c r="R1049" t="s">
        <v>41</v>
      </c>
      <c r="S1049">
        <v>1</v>
      </c>
      <c r="T1049" t="s">
        <v>49</v>
      </c>
      <c r="U1049">
        <v>4373</v>
      </c>
      <c r="V1049" t="str" cm="1">
        <f t="array" ref="V104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49">
        <v>17456</v>
      </c>
      <c r="X1049">
        <v>0</v>
      </c>
      <c r="Y1049" t="s">
        <v>43</v>
      </c>
      <c r="Z1049" t="s">
        <v>44</v>
      </c>
      <c r="AA1049">
        <v>14</v>
      </c>
      <c r="AB1049">
        <v>3</v>
      </c>
      <c r="AC1049">
        <v>1</v>
      </c>
      <c r="AD1049">
        <v>80</v>
      </c>
      <c r="AE1049">
        <v>2</v>
      </c>
      <c r="AF1049">
        <v>5</v>
      </c>
      <c r="AG1049">
        <v>2</v>
      </c>
      <c r="AH1049">
        <v>3</v>
      </c>
      <c r="AI1049">
        <v>4</v>
      </c>
      <c r="AJ1049">
        <v>3</v>
      </c>
      <c r="AK1049">
        <v>0</v>
      </c>
      <c r="AL1049" t="str" cm="1">
        <f t="array" ref="AL104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49">
        <v>3</v>
      </c>
    </row>
    <row r="1050" spans="1:39" x14ac:dyDescent="0.25">
      <c r="A1050">
        <v>34</v>
      </c>
      <c r="B1050" t="s">
        <v>44</v>
      </c>
      <c r="C1050" t="s">
        <v>37</v>
      </c>
      <c r="D1050">
        <v>1326</v>
      </c>
      <c r="E1050" t="s">
        <v>38</v>
      </c>
      <c r="G1050">
        <v>3</v>
      </c>
      <c r="H1050">
        <v>3</v>
      </c>
      <c r="I1050" t="s">
        <v>50</v>
      </c>
      <c r="J1050" t="str">
        <f>WA_Fn_UseC__HR_Employee_Attrition[[#This Row],[EducationField]]&amp;"-"&amp;WA_Fn_UseC__HR_Employee_Attrition[[#This Row],[Department]]</f>
        <v>Other-Sales</v>
      </c>
      <c r="K1050">
        <v>1</v>
      </c>
      <c r="L1050">
        <v>1478</v>
      </c>
      <c r="M1050">
        <v>4</v>
      </c>
      <c r="N1050" t="s">
        <v>47</v>
      </c>
      <c r="O1050">
        <v>81</v>
      </c>
      <c r="P1050">
        <v>1</v>
      </c>
      <c r="Q1050">
        <v>2</v>
      </c>
      <c r="R1050" t="s">
        <v>41</v>
      </c>
      <c r="S1050">
        <v>1</v>
      </c>
      <c r="T1050" t="s">
        <v>42</v>
      </c>
      <c r="U1050">
        <v>4759</v>
      </c>
      <c r="V1050" t="str" cm="1">
        <f t="array" ref="V105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50">
        <v>15891</v>
      </c>
      <c r="X1050">
        <v>3</v>
      </c>
      <c r="Y1050" t="s">
        <v>43</v>
      </c>
      <c r="Z1050" t="s">
        <v>44</v>
      </c>
      <c r="AA1050">
        <v>18</v>
      </c>
      <c r="AB1050">
        <v>3</v>
      </c>
      <c r="AC1050">
        <v>4</v>
      </c>
      <c r="AD1050">
        <v>80</v>
      </c>
      <c r="AE1050">
        <v>0</v>
      </c>
      <c r="AF1050">
        <v>15</v>
      </c>
      <c r="AG1050">
        <v>2</v>
      </c>
      <c r="AH1050">
        <v>3</v>
      </c>
      <c r="AI1050">
        <v>13</v>
      </c>
      <c r="AJ1050">
        <v>9</v>
      </c>
      <c r="AK1050">
        <v>3</v>
      </c>
      <c r="AL1050" t="str" cm="1">
        <f t="array" ref="AL105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50">
        <v>12</v>
      </c>
    </row>
    <row r="1051" spans="1:39" x14ac:dyDescent="0.25">
      <c r="A1051">
        <v>30</v>
      </c>
      <c r="B1051" t="s">
        <v>44</v>
      </c>
      <c r="C1051" t="s">
        <v>37</v>
      </c>
      <c r="D1051">
        <v>1358</v>
      </c>
      <c r="E1051" t="s">
        <v>38</v>
      </c>
      <c r="G1051">
        <v>16</v>
      </c>
      <c r="H1051">
        <v>1</v>
      </c>
      <c r="I1051" t="s">
        <v>39</v>
      </c>
      <c r="J1051" t="str">
        <f>WA_Fn_UseC__HR_Employee_Attrition[[#This Row],[EducationField]]&amp;"-"&amp;WA_Fn_UseC__HR_Employee_Attrition[[#This Row],[Department]]</f>
        <v>Life Sciences-Sales</v>
      </c>
      <c r="K1051">
        <v>1</v>
      </c>
      <c r="L1051">
        <v>1479</v>
      </c>
      <c r="M1051">
        <v>4</v>
      </c>
      <c r="N1051" t="s">
        <v>47</v>
      </c>
      <c r="O1051">
        <v>96</v>
      </c>
      <c r="P1051">
        <v>3</v>
      </c>
      <c r="Q1051">
        <v>2</v>
      </c>
      <c r="R1051" t="s">
        <v>41</v>
      </c>
      <c r="S1051">
        <v>3</v>
      </c>
      <c r="T1051" t="s">
        <v>49</v>
      </c>
      <c r="U1051">
        <v>5301</v>
      </c>
      <c r="V1051" t="str" cm="1">
        <f t="array" ref="V105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51">
        <v>2939</v>
      </c>
      <c r="X1051">
        <v>8</v>
      </c>
      <c r="Y1051" t="s">
        <v>43</v>
      </c>
      <c r="Z1051" t="s">
        <v>44</v>
      </c>
      <c r="AA1051">
        <v>15</v>
      </c>
      <c r="AB1051">
        <v>3</v>
      </c>
      <c r="AC1051">
        <v>3</v>
      </c>
      <c r="AD1051">
        <v>80</v>
      </c>
      <c r="AE1051">
        <v>2</v>
      </c>
      <c r="AF1051">
        <v>4</v>
      </c>
      <c r="AG1051">
        <v>2</v>
      </c>
      <c r="AH1051">
        <v>2</v>
      </c>
      <c r="AI1051">
        <v>2</v>
      </c>
      <c r="AJ1051">
        <v>1</v>
      </c>
      <c r="AK1051">
        <v>2</v>
      </c>
      <c r="AL1051" t="str" cm="1">
        <f t="array" ref="AL105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51">
        <v>2</v>
      </c>
    </row>
    <row r="1052" spans="1:39" x14ac:dyDescent="0.25">
      <c r="A1052">
        <v>42</v>
      </c>
      <c r="B1052" t="s">
        <v>44</v>
      </c>
      <c r="C1052" t="s">
        <v>45</v>
      </c>
      <c r="D1052">
        <v>748</v>
      </c>
      <c r="E1052" t="s">
        <v>46</v>
      </c>
      <c r="G1052">
        <v>9</v>
      </c>
      <c r="H1052">
        <v>2</v>
      </c>
      <c r="I1052" t="s">
        <v>52</v>
      </c>
      <c r="J1052" t="str">
        <f>WA_Fn_UseC__HR_Employee_Attrition[[#This Row],[EducationField]]&amp;"-"&amp;WA_Fn_UseC__HR_Employee_Attrition[[#This Row],[Department]]</f>
        <v>Medical-Research &amp; Development</v>
      </c>
      <c r="K1052">
        <v>1</v>
      </c>
      <c r="L1052">
        <v>1480</v>
      </c>
      <c r="M1052">
        <v>1</v>
      </c>
      <c r="N1052" t="s">
        <v>40</v>
      </c>
      <c r="O1052">
        <v>74</v>
      </c>
      <c r="P1052">
        <v>3</v>
      </c>
      <c r="Q1052">
        <v>1</v>
      </c>
      <c r="R1052" t="s">
        <v>51</v>
      </c>
      <c r="S1052">
        <v>4</v>
      </c>
      <c r="T1052" t="s">
        <v>42</v>
      </c>
      <c r="U1052">
        <v>3673</v>
      </c>
      <c r="V1052" t="str" cm="1">
        <f t="array" ref="V105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52">
        <v>16458</v>
      </c>
      <c r="X1052">
        <v>1</v>
      </c>
      <c r="Y1052" t="s">
        <v>43</v>
      </c>
      <c r="Z1052" t="s">
        <v>44</v>
      </c>
      <c r="AA1052">
        <v>13</v>
      </c>
      <c r="AB1052">
        <v>3</v>
      </c>
      <c r="AC1052">
        <v>3</v>
      </c>
      <c r="AD1052">
        <v>80</v>
      </c>
      <c r="AE1052">
        <v>0</v>
      </c>
      <c r="AF1052">
        <v>12</v>
      </c>
      <c r="AG1052">
        <v>3</v>
      </c>
      <c r="AH1052">
        <v>3</v>
      </c>
      <c r="AI1052">
        <v>12</v>
      </c>
      <c r="AJ1052">
        <v>9</v>
      </c>
      <c r="AK1052">
        <v>5</v>
      </c>
      <c r="AL1052" t="str" cm="1">
        <f t="array" ref="AL105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52">
        <v>8</v>
      </c>
    </row>
    <row r="1053" spans="1:39" x14ac:dyDescent="0.25">
      <c r="A1053">
        <v>44</v>
      </c>
      <c r="B1053" t="s">
        <v>44</v>
      </c>
      <c r="C1053" t="s">
        <v>45</v>
      </c>
      <c r="D1053">
        <v>383</v>
      </c>
      <c r="E1053" t="s">
        <v>38</v>
      </c>
      <c r="G1053">
        <v>1</v>
      </c>
      <c r="H1053">
        <v>5</v>
      </c>
      <c r="I1053" t="s">
        <v>60</v>
      </c>
      <c r="J1053" t="str">
        <f>WA_Fn_UseC__HR_Employee_Attrition[[#This Row],[EducationField]]&amp;"-"&amp;WA_Fn_UseC__HR_Employee_Attrition[[#This Row],[Department]]</f>
        <v>Marketing-Sales</v>
      </c>
      <c r="K1053">
        <v>1</v>
      </c>
      <c r="L1053">
        <v>1481</v>
      </c>
      <c r="M1053">
        <v>1</v>
      </c>
      <c r="N1053" t="s">
        <v>40</v>
      </c>
      <c r="O1053">
        <v>79</v>
      </c>
      <c r="P1053">
        <v>3</v>
      </c>
      <c r="Q1053">
        <v>2</v>
      </c>
      <c r="R1053" t="s">
        <v>41</v>
      </c>
      <c r="S1053">
        <v>3</v>
      </c>
      <c r="T1053" t="s">
        <v>49</v>
      </c>
      <c r="U1053">
        <v>4768</v>
      </c>
      <c r="V1053" t="str" cm="1">
        <f t="array" ref="V105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53">
        <v>9282</v>
      </c>
      <c r="X1053">
        <v>7</v>
      </c>
      <c r="Y1053" t="s">
        <v>43</v>
      </c>
      <c r="Z1053" t="s">
        <v>44</v>
      </c>
      <c r="AA1053">
        <v>12</v>
      </c>
      <c r="AB1053">
        <v>3</v>
      </c>
      <c r="AC1053">
        <v>3</v>
      </c>
      <c r="AD1053">
        <v>80</v>
      </c>
      <c r="AE1053">
        <v>1</v>
      </c>
      <c r="AF1053">
        <v>11</v>
      </c>
      <c r="AG1053">
        <v>4</v>
      </c>
      <c r="AH1053">
        <v>2</v>
      </c>
      <c r="AI1053">
        <v>1</v>
      </c>
      <c r="AJ1053">
        <v>0</v>
      </c>
      <c r="AK1053">
        <v>0</v>
      </c>
      <c r="AL1053" t="str" cm="1">
        <f t="array" ref="AL105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53">
        <v>0</v>
      </c>
    </row>
    <row r="1054" spans="1:39" x14ac:dyDescent="0.25">
      <c r="A1054">
        <v>30</v>
      </c>
      <c r="B1054" t="s">
        <v>44</v>
      </c>
      <c r="C1054" t="s">
        <v>56</v>
      </c>
      <c r="D1054">
        <v>990</v>
      </c>
      <c r="E1054" t="s">
        <v>46</v>
      </c>
      <c r="G1054">
        <v>7</v>
      </c>
      <c r="H1054">
        <v>3</v>
      </c>
      <c r="I1054" t="s">
        <v>61</v>
      </c>
      <c r="J1054" t="str">
        <f>WA_Fn_UseC__HR_Employee_Attrition[[#This Row],[EducationField]]&amp;"-"&amp;WA_Fn_UseC__HR_Employee_Attrition[[#This Row],[Department]]</f>
        <v>Technical Degree-Research &amp; Development</v>
      </c>
      <c r="K1054">
        <v>1</v>
      </c>
      <c r="L1054">
        <v>1482</v>
      </c>
      <c r="M1054">
        <v>3</v>
      </c>
      <c r="N1054" t="s">
        <v>47</v>
      </c>
      <c r="O1054">
        <v>64</v>
      </c>
      <c r="P1054">
        <v>3</v>
      </c>
      <c r="Q1054">
        <v>1</v>
      </c>
      <c r="R1054" t="s">
        <v>48</v>
      </c>
      <c r="S1054">
        <v>3</v>
      </c>
      <c r="T1054" t="s">
        <v>53</v>
      </c>
      <c r="U1054">
        <v>1274</v>
      </c>
      <c r="V1054" t="str" cm="1">
        <f t="array" ref="V105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54">
        <v>7152</v>
      </c>
      <c r="X1054">
        <v>1</v>
      </c>
      <c r="Y1054" t="s">
        <v>43</v>
      </c>
      <c r="Z1054" t="s">
        <v>44</v>
      </c>
      <c r="AA1054">
        <v>13</v>
      </c>
      <c r="AB1054">
        <v>3</v>
      </c>
      <c r="AC1054">
        <v>2</v>
      </c>
      <c r="AD1054">
        <v>80</v>
      </c>
      <c r="AE1054">
        <v>2</v>
      </c>
      <c r="AF1054">
        <v>1</v>
      </c>
      <c r="AG1054">
        <v>2</v>
      </c>
      <c r="AH1054">
        <v>2</v>
      </c>
      <c r="AI1054">
        <v>1</v>
      </c>
      <c r="AJ1054">
        <v>0</v>
      </c>
      <c r="AK1054">
        <v>0</v>
      </c>
      <c r="AL1054" t="str" cm="1">
        <f t="array" ref="AL105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54">
        <v>0</v>
      </c>
    </row>
    <row r="1055" spans="1:39" x14ac:dyDescent="0.25">
      <c r="A1055">
        <v>57</v>
      </c>
      <c r="B1055" t="s">
        <v>44</v>
      </c>
      <c r="C1055" t="s">
        <v>37</v>
      </c>
      <c r="D1055">
        <v>405</v>
      </c>
      <c r="E1055" t="s">
        <v>46</v>
      </c>
      <c r="G1055">
        <v>1</v>
      </c>
      <c r="H1055">
        <v>2</v>
      </c>
      <c r="I1055" t="s">
        <v>39</v>
      </c>
      <c r="J1055" t="str">
        <f>WA_Fn_UseC__HR_Employee_Attrition[[#This Row],[EducationField]]&amp;"-"&amp;WA_Fn_UseC__HR_Employee_Attrition[[#This Row],[Department]]</f>
        <v>Life Sciences-Research &amp; Development</v>
      </c>
      <c r="K1055">
        <v>1</v>
      </c>
      <c r="L1055">
        <v>1483</v>
      </c>
      <c r="M1055">
        <v>2</v>
      </c>
      <c r="N1055" t="s">
        <v>47</v>
      </c>
      <c r="O1055">
        <v>93</v>
      </c>
      <c r="P1055">
        <v>4</v>
      </c>
      <c r="Q1055">
        <v>2</v>
      </c>
      <c r="R1055" t="s">
        <v>48</v>
      </c>
      <c r="S1055">
        <v>3</v>
      </c>
      <c r="T1055" t="s">
        <v>49</v>
      </c>
      <c r="U1055">
        <v>4900</v>
      </c>
      <c r="V1055" t="str" cm="1">
        <f t="array" ref="V105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55">
        <v>2721</v>
      </c>
      <c r="X1055">
        <v>0</v>
      </c>
      <c r="Y1055" t="s">
        <v>43</v>
      </c>
      <c r="Z1055" t="s">
        <v>44</v>
      </c>
      <c r="AA1055">
        <v>24</v>
      </c>
      <c r="AB1055">
        <v>4</v>
      </c>
      <c r="AC1055">
        <v>1</v>
      </c>
      <c r="AD1055">
        <v>80</v>
      </c>
      <c r="AE1055">
        <v>1</v>
      </c>
      <c r="AF1055">
        <v>13</v>
      </c>
      <c r="AG1055">
        <v>2</v>
      </c>
      <c r="AH1055">
        <v>2</v>
      </c>
      <c r="AI1055">
        <v>12</v>
      </c>
      <c r="AJ1055">
        <v>9</v>
      </c>
      <c r="AK1055">
        <v>2</v>
      </c>
      <c r="AL1055" t="str" cm="1">
        <f t="array" ref="AL105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55">
        <v>8</v>
      </c>
    </row>
    <row r="1056" spans="1:39" x14ac:dyDescent="0.25">
      <c r="A1056">
        <v>49</v>
      </c>
      <c r="B1056" t="s">
        <v>44</v>
      </c>
      <c r="C1056" t="s">
        <v>37</v>
      </c>
      <c r="D1056">
        <v>1490</v>
      </c>
      <c r="E1056" t="s">
        <v>46</v>
      </c>
      <c r="G1056">
        <v>7</v>
      </c>
      <c r="H1056">
        <v>4</v>
      </c>
      <c r="I1056" t="s">
        <v>39</v>
      </c>
      <c r="J1056" t="str">
        <f>WA_Fn_UseC__HR_Employee_Attrition[[#This Row],[EducationField]]&amp;"-"&amp;WA_Fn_UseC__HR_Employee_Attrition[[#This Row],[Department]]</f>
        <v>Life Sciences-Research &amp; Development</v>
      </c>
      <c r="K1056">
        <v>1</v>
      </c>
      <c r="L1056">
        <v>1484</v>
      </c>
      <c r="M1056">
        <v>3</v>
      </c>
      <c r="N1056" t="s">
        <v>47</v>
      </c>
      <c r="O1056">
        <v>35</v>
      </c>
      <c r="P1056">
        <v>3</v>
      </c>
      <c r="Q1056">
        <v>3</v>
      </c>
      <c r="R1056" t="s">
        <v>55</v>
      </c>
      <c r="S1056">
        <v>2</v>
      </c>
      <c r="T1056" t="s">
        <v>53</v>
      </c>
      <c r="U1056">
        <v>10466</v>
      </c>
      <c r="V1056" t="str" cm="1">
        <f t="array" ref="V105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56">
        <v>20948</v>
      </c>
      <c r="X1056">
        <v>3</v>
      </c>
      <c r="Y1056" t="s">
        <v>43</v>
      </c>
      <c r="Z1056" t="s">
        <v>44</v>
      </c>
      <c r="AA1056">
        <v>14</v>
      </c>
      <c r="AB1056">
        <v>3</v>
      </c>
      <c r="AC1056">
        <v>2</v>
      </c>
      <c r="AD1056">
        <v>80</v>
      </c>
      <c r="AE1056">
        <v>2</v>
      </c>
      <c r="AF1056">
        <v>29</v>
      </c>
      <c r="AG1056">
        <v>3</v>
      </c>
      <c r="AH1056">
        <v>3</v>
      </c>
      <c r="AI1056">
        <v>8</v>
      </c>
      <c r="AJ1056">
        <v>7</v>
      </c>
      <c r="AK1056">
        <v>0</v>
      </c>
      <c r="AL1056" t="str" cm="1">
        <f t="array" ref="AL105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56">
        <v>7</v>
      </c>
    </row>
    <row r="1057" spans="1:39" x14ac:dyDescent="0.25">
      <c r="A1057">
        <v>34</v>
      </c>
      <c r="B1057" t="s">
        <v>44</v>
      </c>
      <c r="C1057" t="s">
        <v>45</v>
      </c>
      <c r="D1057">
        <v>829</v>
      </c>
      <c r="E1057" t="s">
        <v>46</v>
      </c>
      <c r="G1057">
        <v>15</v>
      </c>
      <c r="H1057">
        <v>3</v>
      </c>
      <c r="I1057" t="s">
        <v>52</v>
      </c>
      <c r="J1057" t="str">
        <f>WA_Fn_UseC__HR_Employee_Attrition[[#This Row],[EducationField]]&amp;"-"&amp;WA_Fn_UseC__HR_Employee_Attrition[[#This Row],[Department]]</f>
        <v>Medical-Research &amp; Development</v>
      </c>
      <c r="K1057">
        <v>1</v>
      </c>
      <c r="L1057">
        <v>1485</v>
      </c>
      <c r="M1057">
        <v>2</v>
      </c>
      <c r="N1057" t="s">
        <v>47</v>
      </c>
      <c r="O1057">
        <v>71</v>
      </c>
      <c r="P1057">
        <v>3</v>
      </c>
      <c r="Q1057">
        <v>4</v>
      </c>
      <c r="R1057" t="s">
        <v>59</v>
      </c>
      <c r="S1057">
        <v>1</v>
      </c>
      <c r="T1057" t="s">
        <v>53</v>
      </c>
      <c r="U1057">
        <v>17007</v>
      </c>
      <c r="V1057" t="str" cm="1">
        <f t="array" ref="V105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57">
        <v>11929</v>
      </c>
      <c r="X1057">
        <v>7</v>
      </c>
      <c r="Y1057" t="s">
        <v>43</v>
      </c>
      <c r="Z1057" t="s">
        <v>44</v>
      </c>
      <c r="AA1057">
        <v>14</v>
      </c>
      <c r="AB1057">
        <v>3</v>
      </c>
      <c r="AC1057">
        <v>4</v>
      </c>
      <c r="AD1057">
        <v>80</v>
      </c>
      <c r="AE1057">
        <v>2</v>
      </c>
      <c r="AF1057">
        <v>16</v>
      </c>
      <c r="AG1057">
        <v>3</v>
      </c>
      <c r="AH1057">
        <v>2</v>
      </c>
      <c r="AI1057">
        <v>14</v>
      </c>
      <c r="AJ1057">
        <v>8</v>
      </c>
      <c r="AK1057">
        <v>6</v>
      </c>
      <c r="AL1057" t="str" cm="1">
        <f t="array" ref="AL105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57">
        <v>9</v>
      </c>
    </row>
    <row r="1058" spans="1:39" x14ac:dyDescent="0.25">
      <c r="A1058">
        <v>28</v>
      </c>
      <c r="B1058" t="s">
        <v>36</v>
      </c>
      <c r="C1058" t="s">
        <v>45</v>
      </c>
      <c r="D1058">
        <v>1496</v>
      </c>
      <c r="E1058" t="s">
        <v>38</v>
      </c>
      <c r="G1058">
        <v>1</v>
      </c>
      <c r="H1058">
        <v>3</v>
      </c>
      <c r="I1058" t="s">
        <v>61</v>
      </c>
      <c r="J1058" t="str">
        <f>WA_Fn_UseC__HR_Employee_Attrition[[#This Row],[EducationField]]&amp;"-"&amp;WA_Fn_UseC__HR_Employee_Attrition[[#This Row],[Department]]</f>
        <v>Technical Degree-Sales</v>
      </c>
      <c r="K1058">
        <v>1</v>
      </c>
      <c r="L1058">
        <v>1486</v>
      </c>
      <c r="M1058">
        <v>1</v>
      </c>
      <c r="N1058" t="s">
        <v>47</v>
      </c>
      <c r="O1058">
        <v>92</v>
      </c>
      <c r="P1058">
        <v>3</v>
      </c>
      <c r="Q1058">
        <v>1</v>
      </c>
      <c r="R1058" t="s">
        <v>58</v>
      </c>
      <c r="S1058">
        <v>3</v>
      </c>
      <c r="T1058" t="s">
        <v>49</v>
      </c>
      <c r="U1058">
        <v>2909</v>
      </c>
      <c r="V1058" t="str" cm="1">
        <f t="array" ref="V105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58">
        <v>15747</v>
      </c>
      <c r="X1058">
        <v>3</v>
      </c>
      <c r="Y1058" t="s">
        <v>43</v>
      </c>
      <c r="Z1058" t="s">
        <v>44</v>
      </c>
      <c r="AA1058">
        <v>15</v>
      </c>
      <c r="AB1058">
        <v>3</v>
      </c>
      <c r="AC1058">
        <v>4</v>
      </c>
      <c r="AD1058">
        <v>80</v>
      </c>
      <c r="AE1058">
        <v>1</v>
      </c>
      <c r="AF1058">
        <v>5</v>
      </c>
      <c r="AG1058">
        <v>3</v>
      </c>
      <c r="AH1058">
        <v>4</v>
      </c>
      <c r="AI1058">
        <v>3</v>
      </c>
      <c r="AJ1058">
        <v>2</v>
      </c>
      <c r="AK1058">
        <v>1</v>
      </c>
      <c r="AL1058" t="str" cm="1">
        <f t="array" ref="AL105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58">
        <v>2</v>
      </c>
    </row>
    <row r="1059" spans="1:39" x14ac:dyDescent="0.25">
      <c r="A1059">
        <v>29</v>
      </c>
      <c r="B1059" t="s">
        <v>36</v>
      </c>
      <c r="C1059" t="s">
        <v>45</v>
      </c>
      <c r="D1059">
        <v>115</v>
      </c>
      <c r="E1059" t="s">
        <v>38</v>
      </c>
      <c r="G1059">
        <v>13</v>
      </c>
      <c r="H1059">
        <v>3</v>
      </c>
      <c r="I1059" t="s">
        <v>61</v>
      </c>
      <c r="J1059" t="str">
        <f>WA_Fn_UseC__HR_Employee_Attrition[[#This Row],[EducationField]]&amp;"-"&amp;WA_Fn_UseC__HR_Employee_Attrition[[#This Row],[Department]]</f>
        <v>Technical Degree-Sales</v>
      </c>
      <c r="K1059">
        <v>1</v>
      </c>
      <c r="L1059">
        <v>1487</v>
      </c>
      <c r="M1059">
        <v>1</v>
      </c>
      <c r="N1059" t="s">
        <v>40</v>
      </c>
      <c r="O1059">
        <v>51</v>
      </c>
      <c r="P1059">
        <v>3</v>
      </c>
      <c r="Q1059">
        <v>2</v>
      </c>
      <c r="R1059" t="s">
        <v>41</v>
      </c>
      <c r="S1059">
        <v>2</v>
      </c>
      <c r="T1059" t="s">
        <v>42</v>
      </c>
      <c r="U1059">
        <v>5765</v>
      </c>
      <c r="V1059" t="str" cm="1">
        <f t="array" ref="V105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59">
        <v>17485</v>
      </c>
      <c r="X1059">
        <v>5</v>
      </c>
      <c r="Y1059" t="s">
        <v>43</v>
      </c>
      <c r="Z1059" t="s">
        <v>44</v>
      </c>
      <c r="AA1059">
        <v>11</v>
      </c>
      <c r="AB1059">
        <v>3</v>
      </c>
      <c r="AC1059">
        <v>1</v>
      </c>
      <c r="AD1059">
        <v>80</v>
      </c>
      <c r="AE1059">
        <v>0</v>
      </c>
      <c r="AF1059">
        <v>7</v>
      </c>
      <c r="AG1059">
        <v>4</v>
      </c>
      <c r="AH1059">
        <v>1</v>
      </c>
      <c r="AI1059">
        <v>5</v>
      </c>
      <c r="AJ1059">
        <v>3</v>
      </c>
      <c r="AK1059">
        <v>0</v>
      </c>
      <c r="AL1059" t="str" cm="1">
        <f t="array" ref="AL105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59">
        <v>0</v>
      </c>
    </row>
    <row r="1060" spans="1:39" x14ac:dyDescent="0.25">
      <c r="A1060">
        <v>34</v>
      </c>
      <c r="B1060" t="s">
        <v>36</v>
      </c>
      <c r="C1060" t="s">
        <v>37</v>
      </c>
      <c r="D1060">
        <v>790</v>
      </c>
      <c r="E1060" t="s">
        <v>38</v>
      </c>
      <c r="G1060">
        <v>24</v>
      </c>
      <c r="H1060">
        <v>4</v>
      </c>
      <c r="I1060" t="s">
        <v>52</v>
      </c>
      <c r="J1060" t="str">
        <f>WA_Fn_UseC__HR_Employee_Attrition[[#This Row],[EducationField]]&amp;"-"&amp;WA_Fn_UseC__HR_Employee_Attrition[[#This Row],[Department]]</f>
        <v>Medical-Sales</v>
      </c>
      <c r="K1060">
        <v>1</v>
      </c>
      <c r="L1060">
        <v>1489</v>
      </c>
      <c r="M1060">
        <v>1</v>
      </c>
      <c r="N1060" t="s">
        <v>40</v>
      </c>
      <c r="O1060">
        <v>40</v>
      </c>
      <c r="P1060">
        <v>2</v>
      </c>
      <c r="Q1060">
        <v>2</v>
      </c>
      <c r="R1060" t="s">
        <v>41</v>
      </c>
      <c r="S1060">
        <v>2</v>
      </c>
      <c r="T1060" t="s">
        <v>42</v>
      </c>
      <c r="U1060">
        <v>4599</v>
      </c>
      <c r="V1060" t="str" cm="1">
        <f t="array" ref="V106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60">
        <v>7815</v>
      </c>
      <c r="X1060">
        <v>0</v>
      </c>
      <c r="Y1060" t="s">
        <v>43</v>
      </c>
      <c r="Z1060" t="s">
        <v>36</v>
      </c>
      <c r="AA1060">
        <v>23</v>
      </c>
      <c r="AB1060">
        <v>4</v>
      </c>
      <c r="AC1060">
        <v>3</v>
      </c>
      <c r="AD1060">
        <v>80</v>
      </c>
      <c r="AE1060">
        <v>0</v>
      </c>
      <c r="AF1060">
        <v>16</v>
      </c>
      <c r="AG1060">
        <v>2</v>
      </c>
      <c r="AH1060">
        <v>4</v>
      </c>
      <c r="AI1060">
        <v>15</v>
      </c>
      <c r="AJ1060">
        <v>9</v>
      </c>
      <c r="AK1060">
        <v>10</v>
      </c>
      <c r="AL1060" t="str" cm="1">
        <f t="array" ref="AL106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60">
        <v>10</v>
      </c>
    </row>
    <row r="1061" spans="1:39" x14ac:dyDescent="0.25">
      <c r="A1061">
        <v>35</v>
      </c>
      <c r="B1061" t="s">
        <v>44</v>
      </c>
      <c r="C1061" t="s">
        <v>37</v>
      </c>
      <c r="D1061">
        <v>660</v>
      </c>
      <c r="E1061" t="s">
        <v>38</v>
      </c>
      <c r="G1061">
        <v>7</v>
      </c>
      <c r="H1061">
        <v>1</v>
      </c>
      <c r="I1061" t="s">
        <v>39</v>
      </c>
      <c r="J1061" t="str">
        <f>WA_Fn_UseC__HR_Employee_Attrition[[#This Row],[EducationField]]&amp;"-"&amp;WA_Fn_UseC__HR_Employee_Attrition[[#This Row],[Department]]</f>
        <v>Life Sciences-Sales</v>
      </c>
      <c r="K1061">
        <v>1</v>
      </c>
      <c r="L1061">
        <v>1492</v>
      </c>
      <c r="M1061">
        <v>4</v>
      </c>
      <c r="N1061" t="s">
        <v>47</v>
      </c>
      <c r="O1061">
        <v>76</v>
      </c>
      <c r="P1061">
        <v>3</v>
      </c>
      <c r="Q1061">
        <v>1</v>
      </c>
      <c r="R1061" t="s">
        <v>58</v>
      </c>
      <c r="S1061">
        <v>3</v>
      </c>
      <c r="T1061" t="s">
        <v>49</v>
      </c>
      <c r="U1061">
        <v>2404</v>
      </c>
      <c r="V1061" t="str" cm="1">
        <f t="array" ref="V106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61">
        <v>16192</v>
      </c>
      <c r="X1061">
        <v>1</v>
      </c>
      <c r="Y1061" t="s">
        <v>43</v>
      </c>
      <c r="Z1061" t="s">
        <v>44</v>
      </c>
      <c r="AA1061">
        <v>13</v>
      </c>
      <c r="AB1061">
        <v>3</v>
      </c>
      <c r="AC1061">
        <v>1</v>
      </c>
      <c r="AD1061">
        <v>80</v>
      </c>
      <c r="AE1061">
        <v>1</v>
      </c>
      <c r="AF1061">
        <v>1</v>
      </c>
      <c r="AG1061">
        <v>3</v>
      </c>
      <c r="AH1061">
        <v>3</v>
      </c>
      <c r="AI1061">
        <v>1</v>
      </c>
      <c r="AJ1061">
        <v>0</v>
      </c>
      <c r="AK1061">
        <v>0</v>
      </c>
      <c r="AL1061" t="str" cm="1">
        <f t="array" ref="AL106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61">
        <v>0</v>
      </c>
    </row>
    <row r="1062" spans="1:39" x14ac:dyDescent="0.25">
      <c r="A1062">
        <v>24</v>
      </c>
      <c r="B1062" t="s">
        <v>36</v>
      </c>
      <c r="C1062" t="s">
        <v>45</v>
      </c>
      <c r="D1062">
        <v>381</v>
      </c>
      <c r="E1062" t="s">
        <v>46</v>
      </c>
      <c r="G1062">
        <v>9</v>
      </c>
      <c r="H1062">
        <v>3</v>
      </c>
      <c r="I1062" t="s">
        <v>52</v>
      </c>
      <c r="J1062" t="str">
        <f>WA_Fn_UseC__HR_Employee_Attrition[[#This Row],[EducationField]]&amp;"-"&amp;WA_Fn_UseC__HR_Employee_Attrition[[#This Row],[Department]]</f>
        <v>Medical-Research &amp; Development</v>
      </c>
      <c r="K1062">
        <v>1</v>
      </c>
      <c r="L1062">
        <v>1494</v>
      </c>
      <c r="M1062">
        <v>2</v>
      </c>
      <c r="N1062" t="s">
        <v>47</v>
      </c>
      <c r="O1062">
        <v>89</v>
      </c>
      <c r="P1062">
        <v>3</v>
      </c>
      <c r="Q1062">
        <v>1</v>
      </c>
      <c r="R1062" t="s">
        <v>51</v>
      </c>
      <c r="S1062">
        <v>1</v>
      </c>
      <c r="T1062" t="s">
        <v>42</v>
      </c>
      <c r="U1062">
        <v>3172</v>
      </c>
      <c r="V1062" t="str" cm="1">
        <f t="array" ref="V106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62">
        <v>16998</v>
      </c>
      <c r="X1062">
        <v>2</v>
      </c>
      <c r="Y1062" t="s">
        <v>43</v>
      </c>
      <c r="Z1062" t="s">
        <v>36</v>
      </c>
      <c r="AA1062">
        <v>11</v>
      </c>
      <c r="AB1062">
        <v>3</v>
      </c>
      <c r="AC1062">
        <v>3</v>
      </c>
      <c r="AD1062">
        <v>80</v>
      </c>
      <c r="AE1062">
        <v>0</v>
      </c>
      <c r="AF1062">
        <v>4</v>
      </c>
      <c r="AG1062">
        <v>2</v>
      </c>
      <c r="AH1062">
        <v>2</v>
      </c>
      <c r="AI1062">
        <v>0</v>
      </c>
      <c r="AJ1062">
        <v>0</v>
      </c>
      <c r="AK1062">
        <v>0</v>
      </c>
      <c r="AL1062" t="str" cm="1">
        <f t="array" ref="AL106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62">
        <v>0</v>
      </c>
    </row>
    <row r="1063" spans="1:39" x14ac:dyDescent="0.25">
      <c r="A1063">
        <v>24</v>
      </c>
      <c r="B1063" t="s">
        <v>44</v>
      </c>
      <c r="C1063" t="s">
        <v>56</v>
      </c>
      <c r="D1063">
        <v>830</v>
      </c>
      <c r="E1063" t="s">
        <v>38</v>
      </c>
      <c r="G1063">
        <v>13</v>
      </c>
      <c r="H1063">
        <v>2</v>
      </c>
      <c r="I1063" t="s">
        <v>39</v>
      </c>
      <c r="J1063" t="str">
        <f>WA_Fn_UseC__HR_Employee_Attrition[[#This Row],[EducationField]]&amp;"-"&amp;WA_Fn_UseC__HR_Employee_Attrition[[#This Row],[Department]]</f>
        <v>Life Sciences-Sales</v>
      </c>
      <c r="K1063">
        <v>1</v>
      </c>
      <c r="L1063">
        <v>1495</v>
      </c>
      <c r="M1063">
        <v>4</v>
      </c>
      <c r="N1063" t="s">
        <v>40</v>
      </c>
      <c r="O1063">
        <v>78</v>
      </c>
      <c r="P1063">
        <v>3</v>
      </c>
      <c r="Q1063">
        <v>1</v>
      </c>
      <c r="R1063" t="s">
        <v>58</v>
      </c>
      <c r="S1063">
        <v>2</v>
      </c>
      <c r="T1063" t="s">
        <v>49</v>
      </c>
      <c r="U1063">
        <v>2033</v>
      </c>
      <c r="V1063" t="str" cm="1">
        <f t="array" ref="V106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63">
        <v>7103</v>
      </c>
      <c r="X1063">
        <v>1</v>
      </c>
      <c r="Y1063" t="s">
        <v>43</v>
      </c>
      <c r="Z1063" t="s">
        <v>44</v>
      </c>
      <c r="AA1063">
        <v>13</v>
      </c>
      <c r="AB1063">
        <v>3</v>
      </c>
      <c r="AC1063">
        <v>3</v>
      </c>
      <c r="AD1063">
        <v>80</v>
      </c>
      <c r="AE1063">
        <v>1</v>
      </c>
      <c r="AF1063">
        <v>1</v>
      </c>
      <c r="AG1063">
        <v>2</v>
      </c>
      <c r="AH1063">
        <v>3</v>
      </c>
      <c r="AI1063">
        <v>1</v>
      </c>
      <c r="AJ1063">
        <v>0</v>
      </c>
      <c r="AK1063">
        <v>0</v>
      </c>
      <c r="AL1063" t="str" cm="1">
        <f t="array" ref="AL106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63">
        <v>0</v>
      </c>
    </row>
    <row r="1064" spans="1:39" x14ac:dyDescent="0.25">
      <c r="A1064">
        <v>44</v>
      </c>
      <c r="B1064" t="s">
        <v>44</v>
      </c>
      <c r="C1064" t="s">
        <v>45</v>
      </c>
      <c r="D1064">
        <v>1193</v>
      </c>
      <c r="E1064" t="s">
        <v>46</v>
      </c>
      <c r="G1064">
        <v>2</v>
      </c>
      <c r="H1064">
        <v>1</v>
      </c>
      <c r="I1064" t="s">
        <v>52</v>
      </c>
      <c r="J1064" t="str">
        <f>WA_Fn_UseC__HR_Employee_Attrition[[#This Row],[EducationField]]&amp;"-"&amp;WA_Fn_UseC__HR_Employee_Attrition[[#This Row],[Department]]</f>
        <v>Medical-Research &amp; Development</v>
      </c>
      <c r="K1064">
        <v>1</v>
      </c>
      <c r="L1064">
        <v>1496</v>
      </c>
      <c r="M1064">
        <v>2</v>
      </c>
      <c r="N1064" t="s">
        <v>47</v>
      </c>
      <c r="O1064">
        <v>86</v>
      </c>
      <c r="P1064">
        <v>3</v>
      </c>
      <c r="Q1064">
        <v>3</v>
      </c>
      <c r="R1064" t="s">
        <v>54</v>
      </c>
      <c r="S1064">
        <v>3</v>
      </c>
      <c r="T1064" t="s">
        <v>42</v>
      </c>
      <c r="U1064">
        <v>10209</v>
      </c>
      <c r="V1064" t="str" cm="1">
        <f t="array" ref="V106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64">
        <v>19719</v>
      </c>
      <c r="X1064">
        <v>5</v>
      </c>
      <c r="Y1064" t="s">
        <v>43</v>
      </c>
      <c r="Z1064" t="s">
        <v>36</v>
      </c>
      <c r="AA1064">
        <v>18</v>
      </c>
      <c r="AB1064">
        <v>3</v>
      </c>
      <c r="AC1064">
        <v>2</v>
      </c>
      <c r="AD1064">
        <v>80</v>
      </c>
      <c r="AE1064">
        <v>0</v>
      </c>
      <c r="AF1064">
        <v>16</v>
      </c>
      <c r="AG1064">
        <v>2</v>
      </c>
      <c r="AH1064">
        <v>2</v>
      </c>
      <c r="AI1064">
        <v>2</v>
      </c>
      <c r="AJ1064">
        <v>2</v>
      </c>
      <c r="AK1064">
        <v>2</v>
      </c>
      <c r="AL1064" t="str" cm="1">
        <f t="array" ref="AL106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64">
        <v>2</v>
      </c>
    </row>
    <row r="1065" spans="1:39" x14ac:dyDescent="0.25">
      <c r="A1065">
        <v>29</v>
      </c>
      <c r="B1065" t="s">
        <v>44</v>
      </c>
      <c r="C1065" t="s">
        <v>37</v>
      </c>
      <c r="D1065">
        <v>1246</v>
      </c>
      <c r="E1065" t="s">
        <v>38</v>
      </c>
      <c r="G1065">
        <v>19</v>
      </c>
      <c r="H1065">
        <v>3</v>
      </c>
      <c r="I1065" t="s">
        <v>39</v>
      </c>
      <c r="J1065" t="str">
        <f>WA_Fn_UseC__HR_Employee_Attrition[[#This Row],[EducationField]]&amp;"-"&amp;WA_Fn_UseC__HR_Employee_Attrition[[#This Row],[Department]]</f>
        <v>Life Sciences-Sales</v>
      </c>
      <c r="K1065">
        <v>1</v>
      </c>
      <c r="L1065">
        <v>1497</v>
      </c>
      <c r="M1065">
        <v>3</v>
      </c>
      <c r="N1065" t="s">
        <v>47</v>
      </c>
      <c r="O1065">
        <v>77</v>
      </c>
      <c r="P1065">
        <v>2</v>
      </c>
      <c r="Q1065">
        <v>2</v>
      </c>
      <c r="R1065" t="s">
        <v>41</v>
      </c>
      <c r="S1065">
        <v>3</v>
      </c>
      <c r="T1065" t="s">
        <v>53</v>
      </c>
      <c r="U1065">
        <v>8620</v>
      </c>
      <c r="V1065" t="str" cm="1">
        <f t="array" ref="V106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65">
        <v>23757</v>
      </c>
      <c r="X1065">
        <v>1</v>
      </c>
      <c r="Y1065" t="s">
        <v>43</v>
      </c>
      <c r="Z1065" t="s">
        <v>44</v>
      </c>
      <c r="AA1065">
        <v>14</v>
      </c>
      <c r="AB1065">
        <v>3</v>
      </c>
      <c r="AC1065">
        <v>3</v>
      </c>
      <c r="AD1065">
        <v>80</v>
      </c>
      <c r="AE1065">
        <v>2</v>
      </c>
      <c r="AF1065">
        <v>10</v>
      </c>
      <c r="AG1065">
        <v>3</v>
      </c>
      <c r="AH1065">
        <v>3</v>
      </c>
      <c r="AI1065">
        <v>10</v>
      </c>
      <c r="AJ1065">
        <v>7</v>
      </c>
      <c r="AK1065">
        <v>0</v>
      </c>
      <c r="AL1065" t="str" cm="1">
        <f t="array" ref="AL106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65">
        <v>4</v>
      </c>
    </row>
    <row r="1066" spans="1:39" x14ac:dyDescent="0.25">
      <c r="A1066">
        <v>30</v>
      </c>
      <c r="B1066" t="s">
        <v>44</v>
      </c>
      <c r="C1066" t="s">
        <v>37</v>
      </c>
      <c r="D1066">
        <v>330</v>
      </c>
      <c r="E1066" t="s">
        <v>62</v>
      </c>
      <c r="G1066">
        <v>1</v>
      </c>
      <c r="H1066">
        <v>3</v>
      </c>
      <c r="I1066" t="s">
        <v>39</v>
      </c>
      <c r="J1066" t="str">
        <f>WA_Fn_UseC__HR_Employee_Attrition[[#This Row],[EducationField]]&amp;"-"&amp;WA_Fn_UseC__HR_Employee_Attrition[[#This Row],[Department]]</f>
        <v>Life Sciences-Human Resources</v>
      </c>
      <c r="K1066">
        <v>1</v>
      </c>
      <c r="L1066">
        <v>1499</v>
      </c>
      <c r="M1066">
        <v>3</v>
      </c>
      <c r="N1066" t="s">
        <v>47</v>
      </c>
      <c r="O1066">
        <v>46</v>
      </c>
      <c r="P1066">
        <v>3</v>
      </c>
      <c r="Q1066">
        <v>1</v>
      </c>
      <c r="R1066" t="s">
        <v>62</v>
      </c>
      <c r="S1066">
        <v>3</v>
      </c>
      <c r="T1066" t="s">
        <v>53</v>
      </c>
      <c r="U1066">
        <v>2064</v>
      </c>
      <c r="V1066" t="str" cm="1">
        <f t="array" ref="V106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66">
        <v>15428</v>
      </c>
      <c r="X1066">
        <v>0</v>
      </c>
      <c r="Y1066" t="s">
        <v>43</v>
      </c>
      <c r="Z1066" t="s">
        <v>44</v>
      </c>
      <c r="AA1066">
        <v>21</v>
      </c>
      <c r="AB1066">
        <v>4</v>
      </c>
      <c r="AC1066">
        <v>1</v>
      </c>
      <c r="AD1066">
        <v>80</v>
      </c>
      <c r="AE1066">
        <v>1</v>
      </c>
      <c r="AF1066">
        <v>6</v>
      </c>
      <c r="AG1066">
        <v>3</v>
      </c>
      <c r="AH1066">
        <v>4</v>
      </c>
      <c r="AI1066">
        <v>5</v>
      </c>
      <c r="AJ1066">
        <v>3</v>
      </c>
      <c r="AK1066">
        <v>1</v>
      </c>
      <c r="AL1066" t="str" cm="1">
        <f t="array" ref="AL106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66">
        <v>3</v>
      </c>
    </row>
    <row r="1067" spans="1:39" x14ac:dyDescent="0.25">
      <c r="A1067">
        <v>55</v>
      </c>
      <c r="B1067" t="s">
        <v>44</v>
      </c>
      <c r="C1067" t="s">
        <v>37</v>
      </c>
      <c r="D1067">
        <v>1229</v>
      </c>
      <c r="E1067" t="s">
        <v>46</v>
      </c>
      <c r="G1067">
        <v>4</v>
      </c>
      <c r="H1067">
        <v>4</v>
      </c>
      <c r="I1067" t="s">
        <v>39</v>
      </c>
      <c r="J1067" t="str">
        <f>WA_Fn_UseC__HR_Employee_Attrition[[#This Row],[EducationField]]&amp;"-"&amp;WA_Fn_UseC__HR_Employee_Attrition[[#This Row],[Department]]</f>
        <v>Life Sciences-Research &amp; Development</v>
      </c>
      <c r="K1067">
        <v>1</v>
      </c>
      <c r="L1067">
        <v>1501</v>
      </c>
      <c r="M1067">
        <v>4</v>
      </c>
      <c r="N1067" t="s">
        <v>47</v>
      </c>
      <c r="O1067">
        <v>30</v>
      </c>
      <c r="P1067">
        <v>3</v>
      </c>
      <c r="Q1067">
        <v>2</v>
      </c>
      <c r="R1067" t="s">
        <v>55</v>
      </c>
      <c r="S1067">
        <v>3</v>
      </c>
      <c r="T1067" t="s">
        <v>49</v>
      </c>
      <c r="U1067">
        <v>4035</v>
      </c>
      <c r="V1067" t="str" cm="1">
        <f t="array" ref="V106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67">
        <v>16143</v>
      </c>
      <c r="X1067">
        <v>0</v>
      </c>
      <c r="Y1067" t="s">
        <v>43</v>
      </c>
      <c r="Z1067" t="s">
        <v>36</v>
      </c>
      <c r="AA1067">
        <v>16</v>
      </c>
      <c r="AB1067">
        <v>3</v>
      </c>
      <c r="AC1067">
        <v>2</v>
      </c>
      <c r="AD1067">
        <v>80</v>
      </c>
      <c r="AE1067">
        <v>0</v>
      </c>
      <c r="AF1067">
        <v>4</v>
      </c>
      <c r="AG1067">
        <v>2</v>
      </c>
      <c r="AH1067">
        <v>3</v>
      </c>
      <c r="AI1067">
        <v>3</v>
      </c>
      <c r="AJ1067">
        <v>2</v>
      </c>
      <c r="AK1067">
        <v>1</v>
      </c>
      <c r="AL1067" t="str" cm="1">
        <f t="array" ref="AL106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67">
        <v>2</v>
      </c>
    </row>
    <row r="1068" spans="1:39" x14ac:dyDescent="0.25">
      <c r="A1068">
        <v>33</v>
      </c>
      <c r="B1068" t="s">
        <v>44</v>
      </c>
      <c r="C1068" t="s">
        <v>37</v>
      </c>
      <c r="D1068">
        <v>1099</v>
      </c>
      <c r="E1068" t="s">
        <v>46</v>
      </c>
      <c r="G1068">
        <v>4</v>
      </c>
      <c r="H1068">
        <v>4</v>
      </c>
      <c r="I1068" t="s">
        <v>52</v>
      </c>
      <c r="J1068" t="str">
        <f>WA_Fn_UseC__HR_Employee_Attrition[[#This Row],[EducationField]]&amp;"-"&amp;WA_Fn_UseC__HR_Employee_Attrition[[#This Row],[Department]]</f>
        <v>Medical-Research &amp; Development</v>
      </c>
      <c r="K1068">
        <v>1</v>
      </c>
      <c r="L1068">
        <v>1502</v>
      </c>
      <c r="M1068">
        <v>1</v>
      </c>
      <c r="N1068" t="s">
        <v>40</v>
      </c>
      <c r="O1068">
        <v>82</v>
      </c>
      <c r="P1068">
        <v>2</v>
      </c>
      <c r="Q1068">
        <v>1</v>
      </c>
      <c r="R1068" t="s">
        <v>51</v>
      </c>
      <c r="S1068">
        <v>2</v>
      </c>
      <c r="T1068" t="s">
        <v>49</v>
      </c>
      <c r="U1068">
        <v>3838</v>
      </c>
      <c r="V1068" t="str" cm="1">
        <f t="array" ref="V106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68">
        <v>8192</v>
      </c>
      <c r="X1068">
        <v>8</v>
      </c>
      <c r="Y1068" t="s">
        <v>43</v>
      </c>
      <c r="Z1068" t="s">
        <v>44</v>
      </c>
      <c r="AA1068">
        <v>11</v>
      </c>
      <c r="AB1068">
        <v>3</v>
      </c>
      <c r="AC1068">
        <v>4</v>
      </c>
      <c r="AD1068">
        <v>80</v>
      </c>
      <c r="AE1068">
        <v>0</v>
      </c>
      <c r="AF1068">
        <v>8</v>
      </c>
      <c r="AG1068">
        <v>5</v>
      </c>
      <c r="AH1068">
        <v>3</v>
      </c>
      <c r="AI1068">
        <v>5</v>
      </c>
      <c r="AJ1068">
        <v>4</v>
      </c>
      <c r="AK1068">
        <v>0</v>
      </c>
      <c r="AL1068" t="str" cm="1">
        <f t="array" ref="AL106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68">
        <v>2</v>
      </c>
    </row>
    <row r="1069" spans="1:39" x14ac:dyDescent="0.25">
      <c r="A1069">
        <v>47</v>
      </c>
      <c r="B1069" t="s">
        <v>44</v>
      </c>
      <c r="C1069" t="s">
        <v>37</v>
      </c>
      <c r="D1069">
        <v>571</v>
      </c>
      <c r="E1069" t="s">
        <v>38</v>
      </c>
      <c r="G1069">
        <v>14</v>
      </c>
      <c r="H1069">
        <v>3</v>
      </c>
      <c r="I1069" t="s">
        <v>52</v>
      </c>
      <c r="J1069" t="str">
        <f>WA_Fn_UseC__HR_Employee_Attrition[[#This Row],[EducationField]]&amp;"-"&amp;WA_Fn_UseC__HR_Employee_Attrition[[#This Row],[Department]]</f>
        <v>Medical-Sales</v>
      </c>
      <c r="K1069">
        <v>1</v>
      </c>
      <c r="L1069">
        <v>1503</v>
      </c>
      <c r="M1069">
        <v>3</v>
      </c>
      <c r="N1069" t="s">
        <v>40</v>
      </c>
      <c r="O1069">
        <v>78</v>
      </c>
      <c r="P1069">
        <v>3</v>
      </c>
      <c r="Q1069">
        <v>2</v>
      </c>
      <c r="R1069" t="s">
        <v>41</v>
      </c>
      <c r="S1069">
        <v>3</v>
      </c>
      <c r="T1069" t="s">
        <v>49</v>
      </c>
      <c r="U1069">
        <v>4591</v>
      </c>
      <c r="V1069" t="str" cm="1">
        <f t="array" ref="V106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69">
        <v>24200</v>
      </c>
      <c r="X1069">
        <v>3</v>
      </c>
      <c r="Y1069" t="s">
        <v>43</v>
      </c>
      <c r="Z1069" t="s">
        <v>36</v>
      </c>
      <c r="AA1069">
        <v>17</v>
      </c>
      <c r="AB1069">
        <v>3</v>
      </c>
      <c r="AC1069">
        <v>3</v>
      </c>
      <c r="AD1069">
        <v>80</v>
      </c>
      <c r="AE1069">
        <v>1</v>
      </c>
      <c r="AF1069">
        <v>11</v>
      </c>
      <c r="AG1069">
        <v>4</v>
      </c>
      <c r="AH1069">
        <v>2</v>
      </c>
      <c r="AI1069">
        <v>5</v>
      </c>
      <c r="AJ1069">
        <v>4</v>
      </c>
      <c r="AK1069">
        <v>1</v>
      </c>
      <c r="AL1069" t="str" cm="1">
        <f t="array" ref="AL106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69">
        <v>2</v>
      </c>
    </row>
    <row r="1070" spans="1:39" x14ac:dyDescent="0.25">
      <c r="A1070">
        <v>28</v>
      </c>
      <c r="B1070" t="s">
        <v>36</v>
      </c>
      <c r="C1070" t="s">
        <v>45</v>
      </c>
      <c r="D1070">
        <v>289</v>
      </c>
      <c r="E1070" t="s">
        <v>46</v>
      </c>
      <c r="G1070">
        <v>2</v>
      </c>
      <c r="H1070">
        <v>2</v>
      </c>
      <c r="I1070" t="s">
        <v>52</v>
      </c>
      <c r="J1070" t="str">
        <f>WA_Fn_UseC__HR_Employee_Attrition[[#This Row],[EducationField]]&amp;"-"&amp;WA_Fn_UseC__HR_Employee_Attrition[[#This Row],[Department]]</f>
        <v>Medical-Research &amp; Development</v>
      </c>
      <c r="K1070">
        <v>1</v>
      </c>
      <c r="L1070">
        <v>1504</v>
      </c>
      <c r="M1070">
        <v>3</v>
      </c>
      <c r="N1070" t="s">
        <v>47</v>
      </c>
      <c r="O1070">
        <v>38</v>
      </c>
      <c r="P1070">
        <v>2</v>
      </c>
      <c r="Q1070">
        <v>1</v>
      </c>
      <c r="R1070" t="s">
        <v>51</v>
      </c>
      <c r="S1070">
        <v>1</v>
      </c>
      <c r="T1070" t="s">
        <v>42</v>
      </c>
      <c r="U1070">
        <v>2561</v>
      </c>
      <c r="V1070" t="str" cm="1">
        <f t="array" ref="V107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70">
        <v>5355</v>
      </c>
      <c r="X1070">
        <v>7</v>
      </c>
      <c r="Y1070" t="s">
        <v>43</v>
      </c>
      <c r="Z1070" t="s">
        <v>44</v>
      </c>
      <c r="AA1070">
        <v>11</v>
      </c>
      <c r="AB1070">
        <v>3</v>
      </c>
      <c r="AC1070">
        <v>3</v>
      </c>
      <c r="AD1070">
        <v>80</v>
      </c>
      <c r="AE1070">
        <v>0</v>
      </c>
      <c r="AF1070">
        <v>8</v>
      </c>
      <c r="AG1070">
        <v>2</v>
      </c>
      <c r="AH1070">
        <v>2</v>
      </c>
      <c r="AI1070">
        <v>0</v>
      </c>
      <c r="AJ1070">
        <v>0</v>
      </c>
      <c r="AK1070">
        <v>0</v>
      </c>
      <c r="AL1070" t="str" cm="1">
        <f t="array" ref="AL107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70">
        <v>0</v>
      </c>
    </row>
    <row r="1071" spans="1:39" x14ac:dyDescent="0.25">
      <c r="A1071">
        <v>28</v>
      </c>
      <c r="B1071" t="s">
        <v>44</v>
      </c>
      <c r="C1071" t="s">
        <v>37</v>
      </c>
      <c r="D1071">
        <v>1423</v>
      </c>
      <c r="E1071" t="s">
        <v>46</v>
      </c>
      <c r="G1071">
        <v>1</v>
      </c>
      <c r="H1071">
        <v>3</v>
      </c>
      <c r="I1071" t="s">
        <v>39</v>
      </c>
      <c r="J1071" t="str">
        <f>WA_Fn_UseC__HR_Employee_Attrition[[#This Row],[EducationField]]&amp;"-"&amp;WA_Fn_UseC__HR_Employee_Attrition[[#This Row],[Department]]</f>
        <v>Life Sciences-Research &amp; Development</v>
      </c>
      <c r="K1071">
        <v>1</v>
      </c>
      <c r="L1071">
        <v>1506</v>
      </c>
      <c r="M1071">
        <v>1</v>
      </c>
      <c r="N1071" t="s">
        <v>47</v>
      </c>
      <c r="O1071">
        <v>72</v>
      </c>
      <c r="P1071">
        <v>2</v>
      </c>
      <c r="Q1071">
        <v>1</v>
      </c>
      <c r="R1071" t="s">
        <v>48</v>
      </c>
      <c r="S1071">
        <v>3</v>
      </c>
      <c r="T1071" t="s">
        <v>53</v>
      </c>
      <c r="U1071">
        <v>1563</v>
      </c>
      <c r="V1071" t="str" cm="1">
        <f t="array" ref="V107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71">
        <v>12530</v>
      </c>
      <c r="X1071">
        <v>1</v>
      </c>
      <c r="Y1071" t="s">
        <v>43</v>
      </c>
      <c r="Z1071" t="s">
        <v>44</v>
      </c>
      <c r="AA1071">
        <v>14</v>
      </c>
      <c r="AB1071">
        <v>3</v>
      </c>
      <c r="AC1071">
        <v>4</v>
      </c>
      <c r="AD1071">
        <v>80</v>
      </c>
      <c r="AE1071">
        <v>1</v>
      </c>
      <c r="AF1071">
        <v>1</v>
      </c>
      <c r="AG1071">
        <v>2</v>
      </c>
      <c r="AH1071">
        <v>1</v>
      </c>
      <c r="AI1071">
        <v>1</v>
      </c>
      <c r="AJ1071">
        <v>0</v>
      </c>
      <c r="AK1071">
        <v>0</v>
      </c>
      <c r="AL1071" t="str" cm="1">
        <f t="array" ref="AL107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71">
        <v>0</v>
      </c>
    </row>
    <row r="1072" spans="1:39" x14ac:dyDescent="0.25">
      <c r="A1072">
        <v>28</v>
      </c>
      <c r="B1072" t="s">
        <v>44</v>
      </c>
      <c r="C1072" t="s">
        <v>45</v>
      </c>
      <c r="D1072">
        <v>467</v>
      </c>
      <c r="E1072" t="s">
        <v>38</v>
      </c>
      <c r="G1072">
        <v>7</v>
      </c>
      <c r="H1072">
        <v>3</v>
      </c>
      <c r="I1072" t="s">
        <v>39</v>
      </c>
      <c r="J1072" t="str">
        <f>WA_Fn_UseC__HR_Employee_Attrition[[#This Row],[EducationField]]&amp;"-"&amp;WA_Fn_UseC__HR_Employee_Attrition[[#This Row],[Department]]</f>
        <v>Life Sciences-Sales</v>
      </c>
      <c r="K1072">
        <v>1</v>
      </c>
      <c r="L1072">
        <v>1507</v>
      </c>
      <c r="M1072">
        <v>3</v>
      </c>
      <c r="N1072" t="s">
        <v>47</v>
      </c>
      <c r="O1072">
        <v>55</v>
      </c>
      <c r="P1072">
        <v>3</v>
      </c>
      <c r="Q1072">
        <v>2</v>
      </c>
      <c r="R1072" t="s">
        <v>41</v>
      </c>
      <c r="S1072">
        <v>1</v>
      </c>
      <c r="T1072" t="s">
        <v>42</v>
      </c>
      <c r="U1072">
        <v>4898</v>
      </c>
      <c r="V1072" t="str" cm="1">
        <f t="array" ref="V107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72">
        <v>11827</v>
      </c>
      <c r="X1072">
        <v>0</v>
      </c>
      <c r="Y1072" t="s">
        <v>43</v>
      </c>
      <c r="Z1072" t="s">
        <v>44</v>
      </c>
      <c r="AA1072">
        <v>14</v>
      </c>
      <c r="AB1072">
        <v>3</v>
      </c>
      <c r="AC1072">
        <v>4</v>
      </c>
      <c r="AD1072">
        <v>80</v>
      </c>
      <c r="AE1072">
        <v>0</v>
      </c>
      <c r="AF1072">
        <v>5</v>
      </c>
      <c r="AG1072">
        <v>5</v>
      </c>
      <c r="AH1072">
        <v>3</v>
      </c>
      <c r="AI1072">
        <v>4</v>
      </c>
      <c r="AJ1072">
        <v>2</v>
      </c>
      <c r="AK1072">
        <v>1</v>
      </c>
      <c r="AL1072" t="str" cm="1">
        <f t="array" ref="AL107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72">
        <v>3</v>
      </c>
    </row>
    <row r="1073" spans="1:39" x14ac:dyDescent="0.25">
      <c r="A1073">
        <v>49</v>
      </c>
      <c r="B1073" t="s">
        <v>44</v>
      </c>
      <c r="C1073" t="s">
        <v>37</v>
      </c>
      <c r="D1073">
        <v>271</v>
      </c>
      <c r="E1073" t="s">
        <v>46</v>
      </c>
      <c r="G1073">
        <v>3</v>
      </c>
      <c r="H1073">
        <v>2</v>
      </c>
      <c r="I1073" t="s">
        <v>52</v>
      </c>
      <c r="J1073" t="str">
        <f>WA_Fn_UseC__HR_Employee_Attrition[[#This Row],[EducationField]]&amp;"-"&amp;WA_Fn_UseC__HR_Employee_Attrition[[#This Row],[Department]]</f>
        <v>Medical-Research &amp; Development</v>
      </c>
      <c r="K1073">
        <v>1</v>
      </c>
      <c r="L1073">
        <v>1509</v>
      </c>
      <c r="M1073">
        <v>3</v>
      </c>
      <c r="N1073" t="s">
        <v>40</v>
      </c>
      <c r="O1073">
        <v>43</v>
      </c>
      <c r="P1073">
        <v>2</v>
      </c>
      <c r="Q1073">
        <v>2</v>
      </c>
      <c r="R1073" t="s">
        <v>51</v>
      </c>
      <c r="S1073">
        <v>1</v>
      </c>
      <c r="T1073" t="s">
        <v>49</v>
      </c>
      <c r="U1073">
        <v>4789</v>
      </c>
      <c r="V1073" t="str" cm="1">
        <f t="array" ref="V107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73">
        <v>23070</v>
      </c>
      <c r="X1073">
        <v>4</v>
      </c>
      <c r="Y1073" t="s">
        <v>43</v>
      </c>
      <c r="Z1073" t="s">
        <v>44</v>
      </c>
      <c r="AA1073">
        <v>25</v>
      </c>
      <c r="AB1073">
        <v>4</v>
      </c>
      <c r="AC1073">
        <v>1</v>
      </c>
      <c r="AD1073">
        <v>80</v>
      </c>
      <c r="AE1073">
        <v>1</v>
      </c>
      <c r="AF1073">
        <v>10</v>
      </c>
      <c r="AG1073">
        <v>3</v>
      </c>
      <c r="AH1073">
        <v>3</v>
      </c>
      <c r="AI1073">
        <v>3</v>
      </c>
      <c r="AJ1073">
        <v>2</v>
      </c>
      <c r="AK1073">
        <v>1</v>
      </c>
      <c r="AL1073" t="str" cm="1">
        <f t="array" ref="AL107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73">
        <v>2</v>
      </c>
    </row>
    <row r="1074" spans="1:39" x14ac:dyDescent="0.25">
      <c r="A1074">
        <v>29</v>
      </c>
      <c r="B1074" t="s">
        <v>44</v>
      </c>
      <c r="C1074" t="s">
        <v>45</v>
      </c>
      <c r="D1074">
        <v>410</v>
      </c>
      <c r="E1074" t="s">
        <v>46</v>
      </c>
      <c r="G1074">
        <v>2</v>
      </c>
      <c r="H1074">
        <v>1</v>
      </c>
      <c r="I1074" t="s">
        <v>39</v>
      </c>
      <c r="J1074" t="str">
        <f>WA_Fn_UseC__HR_Employee_Attrition[[#This Row],[EducationField]]&amp;"-"&amp;WA_Fn_UseC__HR_Employee_Attrition[[#This Row],[Department]]</f>
        <v>Life Sciences-Research &amp; Development</v>
      </c>
      <c r="K1074">
        <v>1</v>
      </c>
      <c r="L1074">
        <v>1513</v>
      </c>
      <c r="M1074">
        <v>4</v>
      </c>
      <c r="N1074" t="s">
        <v>40</v>
      </c>
      <c r="O1074">
        <v>97</v>
      </c>
      <c r="P1074">
        <v>3</v>
      </c>
      <c r="Q1074">
        <v>1</v>
      </c>
      <c r="R1074" t="s">
        <v>51</v>
      </c>
      <c r="S1074">
        <v>2</v>
      </c>
      <c r="T1074" t="s">
        <v>49</v>
      </c>
      <c r="U1074">
        <v>3180</v>
      </c>
      <c r="V1074" t="str" cm="1">
        <f t="array" ref="V107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74">
        <v>4668</v>
      </c>
      <c r="X1074">
        <v>0</v>
      </c>
      <c r="Y1074" t="s">
        <v>43</v>
      </c>
      <c r="Z1074" t="s">
        <v>44</v>
      </c>
      <c r="AA1074">
        <v>13</v>
      </c>
      <c r="AB1074">
        <v>3</v>
      </c>
      <c r="AC1074">
        <v>3</v>
      </c>
      <c r="AD1074">
        <v>80</v>
      </c>
      <c r="AE1074">
        <v>3</v>
      </c>
      <c r="AF1074">
        <v>4</v>
      </c>
      <c r="AG1074">
        <v>3</v>
      </c>
      <c r="AH1074">
        <v>3</v>
      </c>
      <c r="AI1074">
        <v>3</v>
      </c>
      <c r="AJ1074">
        <v>2</v>
      </c>
      <c r="AK1074">
        <v>0</v>
      </c>
      <c r="AL1074" t="str" cm="1">
        <f t="array" ref="AL107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74">
        <v>2</v>
      </c>
    </row>
    <row r="1075" spans="1:39" x14ac:dyDescent="0.25">
      <c r="A1075">
        <v>28</v>
      </c>
      <c r="B1075" t="s">
        <v>44</v>
      </c>
      <c r="C1075" t="s">
        <v>37</v>
      </c>
      <c r="D1075">
        <v>1083</v>
      </c>
      <c r="E1075" t="s">
        <v>46</v>
      </c>
      <c r="G1075">
        <v>29</v>
      </c>
      <c r="H1075">
        <v>1</v>
      </c>
      <c r="I1075" t="s">
        <v>39</v>
      </c>
      <c r="J1075" t="str">
        <f>WA_Fn_UseC__HR_Employee_Attrition[[#This Row],[EducationField]]&amp;"-"&amp;WA_Fn_UseC__HR_Employee_Attrition[[#This Row],[Department]]</f>
        <v>Life Sciences-Research &amp; Development</v>
      </c>
      <c r="K1075">
        <v>1</v>
      </c>
      <c r="L1075">
        <v>1514</v>
      </c>
      <c r="M1075">
        <v>3</v>
      </c>
      <c r="N1075" t="s">
        <v>47</v>
      </c>
      <c r="O1075">
        <v>96</v>
      </c>
      <c r="P1075">
        <v>1</v>
      </c>
      <c r="Q1075">
        <v>2</v>
      </c>
      <c r="R1075" t="s">
        <v>54</v>
      </c>
      <c r="S1075">
        <v>2</v>
      </c>
      <c r="T1075" t="s">
        <v>49</v>
      </c>
      <c r="U1075">
        <v>6549</v>
      </c>
      <c r="V1075" t="str" cm="1">
        <f t="array" ref="V107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75">
        <v>3173</v>
      </c>
      <c r="X1075">
        <v>1</v>
      </c>
      <c r="Y1075" t="s">
        <v>43</v>
      </c>
      <c r="Z1075" t="s">
        <v>44</v>
      </c>
      <c r="AA1075">
        <v>14</v>
      </c>
      <c r="AB1075">
        <v>3</v>
      </c>
      <c r="AC1075">
        <v>2</v>
      </c>
      <c r="AD1075">
        <v>80</v>
      </c>
      <c r="AE1075">
        <v>2</v>
      </c>
      <c r="AF1075">
        <v>8</v>
      </c>
      <c r="AG1075">
        <v>2</v>
      </c>
      <c r="AH1075">
        <v>2</v>
      </c>
      <c r="AI1075">
        <v>8</v>
      </c>
      <c r="AJ1075">
        <v>6</v>
      </c>
      <c r="AK1075">
        <v>1</v>
      </c>
      <c r="AL1075" t="str" cm="1">
        <f t="array" ref="AL107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75">
        <v>7</v>
      </c>
    </row>
    <row r="1076" spans="1:39" x14ac:dyDescent="0.25">
      <c r="A1076">
        <v>33</v>
      </c>
      <c r="B1076" t="s">
        <v>44</v>
      </c>
      <c r="C1076" t="s">
        <v>37</v>
      </c>
      <c r="D1076">
        <v>516</v>
      </c>
      <c r="E1076" t="s">
        <v>46</v>
      </c>
      <c r="G1076">
        <v>8</v>
      </c>
      <c r="H1076">
        <v>5</v>
      </c>
      <c r="I1076" t="s">
        <v>39</v>
      </c>
      <c r="J1076" t="str">
        <f>WA_Fn_UseC__HR_Employee_Attrition[[#This Row],[EducationField]]&amp;"-"&amp;WA_Fn_UseC__HR_Employee_Attrition[[#This Row],[Department]]</f>
        <v>Life Sciences-Research &amp; Development</v>
      </c>
      <c r="K1076">
        <v>1</v>
      </c>
      <c r="L1076">
        <v>1515</v>
      </c>
      <c r="M1076">
        <v>4</v>
      </c>
      <c r="N1076" t="s">
        <v>47</v>
      </c>
      <c r="O1076">
        <v>69</v>
      </c>
      <c r="P1076">
        <v>3</v>
      </c>
      <c r="Q1076">
        <v>2</v>
      </c>
      <c r="R1076" t="s">
        <v>55</v>
      </c>
      <c r="S1076">
        <v>3</v>
      </c>
      <c r="T1076" t="s">
        <v>42</v>
      </c>
      <c r="U1076">
        <v>6388</v>
      </c>
      <c r="V1076" t="str" cm="1">
        <f t="array" ref="V107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76">
        <v>22049</v>
      </c>
      <c r="X1076">
        <v>2</v>
      </c>
      <c r="Y1076" t="s">
        <v>43</v>
      </c>
      <c r="Z1076" t="s">
        <v>36</v>
      </c>
      <c r="AA1076">
        <v>17</v>
      </c>
      <c r="AB1076">
        <v>3</v>
      </c>
      <c r="AC1076">
        <v>1</v>
      </c>
      <c r="AD1076">
        <v>80</v>
      </c>
      <c r="AE1076">
        <v>0</v>
      </c>
      <c r="AF1076">
        <v>14</v>
      </c>
      <c r="AG1076">
        <v>6</v>
      </c>
      <c r="AH1076">
        <v>3</v>
      </c>
      <c r="AI1076">
        <v>0</v>
      </c>
      <c r="AJ1076">
        <v>0</v>
      </c>
      <c r="AK1076">
        <v>0</v>
      </c>
      <c r="AL1076" t="str" cm="1">
        <f t="array" ref="AL107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76">
        <v>0</v>
      </c>
    </row>
    <row r="1077" spans="1:39" x14ac:dyDescent="0.25">
      <c r="A1077">
        <v>32</v>
      </c>
      <c r="B1077" t="s">
        <v>44</v>
      </c>
      <c r="C1077" t="s">
        <v>37</v>
      </c>
      <c r="D1077">
        <v>495</v>
      </c>
      <c r="E1077" t="s">
        <v>46</v>
      </c>
      <c r="G1077">
        <v>10</v>
      </c>
      <c r="H1077">
        <v>3</v>
      </c>
      <c r="I1077" t="s">
        <v>52</v>
      </c>
      <c r="J1077" t="str">
        <f>WA_Fn_UseC__HR_Employee_Attrition[[#This Row],[EducationField]]&amp;"-"&amp;WA_Fn_UseC__HR_Employee_Attrition[[#This Row],[Department]]</f>
        <v>Medical-Research &amp; Development</v>
      </c>
      <c r="K1077">
        <v>1</v>
      </c>
      <c r="L1077">
        <v>1516</v>
      </c>
      <c r="M1077">
        <v>3</v>
      </c>
      <c r="N1077" t="s">
        <v>47</v>
      </c>
      <c r="O1077">
        <v>64</v>
      </c>
      <c r="P1077">
        <v>3</v>
      </c>
      <c r="Q1077">
        <v>3</v>
      </c>
      <c r="R1077" t="s">
        <v>57</v>
      </c>
      <c r="S1077">
        <v>4</v>
      </c>
      <c r="T1077" t="s">
        <v>42</v>
      </c>
      <c r="U1077">
        <v>11244</v>
      </c>
      <c r="V1077" t="str" cm="1">
        <f t="array" ref="V107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77">
        <v>21072</v>
      </c>
      <c r="X1077">
        <v>2</v>
      </c>
      <c r="Y1077" t="s">
        <v>43</v>
      </c>
      <c r="Z1077" t="s">
        <v>44</v>
      </c>
      <c r="AA1077">
        <v>25</v>
      </c>
      <c r="AB1077">
        <v>4</v>
      </c>
      <c r="AC1077">
        <v>2</v>
      </c>
      <c r="AD1077">
        <v>80</v>
      </c>
      <c r="AE1077">
        <v>0</v>
      </c>
      <c r="AF1077">
        <v>10</v>
      </c>
      <c r="AG1077">
        <v>5</v>
      </c>
      <c r="AH1077">
        <v>4</v>
      </c>
      <c r="AI1077">
        <v>5</v>
      </c>
      <c r="AJ1077">
        <v>2</v>
      </c>
      <c r="AK1077">
        <v>0</v>
      </c>
      <c r="AL1077" t="str" cm="1">
        <f t="array" ref="AL107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77">
        <v>0</v>
      </c>
    </row>
    <row r="1078" spans="1:39" x14ac:dyDescent="0.25">
      <c r="A1078">
        <v>54</v>
      </c>
      <c r="B1078" t="s">
        <v>44</v>
      </c>
      <c r="C1078" t="s">
        <v>45</v>
      </c>
      <c r="D1078">
        <v>1050</v>
      </c>
      <c r="E1078" t="s">
        <v>46</v>
      </c>
      <c r="G1078">
        <v>11</v>
      </c>
      <c r="H1078">
        <v>4</v>
      </c>
      <c r="I1078" t="s">
        <v>52</v>
      </c>
      <c r="J1078" t="str">
        <f>WA_Fn_UseC__HR_Employee_Attrition[[#This Row],[EducationField]]&amp;"-"&amp;WA_Fn_UseC__HR_Employee_Attrition[[#This Row],[Department]]</f>
        <v>Medical-Research &amp; Development</v>
      </c>
      <c r="K1078">
        <v>1</v>
      </c>
      <c r="L1078">
        <v>1520</v>
      </c>
      <c r="M1078">
        <v>2</v>
      </c>
      <c r="N1078" t="s">
        <v>40</v>
      </c>
      <c r="O1078">
        <v>87</v>
      </c>
      <c r="P1078">
        <v>3</v>
      </c>
      <c r="Q1078">
        <v>4</v>
      </c>
      <c r="R1078" t="s">
        <v>57</v>
      </c>
      <c r="S1078">
        <v>4</v>
      </c>
      <c r="T1078" t="s">
        <v>53</v>
      </c>
      <c r="U1078">
        <v>16032</v>
      </c>
      <c r="V1078" t="str" cm="1">
        <f t="array" ref="V107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78">
        <v>24456</v>
      </c>
      <c r="X1078">
        <v>3</v>
      </c>
      <c r="Y1078" t="s">
        <v>43</v>
      </c>
      <c r="Z1078" t="s">
        <v>44</v>
      </c>
      <c r="AA1078">
        <v>20</v>
      </c>
      <c r="AB1078">
        <v>4</v>
      </c>
      <c r="AC1078">
        <v>1</v>
      </c>
      <c r="AD1078">
        <v>80</v>
      </c>
      <c r="AE1078">
        <v>1</v>
      </c>
      <c r="AF1078">
        <v>26</v>
      </c>
      <c r="AG1078">
        <v>2</v>
      </c>
      <c r="AH1078">
        <v>3</v>
      </c>
      <c r="AI1078">
        <v>14</v>
      </c>
      <c r="AJ1078">
        <v>9</v>
      </c>
      <c r="AK1078">
        <v>1</v>
      </c>
      <c r="AL1078" t="str" cm="1">
        <f t="array" ref="AL107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78">
        <v>12</v>
      </c>
    </row>
    <row r="1079" spans="1:39" x14ac:dyDescent="0.25">
      <c r="A1079">
        <v>29</v>
      </c>
      <c r="B1079" t="s">
        <v>36</v>
      </c>
      <c r="C1079" t="s">
        <v>37</v>
      </c>
      <c r="D1079">
        <v>224</v>
      </c>
      <c r="E1079" t="s">
        <v>46</v>
      </c>
      <c r="G1079">
        <v>1</v>
      </c>
      <c r="H1079">
        <v>4</v>
      </c>
      <c r="I1079" t="s">
        <v>61</v>
      </c>
      <c r="J1079" t="str">
        <f>WA_Fn_UseC__HR_Employee_Attrition[[#This Row],[EducationField]]&amp;"-"&amp;WA_Fn_UseC__HR_Employee_Attrition[[#This Row],[Department]]</f>
        <v>Technical Degree-Research &amp; Development</v>
      </c>
      <c r="K1079">
        <v>1</v>
      </c>
      <c r="L1079">
        <v>1522</v>
      </c>
      <c r="M1079">
        <v>1</v>
      </c>
      <c r="N1079" t="s">
        <v>47</v>
      </c>
      <c r="O1079">
        <v>100</v>
      </c>
      <c r="P1079">
        <v>2</v>
      </c>
      <c r="Q1079">
        <v>1</v>
      </c>
      <c r="R1079" t="s">
        <v>48</v>
      </c>
      <c r="S1079">
        <v>1</v>
      </c>
      <c r="T1079" t="s">
        <v>42</v>
      </c>
      <c r="U1079">
        <v>2362</v>
      </c>
      <c r="V1079" t="str" cm="1">
        <f t="array" ref="V107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79">
        <v>7568</v>
      </c>
      <c r="X1079">
        <v>6</v>
      </c>
      <c r="Y1079" t="s">
        <v>43</v>
      </c>
      <c r="Z1079" t="s">
        <v>44</v>
      </c>
      <c r="AA1079">
        <v>13</v>
      </c>
      <c r="AB1079">
        <v>3</v>
      </c>
      <c r="AC1079">
        <v>3</v>
      </c>
      <c r="AD1079">
        <v>80</v>
      </c>
      <c r="AE1079">
        <v>0</v>
      </c>
      <c r="AF1079">
        <v>11</v>
      </c>
      <c r="AG1079">
        <v>2</v>
      </c>
      <c r="AH1079">
        <v>1</v>
      </c>
      <c r="AI1079">
        <v>9</v>
      </c>
      <c r="AJ1079">
        <v>7</v>
      </c>
      <c r="AK1079">
        <v>0</v>
      </c>
      <c r="AL1079" t="str" cm="1">
        <f t="array" ref="AL107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79">
        <v>7</v>
      </c>
    </row>
    <row r="1080" spans="1:39" x14ac:dyDescent="0.25">
      <c r="A1080">
        <v>44</v>
      </c>
      <c r="B1080" t="s">
        <v>44</v>
      </c>
      <c r="C1080" t="s">
        <v>37</v>
      </c>
      <c r="D1080">
        <v>136</v>
      </c>
      <c r="E1080" t="s">
        <v>46</v>
      </c>
      <c r="G1080">
        <v>28</v>
      </c>
      <c r="H1080">
        <v>3</v>
      </c>
      <c r="I1080" t="s">
        <v>39</v>
      </c>
      <c r="J1080" t="str">
        <f>WA_Fn_UseC__HR_Employee_Attrition[[#This Row],[EducationField]]&amp;"-"&amp;WA_Fn_UseC__HR_Employee_Attrition[[#This Row],[Department]]</f>
        <v>Life Sciences-Research &amp; Development</v>
      </c>
      <c r="K1080">
        <v>1</v>
      </c>
      <c r="L1080">
        <v>1523</v>
      </c>
      <c r="M1080">
        <v>4</v>
      </c>
      <c r="N1080" t="s">
        <v>47</v>
      </c>
      <c r="O1080">
        <v>32</v>
      </c>
      <c r="P1080">
        <v>3</v>
      </c>
      <c r="Q1080">
        <v>4</v>
      </c>
      <c r="R1080" t="s">
        <v>59</v>
      </c>
      <c r="S1080">
        <v>1</v>
      </c>
      <c r="T1080" t="s">
        <v>49</v>
      </c>
      <c r="U1080">
        <v>16328</v>
      </c>
      <c r="V1080" t="str" cm="1">
        <f t="array" ref="V108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80">
        <v>22074</v>
      </c>
      <c r="X1080">
        <v>3</v>
      </c>
      <c r="Y1080" t="s">
        <v>43</v>
      </c>
      <c r="Z1080" t="s">
        <v>44</v>
      </c>
      <c r="AA1080">
        <v>13</v>
      </c>
      <c r="AB1080">
        <v>3</v>
      </c>
      <c r="AC1080">
        <v>3</v>
      </c>
      <c r="AD1080">
        <v>80</v>
      </c>
      <c r="AE1080">
        <v>1</v>
      </c>
      <c r="AF1080">
        <v>24</v>
      </c>
      <c r="AG1080">
        <v>1</v>
      </c>
      <c r="AH1080">
        <v>4</v>
      </c>
      <c r="AI1080">
        <v>20</v>
      </c>
      <c r="AJ1080">
        <v>6</v>
      </c>
      <c r="AK1080">
        <v>14</v>
      </c>
      <c r="AL1080" t="str" cm="1">
        <f t="array" ref="AL108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80">
        <v>17</v>
      </c>
    </row>
    <row r="1081" spans="1:39" x14ac:dyDescent="0.25">
      <c r="A1081">
        <v>39</v>
      </c>
      <c r="B1081" t="s">
        <v>44</v>
      </c>
      <c r="C1081" t="s">
        <v>37</v>
      </c>
      <c r="D1081">
        <v>1089</v>
      </c>
      <c r="E1081" t="s">
        <v>46</v>
      </c>
      <c r="G1081">
        <v>6</v>
      </c>
      <c r="H1081">
        <v>3</v>
      </c>
      <c r="I1081" t="s">
        <v>39</v>
      </c>
      <c r="J1081" t="str">
        <f>WA_Fn_UseC__HR_Employee_Attrition[[#This Row],[EducationField]]&amp;"-"&amp;WA_Fn_UseC__HR_Employee_Attrition[[#This Row],[Department]]</f>
        <v>Life Sciences-Research &amp; Development</v>
      </c>
      <c r="K1081">
        <v>1</v>
      </c>
      <c r="L1081">
        <v>1525</v>
      </c>
      <c r="M1081">
        <v>2</v>
      </c>
      <c r="N1081" t="s">
        <v>40</v>
      </c>
      <c r="O1081">
        <v>32</v>
      </c>
      <c r="P1081">
        <v>3</v>
      </c>
      <c r="Q1081">
        <v>3</v>
      </c>
      <c r="R1081" t="s">
        <v>54</v>
      </c>
      <c r="S1081">
        <v>2</v>
      </c>
      <c r="T1081" t="s">
        <v>42</v>
      </c>
      <c r="U1081">
        <v>8376</v>
      </c>
      <c r="V1081" t="str" cm="1">
        <f t="array" ref="V108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81">
        <v>9150</v>
      </c>
      <c r="X1081">
        <v>4</v>
      </c>
      <c r="Y1081" t="s">
        <v>43</v>
      </c>
      <c r="Z1081" t="s">
        <v>44</v>
      </c>
      <c r="AA1081">
        <v>18</v>
      </c>
      <c r="AB1081">
        <v>3</v>
      </c>
      <c r="AC1081">
        <v>4</v>
      </c>
      <c r="AD1081">
        <v>80</v>
      </c>
      <c r="AE1081">
        <v>0</v>
      </c>
      <c r="AF1081">
        <v>9</v>
      </c>
      <c r="AG1081">
        <v>3</v>
      </c>
      <c r="AH1081">
        <v>3</v>
      </c>
      <c r="AI1081">
        <v>2</v>
      </c>
      <c r="AJ1081">
        <v>0</v>
      </c>
      <c r="AK1081">
        <v>2</v>
      </c>
      <c r="AL1081" t="str" cm="1">
        <f t="array" ref="AL108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81">
        <v>2</v>
      </c>
    </row>
    <row r="1082" spans="1:39" x14ac:dyDescent="0.25">
      <c r="A1082">
        <v>46</v>
      </c>
      <c r="B1082" t="s">
        <v>44</v>
      </c>
      <c r="C1082" t="s">
        <v>37</v>
      </c>
      <c r="D1082">
        <v>228</v>
      </c>
      <c r="E1082" t="s">
        <v>38</v>
      </c>
      <c r="G1082">
        <v>3</v>
      </c>
      <c r="H1082">
        <v>3</v>
      </c>
      <c r="I1082" t="s">
        <v>39</v>
      </c>
      <c r="J1082" t="str">
        <f>WA_Fn_UseC__HR_Employee_Attrition[[#This Row],[EducationField]]&amp;"-"&amp;WA_Fn_UseC__HR_Employee_Attrition[[#This Row],[Department]]</f>
        <v>Life Sciences-Sales</v>
      </c>
      <c r="K1082">
        <v>1</v>
      </c>
      <c r="L1082">
        <v>1527</v>
      </c>
      <c r="M1082">
        <v>3</v>
      </c>
      <c r="N1082" t="s">
        <v>40</v>
      </c>
      <c r="O1082">
        <v>51</v>
      </c>
      <c r="P1082">
        <v>3</v>
      </c>
      <c r="Q1082">
        <v>4</v>
      </c>
      <c r="R1082" t="s">
        <v>57</v>
      </c>
      <c r="S1082">
        <v>2</v>
      </c>
      <c r="T1082" t="s">
        <v>49</v>
      </c>
      <c r="U1082">
        <v>16606</v>
      </c>
      <c r="V1082" t="str" cm="1">
        <f t="array" ref="V108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82">
        <v>11380</v>
      </c>
      <c r="X1082">
        <v>8</v>
      </c>
      <c r="Y1082" t="s">
        <v>43</v>
      </c>
      <c r="Z1082" t="s">
        <v>44</v>
      </c>
      <c r="AA1082">
        <v>12</v>
      </c>
      <c r="AB1082">
        <v>3</v>
      </c>
      <c r="AC1082">
        <v>4</v>
      </c>
      <c r="AD1082">
        <v>80</v>
      </c>
      <c r="AE1082">
        <v>1</v>
      </c>
      <c r="AF1082">
        <v>23</v>
      </c>
      <c r="AG1082">
        <v>2</v>
      </c>
      <c r="AH1082">
        <v>4</v>
      </c>
      <c r="AI1082">
        <v>13</v>
      </c>
      <c r="AJ1082">
        <v>12</v>
      </c>
      <c r="AK1082">
        <v>5</v>
      </c>
      <c r="AL1082" t="str" cm="1">
        <f t="array" ref="AL108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82">
        <v>1</v>
      </c>
    </row>
    <row r="1083" spans="1:39" x14ac:dyDescent="0.25">
      <c r="A1083">
        <v>35</v>
      </c>
      <c r="B1083" t="s">
        <v>44</v>
      </c>
      <c r="C1083" t="s">
        <v>37</v>
      </c>
      <c r="D1083">
        <v>1029</v>
      </c>
      <c r="E1083" t="s">
        <v>46</v>
      </c>
      <c r="G1083">
        <v>16</v>
      </c>
      <c r="H1083">
        <v>3</v>
      </c>
      <c r="I1083" t="s">
        <v>39</v>
      </c>
      <c r="J1083" t="str">
        <f>WA_Fn_UseC__HR_Employee_Attrition[[#This Row],[EducationField]]&amp;"-"&amp;WA_Fn_UseC__HR_Employee_Attrition[[#This Row],[Department]]</f>
        <v>Life Sciences-Research &amp; Development</v>
      </c>
      <c r="K1083">
        <v>1</v>
      </c>
      <c r="L1083">
        <v>1529</v>
      </c>
      <c r="M1083">
        <v>4</v>
      </c>
      <c r="N1083" t="s">
        <v>40</v>
      </c>
      <c r="O1083">
        <v>91</v>
      </c>
      <c r="P1083">
        <v>2</v>
      </c>
      <c r="Q1083">
        <v>3</v>
      </c>
      <c r="R1083" t="s">
        <v>55</v>
      </c>
      <c r="S1083">
        <v>2</v>
      </c>
      <c r="T1083" t="s">
        <v>42</v>
      </c>
      <c r="U1083">
        <v>8606</v>
      </c>
      <c r="V1083" t="str" cm="1">
        <f t="array" ref="V108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83">
        <v>21195</v>
      </c>
      <c r="X1083">
        <v>1</v>
      </c>
      <c r="Y1083" t="s">
        <v>43</v>
      </c>
      <c r="Z1083" t="s">
        <v>44</v>
      </c>
      <c r="AA1083">
        <v>19</v>
      </c>
      <c r="AB1083">
        <v>3</v>
      </c>
      <c r="AC1083">
        <v>4</v>
      </c>
      <c r="AD1083">
        <v>80</v>
      </c>
      <c r="AE1083">
        <v>0</v>
      </c>
      <c r="AF1083">
        <v>11</v>
      </c>
      <c r="AG1083">
        <v>3</v>
      </c>
      <c r="AH1083">
        <v>1</v>
      </c>
      <c r="AI1083">
        <v>11</v>
      </c>
      <c r="AJ1083">
        <v>8</v>
      </c>
      <c r="AK1083">
        <v>3</v>
      </c>
      <c r="AL1083" t="str" cm="1">
        <f t="array" ref="AL108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83">
        <v>3</v>
      </c>
    </row>
    <row r="1084" spans="1:39" x14ac:dyDescent="0.25">
      <c r="A1084">
        <v>23</v>
      </c>
      <c r="B1084" t="s">
        <v>44</v>
      </c>
      <c r="C1084" t="s">
        <v>37</v>
      </c>
      <c r="D1084">
        <v>507</v>
      </c>
      <c r="E1084" t="s">
        <v>46</v>
      </c>
      <c r="G1084">
        <v>20</v>
      </c>
      <c r="H1084">
        <v>1</v>
      </c>
      <c r="I1084" t="s">
        <v>39</v>
      </c>
      <c r="J1084" t="str">
        <f>WA_Fn_UseC__HR_Employee_Attrition[[#This Row],[EducationField]]&amp;"-"&amp;WA_Fn_UseC__HR_Employee_Attrition[[#This Row],[Department]]</f>
        <v>Life Sciences-Research &amp; Development</v>
      </c>
      <c r="K1084">
        <v>1</v>
      </c>
      <c r="L1084">
        <v>1533</v>
      </c>
      <c r="M1084">
        <v>1</v>
      </c>
      <c r="N1084" t="s">
        <v>47</v>
      </c>
      <c r="O1084">
        <v>97</v>
      </c>
      <c r="P1084">
        <v>3</v>
      </c>
      <c r="Q1084">
        <v>2</v>
      </c>
      <c r="R1084" t="s">
        <v>51</v>
      </c>
      <c r="S1084">
        <v>3</v>
      </c>
      <c r="T1084" t="s">
        <v>42</v>
      </c>
      <c r="U1084">
        <v>2272</v>
      </c>
      <c r="V1084" t="str" cm="1">
        <f t="array" ref="V108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84">
        <v>24812</v>
      </c>
      <c r="X1084">
        <v>0</v>
      </c>
      <c r="Y1084" t="s">
        <v>43</v>
      </c>
      <c r="Z1084" t="s">
        <v>44</v>
      </c>
      <c r="AA1084">
        <v>14</v>
      </c>
      <c r="AB1084">
        <v>3</v>
      </c>
      <c r="AC1084">
        <v>2</v>
      </c>
      <c r="AD1084">
        <v>80</v>
      </c>
      <c r="AE1084">
        <v>0</v>
      </c>
      <c r="AF1084">
        <v>5</v>
      </c>
      <c r="AG1084">
        <v>2</v>
      </c>
      <c r="AH1084">
        <v>3</v>
      </c>
      <c r="AI1084">
        <v>4</v>
      </c>
      <c r="AJ1084">
        <v>3</v>
      </c>
      <c r="AK1084">
        <v>1</v>
      </c>
      <c r="AL1084" t="str" cm="1">
        <f t="array" ref="AL108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84">
        <v>2</v>
      </c>
    </row>
    <row r="1085" spans="1:39" x14ac:dyDescent="0.25">
      <c r="A1085">
        <v>40</v>
      </c>
      <c r="B1085" t="s">
        <v>36</v>
      </c>
      <c r="C1085" t="s">
        <v>37</v>
      </c>
      <c r="D1085">
        <v>676</v>
      </c>
      <c r="E1085" t="s">
        <v>46</v>
      </c>
      <c r="G1085">
        <v>9</v>
      </c>
      <c r="H1085">
        <v>4</v>
      </c>
      <c r="I1085" t="s">
        <v>39</v>
      </c>
      <c r="J1085" t="str">
        <f>WA_Fn_UseC__HR_Employee_Attrition[[#This Row],[EducationField]]&amp;"-"&amp;WA_Fn_UseC__HR_Employee_Attrition[[#This Row],[Department]]</f>
        <v>Life Sciences-Research &amp; Development</v>
      </c>
      <c r="K1085">
        <v>1</v>
      </c>
      <c r="L1085">
        <v>1534</v>
      </c>
      <c r="M1085">
        <v>4</v>
      </c>
      <c r="N1085" t="s">
        <v>47</v>
      </c>
      <c r="O1085">
        <v>86</v>
      </c>
      <c r="P1085">
        <v>3</v>
      </c>
      <c r="Q1085">
        <v>1</v>
      </c>
      <c r="R1085" t="s">
        <v>51</v>
      </c>
      <c r="S1085">
        <v>1</v>
      </c>
      <c r="T1085" t="s">
        <v>42</v>
      </c>
      <c r="U1085">
        <v>2018</v>
      </c>
      <c r="V1085" t="str" cm="1">
        <f t="array" ref="V108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85">
        <v>21831</v>
      </c>
      <c r="X1085">
        <v>3</v>
      </c>
      <c r="Y1085" t="s">
        <v>43</v>
      </c>
      <c r="Z1085" t="s">
        <v>44</v>
      </c>
      <c r="AA1085">
        <v>14</v>
      </c>
      <c r="AB1085">
        <v>3</v>
      </c>
      <c r="AC1085">
        <v>2</v>
      </c>
      <c r="AD1085">
        <v>80</v>
      </c>
      <c r="AE1085">
        <v>0</v>
      </c>
      <c r="AF1085">
        <v>15</v>
      </c>
      <c r="AG1085">
        <v>3</v>
      </c>
      <c r="AH1085">
        <v>1</v>
      </c>
      <c r="AI1085">
        <v>5</v>
      </c>
      <c r="AJ1085">
        <v>4</v>
      </c>
      <c r="AK1085">
        <v>1</v>
      </c>
      <c r="AL1085" t="str" cm="1">
        <f t="array" ref="AL108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85">
        <v>0</v>
      </c>
    </row>
    <row r="1086" spans="1:39" x14ac:dyDescent="0.25">
      <c r="A1086">
        <v>34</v>
      </c>
      <c r="B1086" t="s">
        <v>44</v>
      </c>
      <c r="C1086" t="s">
        <v>37</v>
      </c>
      <c r="D1086">
        <v>971</v>
      </c>
      <c r="E1086" t="s">
        <v>38</v>
      </c>
      <c r="G1086">
        <v>1</v>
      </c>
      <c r="H1086">
        <v>3</v>
      </c>
      <c r="I1086" t="s">
        <v>61</v>
      </c>
      <c r="J1086" t="str">
        <f>WA_Fn_UseC__HR_Employee_Attrition[[#This Row],[EducationField]]&amp;"-"&amp;WA_Fn_UseC__HR_Employee_Attrition[[#This Row],[Department]]</f>
        <v>Technical Degree-Sales</v>
      </c>
      <c r="K1086">
        <v>1</v>
      </c>
      <c r="L1086">
        <v>1535</v>
      </c>
      <c r="M1086">
        <v>4</v>
      </c>
      <c r="N1086" t="s">
        <v>47</v>
      </c>
      <c r="O1086">
        <v>64</v>
      </c>
      <c r="P1086">
        <v>2</v>
      </c>
      <c r="Q1086">
        <v>3</v>
      </c>
      <c r="R1086" t="s">
        <v>41</v>
      </c>
      <c r="S1086">
        <v>3</v>
      </c>
      <c r="T1086" t="s">
        <v>49</v>
      </c>
      <c r="U1086">
        <v>7083</v>
      </c>
      <c r="V1086" t="str" cm="1">
        <f t="array" ref="V108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86">
        <v>12288</v>
      </c>
      <c r="X1086">
        <v>1</v>
      </c>
      <c r="Y1086" t="s">
        <v>43</v>
      </c>
      <c r="Z1086" t="s">
        <v>36</v>
      </c>
      <c r="AA1086">
        <v>14</v>
      </c>
      <c r="AB1086">
        <v>3</v>
      </c>
      <c r="AC1086">
        <v>4</v>
      </c>
      <c r="AD1086">
        <v>80</v>
      </c>
      <c r="AE1086">
        <v>0</v>
      </c>
      <c r="AF1086">
        <v>10</v>
      </c>
      <c r="AG1086">
        <v>3</v>
      </c>
      <c r="AH1086">
        <v>3</v>
      </c>
      <c r="AI1086">
        <v>10</v>
      </c>
      <c r="AJ1086">
        <v>9</v>
      </c>
      <c r="AK1086">
        <v>8</v>
      </c>
      <c r="AL1086" t="str" cm="1">
        <f t="array" ref="AL108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86">
        <v>6</v>
      </c>
    </row>
    <row r="1087" spans="1:39" x14ac:dyDescent="0.25">
      <c r="A1087">
        <v>31</v>
      </c>
      <c r="B1087" t="s">
        <v>36</v>
      </c>
      <c r="C1087" t="s">
        <v>45</v>
      </c>
      <c r="D1087">
        <v>561</v>
      </c>
      <c r="E1087" t="s">
        <v>46</v>
      </c>
      <c r="G1087">
        <v>3</v>
      </c>
      <c r="H1087">
        <v>3</v>
      </c>
      <c r="I1087" t="s">
        <v>39</v>
      </c>
      <c r="J1087" t="str">
        <f>WA_Fn_UseC__HR_Employee_Attrition[[#This Row],[EducationField]]&amp;"-"&amp;WA_Fn_UseC__HR_Employee_Attrition[[#This Row],[Department]]</f>
        <v>Life Sciences-Research &amp; Development</v>
      </c>
      <c r="K1087">
        <v>1</v>
      </c>
      <c r="L1087">
        <v>1537</v>
      </c>
      <c r="M1087">
        <v>4</v>
      </c>
      <c r="N1087" t="s">
        <v>40</v>
      </c>
      <c r="O1087">
        <v>33</v>
      </c>
      <c r="P1087">
        <v>3</v>
      </c>
      <c r="Q1087">
        <v>1</v>
      </c>
      <c r="R1087" t="s">
        <v>48</v>
      </c>
      <c r="S1087">
        <v>3</v>
      </c>
      <c r="T1087" t="s">
        <v>42</v>
      </c>
      <c r="U1087">
        <v>4084</v>
      </c>
      <c r="V1087" t="str" cm="1">
        <f t="array" ref="V108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87">
        <v>4156</v>
      </c>
      <c r="X1087">
        <v>1</v>
      </c>
      <c r="Y1087" t="s">
        <v>43</v>
      </c>
      <c r="Z1087" t="s">
        <v>44</v>
      </c>
      <c r="AA1087">
        <v>12</v>
      </c>
      <c r="AB1087">
        <v>3</v>
      </c>
      <c r="AC1087">
        <v>1</v>
      </c>
      <c r="AD1087">
        <v>80</v>
      </c>
      <c r="AE1087">
        <v>0</v>
      </c>
      <c r="AF1087">
        <v>7</v>
      </c>
      <c r="AG1087">
        <v>2</v>
      </c>
      <c r="AH1087">
        <v>1</v>
      </c>
      <c r="AI1087">
        <v>7</v>
      </c>
      <c r="AJ1087">
        <v>2</v>
      </c>
      <c r="AK1087">
        <v>7</v>
      </c>
      <c r="AL1087" t="str" cm="1">
        <f t="array" ref="AL108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87">
        <v>7</v>
      </c>
    </row>
    <row r="1088" spans="1:39" x14ac:dyDescent="0.25">
      <c r="A1088">
        <v>50</v>
      </c>
      <c r="B1088" t="s">
        <v>44</v>
      </c>
      <c r="C1088" t="s">
        <v>45</v>
      </c>
      <c r="D1088">
        <v>333</v>
      </c>
      <c r="E1088" t="s">
        <v>46</v>
      </c>
      <c r="G1088">
        <v>22</v>
      </c>
      <c r="H1088">
        <v>5</v>
      </c>
      <c r="I1088" t="s">
        <v>52</v>
      </c>
      <c r="J1088" t="str">
        <f>WA_Fn_UseC__HR_Employee_Attrition[[#This Row],[EducationField]]&amp;"-"&amp;WA_Fn_UseC__HR_Employee_Attrition[[#This Row],[Department]]</f>
        <v>Medical-Research &amp; Development</v>
      </c>
      <c r="K1088">
        <v>1</v>
      </c>
      <c r="L1088">
        <v>1539</v>
      </c>
      <c r="M1088">
        <v>3</v>
      </c>
      <c r="N1088" t="s">
        <v>47</v>
      </c>
      <c r="O1088">
        <v>88</v>
      </c>
      <c r="P1088">
        <v>1</v>
      </c>
      <c r="Q1088">
        <v>4</v>
      </c>
      <c r="R1088" t="s">
        <v>59</v>
      </c>
      <c r="S1088">
        <v>4</v>
      </c>
      <c r="T1088" t="s">
        <v>42</v>
      </c>
      <c r="U1088">
        <v>14411</v>
      </c>
      <c r="V1088" t="str" cm="1">
        <f t="array" ref="V108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88">
        <v>24450</v>
      </c>
      <c r="X1088">
        <v>1</v>
      </c>
      <c r="Y1088" t="s">
        <v>43</v>
      </c>
      <c r="Z1088" t="s">
        <v>36</v>
      </c>
      <c r="AA1088">
        <v>13</v>
      </c>
      <c r="AB1088">
        <v>3</v>
      </c>
      <c r="AC1088">
        <v>4</v>
      </c>
      <c r="AD1088">
        <v>80</v>
      </c>
      <c r="AE1088">
        <v>0</v>
      </c>
      <c r="AF1088">
        <v>32</v>
      </c>
      <c r="AG1088">
        <v>2</v>
      </c>
      <c r="AH1088">
        <v>3</v>
      </c>
      <c r="AI1088">
        <v>32</v>
      </c>
      <c r="AJ1088">
        <v>6</v>
      </c>
      <c r="AK1088">
        <v>13</v>
      </c>
      <c r="AL1088" t="str" cm="1">
        <f t="array" ref="AL108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88">
        <v>9</v>
      </c>
    </row>
    <row r="1089" spans="1:39" x14ac:dyDescent="0.25">
      <c r="A1089">
        <v>34</v>
      </c>
      <c r="B1089" t="s">
        <v>44</v>
      </c>
      <c r="C1089" t="s">
        <v>37</v>
      </c>
      <c r="D1089">
        <v>1440</v>
      </c>
      <c r="E1089" t="s">
        <v>38</v>
      </c>
      <c r="G1089">
        <v>7</v>
      </c>
      <c r="H1089">
        <v>2</v>
      </c>
      <c r="I1089" t="s">
        <v>61</v>
      </c>
      <c r="J1089" t="str">
        <f>WA_Fn_UseC__HR_Employee_Attrition[[#This Row],[EducationField]]&amp;"-"&amp;WA_Fn_UseC__HR_Employee_Attrition[[#This Row],[Department]]</f>
        <v>Technical Degree-Sales</v>
      </c>
      <c r="K1089">
        <v>1</v>
      </c>
      <c r="L1089">
        <v>1541</v>
      </c>
      <c r="M1089">
        <v>2</v>
      </c>
      <c r="N1089" t="s">
        <v>47</v>
      </c>
      <c r="O1089">
        <v>55</v>
      </c>
      <c r="P1089">
        <v>3</v>
      </c>
      <c r="Q1089">
        <v>1</v>
      </c>
      <c r="R1089" t="s">
        <v>58</v>
      </c>
      <c r="S1089">
        <v>3</v>
      </c>
      <c r="T1089" t="s">
        <v>49</v>
      </c>
      <c r="U1089">
        <v>2308</v>
      </c>
      <c r="V1089" t="str" cm="1">
        <f t="array" ref="V108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89">
        <v>4944</v>
      </c>
      <c r="X1089">
        <v>0</v>
      </c>
      <c r="Y1089" t="s">
        <v>43</v>
      </c>
      <c r="Z1089" t="s">
        <v>36</v>
      </c>
      <c r="AA1089">
        <v>25</v>
      </c>
      <c r="AB1089">
        <v>4</v>
      </c>
      <c r="AC1089">
        <v>2</v>
      </c>
      <c r="AD1089">
        <v>80</v>
      </c>
      <c r="AE1089">
        <v>1</v>
      </c>
      <c r="AF1089">
        <v>12</v>
      </c>
      <c r="AG1089">
        <v>4</v>
      </c>
      <c r="AH1089">
        <v>3</v>
      </c>
      <c r="AI1089">
        <v>11</v>
      </c>
      <c r="AJ1089">
        <v>10</v>
      </c>
      <c r="AK1089">
        <v>5</v>
      </c>
      <c r="AL1089" t="str" cm="1">
        <f t="array" ref="AL108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89">
        <v>7</v>
      </c>
    </row>
    <row r="1090" spans="1:39" x14ac:dyDescent="0.25">
      <c r="A1090">
        <v>42</v>
      </c>
      <c r="B1090" t="s">
        <v>44</v>
      </c>
      <c r="C1090" t="s">
        <v>37</v>
      </c>
      <c r="D1090">
        <v>1210</v>
      </c>
      <c r="E1090" t="s">
        <v>46</v>
      </c>
      <c r="G1090">
        <v>2</v>
      </c>
      <c r="H1090">
        <v>3</v>
      </c>
      <c r="I1090" t="s">
        <v>52</v>
      </c>
      <c r="J1090" t="str">
        <f>WA_Fn_UseC__HR_Employee_Attrition[[#This Row],[EducationField]]&amp;"-"&amp;WA_Fn_UseC__HR_Employee_Attrition[[#This Row],[Department]]</f>
        <v>Medical-Research &amp; Development</v>
      </c>
      <c r="K1090">
        <v>1</v>
      </c>
      <c r="L1090">
        <v>1542</v>
      </c>
      <c r="M1090">
        <v>3</v>
      </c>
      <c r="N1090" t="s">
        <v>47</v>
      </c>
      <c r="O1090">
        <v>68</v>
      </c>
      <c r="P1090">
        <v>2</v>
      </c>
      <c r="Q1090">
        <v>1</v>
      </c>
      <c r="R1090" t="s">
        <v>51</v>
      </c>
      <c r="S1090">
        <v>2</v>
      </c>
      <c r="T1090" t="s">
        <v>49</v>
      </c>
      <c r="U1090">
        <v>4841</v>
      </c>
      <c r="V1090" t="str" cm="1">
        <f t="array" ref="V109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90">
        <v>24052</v>
      </c>
      <c r="X1090">
        <v>4</v>
      </c>
      <c r="Y1090" t="s">
        <v>43</v>
      </c>
      <c r="Z1090" t="s">
        <v>44</v>
      </c>
      <c r="AA1090">
        <v>14</v>
      </c>
      <c r="AB1090">
        <v>3</v>
      </c>
      <c r="AC1090">
        <v>2</v>
      </c>
      <c r="AD1090">
        <v>80</v>
      </c>
      <c r="AE1090">
        <v>1</v>
      </c>
      <c r="AF1090">
        <v>4</v>
      </c>
      <c r="AG1090">
        <v>3</v>
      </c>
      <c r="AH1090">
        <v>3</v>
      </c>
      <c r="AI1090">
        <v>1</v>
      </c>
      <c r="AJ1090">
        <v>0</v>
      </c>
      <c r="AK1090">
        <v>0</v>
      </c>
      <c r="AL1090" t="str" cm="1">
        <f t="array" ref="AL109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90">
        <v>0</v>
      </c>
    </row>
    <row r="1091" spans="1:39" x14ac:dyDescent="0.25">
      <c r="A1091">
        <v>37</v>
      </c>
      <c r="B1091" t="s">
        <v>44</v>
      </c>
      <c r="C1091" t="s">
        <v>37</v>
      </c>
      <c r="D1091">
        <v>674</v>
      </c>
      <c r="E1091" t="s">
        <v>46</v>
      </c>
      <c r="G1091">
        <v>13</v>
      </c>
      <c r="H1091">
        <v>3</v>
      </c>
      <c r="I1091" t="s">
        <v>52</v>
      </c>
      <c r="J1091" t="str">
        <f>WA_Fn_UseC__HR_Employee_Attrition[[#This Row],[EducationField]]&amp;"-"&amp;WA_Fn_UseC__HR_Employee_Attrition[[#This Row],[Department]]</f>
        <v>Medical-Research &amp; Development</v>
      </c>
      <c r="K1091">
        <v>1</v>
      </c>
      <c r="L1091">
        <v>1543</v>
      </c>
      <c r="M1091">
        <v>1</v>
      </c>
      <c r="N1091" t="s">
        <v>47</v>
      </c>
      <c r="O1091">
        <v>47</v>
      </c>
      <c r="P1091">
        <v>3</v>
      </c>
      <c r="Q1091">
        <v>2</v>
      </c>
      <c r="R1091" t="s">
        <v>48</v>
      </c>
      <c r="S1091">
        <v>4</v>
      </c>
      <c r="T1091" t="s">
        <v>49</v>
      </c>
      <c r="U1091">
        <v>4285</v>
      </c>
      <c r="V1091" t="str" cm="1">
        <f t="array" ref="V109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91">
        <v>3031</v>
      </c>
      <c r="X1091">
        <v>1</v>
      </c>
      <c r="Y1091" t="s">
        <v>43</v>
      </c>
      <c r="Z1091" t="s">
        <v>44</v>
      </c>
      <c r="AA1091">
        <v>17</v>
      </c>
      <c r="AB1091">
        <v>3</v>
      </c>
      <c r="AC1091">
        <v>1</v>
      </c>
      <c r="AD1091">
        <v>80</v>
      </c>
      <c r="AE1091">
        <v>0</v>
      </c>
      <c r="AF1091">
        <v>10</v>
      </c>
      <c r="AG1091">
        <v>2</v>
      </c>
      <c r="AH1091">
        <v>3</v>
      </c>
      <c r="AI1091">
        <v>10</v>
      </c>
      <c r="AJ1091">
        <v>8</v>
      </c>
      <c r="AK1091">
        <v>3</v>
      </c>
      <c r="AL1091" t="str" cm="1">
        <f t="array" ref="AL109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91">
        <v>7</v>
      </c>
    </row>
    <row r="1092" spans="1:39" x14ac:dyDescent="0.25">
      <c r="A1092">
        <v>29</v>
      </c>
      <c r="B1092" t="s">
        <v>44</v>
      </c>
      <c r="C1092" t="s">
        <v>37</v>
      </c>
      <c r="D1092">
        <v>441</v>
      </c>
      <c r="E1092" t="s">
        <v>46</v>
      </c>
      <c r="G1092">
        <v>8</v>
      </c>
      <c r="H1092">
        <v>1</v>
      </c>
      <c r="I1092" t="s">
        <v>50</v>
      </c>
      <c r="J1092" t="str">
        <f>WA_Fn_UseC__HR_Employee_Attrition[[#This Row],[EducationField]]&amp;"-"&amp;WA_Fn_UseC__HR_Employee_Attrition[[#This Row],[Department]]</f>
        <v>Other-Research &amp; Development</v>
      </c>
      <c r="K1092">
        <v>1</v>
      </c>
      <c r="L1092">
        <v>1544</v>
      </c>
      <c r="M1092">
        <v>3</v>
      </c>
      <c r="N1092" t="s">
        <v>40</v>
      </c>
      <c r="O1092">
        <v>39</v>
      </c>
      <c r="P1092">
        <v>1</v>
      </c>
      <c r="Q1092">
        <v>2</v>
      </c>
      <c r="R1092" t="s">
        <v>55</v>
      </c>
      <c r="S1092">
        <v>1</v>
      </c>
      <c r="T1092" t="s">
        <v>49</v>
      </c>
      <c r="U1092">
        <v>9715</v>
      </c>
      <c r="V1092" t="str" cm="1">
        <f t="array" ref="V109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92">
        <v>7288</v>
      </c>
      <c r="X1092">
        <v>3</v>
      </c>
      <c r="Y1092" t="s">
        <v>43</v>
      </c>
      <c r="Z1092" t="s">
        <v>44</v>
      </c>
      <c r="AA1092">
        <v>13</v>
      </c>
      <c r="AB1092">
        <v>3</v>
      </c>
      <c r="AC1092">
        <v>3</v>
      </c>
      <c r="AD1092">
        <v>80</v>
      </c>
      <c r="AE1092">
        <v>1</v>
      </c>
      <c r="AF1092">
        <v>9</v>
      </c>
      <c r="AG1092">
        <v>3</v>
      </c>
      <c r="AH1092">
        <v>3</v>
      </c>
      <c r="AI1092">
        <v>7</v>
      </c>
      <c r="AJ1092">
        <v>7</v>
      </c>
      <c r="AK1092">
        <v>0</v>
      </c>
      <c r="AL1092" t="str" cm="1">
        <f t="array" ref="AL109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92">
        <v>7</v>
      </c>
    </row>
    <row r="1093" spans="1:39" x14ac:dyDescent="0.25">
      <c r="A1093">
        <v>33</v>
      </c>
      <c r="B1093" t="s">
        <v>44</v>
      </c>
      <c r="C1093" t="s">
        <v>37</v>
      </c>
      <c r="D1093">
        <v>575</v>
      </c>
      <c r="E1093" t="s">
        <v>46</v>
      </c>
      <c r="G1093">
        <v>25</v>
      </c>
      <c r="H1093">
        <v>3</v>
      </c>
      <c r="I1093" t="s">
        <v>39</v>
      </c>
      <c r="J1093" t="str">
        <f>WA_Fn_UseC__HR_Employee_Attrition[[#This Row],[EducationField]]&amp;"-"&amp;WA_Fn_UseC__HR_Employee_Attrition[[#This Row],[Department]]</f>
        <v>Life Sciences-Research &amp; Development</v>
      </c>
      <c r="K1093">
        <v>1</v>
      </c>
      <c r="L1093">
        <v>1545</v>
      </c>
      <c r="M1093">
        <v>4</v>
      </c>
      <c r="N1093" t="s">
        <v>47</v>
      </c>
      <c r="O1093">
        <v>44</v>
      </c>
      <c r="P1093">
        <v>2</v>
      </c>
      <c r="Q1093">
        <v>2</v>
      </c>
      <c r="R1093" t="s">
        <v>54</v>
      </c>
      <c r="S1093">
        <v>2</v>
      </c>
      <c r="T1093" t="s">
        <v>42</v>
      </c>
      <c r="U1093">
        <v>4320</v>
      </c>
      <c r="V1093" t="str" cm="1">
        <f t="array" ref="V109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93">
        <v>24152</v>
      </c>
      <c r="X1093">
        <v>1</v>
      </c>
      <c r="Y1093" t="s">
        <v>43</v>
      </c>
      <c r="Z1093" t="s">
        <v>44</v>
      </c>
      <c r="AA1093">
        <v>13</v>
      </c>
      <c r="AB1093">
        <v>3</v>
      </c>
      <c r="AC1093">
        <v>4</v>
      </c>
      <c r="AD1093">
        <v>80</v>
      </c>
      <c r="AE1093">
        <v>0</v>
      </c>
      <c r="AF1093">
        <v>5</v>
      </c>
      <c r="AG1093">
        <v>2</v>
      </c>
      <c r="AH1093">
        <v>3</v>
      </c>
      <c r="AI1093">
        <v>5</v>
      </c>
      <c r="AJ1093">
        <v>3</v>
      </c>
      <c r="AK1093">
        <v>0</v>
      </c>
      <c r="AL1093" t="str" cm="1">
        <f t="array" ref="AL109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93">
        <v>2</v>
      </c>
    </row>
    <row r="1094" spans="1:39" x14ac:dyDescent="0.25">
      <c r="A1094">
        <v>45</v>
      </c>
      <c r="B1094" t="s">
        <v>44</v>
      </c>
      <c r="C1094" t="s">
        <v>37</v>
      </c>
      <c r="D1094">
        <v>950</v>
      </c>
      <c r="E1094" t="s">
        <v>46</v>
      </c>
      <c r="G1094">
        <v>28</v>
      </c>
      <c r="H1094">
        <v>3</v>
      </c>
      <c r="I1094" t="s">
        <v>61</v>
      </c>
      <c r="J1094" t="str">
        <f>WA_Fn_UseC__HR_Employee_Attrition[[#This Row],[EducationField]]&amp;"-"&amp;WA_Fn_UseC__HR_Employee_Attrition[[#This Row],[Department]]</f>
        <v>Technical Degree-Research &amp; Development</v>
      </c>
      <c r="K1094">
        <v>1</v>
      </c>
      <c r="L1094">
        <v>1546</v>
      </c>
      <c r="M1094">
        <v>4</v>
      </c>
      <c r="N1094" t="s">
        <v>47</v>
      </c>
      <c r="O1094">
        <v>97</v>
      </c>
      <c r="P1094">
        <v>3</v>
      </c>
      <c r="Q1094">
        <v>1</v>
      </c>
      <c r="R1094" t="s">
        <v>48</v>
      </c>
      <c r="S1094">
        <v>4</v>
      </c>
      <c r="T1094" t="s">
        <v>49</v>
      </c>
      <c r="U1094">
        <v>2132</v>
      </c>
      <c r="V1094" t="str" cm="1">
        <f t="array" ref="V109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94">
        <v>4585</v>
      </c>
      <c r="X1094">
        <v>4</v>
      </c>
      <c r="Y1094" t="s">
        <v>43</v>
      </c>
      <c r="Z1094" t="s">
        <v>44</v>
      </c>
      <c r="AA1094">
        <v>20</v>
      </c>
      <c r="AB1094">
        <v>4</v>
      </c>
      <c r="AC1094">
        <v>4</v>
      </c>
      <c r="AD1094">
        <v>80</v>
      </c>
      <c r="AE1094">
        <v>1</v>
      </c>
      <c r="AF1094">
        <v>8</v>
      </c>
      <c r="AG1094">
        <v>3</v>
      </c>
      <c r="AH1094">
        <v>3</v>
      </c>
      <c r="AI1094">
        <v>5</v>
      </c>
      <c r="AJ1094">
        <v>4</v>
      </c>
      <c r="AK1094">
        <v>0</v>
      </c>
      <c r="AL1094" t="str" cm="1">
        <f t="array" ref="AL109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94">
        <v>3</v>
      </c>
    </row>
    <row r="1095" spans="1:39" x14ac:dyDescent="0.25">
      <c r="A1095">
        <v>42</v>
      </c>
      <c r="B1095" t="s">
        <v>44</v>
      </c>
      <c r="C1095" t="s">
        <v>45</v>
      </c>
      <c r="D1095">
        <v>288</v>
      </c>
      <c r="E1095" t="s">
        <v>46</v>
      </c>
      <c r="G1095">
        <v>2</v>
      </c>
      <c r="H1095">
        <v>3</v>
      </c>
      <c r="I1095" t="s">
        <v>39</v>
      </c>
      <c r="J1095" t="str">
        <f>WA_Fn_UseC__HR_Employee_Attrition[[#This Row],[EducationField]]&amp;"-"&amp;WA_Fn_UseC__HR_Employee_Attrition[[#This Row],[Department]]</f>
        <v>Life Sciences-Research &amp; Development</v>
      </c>
      <c r="K1095">
        <v>1</v>
      </c>
      <c r="L1095">
        <v>1547</v>
      </c>
      <c r="M1095">
        <v>4</v>
      </c>
      <c r="N1095" t="s">
        <v>47</v>
      </c>
      <c r="O1095">
        <v>40</v>
      </c>
      <c r="P1095">
        <v>3</v>
      </c>
      <c r="Q1095">
        <v>3</v>
      </c>
      <c r="R1095" t="s">
        <v>55</v>
      </c>
      <c r="S1095">
        <v>4</v>
      </c>
      <c r="T1095" t="s">
        <v>49</v>
      </c>
      <c r="U1095">
        <v>10124</v>
      </c>
      <c r="V1095" t="str" cm="1">
        <f t="array" ref="V109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95">
        <v>18611</v>
      </c>
      <c r="X1095">
        <v>2</v>
      </c>
      <c r="Y1095" t="s">
        <v>43</v>
      </c>
      <c r="Z1095" t="s">
        <v>36</v>
      </c>
      <c r="AA1095">
        <v>14</v>
      </c>
      <c r="AB1095">
        <v>3</v>
      </c>
      <c r="AC1095">
        <v>3</v>
      </c>
      <c r="AD1095">
        <v>80</v>
      </c>
      <c r="AE1095">
        <v>1</v>
      </c>
      <c r="AF1095">
        <v>24</v>
      </c>
      <c r="AG1095">
        <v>3</v>
      </c>
      <c r="AH1095">
        <v>1</v>
      </c>
      <c r="AI1095">
        <v>20</v>
      </c>
      <c r="AJ1095">
        <v>8</v>
      </c>
      <c r="AK1095">
        <v>13</v>
      </c>
      <c r="AL1095" t="str" cm="1">
        <f t="array" ref="AL109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95">
        <v>9</v>
      </c>
    </row>
    <row r="1096" spans="1:39" x14ac:dyDescent="0.25">
      <c r="A1096">
        <v>40</v>
      </c>
      <c r="B1096" t="s">
        <v>44</v>
      </c>
      <c r="C1096" t="s">
        <v>37</v>
      </c>
      <c r="D1096">
        <v>1342</v>
      </c>
      <c r="E1096" t="s">
        <v>38</v>
      </c>
      <c r="G1096">
        <v>9</v>
      </c>
      <c r="H1096">
        <v>2</v>
      </c>
      <c r="I1096" t="s">
        <v>52</v>
      </c>
      <c r="J1096" t="str">
        <f>WA_Fn_UseC__HR_Employee_Attrition[[#This Row],[EducationField]]&amp;"-"&amp;WA_Fn_UseC__HR_Employee_Attrition[[#This Row],[Department]]</f>
        <v>Medical-Sales</v>
      </c>
      <c r="K1096">
        <v>1</v>
      </c>
      <c r="L1096">
        <v>1548</v>
      </c>
      <c r="M1096">
        <v>1</v>
      </c>
      <c r="N1096" t="s">
        <v>47</v>
      </c>
      <c r="O1096">
        <v>47</v>
      </c>
      <c r="P1096">
        <v>3</v>
      </c>
      <c r="Q1096">
        <v>2</v>
      </c>
      <c r="R1096" t="s">
        <v>41</v>
      </c>
      <c r="S1096">
        <v>1</v>
      </c>
      <c r="T1096" t="s">
        <v>49</v>
      </c>
      <c r="U1096">
        <v>5473</v>
      </c>
      <c r="V1096" t="str" cm="1">
        <f t="array" ref="V109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96">
        <v>19345</v>
      </c>
      <c r="X1096">
        <v>0</v>
      </c>
      <c r="Y1096" t="s">
        <v>43</v>
      </c>
      <c r="Z1096" t="s">
        <v>44</v>
      </c>
      <c r="AA1096">
        <v>12</v>
      </c>
      <c r="AB1096">
        <v>3</v>
      </c>
      <c r="AC1096">
        <v>4</v>
      </c>
      <c r="AD1096">
        <v>80</v>
      </c>
      <c r="AE1096">
        <v>0</v>
      </c>
      <c r="AF1096">
        <v>9</v>
      </c>
      <c r="AG1096">
        <v>5</v>
      </c>
      <c r="AH1096">
        <v>4</v>
      </c>
      <c r="AI1096">
        <v>8</v>
      </c>
      <c r="AJ1096">
        <v>4</v>
      </c>
      <c r="AK1096">
        <v>7</v>
      </c>
      <c r="AL1096" t="str" cm="1">
        <f t="array" ref="AL109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96">
        <v>1</v>
      </c>
    </row>
    <row r="1097" spans="1:39" x14ac:dyDescent="0.25">
      <c r="A1097">
        <v>33</v>
      </c>
      <c r="B1097" t="s">
        <v>44</v>
      </c>
      <c r="C1097" t="s">
        <v>37</v>
      </c>
      <c r="D1097">
        <v>589</v>
      </c>
      <c r="E1097" t="s">
        <v>46</v>
      </c>
      <c r="G1097">
        <v>28</v>
      </c>
      <c r="H1097">
        <v>4</v>
      </c>
      <c r="I1097" t="s">
        <v>39</v>
      </c>
      <c r="J1097" t="str">
        <f>WA_Fn_UseC__HR_Employee_Attrition[[#This Row],[EducationField]]&amp;"-"&amp;WA_Fn_UseC__HR_Employee_Attrition[[#This Row],[Department]]</f>
        <v>Life Sciences-Research &amp; Development</v>
      </c>
      <c r="K1097">
        <v>1</v>
      </c>
      <c r="L1097">
        <v>1549</v>
      </c>
      <c r="M1097">
        <v>2</v>
      </c>
      <c r="N1097" t="s">
        <v>47</v>
      </c>
      <c r="O1097">
        <v>79</v>
      </c>
      <c r="P1097">
        <v>3</v>
      </c>
      <c r="Q1097">
        <v>2</v>
      </c>
      <c r="R1097" t="s">
        <v>51</v>
      </c>
      <c r="S1097">
        <v>3</v>
      </c>
      <c r="T1097" t="s">
        <v>49</v>
      </c>
      <c r="U1097">
        <v>5207</v>
      </c>
      <c r="V1097" t="str" cm="1">
        <f t="array" ref="V109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097">
        <v>22949</v>
      </c>
      <c r="X1097">
        <v>1</v>
      </c>
      <c r="Y1097" t="s">
        <v>43</v>
      </c>
      <c r="Z1097" t="s">
        <v>36</v>
      </c>
      <c r="AA1097">
        <v>12</v>
      </c>
      <c r="AB1097">
        <v>3</v>
      </c>
      <c r="AC1097">
        <v>2</v>
      </c>
      <c r="AD1097">
        <v>80</v>
      </c>
      <c r="AE1097">
        <v>1</v>
      </c>
      <c r="AF1097">
        <v>15</v>
      </c>
      <c r="AG1097">
        <v>3</v>
      </c>
      <c r="AH1097">
        <v>3</v>
      </c>
      <c r="AI1097">
        <v>15</v>
      </c>
      <c r="AJ1097">
        <v>14</v>
      </c>
      <c r="AK1097">
        <v>5</v>
      </c>
      <c r="AL1097" t="str" cm="1">
        <f t="array" ref="AL109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097">
        <v>7</v>
      </c>
    </row>
    <row r="1098" spans="1:39" x14ac:dyDescent="0.25">
      <c r="A1098">
        <v>40</v>
      </c>
      <c r="B1098" t="s">
        <v>44</v>
      </c>
      <c r="C1098" t="s">
        <v>37</v>
      </c>
      <c r="D1098">
        <v>898</v>
      </c>
      <c r="E1098" t="s">
        <v>62</v>
      </c>
      <c r="G1098">
        <v>6</v>
      </c>
      <c r="H1098">
        <v>2</v>
      </c>
      <c r="I1098" t="s">
        <v>52</v>
      </c>
      <c r="J1098" t="str">
        <f>WA_Fn_UseC__HR_Employee_Attrition[[#This Row],[EducationField]]&amp;"-"&amp;WA_Fn_UseC__HR_Employee_Attrition[[#This Row],[Department]]</f>
        <v>Medical-Human Resources</v>
      </c>
      <c r="K1098">
        <v>1</v>
      </c>
      <c r="L1098">
        <v>1550</v>
      </c>
      <c r="M1098">
        <v>3</v>
      </c>
      <c r="N1098" t="s">
        <v>47</v>
      </c>
      <c r="O1098">
        <v>38</v>
      </c>
      <c r="P1098">
        <v>3</v>
      </c>
      <c r="Q1098">
        <v>4</v>
      </c>
      <c r="R1098" t="s">
        <v>57</v>
      </c>
      <c r="S1098">
        <v>4</v>
      </c>
      <c r="T1098" t="s">
        <v>42</v>
      </c>
      <c r="U1098">
        <v>16437</v>
      </c>
      <c r="V1098" t="str" cm="1">
        <f t="array" ref="V109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098">
        <v>17381</v>
      </c>
      <c r="X1098">
        <v>1</v>
      </c>
      <c r="Y1098" t="s">
        <v>43</v>
      </c>
      <c r="Z1098" t="s">
        <v>36</v>
      </c>
      <c r="AA1098">
        <v>21</v>
      </c>
      <c r="AB1098">
        <v>4</v>
      </c>
      <c r="AC1098">
        <v>4</v>
      </c>
      <c r="AD1098">
        <v>80</v>
      </c>
      <c r="AE1098">
        <v>0</v>
      </c>
      <c r="AF1098">
        <v>21</v>
      </c>
      <c r="AG1098">
        <v>2</v>
      </c>
      <c r="AH1098">
        <v>3</v>
      </c>
      <c r="AI1098">
        <v>21</v>
      </c>
      <c r="AJ1098">
        <v>7</v>
      </c>
      <c r="AK1098">
        <v>7</v>
      </c>
      <c r="AL1098" t="str" cm="1">
        <f t="array" ref="AL109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098">
        <v>7</v>
      </c>
    </row>
    <row r="1099" spans="1:39" x14ac:dyDescent="0.25">
      <c r="A1099">
        <v>24</v>
      </c>
      <c r="B1099" t="s">
        <v>44</v>
      </c>
      <c r="C1099" t="s">
        <v>37</v>
      </c>
      <c r="D1099">
        <v>350</v>
      </c>
      <c r="E1099" t="s">
        <v>46</v>
      </c>
      <c r="G1099">
        <v>21</v>
      </c>
      <c r="H1099">
        <v>2</v>
      </c>
      <c r="I1099" t="s">
        <v>61</v>
      </c>
      <c r="J1099" t="str">
        <f>WA_Fn_UseC__HR_Employee_Attrition[[#This Row],[EducationField]]&amp;"-"&amp;WA_Fn_UseC__HR_Employee_Attrition[[#This Row],[Department]]</f>
        <v>Technical Degree-Research &amp; Development</v>
      </c>
      <c r="K1099">
        <v>1</v>
      </c>
      <c r="L1099">
        <v>1551</v>
      </c>
      <c r="M1099">
        <v>3</v>
      </c>
      <c r="N1099" t="s">
        <v>47</v>
      </c>
      <c r="O1099">
        <v>57</v>
      </c>
      <c r="P1099">
        <v>2</v>
      </c>
      <c r="Q1099">
        <v>1</v>
      </c>
      <c r="R1099" t="s">
        <v>51</v>
      </c>
      <c r="S1099">
        <v>1</v>
      </c>
      <c r="T1099" t="s">
        <v>53</v>
      </c>
      <c r="U1099">
        <v>2296</v>
      </c>
      <c r="V1099" t="str" cm="1">
        <f t="array" ref="V109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099">
        <v>10036</v>
      </c>
      <c r="X1099">
        <v>0</v>
      </c>
      <c r="Y1099" t="s">
        <v>43</v>
      </c>
      <c r="Z1099" t="s">
        <v>44</v>
      </c>
      <c r="AA1099">
        <v>14</v>
      </c>
      <c r="AB1099">
        <v>3</v>
      </c>
      <c r="AC1099">
        <v>2</v>
      </c>
      <c r="AD1099">
        <v>80</v>
      </c>
      <c r="AE1099">
        <v>3</v>
      </c>
      <c r="AF1099">
        <v>2</v>
      </c>
      <c r="AG1099">
        <v>3</v>
      </c>
      <c r="AH1099">
        <v>3</v>
      </c>
      <c r="AI1099">
        <v>1</v>
      </c>
      <c r="AJ1099">
        <v>1</v>
      </c>
      <c r="AK1099">
        <v>0</v>
      </c>
      <c r="AL1099" t="str" cm="1">
        <f t="array" ref="AL109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099">
        <v>0</v>
      </c>
    </row>
    <row r="1100" spans="1:39" x14ac:dyDescent="0.25">
      <c r="A1100">
        <v>40</v>
      </c>
      <c r="B1100" t="s">
        <v>44</v>
      </c>
      <c r="C1100" t="s">
        <v>56</v>
      </c>
      <c r="D1100">
        <v>1142</v>
      </c>
      <c r="E1100" t="s">
        <v>46</v>
      </c>
      <c r="G1100">
        <v>8</v>
      </c>
      <c r="H1100">
        <v>2</v>
      </c>
      <c r="I1100" t="s">
        <v>39</v>
      </c>
      <c r="J1100" t="str">
        <f>WA_Fn_UseC__HR_Employee_Attrition[[#This Row],[EducationField]]&amp;"-"&amp;WA_Fn_UseC__HR_Employee_Attrition[[#This Row],[Department]]</f>
        <v>Life Sciences-Research &amp; Development</v>
      </c>
      <c r="K1100">
        <v>1</v>
      </c>
      <c r="L1100">
        <v>1552</v>
      </c>
      <c r="M1100">
        <v>4</v>
      </c>
      <c r="N1100" t="s">
        <v>47</v>
      </c>
      <c r="O1100">
        <v>72</v>
      </c>
      <c r="P1100">
        <v>3</v>
      </c>
      <c r="Q1100">
        <v>2</v>
      </c>
      <c r="R1100" t="s">
        <v>55</v>
      </c>
      <c r="S1100">
        <v>4</v>
      </c>
      <c r="T1100" t="s">
        <v>53</v>
      </c>
      <c r="U1100">
        <v>4069</v>
      </c>
      <c r="V1100" t="str" cm="1">
        <f t="array" ref="V110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00">
        <v>8841</v>
      </c>
      <c r="X1100">
        <v>3</v>
      </c>
      <c r="Y1100" t="s">
        <v>43</v>
      </c>
      <c r="Z1100" t="s">
        <v>36</v>
      </c>
      <c r="AA1100">
        <v>18</v>
      </c>
      <c r="AB1100">
        <v>3</v>
      </c>
      <c r="AC1100">
        <v>3</v>
      </c>
      <c r="AD1100">
        <v>80</v>
      </c>
      <c r="AE1100">
        <v>0</v>
      </c>
      <c r="AF1100">
        <v>8</v>
      </c>
      <c r="AG1100">
        <v>2</v>
      </c>
      <c r="AH1100">
        <v>3</v>
      </c>
      <c r="AI1100">
        <v>2</v>
      </c>
      <c r="AJ1100">
        <v>2</v>
      </c>
      <c r="AK1100">
        <v>2</v>
      </c>
      <c r="AL1100" t="str" cm="1">
        <f t="array" ref="AL110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00">
        <v>2</v>
      </c>
    </row>
    <row r="1101" spans="1:39" x14ac:dyDescent="0.25">
      <c r="A1101">
        <v>45</v>
      </c>
      <c r="B1101" t="s">
        <v>44</v>
      </c>
      <c r="C1101" t="s">
        <v>37</v>
      </c>
      <c r="D1101">
        <v>538</v>
      </c>
      <c r="E1101" t="s">
        <v>46</v>
      </c>
      <c r="G1101">
        <v>1</v>
      </c>
      <c r="H1101">
        <v>4</v>
      </c>
      <c r="I1101" t="s">
        <v>61</v>
      </c>
      <c r="J1101" t="str">
        <f>WA_Fn_UseC__HR_Employee_Attrition[[#This Row],[EducationField]]&amp;"-"&amp;WA_Fn_UseC__HR_Employee_Attrition[[#This Row],[Department]]</f>
        <v>Technical Degree-Research &amp; Development</v>
      </c>
      <c r="K1101">
        <v>1</v>
      </c>
      <c r="L1101">
        <v>1553</v>
      </c>
      <c r="M1101">
        <v>1</v>
      </c>
      <c r="N1101" t="s">
        <v>47</v>
      </c>
      <c r="O1101">
        <v>66</v>
      </c>
      <c r="P1101">
        <v>3</v>
      </c>
      <c r="Q1101">
        <v>3</v>
      </c>
      <c r="R1101" t="s">
        <v>55</v>
      </c>
      <c r="S1101">
        <v>2</v>
      </c>
      <c r="T1101" t="s">
        <v>53</v>
      </c>
      <c r="U1101">
        <v>7441</v>
      </c>
      <c r="V1101" t="str" cm="1">
        <f t="array" ref="V110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01">
        <v>20933</v>
      </c>
      <c r="X1101">
        <v>1</v>
      </c>
      <c r="Y1101" t="s">
        <v>43</v>
      </c>
      <c r="Z1101" t="s">
        <v>44</v>
      </c>
      <c r="AA1101">
        <v>12</v>
      </c>
      <c r="AB1101">
        <v>3</v>
      </c>
      <c r="AC1101">
        <v>1</v>
      </c>
      <c r="AD1101">
        <v>80</v>
      </c>
      <c r="AE1101">
        <v>3</v>
      </c>
      <c r="AF1101">
        <v>10</v>
      </c>
      <c r="AG1101">
        <v>4</v>
      </c>
      <c r="AH1101">
        <v>3</v>
      </c>
      <c r="AI1101">
        <v>10</v>
      </c>
      <c r="AJ1101">
        <v>8</v>
      </c>
      <c r="AK1101">
        <v>7</v>
      </c>
      <c r="AL1101" t="str" cm="1">
        <f t="array" ref="AL110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01">
        <v>7</v>
      </c>
    </row>
    <row r="1102" spans="1:39" x14ac:dyDescent="0.25">
      <c r="A1102">
        <v>35</v>
      </c>
      <c r="B1102" t="s">
        <v>44</v>
      </c>
      <c r="C1102" t="s">
        <v>37</v>
      </c>
      <c r="D1102">
        <v>1402</v>
      </c>
      <c r="E1102" t="s">
        <v>38</v>
      </c>
      <c r="G1102">
        <v>28</v>
      </c>
      <c r="H1102">
        <v>4</v>
      </c>
      <c r="I1102" t="s">
        <v>39</v>
      </c>
      <c r="J1102" t="str">
        <f>WA_Fn_UseC__HR_Employee_Attrition[[#This Row],[EducationField]]&amp;"-"&amp;WA_Fn_UseC__HR_Employee_Attrition[[#This Row],[Department]]</f>
        <v>Life Sciences-Sales</v>
      </c>
      <c r="K1102">
        <v>1</v>
      </c>
      <c r="L1102">
        <v>1554</v>
      </c>
      <c r="M1102">
        <v>2</v>
      </c>
      <c r="N1102" t="s">
        <v>40</v>
      </c>
      <c r="O1102">
        <v>98</v>
      </c>
      <c r="P1102">
        <v>2</v>
      </c>
      <c r="Q1102">
        <v>1</v>
      </c>
      <c r="R1102" t="s">
        <v>58</v>
      </c>
      <c r="S1102">
        <v>3</v>
      </c>
      <c r="T1102" t="s">
        <v>49</v>
      </c>
      <c r="U1102">
        <v>2430</v>
      </c>
      <c r="V1102" t="str" cm="1">
        <f t="array" ref="V110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02">
        <v>26204</v>
      </c>
      <c r="X1102">
        <v>0</v>
      </c>
      <c r="Y1102" t="s">
        <v>43</v>
      </c>
      <c r="Z1102" t="s">
        <v>44</v>
      </c>
      <c r="AA1102">
        <v>23</v>
      </c>
      <c r="AB1102">
        <v>4</v>
      </c>
      <c r="AC1102">
        <v>1</v>
      </c>
      <c r="AD1102">
        <v>80</v>
      </c>
      <c r="AE1102">
        <v>2</v>
      </c>
      <c r="AF1102">
        <v>6</v>
      </c>
      <c r="AG1102">
        <v>5</v>
      </c>
      <c r="AH1102">
        <v>3</v>
      </c>
      <c r="AI1102">
        <v>5</v>
      </c>
      <c r="AJ1102">
        <v>3</v>
      </c>
      <c r="AK1102">
        <v>4</v>
      </c>
      <c r="AL1102" t="str" cm="1">
        <f t="array" ref="AL110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02">
        <v>2</v>
      </c>
    </row>
    <row r="1103" spans="1:39" x14ac:dyDescent="0.25">
      <c r="A1103">
        <v>32</v>
      </c>
      <c r="B1103" t="s">
        <v>44</v>
      </c>
      <c r="C1103" t="s">
        <v>37</v>
      </c>
      <c r="D1103">
        <v>824</v>
      </c>
      <c r="E1103" t="s">
        <v>46</v>
      </c>
      <c r="G1103">
        <v>5</v>
      </c>
      <c r="H1103">
        <v>2</v>
      </c>
      <c r="I1103" t="s">
        <v>39</v>
      </c>
      <c r="J1103" t="str">
        <f>WA_Fn_UseC__HR_Employee_Attrition[[#This Row],[EducationField]]&amp;"-"&amp;WA_Fn_UseC__HR_Employee_Attrition[[#This Row],[Department]]</f>
        <v>Life Sciences-Research &amp; Development</v>
      </c>
      <c r="K1103">
        <v>1</v>
      </c>
      <c r="L1103">
        <v>1555</v>
      </c>
      <c r="M1103">
        <v>4</v>
      </c>
      <c r="N1103" t="s">
        <v>40</v>
      </c>
      <c r="O1103">
        <v>67</v>
      </c>
      <c r="P1103">
        <v>2</v>
      </c>
      <c r="Q1103">
        <v>2</v>
      </c>
      <c r="R1103" t="s">
        <v>48</v>
      </c>
      <c r="S1103">
        <v>2</v>
      </c>
      <c r="T1103" t="s">
        <v>49</v>
      </c>
      <c r="U1103">
        <v>5878</v>
      </c>
      <c r="V1103" t="str" cm="1">
        <f t="array" ref="V110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03">
        <v>15624</v>
      </c>
      <c r="X1103">
        <v>3</v>
      </c>
      <c r="Y1103" t="s">
        <v>43</v>
      </c>
      <c r="Z1103" t="s">
        <v>44</v>
      </c>
      <c r="AA1103">
        <v>12</v>
      </c>
      <c r="AB1103">
        <v>3</v>
      </c>
      <c r="AC1103">
        <v>1</v>
      </c>
      <c r="AD1103">
        <v>80</v>
      </c>
      <c r="AE1103">
        <v>1</v>
      </c>
      <c r="AF1103">
        <v>12</v>
      </c>
      <c r="AG1103">
        <v>2</v>
      </c>
      <c r="AH1103">
        <v>3</v>
      </c>
      <c r="AI1103">
        <v>7</v>
      </c>
      <c r="AJ1103">
        <v>1</v>
      </c>
      <c r="AK1103">
        <v>2</v>
      </c>
      <c r="AL1103" t="str" cm="1">
        <f t="array" ref="AL110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03">
        <v>5</v>
      </c>
    </row>
    <row r="1104" spans="1:39" x14ac:dyDescent="0.25">
      <c r="A1104">
        <v>36</v>
      </c>
      <c r="B1104" t="s">
        <v>44</v>
      </c>
      <c r="C1104" t="s">
        <v>37</v>
      </c>
      <c r="D1104">
        <v>1157</v>
      </c>
      <c r="E1104" t="s">
        <v>38</v>
      </c>
      <c r="G1104">
        <v>2</v>
      </c>
      <c r="H1104">
        <v>4</v>
      </c>
      <c r="I1104" t="s">
        <v>39</v>
      </c>
      <c r="J1104" t="str">
        <f>WA_Fn_UseC__HR_Employee_Attrition[[#This Row],[EducationField]]&amp;"-"&amp;WA_Fn_UseC__HR_Employee_Attrition[[#This Row],[Department]]</f>
        <v>Life Sciences-Sales</v>
      </c>
      <c r="K1104">
        <v>1</v>
      </c>
      <c r="L1104">
        <v>1556</v>
      </c>
      <c r="M1104">
        <v>3</v>
      </c>
      <c r="N1104" t="s">
        <v>47</v>
      </c>
      <c r="O1104">
        <v>70</v>
      </c>
      <c r="P1104">
        <v>3</v>
      </c>
      <c r="Q1104">
        <v>1</v>
      </c>
      <c r="R1104" t="s">
        <v>58</v>
      </c>
      <c r="S1104">
        <v>4</v>
      </c>
      <c r="T1104" t="s">
        <v>42</v>
      </c>
      <c r="U1104">
        <v>2644</v>
      </c>
      <c r="V1104" t="str" cm="1">
        <f t="array" ref="V110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04">
        <v>17001</v>
      </c>
      <c r="X1104">
        <v>3</v>
      </c>
      <c r="Y1104" t="s">
        <v>43</v>
      </c>
      <c r="Z1104" t="s">
        <v>36</v>
      </c>
      <c r="AA1104">
        <v>21</v>
      </c>
      <c r="AB1104">
        <v>4</v>
      </c>
      <c r="AC1104">
        <v>4</v>
      </c>
      <c r="AD1104">
        <v>80</v>
      </c>
      <c r="AE1104">
        <v>0</v>
      </c>
      <c r="AF1104">
        <v>7</v>
      </c>
      <c r="AG1104">
        <v>3</v>
      </c>
      <c r="AH1104">
        <v>2</v>
      </c>
      <c r="AI1104">
        <v>3</v>
      </c>
      <c r="AJ1104">
        <v>2</v>
      </c>
      <c r="AK1104">
        <v>1</v>
      </c>
      <c r="AL1104" t="str" cm="1">
        <f t="array" ref="AL110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04">
        <v>2</v>
      </c>
    </row>
    <row r="1105" spans="1:39" x14ac:dyDescent="0.25">
      <c r="A1105">
        <v>48</v>
      </c>
      <c r="B1105" t="s">
        <v>44</v>
      </c>
      <c r="C1105" t="s">
        <v>37</v>
      </c>
      <c r="D1105">
        <v>492</v>
      </c>
      <c r="E1105" t="s">
        <v>38</v>
      </c>
      <c r="G1105">
        <v>16</v>
      </c>
      <c r="H1105">
        <v>4</v>
      </c>
      <c r="I1105" t="s">
        <v>39</v>
      </c>
      <c r="J1105" t="str">
        <f>WA_Fn_UseC__HR_Employee_Attrition[[#This Row],[EducationField]]&amp;"-"&amp;WA_Fn_UseC__HR_Employee_Attrition[[#This Row],[Department]]</f>
        <v>Life Sciences-Sales</v>
      </c>
      <c r="K1105">
        <v>1</v>
      </c>
      <c r="L1105">
        <v>1557</v>
      </c>
      <c r="M1105">
        <v>3</v>
      </c>
      <c r="N1105" t="s">
        <v>40</v>
      </c>
      <c r="O1105">
        <v>96</v>
      </c>
      <c r="P1105">
        <v>3</v>
      </c>
      <c r="Q1105">
        <v>2</v>
      </c>
      <c r="R1105" t="s">
        <v>41</v>
      </c>
      <c r="S1105">
        <v>3</v>
      </c>
      <c r="T1105" t="s">
        <v>53</v>
      </c>
      <c r="U1105">
        <v>6439</v>
      </c>
      <c r="V1105" t="str" cm="1">
        <f t="array" ref="V110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05">
        <v>13693</v>
      </c>
      <c r="X1105">
        <v>8</v>
      </c>
      <c r="Y1105" t="s">
        <v>43</v>
      </c>
      <c r="Z1105" t="s">
        <v>44</v>
      </c>
      <c r="AA1105">
        <v>14</v>
      </c>
      <c r="AB1105">
        <v>3</v>
      </c>
      <c r="AC1105">
        <v>3</v>
      </c>
      <c r="AD1105">
        <v>80</v>
      </c>
      <c r="AE1105">
        <v>1</v>
      </c>
      <c r="AF1105">
        <v>18</v>
      </c>
      <c r="AG1105">
        <v>2</v>
      </c>
      <c r="AH1105">
        <v>3</v>
      </c>
      <c r="AI1105">
        <v>8</v>
      </c>
      <c r="AJ1105">
        <v>7</v>
      </c>
      <c r="AK1105">
        <v>7</v>
      </c>
      <c r="AL1105" t="str" cm="1">
        <f t="array" ref="AL110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05">
        <v>7</v>
      </c>
    </row>
    <row r="1106" spans="1:39" x14ac:dyDescent="0.25">
      <c r="A1106">
        <v>29</v>
      </c>
      <c r="B1106" t="s">
        <v>44</v>
      </c>
      <c r="C1106" t="s">
        <v>37</v>
      </c>
      <c r="D1106">
        <v>598</v>
      </c>
      <c r="E1106" t="s">
        <v>46</v>
      </c>
      <c r="G1106">
        <v>9</v>
      </c>
      <c r="H1106">
        <v>3</v>
      </c>
      <c r="I1106" t="s">
        <v>39</v>
      </c>
      <c r="J1106" t="str">
        <f>WA_Fn_UseC__HR_Employee_Attrition[[#This Row],[EducationField]]&amp;"-"&amp;WA_Fn_UseC__HR_Employee_Attrition[[#This Row],[Department]]</f>
        <v>Life Sciences-Research &amp; Development</v>
      </c>
      <c r="K1106">
        <v>1</v>
      </c>
      <c r="L1106">
        <v>1558</v>
      </c>
      <c r="M1106">
        <v>3</v>
      </c>
      <c r="N1106" t="s">
        <v>47</v>
      </c>
      <c r="O1106">
        <v>91</v>
      </c>
      <c r="P1106">
        <v>4</v>
      </c>
      <c r="Q1106">
        <v>1</v>
      </c>
      <c r="R1106" t="s">
        <v>48</v>
      </c>
      <c r="S1106">
        <v>3</v>
      </c>
      <c r="T1106" t="s">
        <v>49</v>
      </c>
      <c r="U1106">
        <v>2451</v>
      </c>
      <c r="V1106" t="str" cm="1">
        <f t="array" ref="V110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06">
        <v>22376</v>
      </c>
      <c r="X1106">
        <v>6</v>
      </c>
      <c r="Y1106" t="s">
        <v>43</v>
      </c>
      <c r="Z1106" t="s">
        <v>44</v>
      </c>
      <c r="AA1106">
        <v>18</v>
      </c>
      <c r="AB1106">
        <v>3</v>
      </c>
      <c r="AC1106">
        <v>1</v>
      </c>
      <c r="AD1106">
        <v>80</v>
      </c>
      <c r="AE1106">
        <v>2</v>
      </c>
      <c r="AF1106">
        <v>5</v>
      </c>
      <c r="AG1106">
        <v>2</v>
      </c>
      <c r="AH1106">
        <v>2</v>
      </c>
      <c r="AI1106">
        <v>1</v>
      </c>
      <c r="AJ1106">
        <v>0</v>
      </c>
      <c r="AK1106">
        <v>0</v>
      </c>
      <c r="AL1106" t="str" cm="1">
        <f t="array" ref="AL110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06">
        <v>0</v>
      </c>
    </row>
    <row r="1107" spans="1:39" x14ac:dyDescent="0.25">
      <c r="A1107">
        <v>33</v>
      </c>
      <c r="B1107" t="s">
        <v>44</v>
      </c>
      <c r="C1107" t="s">
        <v>37</v>
      </c>
      <c r="D1107">
        <v>1242</v>
      </c>
      <c r="E1107" t="s">
        <v>38</v>
      </c>
      <c r="G1107">
        <v>8</v>
      </c>
      <c r="H1107">
        <v>4</v>
      </c>
      <c r="I1107" t="s">
        <v>39</v>
      </c>
      <c r="J1107" t="str">
        <f>WA_Fn_UseC__HR_Employee_Attrition[[#This Row],[EducationField]]&amp;"-"&amp;WA_Fn_UseC__HR_Employee_Attrition[[#This Row],[Department]]</f>
        <v>Life Sciences-Sales</v>
      </c>
      <c r="K1107">
        <v>1</v>
      </c>
      <c r="L1107">
        <v>1560</v>
      </c>
      <c r="M1107">
        <v>1</v>
      </c>
      <c r="N1107" t="s">
        <v>47</v>
      </c>
      <c r="O1107">
        <v>46</v>
      </c>
      <c r="P1107">
        <v>3</v>
      </c>
      <c r="Q1107">
        <v>2</v>
      </c>
      <c r="R1107" t="s">
        <v>41</v>
      </c>
      <c r="S1107">
        <v>1</v>
      </c>
      <c r="T1107" t="s">
        <v>49</v>
      </c>
      <c r="U1107">
        <v>6392</v>
      </c>
      <c r="V1107" t="str" cm="1">
        <f t="array" ref="V110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07">
        <v>10589</v>
      </c>
      <c r="X1107">
        <v>2</v>
      </c>
      <c r="Y1107" t="s">
        <v>43</v>
      </c>
      <c r="Z1107" t="s">
        <v>44</v>
      </c>
      <c r="AA1107">
        <v>13</v>
      </c>
      <c r="AB1107">
        <v>3</v>
      </c>
      <c r="AC1107">
        <v>4</v>
      </c>
      <c r="AD1107">
        <v>80</v>
      </c>
      <c r="AE1107">
        <v>1</v>
      </c>
      <c r="AF1107">
        <v>8</v>
      </c>
      <c r="AG1107">
        <v>6</v>
      </c>
      <c r="AH1107">
        <v>1</v>
      </c>
      <c r="AI1107">
        <v>2</v>
      </c>
      <c r="AJ1107">
        <v>2</v>
      </c>
      <c r="AK1107">
        <v>2</v>
      </c>
      <c r="AL1107" t="str" cm="1">
        <f t="array" ref="AL110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07">
        <v>2</v>
      </c>
    </row>
    <row r="1108" spans="1:39" x14ac:dyDescent="0.25">
      <c r="A1108">
        <v>30</v>
      </c>
      <c r="B1108" t="s">
        <v>36</v>
      </c>
      <c r="C1108" t="s">
        <v>37</v>
      </c>
      <c r="D1108">
        <v>740</v>
      </c>
      <c r="E1108" t="s">
        <v>38</v>
      </c>
      <c r="G1108">
        <v>1</v>
      </c>
      <c r="H1108">
        <v>3</v>
      </c>
      <c r="I1108" t="s">
        <v>39</v>
      </c>
      <c r="J1108" t="str">
        <f>WA_Fn_UseC__HR_Employee_Attrition[[#This Row],[EducationField]]&amp;"-"&amp;WA_Fn_UseC__HR_Employee_Attrition[[#This Row],[Department]]</f>
        <v>Life Sciences-Sales</v>
      </c>
      <c r="K1108">
        <v>1</v>
      </c>
      <c r="L1108">
        <v>1562</v>
      </c>
      <c r="M1108">
        <v>2</v>
      </c>
      <c r="N1108" t="s">
        <v>47</v>
      </c>
      <c r="O1108">
        <v>64</v>
      </c>
      <c r="P1108">
        <v>2</v>
      </c>
      <c r="Q1108">
        <v>2</v>
      </c>
      <c r="R1108" t="s">
        <v>41</v>
      </c>
      <c r="S1108">
        <v>1</v>
      </c>
      <c r="T1108" t="s">
        <v>49</v>
      </c>
      <c r="U1108">
        <v>9714</v>
      </c>
      <c r="V1108" t="str" cm="1">
        <f t="array" ref="V110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08">
        <v>5323</v>
      </c>
      <c r="X1108">
        <v>1</v>
      </c>
      <c r="Y1108" t="s">
        <v>43</v>
      </c>
      <c r="Z1108" t="s">
        <v>44</v>
      </c>
      <c r="AA1108">
        <v>11</v>
      </c>
      <c r="AB1108">
        <v>3</v>
      </c>
      <c r="AC1108">
        <v>4</v>
      </c>
      <c r="AD1108">
        <v>80</v>
      </c>
      <c r="AE1108">
        <v>1</v>
      </c>
      <c r="AF1108">
        <v>10</v>
      </c>
      <c r="AG1108">
        <v>4</v>
      </c>
      <c r="AH1108">
        <v>3</v>
      </c>
      <c r="AI1108">
        <v>10</v>
      </c>
      <c r="AJ1108">
        <v>8</v>
      </c>
      <c r="AK1108">
        <v>6</v>
      </c>
      <c r="AL1108" t="str" cm="1">
        <f t="array" ref="AL110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08">
        <v>7</v>
      </c>
    </row>
    <row r="1109" spans="1:39" x14ac:dyDescent="0.25">
      <c r="A1109">
        <v>38</v>
      </c>
      <c r="B1109" t="s">
        <v>44</v>
      </c>
      <c r="C1109" t="s">
        <v>45</v>
      </c>
      <c r="D1109">
        <v>888</v>
      </c>
      <c r="E1109" t="s">
        <v>62</v>
      </c>
      <c r="G1109">
        <v>10</v>
      </c>
      <c r="H1109">
        <v>4</v>
      </c>
      <c r="I1109" t="s">
        <v>62</v>
      </c>
      <c r="J1109" t="str">
        <f>WA_Fn_UseC__HR_Employee_Attrition[[#This Row],[EducationField]]&amp;"-"&amp;WA_Fn_UseC__HR_Employee_Attrition[[#This Row],[Department]]</f>
        <v>Human Resources-Human Resources</v>
      </c>
      <c r="K1109">
        <v>1</v>
      </c>
      <c r="L1109">
        <v>1563</v>
      </c>
      <c r="M1109">
        <v>3</v>
      </c>
      <c r="N1109" t="s">
        <v>47</v>
      </c>
      <c r="O1109">
        <v>71</v>
      </c>
      <c r="P1109">
        <v>3</v>
      </c>
      <c r="Q1109">
        <v>2</v>
      </c>
      <c r="R1109" t="s">
        <v>62</v>
      </c>
      <c r="S1109">
        <v>3</v>
      </c>
      <c r="T1109" t="s">
        <v>49</v>
      </c>
      <c r="U1109">
        <v>6077</v>
      </c>
      <c r="V1109" t="str" cm="1">
        <f t="array" ref="V110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09">
        <v>14814</v>
      </c>
      <c r="X1109">
        <v>3</v>
      </c>
      <c r="Y1109" t="s">
        <v>43</v>
      </c>
      <c r="Z1109" t="s">
        <v>44</v>
      </c>
      <c r="AA1109">
        <v>11</v>
      </c>
      <c r="AB1109">
        <v>3</v>
      </c>
      <c r="AC1109">
        <v>3</v>
      </c>
      <c r="AD1109">
        <v>80</v>
      </c>
      <c r="AE1109">
        <v>0</v>
      </c>
      <c r="AF1109">
        <v>10</v>
      </c>
      <c r="AG1109">
        <v>2</v>
      </c>
      <c r="AH1109">
        <v>3</v>
      </c>
      <c r="AI1109">
        <v>6</v>
      </c>
      <c r="AJ1109">
        <v>3</v>
      </c>
      <c r="AK1109">
        <v>1</v>
      </c>
      <c r="AL1109" t="str" cm="1">
        <f t="array" ref="AL110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09">
        <v>2</v>
      </c>
    </row>
    <row r="1110" spans="1:39" x14ac:dyDescent="0.25">
      <c r="A1110">
        <v>35</v>
      </c>
      <c r="B1110" t="s">
        <v>44</v>
      </c>
      <c r="C1110" t="s">
        <v>37</v>
      </c>
      <c r="D1110">
        <v>992</v>
      </c>
      <c r="E1110" t="s">
        <v>46</v>
      </c>
      <c r="G1110">
        <v>1</v>
      </c>
      <c r="H1110">
        <v>3</v>
      </c>
      <c r="I1110" t="s">
        <v>52</v>
      </c>
      <c r="J1110" t="str">
        <f>WA_Fn_UseC__HR_Employee_Attrition[[#This Row],[EducationField]]&amp;"-"&amp;WA_Fn_UseC__HR_Employee_Attrition[[#This Row],[Department]]</f>
        <v>Medical-Research &amp; Development</v>
      </c>
      <c r="K1110">
        <v>1</v>
      </c>
      <c r="L1110">
        <v>1564</v>
      </c>
      <c r="M1110">
        <v>4</v>
      </c>
      <c r="N1110" t="s">
        <v>47</v>
      </c>
      <c r="O1110">
        <v>68</v>
      </c>
      <c r="P1110">
        <v>2</v>
      </c>
      <c r="Q1110">
        <v>1</v>
      </c>
      <c r="R1110" t="s">
        <v>51</v>
      </c>
      <c r="S1110">
        <v>1</v>
      </c>
      <c r="T1110" t="s">
        <v>42</v>
      </c>
      <c r="U1110">
        <v>2450</v>
      </c>
      <c r="V1110" t="str" cm="1">
        <f t="array" ref="V111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10">
        <v>21731</v>
      </c>
      <c r="X1110">
        <v>1</v>
      </c>
      <c r="Y1110" t="s">
        <v>43</v>
      </c>
      <c r="Z1110" t="s">
        <v>44</v>
      </c>
      <c r="AA1110">
        <v>19</v>
      </c>
      <c r="AB1110">
        <v>3</v>
      </c>
      <c r="AC1110">
        <v>2</v>
      </c>
      <c r="AD1110">
        <v>80</v>
      </c>
      <c r="AE1110">
        <v>0</v>
      </c>
      <c r="AF1110">
        <v>3</v>
      </c>
      <c r="AG1110">
        <v>3</v>
      </c>
      <c r="AH1110">
        <v>3</v>
      </c>
      <c r="AI1110">
        <v>3</v>
      </c>
      <c r="AJ1110">
        <v>0</v>
      </c>
      <c r="AK1110">
        <v>1</v>
      </c>
      <c r="AL1110" t="str" cm="1">
        <f t="array" ref="AL111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10">
        <v>2</v>
      </c>
    </row>
    <row r="1111" spans="1:39" x14ac:dyDescent="0.25">
      <c r="A1111">
        <v>30</v>
      </c>
      <c r="B1111" t="s">
        <v>44</v>
      </c>
      <c r="C1111" t="s">
        <v>37</v>
      </c>
      <c r="D1111">
        <v>1288</v>
      </c>
      <c r="E1111" t="s">
        <v>38</v>
      </c>
      <c r="G1111">
        <v>29</v>
      </c>
      <c r="H1111">
        <v>4</v>
      </c>
      <c r="I1111" t="s">
        <v>61</v>
      </c>
      <c r="J1111" t="str">
        <f>WA_Fn_UseC__HR_Employee_Attrition[[#This Row],[EducationField]]&amp;"-"&amp;WA_Fn_UseC__HR_Employee_Attrition[[#This Row],[Department]]</f>
        <v>Technical Degree-Sales</v>
      </c>
      <c r="K1111">
        <v>1</v>
      </c>
      <c r="L1111">
        <v>1568</v>
      </c>
      <c r="M1111">
        <v>3</v>
      </c>
      <c r="N1111" t="s">
        <v>47</v>
      </c>
      <c r="O1111">
        <v>33</v>
      </c>
      <c r="P1111">
        <v>3</v>
      </c>
      <c r="Q1111">
        <v>3</v>
      </c>
      <c r="R1111" t="s">
        <v>41</v>
      </c>
      <c r="S1111">
        <v>2</v>
      </c>
      <c r="T1111" t="s">
        <v>49</v>
      </c>
      <c r="U1111">
        <v>9250</v>
      </c>
      <c r="V1111" t="str" cm="1">
        <f t="array" ref="V111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11">
        <v>17799</v>
      </c>
      <c r="X1111">
        <v>3</v>
      </c>
      <c r="Y1111" t="s">
        <v>43</v>
      </c>
      <c r="Z1111" t="s">
        <v>44</v>
      </c>
      <c r="AA1111">
        <v>12</v>
      </c>
      <c r="AB1111">
        <v>3</v>
      </c>
      <c r="AC1111">
        <v>2</v>
      </c>
      <c r="AD1111">
        <v>80</v>
      </c>
      <c r="AE1111">
        <v>1</v>
      </c>
      <c r="AF1111">
        <v>9</v>
      </c>
      <c r="AG1111">
        <v>3</v>
      </c>
      <c r="AH1111">
        <v>3</v>
      </c>
      <c r="AI1111">
        <v>4</v>
      </c>
      <c r="AJ1111">
        <v>2</v>
      </c>
      <c r="AK1111">
        <v>1</v>
      </c>
      <c r="AL1111" t="str" cm="1">
        <f t="array" ref="AL111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11">
        <v>3</v>
      </c>
    </row>
    <row r="1112" spans="1:39" x14ac:dyDescent="0.25">
      <c r="A1112">
        <v>35</v>
      </c>
      <c r="B1112" t="s">
        <v>36</v>
      </c>
      <c r="C1112" t="s">
        <v>37</v>
      </c>
      <c r="D1112">
        <v>104</v>
      </c>
      <c r="E1112" t="s">
        <v>46</v>
      </c>
      <c r="G1112">
        <v>2</v>
      </c>
      <c r="H1112">
        <v>3</v>
      </c>
      <c r="I1112" t="s">
        <v>39</v>
      </c>
      <c r="J1112" t="str">
        <f>WA_Fn_UseC__HR_Employee_Attrition[[#This Row],[EducationField]]&amp;"-"&amp;WA_Fn_UseC__HR_Employee_Attrition[[#This Row],[Department]]</f>
        <v>Life Sciences-Research &amp; Development</v>
      </c>
      <c r="K1112">
        <v>1</v>
      </c>
      <c r="L1112">
        <v>1569</v>
      </c>
      <c r="M1112">
        <v>1</v>
      </c>
      <c r="N1112" t="s">
        <v>40</v>
      </c>
      <c r="O1112">
        <v>69</v>
      </c>
      <c r="P1112">
        <v>3</v>
      </c>
      <c r="Q1112">
        <v>1</v>
      </c>
      <c r="R1112" t="s">
        <v>51</v>
      </c>
      <c r="S1112">
        <v>1</v>
      </c>
      <c r="T1112" t="s">
        <v>53</v>
      </c>
      <c r="U1112">
        <v>2074</v>
      </c>
      <c r="V1112" t="str" cm="1">
        <f t="array" ref="V111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12">
        <v>26619</v>
      </c>
      <c r="X1112">
        <v>1</v>
      </c>
      <c r="Y1112" t="s">
        <v>43</v>
      </c>
      <c r="Z1112" t="s">
        <v>36</v>
      </c>
      <c r="AA1112">
        <v>12</v>
      </c>
      <c r="AB1112">
        <v>3</v>
      </c>
      <c r="AC1112">
        <v>4</v>
      </c>
      <c r="AD1112">
        <v>80</v>
      </c>
      <c r="AE1112">
        <v>1</v>
      </c>
      <c r="AF1112">
        <v>1</v>
      </c>
      <c r="AG1112">
        <v>2</v>
      </c>
      <c r="AH1112">
        <v>3</v>
      </c>
      <c r="AI1112">
        <v>1</v>
      </c>
      <c r="AJ1112">
        <v>0</v>
      </c>
      <c r="AK1112">
        <v>0</v>
      </c>
      <c r="AL1112" t="str" cm="1">
        <f t="array" ref="AL111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12">
        <v>0</v>
      </c>
    </row>
    <row r="1113" spans="1:39" x14ac:dyDescent="0.25">
      <c r="A1113">
        <v>53</v>
      </c>
      <c r="B1113" t="s">
        <v>36</v>
      </c>
      <c r="C1113" t="s">
        <v>37</v>
      </c>
      <c r="D1113">
        <v>607</v>
      </c>
      <c r="E1113" t="s">
        <v>46</v>
      </c>
      <c r="G1113">
        <v>2</v>
      </c>
      <c r="H1113">
        <v>5</v>
      </c>
      <c r="I1113" t="s">
        <v>61</v>
      </c>
      <c r="J1113" t="str">
        <f>WA_Fn_UseC__HR_Employee_Attrition[[#This Row],[EducationField]]&amp;"-"&amp;WA_Fn_UseC__HR_Employee_Attrition[[#This Row],[Department]]</f>
        <v>Technical Degree-Research &amp; Development</v>
      </c>
      <c r="K1113">
        <v>1</v>
      </c>
      <c r="L1113">
        <v>1572</v>
      </c>
      <c r="M1113">
        <v>3</v>
      </c>
      <c r="N1113" t="s">
        <v>40</v>
      </c>
      <c r="O1113">
        <v>78</v>
      </c>
      <c r="P1113">
        <v>2</v>
      </c>
      <c r="Q1113">
        <v>3</v>
      </c>
      <c r="R1113" t="s">
        <v>54</v>
      </c>
      <c r="S1113">
        <v>4</v>
      </c>
      <c r="T1113" t="s">
        <v>49</v>
      </c>
      <c r="U1113">
        <v>10169</v>
      </c>
      <c r="V1113" t="str" cm="1">
        <f t="array" ref="V111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13">
        <v>14618</v>
      </c>
      <c r="X1113">
        <v>0</v>
      </c>
      <c r="Y1113" t="s">
        <v>43</v>
      </c>
      <c r="Z1113" t="s">
        <v>44</v>
      </c>
      <c r="AA1113">
        <v>16</v>
      </c>
      <c r="AB1113">
        <v>3</v>
      </c>
      <c r="AC1113">
        <v>2</v>
      </c>
      <c r="AD1113">
        <v>80</v>
      </c>
      <c r="AE1113">
        <v>1</v>
      </c>
      <c r="AF1113">
        <v>34</v>
      </c>
      <c r="AG1113">
        <v>4</v>
      </c>
      <c r="AH1113">
        <v>3</v>
      </c>
      <c r="AI1113">
        <v>33</v>
      </c>
      <c r="AJ1113">
        <v>7</v>
      </c>
      <c r="AK1113">
        <v>1</v>
      </c>
      <c r="AL1113" t="str" cm="1">
        <f t="array" ref="AL111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13">
        <v>9</v>
      </c>
    </row>
    <row r="1114" spans="1:39" x14ac:dyDescent="0.25">
      <c r="A1114">
        <v>38</v>
      </c>
      <c r="B1114" t="s">
        <v>36</v>
      </c>
      <c r="C1114" t="s">
        <v>37</v>
      </c>
      <c r="D1114">
        <v>903</v>
      </c>
      <c r="E1114" t="s">
        <v>46</v>
      </c>
      <c r="G1114">
        <v>2</v>
      </c>
      <c r="H1114">
        <v>3</v>
      </c>
      <c r="I1114" t="s">
        <v>52</v>
      </c>
      <c r="J1114" t="str">
        <f>WA_Fn_UseC__HR_Employee_Attrition[[#This Row],[EducationField]]&amp;"-"&amp;WA_Fn_UseC__HR_Employee_Attrition[[#This Row],[Department]]</f>
        <v>Medical-Research &amp; Development</v>
      </c>
      <c r="K1114">
        <v>1</v>
      </c>
      <c r="L1114">
        <v>1573</v>
      </c>
      <c r="M1114">
        <v>3</v>
      </c>
      <c r="N1114" t="s">
        <v>47</v>
      </c>
      <c r="O1114">
        <v>81</v>
      </c>
      <c r="P1114">
        <v>3</v>
      </c>
      <c r="Q1114">
        <v>2</v>
      </c>
      <c r="R1114" t="s">
        <v>54</v>
      </c>
      <c r="S1114">
        <v>2</v>
      </c>
      <c r="T1114" t="s">
        <v>49</v>
      </c>
      <c r="U1114">
        <v>4855</v>
      </c>
      <c r="V1114" t="str" cm="1">
        <f t="array" ref="V111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14">
        <v>7653</v>
      </c>
      <c r="X1114">
        <v>4</v>
      </c>
      <c r="Y1114" t="s">
        <v>43</v>
      </c>
      <c r="Z1114" t="s">
        <v>44</v>
      </c>
      <c r="AA1114">
        <v>11</v>
      </c>
      <c r="AB1114">
        <v>3</v>
      </c>
      <c r="AC1114">
        <v>1</v>
      </c>
      <c r="AD1114">
        <v>80</v>
      </c>
      <c r="AE1114">
        <v>2</v>
      </c>
      <c r="AF1114">
        <v>7</v>
      </c>
      <c r="AG1114">
        <v>2</v>
      </c>
      <c r="AH1114">
        <v>3</v>
      </c>
      <c r="AI1114">
        <v>5</v>
      </c>
      <c r="AJ1114">
        <v>2</v>
      </c>
      <c r="AK1114">
        <v>1</v>
      </c>
      <c r="AL1114" t="str" cm="1">
        <f t="array" ref="AL111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14">
        <v>4</v>
      </c>
    </row>
    <row r="1115" spans="1:39" x14ac:dyDescent="0.25">
      <c r="A1115">
        <v>32</v>
      </c>
      <c r="B1115" t="s">
        <v>44</v>
      </c>
      <c r="C1115" t="s">
        <v>56</v>
      </c>
      <c r="D1115">
        <v>1200</v>
      </c>
      <c r="E1115" t="s">
        <v>46</v>
      </c>
      <c r="G1115">
        <v>1</v>
      </c>
      <c r="H1115">
        <v>4</v>
      </c>
      <c r="I1115" t="s">
        <v>61</v>
      </c>
      <c r="J1115" t="str">
        <f>WA_Fn_UseC__HR_Employee_Attrition[[#This Row],[EducationField]]&amp;"-"&amp;WA_Fn_UseC__HR_Employee_Attrition[[#This Row],[Department]]</f>
        <v>Technical Degree-Research &amp; Development</v>
      </c>
      <c r="K1115">
        <v>1</v>
      </c>
      <c r="L1115">
        <v>1574</v>
      </c>
      <c r="M1115">
        <v>4</v>
      </c>
      <c r="N1115" t="s">
        <v>47</v>
      </c>
      <c r="O1115">
        <v>62</v>
      </c>
      <c r="P1115">
        <v>3</v>
      </c>
      <c r="Q1115">
        <v>2</v>
      </c>
      <c r="R1115" t="s">
        <v>48</v>
      </c>
      <c r="S1115">
        <v>1</v>
      </c>
      <c r="T1115" t="s">
        <v>49</v>
      </c>
      <c r="U1115">
        <v>4087</v>
      </c>
      <c r="V1115" t="str" cm="1">
        <f t="array" ref="V111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15">
        <v>25174</v>
      </c>
      <c r="X1115">
        <v>4</v>
      </c>
      <c r="Y1115" t="s">
        <v>43</v>
      </c>
      <c r="Z1115" t="s">
        <v>44</v>
      </c>
      <c r="AA1115">
        <v>14</v>
      </c>
      <c r="AB1115">
        <v>3</v>
      </c>
      <c r="AC1115">
        <v>2</v>
      </c>
      <c r="AD1115">
        <v>80</v>
      </c>
      <c r="AE1115">
        <v>1</v>
      </c>
      <c r="AF1115">
        <v>9</v>
      </c>
      <c r="AG1115">
        <v>3</v>
      </c>
      <c r="AH1115">
        <v>2</v>
      </c>
      <c r="AI1115">
        <v>6</v>
      </c>
      <c r="AJ1115">
        <v>5</v>
      </c>
      <c r="AK1115">
        <v>1</v>
      </c>
      <c r="AL1115" t="str" cm="1">
        <f t="array" ref="AL111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15">
        <v>2</v>
      </c>
    </row>
    <row r="1116" spans="1:39" x14ac:dyDescent="0.25">
      <c r="A1116">
        <v>48</v>
      </c>
      <c r="B1116" t="s">
        <v>44</v>
      </c>
      <c r="C1116" t="s">
        <v>37</v>
      </c>
      <c r="D1116">
        <v>1108</v>
      </c>
      <c r="E1116" t="s">
        <v>46</v>
      </c>
      <c r="G1116">
        <v>15</v>
      </c>
      <c r="H1116">
        <v>4</v>
      </c>
      <c r="I1116" t="s">
        <v>50</v>
      </c>
      <c r="J1116" t="str">
        <f>WA_Fn_UseC__HR_Employee_Attrition[[#This Row],[EducationField]]&amp;"-"&amp;WA_Fn_UseC__HR_Employee_Attrition[[#This Row],[Department]]</f>
        <v>Other-Research &amp; Development</v>
      </c>
      <c r="K1116">
        <v>1</v>
      </c>
      <c r="L1116">
        <v>1576</v>
      </c>
      <c r="M1116">
        <v>3</v>
      </c>
      <c r="N1116" t="s">
        <v>40</v>
      </c>
      <c r="O1116">
        <v>65</v>
      </c>
      <c r="P1116">
        <v>3</v>
      </c>
      <c r="Q1116">
        <v>1</v>
      </c>
      <c r="R1116" t="s">
        <v>48</v>
      </c>
      <c r="S1116">
        <v>1</v>
      </c>
      <c r="T1116" t="s">
        <v>49</v>
      </c>
      <c r="U1116">
        <v>2367</v>
      </c>
      <c r="V1116" t="str" cm="1">
        <f t="array" ref="V111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16">
        <v>16530</v>
      </c>
      <c r="X1116">
        <v>8</v>
      </c>
      <c r="Y1116" t="s">
        <v>43</v>
      </c>
      <c r="Z1116" t="s">
        <v>44</v>
      </c>
      <c r="AA1116">
        <v>12</v>
      </c>
      <c r="AB1116">
        <v>3</v>
      </c>
      <c r="AC1116">
        <v>4</v>
      </c>
      <c r="AD1116">
        <v>80</v>
      </c>
      <c r="AE1116">
        <v>1</v>
      </c>
      <c r="AF1116">
        <v>10</v>
      </c>
      <c r="AG1116">
        <v>3</v>
      </c>
      <c r="AH1116">
        <v>2</v>
      </c>
      <c r="AI1116">
        <v>8</v>
      </c>
      <c r="AJ1116">
        <v>2</v>
      </c>
      <c r="AK1116">
        <v>7</v>
      </c>
      <c r="AL1116" t="str" cm="1">
        <f t="array" ref="AL111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16">
        <v>6</v>
      </c>
    </row>
    <row r="1117" spans="1:39" x14ac:dyDescent="0.25">
      <c r="A1117">
        <v>34</v>
      </c>
      <c r="B1117" t="s">
        <v>44</v>
      </c>
      <c r="C1117" t="s">
        <v>37</v>
      </c>
      <c r="D1117">
        <v>479</v>
      </c>
      <c r="E1117" t="s">
        <v>46</v>
      </c>
      <c r="G1117">
        <v>7</v>
      </c>
      <c r="H1117">
        <v>4</v>
      </c>
      <c r="I1117" t="s">
        <v>52</v>
      </c>
      <c r="J1117" t="str">
        <f>WA_Fn_UseC__HR_Employee_Attrition[[#This Row],[EducationField]]&amp;"-"&amp;WA_Fn_UseC__HR_Employee_Attrition[[#This Row],[Department]]</f>
        <v>Medical-Research &amp; Development</v>
      </c>
      <c r="K1117">
        <v>1</v>
      </c>
      <c r="L1117">
        <v>1577</v>
      </c>
      <c r="M1117">
        <v>1</v>
      </c>
      <c r="N1117" t="s">
        <v>47</v>
      </c>
      <c r="O1117">
        <v>35</v>
      </c>
      <c r="P1117">
        <v>3</v>
      </c>
      <c r="Q1117">
        <v>1</v>
      </c>
      <c r="R1117" t="s">
        <v>48</v>
      </c>
      <c r="S1117">
        <v>4</v>
      </c>
      <c r="T1117" t="s">
        <v>42</v>
      </c>
      <c r="U1117">
        <v>2972</v>
      </c>
      <c r="V1117" t="str" cm="1">
        <f t="array" ref="V111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17">
        <v>22061</v>
      </c>
      <c r="X1117">
        <v>1</v>
      </c>
      <c r="Y1117" t="s">
        <v>43</v>
      </c>
      <c r="Z1117" t="s">
        <v>44</v>
      </c>
      <c r="AA1117">
        <v>13</v>
      </c>
      <c r="AB1117">
        <v>3</v>
      </c>
      <c r="AC1117">
        <v>3</v>
      </c>
      <c r="AD1117">
        <v>80</v>
      </c>
      <c r="AE1117">
        <v>0</v>
      </c>
      <c r="AF1117">
        <v>1</v>
      </c>
      <c r="AG1117">
        <v>4</v>
      </c>
      <c r="AH1117">
        <v>1</v>
      </c>
      <c r="AI1117">
        <v>1</v>
      </c>
      <c r="AJ1117">
        <v>0</v>
      </c>
      <c r="AK1117">
        <v>0</v>
      </c>
      <c r="AL1117" t="str" cm="1">
        <f t="array" ref="AL111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17">
        <v>0</v>
      </c>
    </row>
    <row r="1118" spans="1:39" x14ac:dyDescent="0.25">
      <c r="A1118">
        <v>55</v>
      </c>
      <c r="B1118" t="s">
        <v>44</v>
      </c>
      <c r="C1118" t="s">
        <v>37</v>
      </c>
      <c r="D1118">
        <v>685</v>
      </c>
      <c r="E1118" t="s">
        <v>38</v>
      </c>
      <c r="G1118">
        <v>26</v>
      </c>
      <c r="H1118">
        <v>5</v>
      </c>
      <c r="I1118" t="s">
        <v>60</v>
      </c>
      <c r="J1118" t="str">
        <f>WA_Fn_UseC__HR_Employee_Attrition[[#This Row],[EducationField]]&amp;"-"&amp;WA_Fn_UseC__HR_Employee_Attrition[[#This Row],[Department]]</f>
        <v>Marketing-Sales</v>
      </c>
      <c r="K1118">
        <v>1</v>
      </c>
      <c r="L1118">
        <v>1578</v>
      </c>
      <c r="M1118">
        <v>3</v>
      </c>
      <c r="N1118" t="s">
        <v>47</v>
      </c>
      <c r="O1118">
        <v>60</v>
      </c>
      <c r="P1118">
        <v>2</v>
      </c>
      <c r="Q1118">
        <v>5</v>
      </c>
      <c r="R1118" t="s">
        <v>57</v>
      </c>
      <c r="S1118">
        <v>4</v>
      </c>
      <c r="T1118" t="s">
        <v>49</v>
      </c>
      <c r="U1118">
        <v>19586</v>
      </c>
      <c r="V1118" t="str" cm="1">
        <f t="array" ref="V111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18">
        <v>23037</v>
      </c>
      <c r="X1118">
        <v>1</v>
      </c>
      <c r="Y1118" t="s">
        <v>43</v>
      </c>
      <c r="Z1118" t="s">
        <v>44</v>
      </c>
      <c r="AA1118">
        <v>21</v>
      </c>
      <c r="AB1118">
        <v>4</v>
      </c>
      <c r="AC1118">
        <v>3</v>
      </c>
      <c r="AD1118">
        <v>80</v>
      </c>
      <c r="AE1118">
        <v>1</v>
      </c>
      <c r="AF1118">
        <v>36</v>
      </c>
      <c r="AG1118">
        <v>3</v>
      </c>
      <c r="AH1118">
        <v>3</v>
      </c>
      <c r="AI1118">
        <v>36</v>
      </c>
      <c r="AJ1118">
        <v>6</v>
      </c>
      <c r="AK1118">
        <v>2</v>
      </c>
      <c r="AL1118" t="str" cm="1">
        <f t="array" ref="AL111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18">
        <v>13</v>
      </c>
    </row>
    <row r="1119" spans="1:39" x14ac:dyDescent="0.25">
      <c r="A1119">
        <v>34</v>
      </c>
      <c r="B1119" t="s">
        <v>44</v>
      </c>
      <c r="C1119" t="s">
        <v>37</v>
      </c>
      <c r="D1119">
        <v>1351</v>
      </c>
      <c r="E1119" t="s">
        <v>46</v>
      </c>
      <c r="G1119">
        <v>1</v>
      </c>
      <c r="H1119">
        <v>4</v>
      </c>
      <c r="I1119" t="s">
        <v>39</v>
      </c>
      <c r="J1119" t="str">
        <f>WA_Fn_UseC__HR_Employee_Attrition[[#This Row],[EducationField]]&amp;"-"&amp;WA_Fn_UseC__HR_Employee_Attrition[[#This Row],[Department]]</f>
        <v>Life Sciences-Research &amp; Development</v>
      </c>
      <c r="K1119">
        <v>1</v>
      </c>
      <c r="L1119">
        <v>1580</v>
      </c>
      <c r="M1119">
        <v>2</v>
      </c>
      <c r="N1119" t="s">
        <v>47</v>
      </c>
      <c r="O1119">
        <v>45</v>
      </c>
      <c r="P1119">
        <v>3</v>
      </c>
      <c r="Q1119">
        <v>2</v>
      </c>
      <c r="R1119" t="s">
        <v>48</v>
      </c>
      <c r="S1119">
        <v>4</v>
      </c>
      <c r="T1119" t="s">
        <v>49</v>
      </c>
      <c r="U1119">
        <v>5484</v>
      </c>
      <c r="V1119" t="str" cm="1">
        <f t="array" ref="V111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19">
        <v>13008</v>
      </c>
      <c r="X1119">
        <v>9</v>
      </c>
      <c r="Y1119" t="s">
        <v>43</v>
      </c>
      <c r="Z1119" t="s">
        <v>44</v>
      </c>
      <c r="AA1119">
        <v>17</v>
      </c>
      <c r="AB1119">
        <v>3</v>
      </c>
      <c r="AC1119">
        <v>2</v>
      </c>
      <c r="AD1119">
        <v>80</v>
      </c>
      <c r="AE1119">
        <v>1</v>
      </c>
      <c r="AF1119">
        <v>9</v>
      </c>
      <c r="AG1119">
        <v>3</v>
      </c>
      <c r="AH1119">
        <v>2</v>
      </c>
      <c r="AI1119">
        <v>2</v>
      </c>
      <c r="AJ1119">
        <v>2</v>
      </c>
      <c r="AK1119">
        <v>2</v>
      </c>
      <c r="AL1119" t="str" cm="1">
        <f t="array" ref="AL111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19">
        <v>1</v>
      </c>
    </row>
    <row r="1120" spans="1:39" x14ac:dyDescent="0.25">
      <c r="A1120">
        <v>26</v>
      </c>
      <c r="B1120" t="s">
        <v>44</v>
      </c>
      <c r="C1120" t="s">
        <v>37</v>
      </c>
      <c r="D1120">
        <v>474</v>
      </c>
      <c r="E1120" t="s">
        <v>46</v>
      </c>
      <c r="G1120">
        <v>3</v>
      </c>
      <c r="H1120">
        <v>3</v>
      </c>
      <c r="I1120" t="s">
        <v>39</v>
      </c>
      <c r="J1120" t="str">
        <f>WA_Fn_UseC__HR_Employee_Attrition[[#This Row],[EducationField]]&amp;"-"&amp;WA_Fn_UseC__HR_Employee_Attrition[[#This Row],[Department]]</f>
        <v>Life Sciences-Research &amp; Development</v>
      </c>
      <c r="K1120">
        <v>1</v>
      </c>
      <c r="L1120">
        <v>1581</v>
      </c>
      <c r="M1120">
        <v>1</v>
      </c>
      <c r="N1120" t="s">
        <v>40</v>
      </c>
      <c r="O1120">
        <v>89</v>
      </c>
      <c r="P1120">
        <v>3</v>
      </c>
      <c r="Q1120">
        <v>1</v>
      </c>
      <c r="R1120" t="s">
        <v>48</v>
      </c>
      <c r="S1120">
        <v>4</v>
      </c>
      <c r="T1120" t="s">
        <v>49</v>
      </c>
      <c r="U1120">
        <v>2061</v>
      </c>
      <c r="V1120" t="str" cm="1">
        <f t="array" ref="V112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20">
        <v>11133</v>
      </c>
      <c r="X1120">
        <v>1</v>
      </c>
      <c r="Y1120" t="s">
        <v>43</v>
      </c>
      <c r="Z1120" t="s">
        <v>44</v>
      </c>
      <c r="AA1120">
        <v>21</v>
      </c>
      <c r="AB1120">
        <v>4</v>
      </c>
      <c r="AC1120">
        <v>1</v>
      </c>
      <c r="AD1120">
        <v>80</v>
      </c>
      <c r="AE1120">
        <v>0</v>
      </c>
      <c r="AF1120">
        <v>1</v>
      </c>
      <c r="AG1120">
        <v>5</v>
      </c>
      <c r="AH1120">
        <v>3</v>
      </c>
      <c r="AI1120">
        <v>1</v>
      </c>
      <c r="AJ1120">
        <v>0</v>
      </c>
      <c r="AK1120">
        <v>0</v>
      </c>
      <c r="AL1120" t="str" cm="1">
        <f t="array" ref="AL112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20">
        <v>0</v>
      </c>
    </row>
    <row r="1121" spans="1:39" x14ac:dyDescent="0.25">
      <c r="A1121">
        <v>38</v>
      </c>
      <c r="B1121" t="s">
        <v>44</v>
      </c>
      <c r="C1121" t="s">
        <v>37</v>
      </c>
      <c r="D1121">
        <v>1245</v>
      </c>
      <c r="E1121" t="s">
        <v>38</v>
      </c>
      <c r="G1121">
        <v>14</v>
      </c>
      <c r="H1121">
        <v>3</v>
      </c>
      <c r="I1121" t="s">
        <v>39</v>
      </c>
      <c r="J1121" t="str">
        <f>WA_Fn_UseC__HR_Employee_Attrition[[#This Row],[EducationField]]&amp;"-"&amp;WA_Fn_UseC__HR_Employee_Attrition[[#This Row],[Department]]</f>
        <v>Life Sciences-Sales</v>
      </c>
      <c r="K1121">
        <v>1</v>
      </c>
      <c r="L1121">
        <v>1582</v>
      </c>
      <c r="M1121">
        <v>3</v>
      </c>
      <c r="N1121" t="s">
        <v>47</v>
      </c>
      <c r="O1121">
        <v>80</v>
      </c>
      <c r="P1121">
        <v>3</v>
      </c>
      <c r="Q1121">
        <v>2</v>
      </c>
      <c r="R1121" t="s">
        <v>41</v>
      </c>
      <c r="S1121">
        <v>2</v>
      </c>
      <c r="T1121" t="s">
        <v>49</v>
      </c>
      <c r="U1121">
        <v>9924</v>
      </c>
      <c r="V1121" t="str" cm="1">
        <f t="array" ref="V112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21">
        <v>12355</v>
      </c>
      <c r="X1121">
        <v>0</v>
      </c>
      <c r="Y1121" t="s">
        <v>43</v>
      </c>
      <c r="Z1121" t="s">
        <v>44</v>
      </c>
      <c r="AA1121">
        <v>11</v>
      </c>
      <c r="AB1121">
        <v>3</v>
      </c>
      <c r="AC1121">
        <v>4</v>
      </c>
      <c r="AD1121">
        <v>80</v>
      </c>
      <c r="AE1121">
        <v>1</v>
      </c>
      <c r="AF1121">
        <v>10</v>
      </c>
      <c r="AG1121">
        <v>3</v>
      </c>
      <c r="AH1121">
        <v>3</v>
      </c>
      <c r="AI1121">
        <v>9</v>
      </c>
      <c r="AJ1121">
        <v>8</v>
      </c>
      <c r="AK1121">
        <v>7</v>
      </c>
      <c r="AL1121" t="str" cm="1">
        <f t="array" ref="AL112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21">
        <v>7</v>
      </c>
    </row>
    <row r="1122" spans="1:39" x14ac:dyDescent="0.25">
      <c r="A1122">
        <v>38</v>
      </c>
      <c r="B1122" t="s">
        <v>44</v>
      </c>
      <c r="C1122" t="s">
        <v>37</v>
      </c>
      <c r="D1122">
        <v>437</v>
      </c>
      <c r="E1122" t="s">
        <v>38</v>
      </c>
      <c r="G1122">
        <v>16</v>
      </c>
      <c r="H1122">
        <v>3</v>
      </c>
      <c r="I1122" t="s">
        <v>39</v>
      </c>
      <c r="J1122" t="str">
        <f>WA_Fn_UseC__HR_Employee_Attrition[[#This Row],[EducationField]]&amp;"-"&amp;WA_Fn_UseC__HR_Employee_Attrition[[#This Row],[Department]]</f>
        <v>Life Sciences-Sales</v>
      </c>
      <c r="K1122">
        <v>1</v>
      </c>
      <c r="L1122">
        <v>1583</v>
      </c>
      <c r="M1122">
        <v>2</v>
      </c>
      <c r="N1122" t="s">
        <v>40</v>
      </c>
      <c r="O1122">
        <v>90</v>
      </c>
      <c r="P1122">
        <v>3</v>
      </c>
      <c r="Q1122">
        <v>2</v>
      </c>
      <c r="R1122" t="s">
        <v>41</v>
      </c>
      <c r="S1122">
        <v>2</v>
      </c>
      <c r="T1122" t="s">
        <v>42</v>
      </c>
      <c r="U1122">
        <v>4198</v>
      </c>
      <c r="V1122" t="str" cm="1">
        <f t="array" ref="V112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22">
        <v>16379</v>
      </c>
      <c r="X1122">
        <v>2</v>
      </c>
      <c r="Y1122" t="s">
        <v>43</v>
      </c>
      <c r="Z1122" t="s">
        <v>44</v>
      </c>
      <c r="AA1122">
        <v>12</v>
      </c>
      <c r="AB1122">
        <v>3</v>
      </c>
      <c r="AC1122">
        <v>2</v>
      </c>
      <c r="AD1122">
        <v>80</v>
      </c>
      <c r="AE1122">
        <v>0</v>
      </c>
      <c r="AF1122">
        <v>8</v>
      </c>
      <c r="AG1122">
        <v>5</v>
      </c>
      <c r="AH1122">
        <v>4</v>
      </c>
      <c r="AI1122">
        <v>3</v>
      </c>
      <c r="AJ1122">
        <v>2</v>
      </c>
      <c r="AK1122">
        <v>1</v>
      </c>
      <c r="AL1122" t="str" cm="1">
        <f t="array" ref="AL112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22">
        <v>2</v>
      </c>
    </row>
    <row r="1123" spans="1:39" x14ac:dyDescent="0.25">
      <c r="A1123">
        <v>36</v>
      </c>
      <c r="B1123" t="s">
        <v>44</v>
      </c>
      <c r="C1123" t="s">
        <v>37</v>
      </c>
      <c r="D1123">
        <v>884</v>
      </c>
      <c r="E1123" t="s">
        <v>38</v>
      </c>
      <c r="G1123">
        <v>1</v>
      </c>
      <c r="H1123">
        <v>4</v>
      </c>
      <c r="I1123" t="s">
        <v>39</v>
      </c>
      <c r="J1123" t="str">
        <f>WA_Fn_UseC__HR_Employee_Attrition[[#This Row],[EducationField]]&amp;"-"&amp;WA_Fn_UseC__HR_Employee_Attrition[[#This Row],[Department]]</f>
        <v>Life Sciences-Sales</v>
      </c>
      <c r="K1123">
        <v>1</v>
      </c>
      <c r="L1123">
        <v>1585</v>
      </c>
      <c r="M1123">
        <v>2</v>
      </c>
      <c r="N1123" t="s">
        <v>40</v>
      </c>
      <c r="O1123">
        <v>73</v>
      </c>
      <c r="P1123">
        <v>3</v>
      </c>
      <c r="Q1123">
        <v>2</v>
      </c>
      <c r="R1123" t="s">
        <v>41</v>
      </c>
      <c r="S1123">
        <v>3</v>
      </c>
      <c r="T1123" t="s">
        <v>42</v>
      </c>
      <c r="U1123">
        <v>6815</v>
      </c>
      <c r="V1123" t="str" cm="1">
        <f t="array" ref="V112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23">
        <v>21447</v>
      </c>
      <c r="X1123">
        <v>6</v>
      </c>
      <c r="Y1123" t="s">
        <v>43</v>
      </c>
      <c r="Z1123" t="s">
        <v>44</v>
      </c>
      <c r="AA1123">
        <v>13</v>
      </c>
      <c r="AB1123">
        <v>3</v>
      </c>
      <c r="AC1123">
        <v>1</v>
      </c>
      <c r="AD1123">
        <v>80</v>
      </c>
      <c r="AE1123">
        <v>0</v>
      </c>
      <c r="AF1123">
        <v>15</v>
      </c>
      <c r="AG1123">
        <v>5</v>
      </c>
      <c r="AH1123">
        <v>3</v>
      </c>
      <c r="AI1123">
        <v>1</v>
      </c>
      <c r="AJ1123">
        <v>0</v>
      </c>
      <c r="AK1123">
        <v>0</v>
      </c>
      <c r="AL1123" t="str" cm="1">
        <f t="array" ref="AL112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23">
        <v>0</v>
      </c>
    </row>
    <row r="1124" spans="1:39" x14ac:dyDescent="0.25">
      <c r="A1124">
        <v>29</v>
      </c>
      <c r="B1124" t="s">
        <v>44</v>
      </c>
      <c r="C1124" t="s">
        <v>37</v>
      </c>
      <c r="D1124">
        <v>1370</v>
      </c>
      <c r="E1124" t="s">
        <v>46</v>
      </c>
      <c r="G1124">
        <v>3</v>
      </c>
      <c r="H1124">
        <v>1</v>
      </c>
      <c r="I1124" t="s">
        <v>52</v>
      </c>
      <c r="J1124" t="str">
        <f>WA_Fn_UseC__HR_Employee_Attrition[[#This Row],[EducationField]]&amp;"-"&amp;WA_Fn_UseC__HR_Employee_Attrition[[#This Row],[Department]]</f>
        <v>Medical-Research &amp; Development</v>
      </c>
      <c r="K1124">
        <v>1</v>
      </c>
      <c r="L1124">
        <v>1586</v>
      </c>
      <c r="M1124">
        <v>2</v>
      </c>
      <c r="N1124" t="s">
        <v>47</v>
      </c>
      <c r="O1124">
        <v>87</v>
      </c>
      <c r="P1124">
        <v>3</v>
      </c>
      <c r="Q1124">
        <v>1</v>
      </c>
      <c r="R1124" t="s">
        <v>51</v>
      </c>
      <c r="S1124">
        <v>1</v>
      </c>
      <c r="T1124" t="s">
        <v>42</v>
      </c>
      <c r="U1124">
        <v>4723</v>
      </c>
      <c r="V1124" t="str" cm="1">
        <f t="array" ref="V112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24">
        <v>16213</v>
      </c>
      <c r="X1124">
        <v>1</v>
      </c>
      <c r="Y1124" t="s">
        <v>43</v>
      </c>
      <c r="Z1124" t="s">
        <v>36</v>
      </c>
      <c r="AA1124">
        <v>18</v>
      </c>
      <c r="AB1124">
        <v>3</v>
      </c>
      <c r="AC1124">
        <v>4</v>
      </c>
      <c r="AD1124">
        <v>80</v>
      </c>
      <c r="AE1124">
        <v>0</v>
      </c>
      <c r="AF1124">
        <v>10</v>
      </c>
      <c r="AG1124">
        <v>3</v>
      </c>
      <c r="AH1124">
        <v>3</v>
      </c>
      <c r="AI1124">
        <v>10</v>
      </c>
      <c r="AJ1124">
        <v>9</v>
      </c>
      <c r="AK1124">
        <v>1</v>
      </c>
      <c r="AL1124" t="str" cm="1">
        <f t="array" ref="AL112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24">
        <v>5</v>
      </c>
    </row>
    <row r="1125" spans="1:39" x14ac:dyDescent="0.25">
      <c r="A1125">
        <v>35</v>
      </c>
      <c r="B1125" t="s">
        <v>44</v>
      </c>
      <c r="C1125" t="s">
        <v>37</v>
      </c>
      <c r="D1125">
        <v>670</v>
      </c>
      <c r="E1125" t="s">
        <v>46</v>
      </c>
      <c r="G1125">
        <v>10</v>
      </c>
      <c r="H1125">
        <v>4</v>
      </c>
      <c r="I1125" t="s">
        <v>52</v>
      </c>
      <c r="J1125" t="str">
        <f>WA_Fn_UseC__HR_Employee_Attrition[[#This Row],[EducationField]]&amp;"-"&amp;WA_Fn_UseC__HR_Employee_Attrition[[#This Row],[Department]]</f>
        <v>Medical-Research &amp; Development</v>
      </c>
      <c r="K1125">
        <v>1</v>
      </c>
      <c r="L1125">
        <v>1587</v>
      </c>
      <c r="M1125">
        <v>1</v>
      </c>
      <c r="N1125" t="s">
        <v>40</v>
      </c>
      <c r="O1125">
        <v>51</v>
      </c>
      <c r="P1125">
        <v>3</v>
      </c>
      <c r="Q1125">
        <v>2</v>
      </c>
      <c r="R1125" t="s">
        <v>55</v>
      </c>
      <c r="S1125">
        <v>3</v>
      </c>
      <c r="T1125" t="s">
        <v>42</v>
      </c>
      <c r="U1125">
        <v>6142</v>
      </c>
      <c r="V1125" t="str" cm="1">
        <f t="array" ref="V112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25">
        <v>4223</v>
      </c>
      <c r="X1125">
        <v>3</v>
      </c>
      <c r="Y1125" t="s">
        <v>43</v>
      </c>
      <c r="Z1125" t="s">
        <v>36</v>
      </c>
      <c r="AA1125">
        <v>16</v>
      </c>
      <c r="AB1125">
        <v>3</v>
      </c>
      <c r="AC1125">
        <v>3</v>
      </c>
      <c r="AD1125">
        <v>80</v>
      </c>
      <c r="AE1125">
        <v>0</v>
      </c>
      <c r="AF1125">
        <v>10</v>
      </c>
      <c r="AG1125">
        <v>4</v>
      </c>
      <c r="AH1125">
        <v>3</v>
      </c>
      <c r="AI1125">
        <v>5</v>
      </c>
      <c r="AJ1125">
        <v>2</v>
      </c>
      <c r="AK1125">
        <v>0</v>
      </c>
      <c r="AL1125" t="str" cm="1">
        <f t="array" ref="AL112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25">
        <v>4</v>
      </c>
    </row>
    <row r="1126" spans="1:39" x14ac:dyDescent="0.25">
      <c r="A1126">
        <v>39</v>
      </c>
      <c r="B1126" t="s">
        <v>44</v>
      </c>
      <c r="C1126" t="s">
        <v>37</v>
      </c>
      <c r="D1126">
        <v>1462</v>
      </c>
      <c r="E1126" t="s">
        <v>38</v>
      </c>
      <c r="G1126">
        <v>6</v>
      </c>
      <c r="H1126">
        <v>3</v>
      </c>
      <c r="I1126" t="s">
        <v>52</v>
      </c>
      <c r="J1126" t="str">
        <f>WA_Fn_UseC__HR_Employee_Attrition[[#This Row],[EducationField]]&amp;"-"&amp;WA_Fn_UseC__HR_Employee_Attrition[[#This Row],[Department]]</f>
        <v>Medical-Sales</v>
      </c>
      <c r="K1126">
        <v>1</v>
      </c>
      <c r="L1126">
        <v>1588</v>
      </c>
      <c r="M1126">
        <v>4</v>
      </c>
      <c r="N1126" t="s">
        <v>47</v>
      </c>
      <c r="O1126">
        <v>38</v>
      </c>
      <c r="P1126">
        <v>4</v>
      </c>
      <c r="Q1126">
        <v>3</v>
      </c>
      <c r="R1126" t="s">
        <v>41</v>
      </c>
      <c r="S1126">
        <v>3</v>
      </c>
      <c r="T1126" t="s">
        <v>49</v>
      </c>
      <c r="U1126">
        <v>8237</v>
      </c>
      <c r="V1126" t="str" cm="1">
        <f t="array" ref="V112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26">
        <v>4658</v>
      </c>
      <c r="X1126">
        <v>2</v>
      </c>
      <c r="Y1126" t="s">
        <v>43</v>
      </c>
      <c r="Z1126" t="s">
        <v>44</v>
      </c>
      <c r="AA1126">
        <v>11</v>
      </c>
      <c r="AB1126">
        <v>3</v>
      </c>
      <c r="AC1126">
        <v>1</v>
      </c>
      <c r="AD1126">
        <v>80</v>
      </c>
      <c r="AE1126">
        <v>1</v>
      </c>
      <c r="AF1126">
        <v>11</v>
      </c>
      <c r="AG1126">
        <v>3</v>
      </c>
      <c r="AH1126">
        <v>3</v>
      </c>
      <c r="AI1126">
        <v>7</v>
      </c>
      <c r="AJ1126">
        <v>6</v>
      </c>
      <c r="AK1126">
        <v>7</v>
      </c>
      <c r="AL1126" t="str" cm="1">
        <f t="array" ref="AL112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26">
        <v>6</v>
      </c>
    </row>
    <row r="1127" spans="1:39" x14ac:dyDescent="0.25">
      <c r="A1127">
        <v>29</v>
      </c>
      <c r="B1127" t="s">
        <v>44</v>
      </c>
      <c r="C1127" t="s">
        <v>45</v>
      </c>
      <c r="D1127">
        <v>995</v>
      </c>
      <c r="E1127" t="s">
        <v>46</v>
      </c>
      <c r="G1127">
        <v>2</v>
      </c>
      <c r="H1127">
        <v>1</v>
      </c>
      <c r="I1127" t="s">
        <v>39</v>
      </c>
      <c r="J1127" t="str">
        <f>WA_Fn_UseC__HR_Employee_Attrition[[#This Row],[EducationField]]&amp;"-"&amp;WA_Fn_UseC__HR_Employee_Attrition[[#This Row],[Department]]</f>
        <v>Life Sciences-Research &amp; Development</v>
      </c>
      <c r="K1127">
        <v>1</v>
      </c>
      <c r="L1127">
        <v>1590</v>
      </c>
      <c r="M1127">
        <v>1</v>
      </c>
      <c r="N1127" t="s">
        <v>47</v>
      </c>
      <c r="O1127">
        <v>87</v>
      </c>
      <c r="P1127">
        <v>3</v>
      </c>
      <c r="Q1127">
        <v>2</v>
      </c>
      <c r="R1127" t="s">
        <v>55</v>
      </c>
      <c r="S1127">
        <v>4</v>
      </c>
      <c r="T1127" t="s">
        <v>53</v>
      </c>
      <c r="U1127">
        <v>8853</v>
      </c>
      <c r="V1127" t="str" cm="1">
        <f t="array" ref="V112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27">
        <v>24483</v>
      </c>
      <c r="X1127">
        <v>1</v>
      </c>
      <c r="Y1127" t="s">
        <v>43</v>
      </c>
      <c r="Z1127" t="s">
        <v>44</v>
      </c>
      <c r="AA1127">
        <v>19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0</v>
      </c>
      <c r="AH1127">
        <v>4</v>
      </c>
      <c r="AI1127">
        <v>6</v>
      </c>
      <c r="AJ1127">
        <v>4</v>
      </c>
      <c r="AK1127">
        <v>1</v>
      </c>
      <c r="AL1127" t="str" cm="1">
        <f t="array" ref="AL112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27">
        <v>3</v>
      </c>
    </row>
    <row r="1128" spans="1:39" x14ac:dyDescent="0.25">
      <c r="A1128">
        <v>50</v>
      </c>
      <c r="B1128" t="s">
        <v>44</v>
      </c>
      <c r="C1128" t="s">
        <v>37</v>
      </c>
      <c r="D1128">
        <v>264</v>
      </c>
      <c r="E1128" t="s">
        <v>38</v>
      </c>
      <c r="G1128">
        <v>9</v>
      </c>
      <c r="H1128">
        <v>3</v>
      </c>
      <c r="I1128" t="s">
        <v>60</v>
      </c>
      <c r="J1128" t="str">
        <f>WA_Fn_UseC__HR_Employee_Attrition[[#This Row],[EducationField]]&amp;"-"&amp;WA_Fn_UseC__HR_Employee_Attrition[[#This Row],[Department]]</f>
        <v>Marketing-Sales</v>
      </c>
      <c r="K1128">
        <v>1</v>
      </c>
      <c r="L1128">
        <v>1591</v>
      </c>
      <c r="M1128">
        <v>3</v>
      </c>
      <c r="N1128" t="s">
        <v>47</v>
      </c>
      <c r="O1128">
        <v>59</v>
      </c>
      <c r="P1128">
        <v>3</v>
      </c>
      <c r="Q1128">
        <v>5</v>
      </c>
      <c r="R1128" t="s">
        <v>57</v>
      </c>
      <c r="S1128">
        <v>3</v>
      </c>
      <c r="T1128" t="s">
        <v>49</v>
      </c>
      <c r="U1128">
        <v>19331</v>
      </c>
      <c r="V1128" t="str" cm="1">
        <f t="array" ref="V112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28">
        <v>19519</v>
      </c>
      <c r="X1128">
        <v>4</v>
      </c>
      <c r="Y1128" t="s">
        <v>43</v>
      </c>
      <c r="Z1128" t="s">
        <v>36</v>
      </c>
      <c r="AA1128">
        <v>16</v>
      </c>
      <c r="AB1128">
        <v>3</v>
      </c>
      <c r="AC1128">
        <v>3</v>
      </c>
      <c r="AD1128">
        <v>80</v>
      </c>
      <c r="AE1128">
        <v>1</v>
      </c>
      <c r="AF1128">
        <v>27</v>
      </c>
      <c r="AG1128">
        <v>2</v>
      </c>
      <c r="AH1128">
        <v>3</v>
      </c>
      <c r="AI1128">
        <v>1</v>
      </c>
      <c r="AJ1128">
        <v>0</v>
      </c>
      <c r="AK1128">
        <v>0</v>
      </c>
      <c r="AL1128" t="str" cm="1">
        <f t="array" ref="AL112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28">
        <v>0</v>
      </c>
    </row>
    <row r="1129" spans="1:39" x14ac:dyDescent="0.25">
      <c r="A1129">
        <v>23</v>
      </c>
      <c r="B1129" t="s">
        <v>44</v>
      </c>
      <c r="C1129" t="s">
        <v>37</v>
      </c>
      <c r="D1129">
        <v>977</v>
      </c>
      <c r="E1129" t="s">
        <v>46</v>
      </c>
      <c r="G1129">
        <v>10</v>
      </c>
      <c r="H1129">
        <v>3</v>
      </c>
      <c r="I1129" t="s">
        <v>61</v>
      </c>
      <c r="J1129" t="str">
        <f>WA_Fn_UseC__HR_Employee_Attrition[[#This Row],[EducationField]]&amp;"-"&amp;WA_Fn_UseC__HR_Employee_Attrition[[#This Row],[Department]]</f>
        <v>Technical Degree-Research &amp; Development</v>
      </c>
      <c r="K1129">
        <v>1</v>
      </c>
      <c r="L1129">
        <v>1592</v>
      </c>
      <c r="M1129">
        <v>4</v>
      </c>
      <c r="N1129" t="s">
        <v>47</v>
      </c>
      <c r="O1129">
        <v>45</v>
      </c>
      <c r="P1129">
        <v>4</v>
      </c>
      <c r="Q1129">
        <v>1</v>
      </c>
      <c r="R1129" t="s">
        <v>48</v>
      </c>
      <c r="S1129">
        <v>3</v>
      </c>
      <c r="T1129" t="s">
        <v>49</v>
      </c>
      <c r="U1129">
        <v>2073</v>
      </c>
      <c r="V1129" t="str" cm="1">
        <f t="array" ref="V112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29">
        <v>12826</v>
      </c>
      <c r="X1129">
        <v>2</v>
      </c>
      <c r="Y1129" t="s">
        <v>43</v>
      </c>
      <c r="Z1129" t="s">
        <v>44</v>
      </c>
      <c r="AA1129">
        <v>16</v>
      </c>
      <c r="AB1129">
        <v>3</v>
      </c>
      <c r="AC1129">
        <v>4</v>
      </c>
      <c r="AD1129">
        <v>80</v>
      </c>
      <c r="AE1129">
        <v>1</v>
      </c>
      <c r="AF1129">
        <v>4</v>
      </c>
      <c r="AG1129">
        <v>2</v>
      </c>
      <c r="AH1129">
        <v>3</v>
      </c>
      <c r="AI1129">
        <v>2</v>
      </c>
      <c r="AJ1129">
        <v>2</v>
      </c>
      <c r="AK1129">
        <v>2</v>
      </c>
      <c r="AL1129" t="str" cm="1">
        <f t="array" ref="AL112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29">
        <v>2</v>
      </c>
    </row>
    <row r="1130" spans="1:39" x14ac:dyDescent="0.25">
      <c r="A1130">
        <v>36</v>
      </c>
      <c r="B1130" t="s">
        <v>44</v>
      </c>
      <c r="C1130" t="s">
        <v>45</v>
      </c>
      <c r="D1130">
        <v>1302</v>
      </c>
      <c r="E1130" t="s">
        <v>46</v>
      </c>
      <c r="G1130">
        <v>6</v>
      </c>
      <c r="H1130">
        <v>4</v>
      </c>
      <c r="I1130" t="s">
        <v>39</v>
      </c>
      <c r="J1130" t="str">
        <f>WA_Fn_UseC__HR_Employee_Attrition[[#This Row],[EducationField]]&amp;"-"&amp;WA_Fn_UseC__HR_Employee_Attrition[[#This Row],[Department]]</f>
        <v>Life Sciences-Research &amp; Development</v>
      </c>
      <c r="K1130">
        <v>1</v>
      </c>
      <c r="L1130">
        <v>1594</v>
      </c>
      <c r="M1130">
        <v>1</v>
      </c>
      <c r="N1130" t="s">
        <v>47</v>
      </c>
      <c r="O1130">
        <v>80</v>
      </c>
      <c r="P1130">
        <v>4</v>
      </c>
      <c r="Q1130">
        <v>2</v>
      </c>
      <c r="R1130" t="s">
        <v>51</v>
      </c>
      <c r="S1130">
        <v>1</v>
      </c>
      <c r="T1130" t="s">
        <v>49</v>
      </c>
      <c r="U1130">
        <v>5562</v>
      </c>
      <c r="V1130" t="str" cm="1">
        <f t="array" ref="V113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30">
        <v>19711</v>
      </c>
      <c r="X1130">
        <v>3</v>
      </c>
      <c r="Y1130" t="s">
        <v>43</v>
      </c>
      <c r="Z1130" t="s">
        <v>36</v>
      </c>
      <c r="AA1130">
        <v>13</v>
      </c>
      <c r="AB1130">
        <v>3</v>
      </c>
      <c r="AC1130">
        <v>4</v>
      </c>
      <c r="AD1130">
        <v>80</v>
      </c>
      <c r="AE1130">
        <v>1</v>
      </c>
      <c r="AF1130">
        <v>9</v>
      </c>
      <c r="AG1130">
        <v>3</v>
      </c>
      <c r="AH1130">
        <v>3</v>
      </c>
      <c r="AI1130">
        <v>3</v>
      </c>
      <c r="AJ1130">
        <v>2</v>
      </c>
      <c r="AK1130">
        <v>0</v>
      </c>
      <c r="AL1130" t="str" cm="1">
        <f t="array" ref="AL113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30">
        <v>2</v>
      </c>
    </row>
    <row r="1131" spans="1:39" x14ac:dyDescent="0.25">
      <c r="A1131">
        <v>42</v>
      </c>
      <c r="B1131" t="s">
        <v>44</v>
      </c>
      <c r="C1131" t="s">
        <v>37</v>
      </c>
      <c r="D1131">
        <v>1059</v>
      </c>
      <c r="E1131" t="s">
        <v>46</v>
      </c>
      <c r="G1131">
        <v>9</v>
      </c>
      <c r="H1131">
        <v>2</v>
      </c>
      <c r="I1131" t="s">
        <v>50</v>
      </c>
      <c r="J1131" t="str">
        <f>WA_Fn_UseC__HR_Employee_Attrition[[#This Row],[EducationField]]&amp;"-"&amp;WA_Fn_UseC__HR_Employee_Attrition[[#This Row],[Department]]</f>
        <v>Other-Research &amp; Development</v>
      </c>
      <c r="K1131">
        <v>1</v>
      </c>
      <c r="L1131">
        <v>1595</v>
      </c>
      <c r="M1131">
        <v>4</v>
      </c>
      <c r="N1131" t="s">
        <v>47</v>
      </c>
      <c r="O1131">
        <v>93</v>
      </c>
      <c r="P1131">
        <v>2</v>
      </c>
      <c r="Q1131">
        <v>5</v>
      </c>
      <c r="R1131" t="s">
        <v>57</v>
      </c>
      <c r="S1131">
        <v>4</v>
      </c>
      <c r="T1131" t="s">
        <v>42</v>
      </c>
      <c r="U1131">
        <v>19613</v>
      </c>
      <c r="V1131" t="str" cm="1">
        <f t="array" ref="V113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31">
        <v>26362</v>
      </c>
      <c r="X1131">
        <v>8</v>
      </c>
      <c r="Y1131" t="s">
        <v>43</v>
      </c>
      <c r="Z1131" t="s">
        <v>44</v>
      </c>
      <c r="AA1131">
        <v>22</v>
      </c>
      <c r="AB1131">
        <v>4</v>
      </c>
      <c r="AC1131">
        <v>4</v>
      </c>
      <c r="AD1131">
        <v>80</v>
      </c>
      <c r="AE1131">
        <v>0</v>
      </c>
      <c r="AF1131">
        <v>24</v>
      </c>
      <c r="AG1131">
        <v>2</v>
      </c>
      <c r="AH1131">
        <v>3</v>
      </c>
      <c r="AI1131">
        <v>1</v>
      </c>
      <c r="AJ1131">
        <v>0</v>
      </c>
      <c r="AK1131">
        <v>0</v>
      </c>
      <c r="AL1131" t="str" cm="1">
        <f t="array" ref="AL113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31">
        <v>1</v>
      </c>
    </row>
    <row r="1132" spans="1:39" x14ac:dyDescent="0.25">
      <c r="A1132">
        <v>35</v>
      </c>
      <c r="B1132" t="s">
        <v>44</v>
      </c>
      <c r="C1132" t="s">
        <v>37</v>
      </c>
      <c r="D1132">
        <v>750</v>
      </c>
      <c r="E1132" t="s">
        <v>46</v>
      </c>
      <c r="G1132">
        <v>28</v>
      </c>
      <c r="H1132">
        <v>3</v>
      </c>
      <c r="I1132" t="s">
        <v>39</v>
      </c>
      <c r="J1132" t="str">
        <f>WA_Fn_UseC__HR_Employee_Attrition[[#This Row],[EducationField]]&amp;"-"&amp;WA_Fn_UseC__HR_Employee_Attrition[[#This Row],[Department]]</f>
        <v>Life Sciences-Research &amp; Development</v>
      </c>
      <c r="K1132">
        <v>1</v>
      </c>
      <c r="L1132">
        <v>1596</v>
      </c>
      <c r="M1132">
        <v>2</v>
      </c>
      <c r="N1132" t="s">
        <v>47</v>
      </c>
      <c r="O1132">
        <v>46</v>
      </c>
      <c r="P1132">
        <v>4</v>
      </c>
      <c r="Q1132">
        <v>2</v>
      </c>
      <c r="R1132" t="s">
        <v>51</v>
      </c>
      <c r="S1132">
        <v>3</v>
      </c>
      <c r="T1132" t="s">
        <v>49</v>
      </c>
      <c r="U1132">
        <v>3407</v>
      </c>
      <c r="V1132" t="str" cm="1">
        <f t="array" ref="V113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32">
        <v>25348</v>
      </c>
      <c r="X1132">
        <v>1</v>
      </c>
      <c r="Y1132" t="s">
        <v>43</v>
      </c>
      <c r="Z1132" t="s">
        <v>44</v>
      </c>
      <c r="AA1132">
        <v>17</v>
      </c>
      <c r="AB1132">
        <v>3</v>
      </c>
      <c r="AC1132">
        <v>4</v>
      </c>
      <c r="AD1132">
        <v>80</v>
      </c>
      <c r="AE1132">
        <v>2</v>
      </c>
      <c r="AF1132">
        <v>10</v>
      </c>
      <c r="AG1132">
        <v>3</v>
      </c>
      <c r="AH1132">
        <v>2</v>
      </c>
      <c r="AI1132">
        <v>10</v>
      </c>
      <c r="AJ1132">
        <v>9</v>
      </c>
      <c r="AK1132">
        <v>6</v>
      </c>
      <c r="AL1132" t="str" cm="1">
        <f t="array" ref="AL113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32">
        <v>8</v>
      </c>
    </row>
    <row r="1133" spans="1:39" x14ac:dyDescent="0.25">
      <c r="A1133">
        <v>34</v>
      </c>
      <c r="B1133" t="s">
        <v>44</v>
      </c>
      <c r="C1133" t="s">
        <v>45</v>
      </c>
      <c r="D1133">
        <v>653</v>
      </c>
      <c r="E1133" t="s">
        <v>46</v>
      </c>
      <c r="G1133">
        <v>10</v>
      </c>
      <c r="H1133">
        <v>4</v>
      </c>
      <c r="I1133" t="s">
        <v>61</v>
      </c>
      <c r="J1133" t="str">
        <f>WA_Fn_UseC__HR_Employee_Attrition[[#This Row],[EducationField]]&amp;"-"&amp;WA_Fn_UseC__HR_Employee_Attrition[[#This Row],[Department]]</f>
        <v>Technical Degree-Research &amp; Development</v>
      </c>
      <c r="K1133">
        <v>1</v>
      </c>
      <c r="L1133">
        <v>1597</v>
      </c>
      <c r="M1133">
        <v>4</v>
      </c>
      <c r="N1133" t="s">
        <v>47</v>
      </c>
      <c r="O1133">
        <v>92</v>
      </c>
      <c r="P1133">
        <v>2</v>
      </c>
      <c r="Q1133">
        <v>2</v>
      </c>
      <c r="R1133" t="s">
        <v>55</v>
      </c>
      <c r="S1133">
        <v>3</v>
      </c>
      <c r="T1133" t="s">
        <v>49</v>
      </c>
      <c r="U1133">
        <v>5063</v>
      </c>
      <c r="V1133" t="str" cm="1">
        <f t="array" ref="V113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33">
        <v>15332</v>
      </c>
      <c r="X1133">
        <v>1</v>
      </c>
      <c r="Y1133" t="s">
        <v>43</v>
      </c>
      <c r="Z1133" t="s">
        <v>44</v>
      </c>
      <c r="AA1133">
        <v>14</v>
      </c>
      <c r="AB1133">
        <v>3</v>
      </c>
      <c r="AC1133">
        <v>2</v>
      </c>
      <c r="AD1133">
        <v>80</v>
      </c>
      <c r="AE1133">
        <v>1</v>
      </c>
      <c r="AF1133">
        <v>8</v>
      </c>
      <c r="AG1133">
        <v>3</v>
      </c>
      <c r="AH1133">
        <v>2</v>
      </c>
      <c r="AI1133">
        <v>8</v>
      </c>
      <c r="AJ1133">
        <v>2</v>
      </c>
      <c r="AK1133">
        <v>7</v>
      </c>
      <c r="AL1133" t="str" cm="1">
        <f t="array" ref="AL113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33">
        <v>7</v>
      </c>
    </row>
    <row r="1134" spans="1:39" x14ac:dyDescent="0.25">
      <c r="A1134">
        <v>40</v>
      </c>
      <c r="B1134" t="s">
        <v>44</v>
      </c>
      <c r="C1134" t="s">
        <v>37</v>
      </c>
      <c r="D1134">
        <v>118</v>
      </c>
      <c r="E1134" t="s">
        <v>38</v>
      </c>
      <c r="G1134">
        <v>14</v>
      </c>
      <c r="H1134">
        <v>2</v>
      </c>
      <c r="I1134" t="s">
        <v>39</v>
      </c>
      <c r="J1134" t="str">
        <f>WA_Fn_UseC__HR_Employee_Attrition[[#This Row],[EducationField]]&amp;"-"&amp;WA_Fn_UseC__HR_Employee_Attrition[[#This Row],[Department]]</f>
        <v>Life Sciences-Sales</v>
      </c>
      <c r="K1134">
        <v>1</v>
      </c>
      <c r="L1134">
        <v>1598</v>
      </c>
      <c r="M1134">
        <v>4</v>
      </c>
      <c r="N1134" t="s">
        <v>40</v>
      </c>
      <c r="O1134">
        <v>84</v>
      </c>
      <c r="P1134">
        <v>3</v>
      </c>
      <c r="Q1134">
        <v>2</v>
      </c>
      <c r="R1134" t="s">
        <v>41</v>
      </c>
      <c r="S1134">
        <v>1</v>
      </c>
      <c r="T1134" t="s">
        <v>49</v>
      </c>
      <c r="U1134">
        <v>4639</v>
      </c>
      <c r="V1134" t="str" cm="1">
        <f t="array" ref="V113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34">
        <v>11262</v>
      </c>
      <c r="X1134">
        <v>1</v>
      </c>
      <c r="Y1134" t="s">
        <v>43</v>
      </c>
      <c r="Z1134" t="s">
        <v>44</v>
      </c>
      <c r="AA1134">
        <v>15</v>
      </c>
      <c r="AB1134">
        <v>3</v>
      </c>
      <c r="AC1134">
        <v>3</v>
      </c>
      <c r="AD1134">
        <v>80</v>
      </c>
      <c r="AE1134">
        <v>1</v>
      </c>
      <c r="AF1134">
        <v>5</v>
      </c>
      <c r="AG1134">
        <v>2</v>
      </c>
      <c r="AH1134">
        <v>3</v>
      </c>
      <c r="AI1134">
        <v>5</v>
      </c>
      <c r="AJ1134">
        <v>4</v>
      </c>
      <c r="AK1134">
        <v>1</v>
      </c>
      <c r="AL1134" t="str" cm="1">
        <f t="array" ref="AL113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34">
        <v>2</v>
      </c>
    </row>
    <row r="1135" spans="1:39" x14ac:dyDescent="0.25">
      <c r="A1135">
        <v>43</v>
      </c>
      <c r="B1135" t="s">
        <v>44</v>
      </c>
      <c r="C1135" t="s">
        <v>37</v>
      </c>
      <c r="D1135">
        <v>990</v>
      </c>
      <c r="E1135" t="s">
        <v>46</v>
      </c>
      <c r="G1135">
        <v>27</v>
      </c>
      <c r="H1135">
        <v>3</v>
      </c>
      <c r="I1135" t="s">
        <v>61</v>
      </c>
      <c r="J1135" t="str">
        <f>WA_Fn_UseC__HR_Employee_Attrition[[#This Row],[EducationField]]&amp;"-"&amp;WA_Fn_UseC__HR_Employee_Attrition[[#This Row],[Department]]</f>
        <v>Technical Degree-Research &amp; Development</v>
      </c>
      <c r="K1135">
        <v>1</v>
      </c>
      <c r="L1135">
        <v>1599</v>
      </c>
      <c r="M1135">
        <v>4</v>
      </c>
      <c r="N1135" t="s">
        <v>47</v>
      </c>
      <c r="O1135">
        <v>87</v>
      </c>
      <c r="P1135">
        <v>4</v>
      </c>
      <c r="Q1135">
        <v>1</v>
      </c>
      <c r="R1135" t="s">
        <v>51</v>
      </c>
      <c r="S1135">
        <v>2</v>
      </c>
      <c r="T1135" t="s">
        <v>53</v>
      </c>
      <c r="U1135">
        <v>4876</v>
      </c>
      <c r="V1135" t="str" cm="1">
        <f t="array" ref="V113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35">
        <v>5855</v>
      </c>
      <c r="X1135">
        <v>5</v>
      </c>
      <c r="Y1135" t="s">
        <v>43</v>
      </c>
      <c r="Z1135" t="s">
        <v>44</v>
      </c>
      <c r="AA1135">
        <v>12</v>
      </c>
      <c r="AB1135">
        <v>3</v>
      </c>
      <c r="AC1135">
        <v>3</v>
      </c>
      <c r="AD1135">
        <v>80</v>
      </c>
      <c r="AE1135">
        <v>1</v>
      </c>
      <c r="AF1135">
        <v>8</v>
      </c>
      <c r="AG1135">
        <v>0</v>
      </c>
      <c r="AH1135">
        <v>3</v>
      </c>
      <c r="AI1135">
        <v>6</v>
      </c>
      <c r="AJ1135">
        <v>4</v>
      </c>
      <c r="AK1135">
        <v>0</v>
      </c>
      <c r="AL1135" t="str" cm="1">
        <f t="array" ref="AL113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35">
        <v>2</v>
      </c>
    </row>
    <row r="1136" spans="1:39" x14ac:dyDescent="0.25">
      <c r="A1136">
        <v>35</v>
      </c>
      <c r="B1136" t="s">
        <v>44</v>
      </c>
      <c r="C1136" t="s">
        <v>37</v>
      </c>
      <c r="D1136">
        <v>1349</v>
      </c>
      <c r="E1136" t="s">
        <v>46</v>
      </c>
      <c r="G1136">
        <v>7</v>
      </c>
      <c r="H1136">
        <v>2</v>
      </c>
      <c r="I1136" t="s">
        <v>39</v>
      </c>
      <c r="J1136" t="str">
        <f>WA_Fn_UseC__HR_Employee_Attrition[[#This Row],[EducationField]]&amp;"-"&amp;WA_Fn_UseC__HR_Employee_Attrition[[#This Row],[Department]]</f>
        <v>Life Sciences-Research &amp; Development</v>
      </c>
      <c r="K1136">
        <v>1</v>
      </c>
      <c r="L1136">
        <v>1601</v>
      </c>
      <c r="M1136">
        <v>3</v>
      </c>
      <c r="N1136" t="s">
        <v>47</v>
      </c>
      <c r="O1136">
        <v>63</v>
      </c>
      <c r="P1136">
        <v>2</v>
      </c>
      <c r="Q1136">
        <v>1</v>
      </c>
      <c r="R1136" t="s">
        <v>51</v>
      </c>
      <c r="S1136">
        <v>4</v>
      </c>
      <c r="T1136" t="s">
        <v>49</v>
      </c>
      <c r="U1136">
        <v>2690</v>
      </c>
      <c r="V1136" t="str" cm="1">
        <f t="array" ref="V113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36">
        <v>7713</v>
      </c>
      <c r="X1136">
        <v>1</v>
      </c>
      <c r="Y1136" t="s">
        <v>43</v>
      </c>
      <c r="Z1136" t="s">
        <v>44</v>
      </c>
      <c r="AA1136">
        <v>18</v>
      </c>
      <c r="AB1136">
        <v>3</v>
      </c>
      <c r="AC1136">
        <v>4</v>
      </c>
      <c r="AD1136">
        <v>80</v>
      </c>
      <c r="AE1136">
        <v>1</v>
      </c>
      <c r="AF1136">
        <v>1</v>
      </c>
      <c r="AG1136">
        <v>5</v>
      </c>
      <c r="AH1136">
        <v>2</v>
      </c>
      <c r="AI1136">
        <v>1</v>
      </c>
      <c r="AJ1136">
        <v>0</v>
      </c>
      <c r="AK1136">
        <v>0</v>
      </c>
      <c r="AL1136" t="str" cm="1">
        <f t="array" ref="AL113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36">
        <v>1</v>
      </c>
    </row>
    <row r="1137" spans="1:39" x14ac:dyDescent="0.25">
      <c r="A1137">
        <v>46</v>
      </c>
      <c r="B1137" t="s">
        <v>44</v>
      </c>
      <c r="C1137" t="s">
        <v>37</v>
      </c>
      <c r="D1137">
        <v>563</v>
      </c>
      <c r="E1137" t="s">
        <v>38</v>
      </c>
      <c r="G1137">
        <v>1</v>
      </c>
      <c r="H1137">
        <v>4</v>
      </c>
      <c r="I1137" t="s">
        <v>39</v>
      </c>
      <c r="J1137" t="str">
        <f>WA_Fn_UseC__HR_Employee_Attrition[[#This Row],[EducationField]]&amp;"-"&amp;WA_Fn_UseC__HR_Employee_Attrition[[#This Row],[Department]]</f>
        <v>Life Sciences-Sales</v>
      </c>
      <c r="K1137">
        <v>1</v>
      </c>
      <c r="L1137">
        <v>1602</v>
      </c>
      <c r="M1137">
        <v>4</v>
      </c>
      <c r="N1137" t="s">
        <v>47</v>
      </c>
      <c r="O1137">
        <v>56</v>
      </c>
      <c r="P1137">
        <v>4</v>
      </c>
      <c r="Q1137">
        <v>4</v>
      </c>
      <c r="R1137" t="s">
        <v>57</v>
      </c>
      <c r="S1137">
        <v>1</v>
      </c>
      <c r="T1137" t="s">
        <v>42</v>
      </c>
      <c r="U1137">
        <v>17567</v>
      </c>
      <c r="V1137" t="str" cm="1">
        <f t="array" ref="V113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37">
        <v>3156</v>
      </c>
      <c r="X1137">
        <v>1</v>
      </c>
      <c r="Y1137" t="s">
        <v>43</v>
      </c>
      <c r="Z1137" t="s">
        <v>44</v>
      </c>
      <c r="AA1137">
        <v>15</v>
      </c>
      <c r="AB1137">
        <v>3</v>
      </c>
      <c r="AC1137">
        <v>2</v>
      </c>
      <c r="AD1137">
        <v>80</v>
      </c>
      <c r="AE1137">
        <v>0</v>
      </c>
      <c r="AF1137">
        <v>27</v>
      </c>
      <c r="AG1137">
        <v>5</v>
      </c>
      <c r="AH1137">
        <v>1</v>
      </c>
      <c r="AI1137">
        <v>26</v>
      </c>
      <c r="AJ1137">
        <v>0</v>
      </c>
      <c r="AK1137">
        <v>0</v>
      </c>
      <c r="AL1137" t="str" cm="1">
        <f t="array" ref="AL113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37">
        <v>12</v>
      </c>
    </row>
    <row r="1138" spans="1:39" x14ac:dyDescent="0.25">
      <c r="A1138">
        <v>28</v>
      </c>
      <c r="B1138" t="s">
        <v>36</v>
      </c>
      <c r="C1138" t="s">
        <v>37</v>
      </c>
      <c r="D1138">
        <v>329</v>
      </c>
      <c r="E1138" t="s">
        <v>46</v>
      </c>
      <c r="G1138">
        <v>24</v>
      </c>
      <c r="H1138">
        <v>3</v>
      </c>
      <c r="I1138" t="s">
        <v>52</v>
      </c>
      <c r="J1138" t="str">
        <f>WA_Fn_UseC__HR_Employee_Attrition[[#This Row],[EducationField]]&amp;"-"&amp;WA_Fn_UseC__HR_Employee_Attrition[[#This Row],[Department]]</f>
        <v>Medical-Research &amp; Development</v>
      </c>
      <c r="K1138">
        <v>1</v>
      </c>
      <c r="L1138">
        <v>1604</v>
      </c>
      <c r="M1138">
        <v>3</v>
      </c>
      <c r="N1138" t="s">
        <v>47</v>
      </c>
      <c r="O1138">
        <v>51</v>
      </c>
      <c r="P1138">
        <v>3</v>
      </c>
      <c r="Q1138">
        <v>1</v>
      </c>
      <c r="R1138" t="s">
        <v>51</v>
      </c>
      <c r="S1138">
        <v>2</v>
      </c>
      <c r="T1138" t="s">
        <v>49</v>
      </c>
      <c r="U1138">
        <v>2408</v>
      </c>
      <c r="V1138" t="str" cm="1">
        <f t="array" ref="V113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38">
        <v>7324</v>
      </c>
      <c r="X1138">
        <v>1</v>
      </c>
      <c r="Y1138" t="s">
        <v>43</v>
      </c>
      <c r="Z1138" t="s">
        <v>36</v>
      </c>
      <c r="AA1138">
        <v>17</v>
      </c>
      <c r="AB1138">
        <v>3</v>
      </c>
      <c r="AC1138">
        <v>3</v>
      </c>
      <c r="AD1138">
        <v>80</v>
      </c>
      <c r="AE1138">
        <v>3</v>
      </c>
      <c r="AF1138">
        <v>1</v>
      </c>
      <c r="AG1138">
        <v>3</v>
      </c>
      <c r="AH1138">
        <v>3</v>
      </c>
      <c r="AI1138">
        <v>1</v>
      </c>
      <c r="AJ1138">
        <v>1</v>
      </c>
      <c r="AK1138">
        <v>0</v>
      </c>
      <c r="AL1138" t="str" cm="1">
        <f t="array" ref="AL113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38">
        <v>0</v>
      </c>
    </row>
    <row r="1139" spans="1:39" x14ac:dyDescent="0.25">
      <c r="A1139">
        <v>22</v>
      </c>
      <c r="B1139" t="s">
        <v>44</v>
      </c>
      <c r="C1139" t="s">
        <v>56</v>
      </c>
      <c r="D1139">
        <v>457</v>
      </c>
      <c r="E1139" t="s">
        <v>46</v>
      </c>
      <c r="G1139">
        <v>26</v>
      </c>
      <c r="H1139">
        <v>2</v>
      </c>
      <c r="I1139" t="s">
        <v>50</v>
      </c>
      <c r="J1139" t="str">
        <f>WA_Fn_UseC__HR_Employee_Attrition[[#This Row],[EducationField]]&amp;"-"&amp;WA_Fn_UseC__HR_Employee_Attrition[[#This Row],[Department]]</f>
        <v>Other-Research &amp; Development</v>
      </c>
      <c r="K1139">
        <v>1</v>
      </c>
      <c r="L1139">
        <v>1605</v>
      </c>
      <c r="M1139">
        <v>2</v>
      </c>
      <c r="N1139" t="s">
        <v>40</v>
      </c>
      <c r="O1139">
        <v>85</v>
      </c>
      <c r="P1139">
        <v>2</v>
      </c>
      <c r="Q1139">
        <v>1</v>
      </c>
      <c r="R1139" t="s">
        <v>48</v>
      </c>
      <c r="S1139">
        <v>3</v>
      </c>
      <c r="T1139" t="s">
        <v>49</v>
      </c>
      <c r="U1139">
        <v>2814</v>
      </c>
      <c r="V1139" t="str" cm="1">
        <f t="array" ref="V113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39">
        <v>10293</v>
      </c>
      <c r="X1139">
        <v>1</v>
      </c>
      <c r="Y1139" t="s">
        <v>43</v>
      </c>
      <c r="Z1139" t="s">
        <v>36</v>
      </c>
      <c r="AA1139">
        <v>14</v>
      </c>
      <c r="AB1139">
        <v>3</v>
      </c>
      <c r="AC1139">
        <v>2</v>
      </c>
      <c r="AD1139">
        <v>80</v>
      </c>
      <c r="AE1139">
        <v>0</v>
      </c>
      <c r="AF1139">
        <v>4</v>
      </c>
      <c r="AG1139">
        <v>2</v>
      </c>
      <c r="AH1139">
        <v>2</v>
      </c>
      <c r="AI1139">
        <v>4</v>
      </c>
      <c r="AJ1139">
        <v>2</v>
      </c>
      <c r="AK1139">
        <v>1</v>
      </c>
      <c r="AL1139" t="str" cm="1">
        <f t="array" ref="AL113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39">
        <v>3</v>
      </c>
    </row>
    <row r="1140" spans="1:39" x14ac:dyDescent="0.25">
      <c r="A1140">
        <v>50</v>
      </c>
      <c r="B1140" t="s">
        <v>44</v>
      </c>
      <c r="C1140" t="s">
        <v>45</v>
      </c>
      <c r="D1140">
        <v>1234</v>
      </c>
      <c r="E1140" t="s">
        <v>46</v>
      </c>
      <c r="G1140">
        <v>20</v>
      </c>
      <c r="H1140">
        <v>5</v>
      </c>
      <c r="I1140" t="s">
        <v>52</v>
      </c>
      <c r="J1140" t="str">
        <f>WA_Fn_UseC__HR_Employee_Attrition[[#This Row],[EducationField]]&amp;"-"&amp;WA_Fn_UseC__HR_Employee_Attrition[[#This Row],[Department]]</f>
        <v>Medical-Research &amp; Development</v>
      </c>
      <c r="K1140">
        <v>1</v>
      </c>
      <c r="L1140">
        <v>1606</v>
      </c>
      <c r="M1140">
        <v>2</v>
      </c>
      <c r="N1140" t="s">
        <v>47</v>
      </c>
      <c r="O1140">
        <v>41</v>
      </c>
      <c r="P1140">
        <v>3</v>
      </c>
      <c r="Q1140">
        <v>4</v>
      </c>
      <c r="R1140" t="s">
        <v>55</v>
      </c>
      <c r="S1140">
        <v>3</v>
      </c>
      <c r="T1140" t="s">
        <v>49</v>
      </c>
      <c r="U1140">
        <v>11245</v>
      </c>
      <c r="V1140" t="str" cm="1">
        <f t="array" ref="V114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40">
        <v>20689</v>
      </c>
      <c r="X1140">
        <v>2</v>
      </c>
      <c r="Y1140" t="s">
        <v>43</v>
      </c>
      <c r="Z1140" t="s">
        <v>36</v>
      </c>
      <c r="AA1140">
        <v>15</v>
      </c>
      <c r="AB1140">
        <v>3</v>
      </c>
      <c r="AC1140">
        <v>3</v>
      </c>
      <c r="AD1140">
        <v>80</v>
      </c>
      <c r="AE1140">
        <v>1</v>
      </c>
      <c r="AF1140">
        <v>32</v>
      </c>
      <c r="AG1140">
        <v>3</v>
      </c>
      <c r="AH1140">
        <v>3</v>
      </c>
      <c r="AI1140">
        <v>30</v>
      </c>
      <c r="AJ1140">
        <v>8</v>
      </c>
      <c r="AK1140">
        <v>12</v>
      </c>
      <c r="AL1140" t="str" cm="1">
        <f t="array" ref="AL114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40">
        <v>13</v>
      </c>
    </row>
    <row r="1141" spans="1:39" x14ac:dyDescent="0.25">
      <c r="A1141">
        <v>32</v>
      </c>
      <c r="B1141" t="s">
        <v>44</v>
      </c>
      <c r="C1141" t="s">
        <v>37</v>
      </c>
      <c r="D1141">
        <v>634</v>
      </c>
      <c r="E1141" t="s">
        <v>46</v>
      </c>
      <c r="G1141">
        <v>5</v>
      </c>
      <c r="H1141">
        <v>4</v>
      </c>
      <c r="I1141" t="s">
        <v>50</v>
      </c>
      <c r="J1141" t="str">
        <f>WA_Fn_UseC__HR_Employee_Attrition[[#This Row],[EducationField]]&amp;"-"&amp;WA_Fn_UseC__HR_Employee_Attrition[[#This Row],[Department]]</f>
        <v>Other-Research &amp; Development</v>
      </c>
      <c r="K1141">
        <v>1</v>
      </c>
      <c r="L1141">
        <v>1607</v>
      </c>
      <c r="M1141">
        <v>2</v>
      </c>
      <c r="N1141" t="s">
        <v>40</v>
      </c>
      <c r="O1141">
        <v>35</v>
      </c>
      <c r="P1141">
        <v>4</v>
      </c>
      <c r="Q1141">
        <v>1</v>
      </c>
      <c r="R1141" t="s">
        <v>48</v>
      </c>
      <c r="S1141">
        <v>4</v>
      </c>
      <c r="T1141" t="s">
        <v>49</v>
      </c>
      <c r="U1141">
        <v>3312</v>
      </c>
      <c r="V1141" t="str" cm="1">
        <f t="array" ref="V114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41">
        <v>18783</v>
      </c>
      <c r="X1141">
        <v>3</v>
      </c>
      <c r="Y1141" t="s">
        <v>43</v>
      </c>
      <c r="Z1141" t="s">
        <v>44</v>
      </c>
      <c r="AA1141">
        <v>17</v>
      </c>
      <c r="AB1141">
        <v>3</v>
      </c>
      <c r="AC1141">
        <v>4</v>
      </c>
      <c r="AD1141">
        <v>80</v>
      </c>
      <c r="AE1141">
        <v>2</v>
      </c>
      <c r="AF1141">
        <v>6</v>
      </c>
      <c r="AG1141">
        <v>3</v>
      </c>
      <c r="AH1141">
        <v>3</v>
      </c>
      <c r="AI1141">
        <v>3</v>
      </c>
      <c r="AJ1141">
        <v>2</v>
      </c>
      <c r="AK1141">
        <v>0</v>
      </c>
      <c r="AL1141" t="str" cm="1">
        <f t="array" ref="AL114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41">
        <v>2</v>
      </c>
    </row>
    <row r="1142" spans="1:39" x14ac:dyDescent="0.25">
      <c r="A1142">
        <v>44</v>
      </c>
      <c r="B1142" t="s">
        <v>44</v>
      </c>
      <c r="C1142" t="s">
        <v>37</v>
      </c>
      <c r="D1142">
        <v>1313</v>
      </c>
      <c r="E1142" t="s">
        <v>46</v>
      </c>
      <c r="G1142">
        <v>7</v>
      </c>
      <c r="H1142">
        <v>3</v>
      </c>
      <c r="I1142" t="s">
        <v>52</v>
      </c>
      <c r="J1142" t="str">
        <f>WA_Fn_UseC__HR_Employee_Attrition[[#This Row],[EducationField]]&amp;"-"&amp;WA_Fn_UseC__HR_Employee_Attrition[[#This Row],[Department]]</f>
        <v>Medical-Research &amp; Development</v>
      </c>
      <c r="K1142">
        <v>1</v>
      </c>
      <c r="L1142">
        <v>1608</v>
      </c>
      <c r="M1142">
        <v>2</v>
      </c>
      <c r="N1142" t="s">
        <v>40</v>
      </c>
      <c r="O1142">
        <v>31</v>
      </c>
      <c r="P1142">
        <v>3</v>
      </c>
      <c r="Q1142">
        <v>5</v>
      </c>
      <c r="R1142" t="s">
        <v>59</v>
      </c>
      <c r="S1142">
        <v>4</v>
      </c>
      <c r="T1142" t="s">
        <v>53</v>
      </c>
      <c r="U1142">
        <v>19049</v>
      </c>
      <c r="V1142" t="str" cm="1">
        <f t="array" ref="V114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42">
        <v>3549</v>
      </c>
      <c r="X1142">
        <v>0</v>
      </c>
      <c r="Y1142" t="s">
        <v>43</v>
      </c>
      <c r="Z1142" t="s">
        <v>36</v>
      </c>
      <c r="AA1142">
        <v>14</v>
      </c>
      <c r="AB1142">
        <v>3</v>
      </c>
      <c r="AC1142">
        <v>4</v>
      </c>
      <c r="AD1142">
        <v>80</v>
      </c>
      <c r="AE1142">
        <v>1</v>
      </c>
      <c r="AF1142">
        <v>23</v>
      </c>
      <c r="AG1142">
        <v>4</v>
      </c>
      <c r="AH1142">
        <v>2</v>
      </c>
      <c r="AI1142">
        <v>22</v>
      </c>
      <c r="AJ1142">
        <v>7</v>
      </c>
      <c r="AK1142">
        <v>1</v>
      </c>
      <c r="AL1142" t="str" cm="1">
        <f t="array" ref="AL114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42">
        <v>10</v>
      </c>
    </row>
    <row r="1143" spans="1:39" x14ac:dyDescent="0.25">
      <c r="A1143">
        <v>30</v>
      </c>
      <c r="B1143" t="s">
        <v>44</v>
      </c>
      <c r="C1143" t="s">
        <v>37</v>
      </c>
      <c r="D1143">
        <v>241</v>
      </c>
      <c r="E1143" t="s">
        <v>46</v>
      </c>
      <c r="G1143">
        <v>7</v>
      </c>
      <c r="H1143">
        <v>3</v>
      </c>
      <c r="I1143" t="s">
        <v>52</v>
      </c>
      <c r="J1143" t="str">
        <f>WA_Fn_UseC__HR_Employee_Attrition[[#This Row],[EducationField]]&amp;"-"&amp;WA_Fn_UseC__HR_Employee_Attrition[[#This Row],[Department]]</f>
        <v>Medical-Research &amp; Development</v>
      </c>
      <c r="K1143">
        <v>1</v>
      </c>
      <c r="L1143">
        <v>1609</v>
      </c>
      <c r="M1143">
        <v>2</v>
      </c>
      <c r="N1143" t="s">
        <v>47</v>
      </c>
      <c r="O1143">
        <v>48</v>
      </c>
      <c r="P1143">
        <v>2</v>
      </c>
      <c r="Q1143">
        <v>1</v>
      </c>
      <c r="R1143" t="s">
        <v>48</v>
      </c>
      <c r="S1143">
        <v>2</v>
      </c>
      <c r="T1143" t="s">
        <v>49</v>
      </c>
      <c r="U1143">
        <v>2141</v>
      </c>
      <c r="V1143" t="str" cm="1">
        <f t="array" ref="V114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43">
        <v>5348</v>
      </c>
      <c r="X1143">
        <v>1</v>
      </c>
      <c r="Y1143" t="s">
        <v>43</v>
      </c>
      <c r="Z1143" t="s">
        <v>44</v>
      </c>
      <c r="AA1143">
        <v>12</v>
      </c>
      <c r="AB1143">
        <v>3</v>
      </c>
      <c r="AC1143">
        <v>2</v>
      </c>
      <c r="AD1143">
        <v>80</v>
      </c>
      <c r="AE1143">
        <v>1</v>
      </c>
      <c r="AF1143">
        <v>6</v>
      </c>
      <c r="AG1143">
        <v>3</v>
      </c>
      <c r="AH1143">
        <v>2</v>
      </c>
      <c r="AI1143">
        <v>6</v>
      </c>
      <c r="AJ1143">
        <v>4</v>
      </c>
      <c r="AK1143">
        <v>1</v>
      </c>
      <c r="AL1143" t="str" cm="1">
        <f t="array" ref="AL114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43">
        <v>1</v>
      </c>
    </row>
    <row r="1144" spans="1:39" x14ac:dyDescent="0.25">
      <c r="A1144">
        <v>45</v>
      </c>
      <c r="B1144" t="s">
        <v>44</v>
      </c>
      <c r="C1144" t="s">
        <v>37</v>
      </c>
      <c r="D1144">
        <v>1015</v>
      </c>
      <c r="E1144" t="s">
        <v>46</v>
      </c>
      <c r="G1144">
        <v>5</v>
      </c>
      <c r="H1144">
        <v>5</v>
      </c>
      <c r="I1144" t="s">
        <v>52</v>
      </c>
      <c r="J1144" t="str">
        <f>WA_Fn_UseC__HR_Employee_Attrition[[#This Row],[EducationField]]&amp;"-"&amp;WA_Fn_UseC__HR_Employee_Attrition[[#This Row],[Department]]</f>
        <v>Medical-Research &amp; Development</v>
      </c>
      <c r="K1144">
        <v>1</v>
      </c>
      <c r="L1144">
        <v>1611</v>
      </c>
      <c r="M1144">
        <v>3</v>
      </c>
      <c r="N1144" t="s">
        <v>40</v>
      </c>
      <c r="O1144">
        <v>50</v>
      </c>
      <c r="P1144">
        <v>1</v>
      </c>
      <c r="Q1144">
        <v>2</v>
      </c>
      <c r="R1144" t="s">
        <v>51</v>
      </c>
      <c r="S1144">
        <v>1</v>
      </c>
      <c r="T1144" t="s">
        <v>42</v>
      </c>
      <c r="U1144">
        <v>5769</v>
      </c>
      <c r="V1144" t="str" cm="1">
        <f t="array" ref="V114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44">
        <v>23447</v>
      </c>
      <c r="X1144">
        <v>1</v>
      </c>
      <c r="Y1144" t="s">
        <v>43</v>
      </c>
      <c r="Z1144" t="s">
        <v>36</v>
      </c>
      <c r="AA1144">
        <v>14</v>
      </c>
      <c r="AB1144">
        <v>3</v>
      </c>
      <c r="AC1144">
        <v>1</v>
      </c>
      <c r="AD1144">
        <v>80</v>
      </c>
      <c r="AE1144">
        <v>0</v>
      </c>
      <c r="AF1144">
        <v>10</v>
      </c>
      <c r="AG1144">
        <v>3</v>
      </c>
      <c r="AH1144">
        <v>3</v>
      </c>
      <c r="AI1144">
        <v>10</v>
      </c>
      <c r="AJ1144">
        <v>7</v>
      </c>
      <c r="AK1144">
        <v>1</v>
      </c>
      <c r="AL1144" t="str" cm="1">
        <f t="array" ref="AL114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44">
        <v>4</v>
      </c>
    </row>
    <row r="1145" spans="1:39" x14ac:dyDescent="0.25">
      <c r="A1145">
        <v>45</v>
      </c>
      <c r="B1145" t="s">
        <v>44</v>
      </c>
      <c r="C1145" t="s">
        <v>56</v>
      </c>
      <c r="D1145">
        <v>336</v>
      </c>
      <c r="E1145" t="s">
        <v>38</v>
      </c>
      <c r="G1145">
        <v>26</v>
      </c>
      <c r="H1145">
        <v>3</v>
      </c>
      <c r="I1145" t="s">
        <v>60</v>
      </c>
      <c r="J1145" t="str">
        <f>WA_Fn_UseC__HR_Employee_Attrition[[#This Row],[EducationField]]&amp;"-"&amp;WA_Fn_UseC__HR_Employee_Attrition[[#This Row],[Department]]</f>
        <v>Marketing-Sales</v>
      </c>
      <c r="K1145">
        <v>1</v>
      </c>
      <c r="L1145">
        <v>1612</v>
      </c>
      <c r="M1145">
        <v>1</v>
      </c>
      <c r="N1145" t="s">
        <v>47</v>
      </c>
      <c r="O1145">
        <v>52</v>
      </c>
      <c r="P1145">
        <v>2</v>
      </c>
      <c r="Q1145">
        <v>2</v>
      </c>
      <c r="R1145" t="s">
        <v>41</v>
      </c>
      <c r="S1145">
        <v>1</v>
      </c>
      <c r="T1145" t="s">
        <v>49</v>
      </c>
      <c r="U1145">
        <v>4385</v>
      </c>
      <c r="V1145" t="str" cm="1">
        <f t="array" ref="V114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45">
        <v>24162</v>
      </c>
      <c r="X1145">
        <v>1</v>
      </c>
      <c r="Y1145" t="s">
        <v>43</v>
      </c>
      <c r="Z1145" t="s">
        <v>44</v>
      </c>
      <c r="AA1145">
        <v>15</v>
      </c>
      <c r="AB1145">
        <v>3</v>
      </c>
      <c r="AC1145">
        <v>1</v>
      </c>
      <c r="AD1145">
        <v>80</v>
      </c>
      <c r="AE1145">
        <v>1</v>
      </c>
      <c r="AF1145">
        <v>10</v>
      </c>
      <c r="AG1145">
        <v>2</v>
      </c>
      <c r="AH1145">
        <v>3</v>
      </c>
      <c r="AI1145">
        <v>10</v>
      </c>
      <c r="AJ1145">
        <v>7</v>
      </c>
      <c r="AK1145">
        <v>4</v>
      </c>
      <c r="AL1145" t="str" cm="1">
        <f t="array" ref="AL114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45">
        <v>5</v>
      </c>
    </row>
    <row r="1146" spans="1:39" x14ac:dyDescent="0.25">
      <c r="A1146">
        <v>31</v>
      </c>
      <c r="B1146" t="s">
        <v>44</v>
      </c>
      <c r="C1146" t="s">
        <v>45</v>
      </c>
      <c r="D1146">
        <v>715</v>
      </c>
      <c r="E1146" t="s">
        <v>38</v>
      </c>
      <c r="G1146">
        <v>2</v>
      </c>
      <c r="H1146">
        <v>4</v>
      </c>
      <c r="I1146" t="s">
        <v>50</v>
      </c>
      <c r="J1146" t="str">
        <f>WA_Fn_UseC__HR_Employee_Attrition[[#This Row],[EducationField]]&amp;"-"&amp;WA_Fn_UseC__HR_Employee_Attrition[[#This Row],[Department]]</f>
        <v>Other-Sales</v>
      </c>
      <c r="K1146">
        <v>1</v>
      </c>
      <c r="L1146">
        <v>1613</v>
      </c>
      <c r="M1146">
        <v>4</v>
      </c>
      <c r="N1146" t="s">
        <v>47</v>
      </c>
      <c r="O1146">
        <v>54</v>
      </c>
      <c r="P1146">
        <v>3</v>
      </c>
      <c r="Q1146">
        <v>2</v>
      </c>
      <c r="R1146" t="s">
        <v>41</v>
      </c>
      <c r="S1146">
        <v>1</v>
      </c>
      <c r="T1146" t="s">
        <v>42</v>
      </c>
      <c r="U1146">
        <v>5332</v>
      </c>
      <c r="V1146" t="str" cm="1">
        <f t="array" ref="V114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46">
        <v>21602</v>
      </c>
      <c r="X1146">
        <v>7</v>
      </c>
      <c r="Y1146" t="s">
        <v>43</v>
      </c>
      <c r="Z1146" t="s">
        <v>44</v>
      </c>
      <c r="AA1146">
        <v>13</v>
      </c>
      <c r="AB1146">
        <v>3</v>
      </c>
      <c r="AC1146">
        <v>4</v>
      </c>
      <c r="AD1146">
        <v>80</v>
      </c>
      <c r="AE1146">
        <v>0</v>
      </c>
      <c r="AF1146">
        <v>10</v>
      </c>
      <c r="AG1146">
        <v>3</v>
      </c>
      <c r="AH1146">
        <v>3</v>
      </c>
      <c r="AI1146">
        <v>5</v>
      </c>
      <c r="AJ1146">
        <v>2</v>
      </c>
      <c r="AK1146">
        <v>0</v>
      </c>
      <c r="AL1146" t="str" cm="1">
        <f t="array" ref="AL114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46">
        <v>3</v>
      </c>
    </row>
    <row r="1147" spans="1:39" x14ac:dyDescent="0.25">
      <c r="A1147">
        <v>36</v>
      </c>
      <c r="B1147" t="s">
        <v>44</v>
      </c>
      <c r="C1147" t="s">
        <v>37</v>
      </c>
      <c r="D1147">
        <v>559</v>
      </c>
      <c r="E1147" t="s">
        <v>46</v>
      </c>
      <c r="G1147">
        <v>12</v>
      </c>
      <c r="H1147">
        <v>4</v>
      </c>
      <c r="I1147" t="s">
        <v>39</v>
      </c>
      <c r="J1147" t="str">
        <f>WA_Fn_UseC__HR_Employee_Attrition[[#This Row],[EducationField]]&amp;"-"&amp;WA_Fn_UseC__HR_Employee_Attrition[[#This Row],[Department]]</f>
        <v>Life Sciences-Research &amp; Development</v>
      </c>
      <c r="K1147">
        <v>1</v>
      </c>
      <c r="L1147">
        <v>1614</v>
      </c>
      <c r="M1147">
        <v>3</v>
      </c>
      <c r="N1147" t="s">
        <v>40</v>
      </c>
      <c r="O1147">
        <v>76</v>
      </c>
      <c r="P1147">
        <v>3</v>
      </c>
      <c r="Q1147">
        <v>2</v>
      </c>
      <c r="R1147" t="s">
        <v>54</v>
      </c>
      <c r="S1147">
        <v>3</v>
      </c>
      <c r="T1147" t="s">
        <v>49</v>
      </c>
      <c r="U1147">
        <v>4663</v>
      </c>
      <c r="V1147" t="str" cm="1">
        <f t="array" ref="V114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47">
        <v>12421</v>
      </c>
      <c r="X1147">
        <v>9</v>
      </c>
      <c r="Y1147" t="s">
        <v>43</v>
      </c>
      <c r="Z1147" t="s">
        <v>36</v>
      </c>
      <c r="AA1147">
        <v>12</v>
      </c>
      <c r="AB1147">
        <v>3</v>
      </c>
      <c r="AC1147">
        <v>2</v>
      </c>
      <c r="AD1147">
        <v>80</v>
      </c>
      <c r="AE1147">
        <v>2</v>
      </c>
      <c r="AF1147">
        <v>7</v>
      </c>
      <c r="AG1147">
        <v>2</v>
      </c>
      <c r="AH1147">
        <v>3</v>
      </c>
      <c r="AI1147">
        <v>3</v>
      </c>
      <c r="AJ1147">
        <v>2</v>
      </c>
      <c r="AK1147">
        <v>1</v>
      </c>
      <c r="AL1147" t="str" cm="1">
        <f t="array" ref="AL114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47">
        <v>1</v>
      </c>
    </row>
    <row r="1148" spans="1:39" x14ac:dyDescent="0.25">
      <c r="A1148">
        <v>34</v>
      </c>
      <c r="B1148" t="s">
        <v>44</v>
      </c>
      <c r="C1148" t="s">
        <v>45</v>
      </c>
      <c r="D1148">
        <v>426</v>
      </c>
      <c r="E1148" t="s">
        <v>46</v>
      </c>
      <c r="G1148">
        <v>10</v>
      </c>
      <c r="H1148">
        <v>4</v>
      </c>
      <c r="I1148" t="s">
        <v>39</v>
      </c>
      <c r="J1148" t="str">
        <f>WA_Fn_UseC__HR_Employee_Attrition[[#This Row],[EducationField]]&amp;"-"&amp;WA_Fn_UseC__HR_Employee_Attrition[[#This Row],[Department]]</f>
        <v>Life Sciences-Research &amp; Development</v>
      </c>
      <c r="K1148">
        <v>1</v>
      </c>
      <c r="L1148">
        <v>1615</v>
      </c>
      <c r="M1148">
        <v>3</v>
      </c>
      <c r="N1148" t="s">
        <v>47</v>
      </c>
      <c r="O1148">
        <v>42</v>
      </c>
      <c r="P1148">
        <v>4</v>
      </c>
      <c r="Q1148">
        <v>2</v>
      </c>
      <c r="R1148" t="s">
        <v>54</v>
      </c>
      <c r="S1148">
        <v>4</v>
      </c>
      <c r="T1148" t="s">
        <v>53</v>
      </c>
      <c r="U1148">
        <v>4724</v>
      </c>
      <c r="V1148" t="str" cm="1">
        <f t="array" ref="V114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48">
        <v>17000</v>
      </c>
      <c r="X1148">
        <v>1</v>
      </c>
      <c r="Y1148" t="s">
        <v>43</v>
      </c>
      <c r="Z1148" t="s">
        <v>44</v>
      </c>
      <c r="AA1148">
        <v>13</v>
      </c>
      <c r="AB1148">
        <v>3</v>
      </c>
      <c r="AC1148">
        <v>1</v>
      </c>
      <c r="AD1148">
        <v>80</v>
      </c>
      <c r="AE1148">
        <v>1</v>
      </c>
      <c r="AF1148">
        <v>9</v>
      </c>
      <c r="AG1148">
        <v>3</v>
      </c>
      <c r="AH1148">
        <v>3</v>
      </c>
      <c r="AI1148">
        <v>9</v>
      </c>
      <c r="AJ1148">
        <v>7</v>
      </c>
      <c r="AK1148">
        <v>7</v>
      </c>
      <c r="AL1148" t="str" cm="1">
        <f t="array" ref="AL114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48">
        <v>2</v>
      </c>
    </row>
    <row r="1149" spans="1:39" x14ac:dyDescent="0.25">
      <c r="A1149">
        <v>49</v>
      </c>
      <c r="B1149" t="s">
        <v>44</v>
      </c>
      <c r="C1149" t="s">
        <v>37</v>
      </c>
      <c r="D1149">
        <v>722</v>
      </c>
      <c r="E1149" t="s">
        <v>46</v>
      </c>
      <c r="G1149">
        <v>25</v>
      </c>
      <c r="H1149">
        <v>4</v>
      </c>
      <c r="I1149" t="s">
        <v>39</v>
      </c>
      <c r="J1149" t="str">
        <f>WA_Fn_UseC__HR_Employee_Attrition[[#This Row],[EducationField]]&amp;"-"&amp;WA_Fn_UseC__HR_Employee_Attrition[[#This Row],[Department]]</f>
        <v>Life Sciences-Research &amp; Development</v>
      </c>
      <c r="K1149">
        <v>1</v>
      </c>
      <c r="L1149">
        <v>1617</v>
      </c>
      <c r="M1149">
        <v>3</v>
      </c>
      <c r="N1149" t="s">
        <v>40</v>
      </c>
      <c r="O1149">
        <v>84</v>
      </c>
      <c r="P1149">
        <v>3</v>
      </c>
      <c r="Q1149">
        <v>1</v>
      </c>
      <c r="R1149" t="s">
        <v>51</v>
      </c>
      <c r="S1149">
        <v>1</v>
      </c>
      <c r="T1149" t="s">
        <v>49</v>
      </c>
      <c r="U1149">
        <v>3211</v>
      </c>
      <c r="V1149" t="str" cm="1">
        <f t="array" ref="V114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49">
        <v>22102</v>
      </c>
      <c r="X1149">
        <v>1</v>
      </c>
      <c r="Y1149" t="s">
        <v>43</v>
      </c>
      <c r="Z1149" t="s">
        <v>44</v>
      </c>
      <c r="AA1149">
        <v>14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3</v>
      </c>
      <c r="AH1149">
        <v>2</v>
      </c>
      <c r="AI1149">
        <v>9</v>
      </c>
      <c r="AJ1149">
        <v>6</v>
      </c>
      <c r="AK1149">
        <v>1</v>
      </c>
      <c r="AL1149" t="str" cm="1">
        <f t="array" ref="AL114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49">
        <v>4</v>
      </c>
    </row>
    <row r="1150" spans="1:39" x14ac:dyDescent="0.25">
      <c r="A1150">
        <v>39</v>
      </c>
      <c r="B1150" t="s">
        <v>44</v>
      </c>
      <c r="C1150" t="s">
        <v>37</v>
      </c>
      <c r="D1150">
        <v>1387</v>
      </c>
      <c r="E1150" t="s">
        <v>46</v>
      </c>
      <c r="G1150">
        <v>10</v>
      </c>
      <c r="H1150">
        <v>5</v>
      </c>
      <c r="I1150" t="s">
        <v>52</v>
      </c>
      <c r="J1150" t="str">
        <f>WA_Fn_UseC__HR_Employee_Attrition[[#This Row],[EducationField]]&amp;"-"&amp;WA_Fn_UseC__HR_Employee_Attrition[[#This Row],[Department]]</f>
        <v>Medical-Research &amp; Development</v>
      </c>
      <c r="K1150">
        <v>1</v>
      </c>
      <c r="L1150">
        <v>1618</v>
      </c>
      <c r="M1150">
        <v>2</v>
      </c>
      <c r="N1150" t="s">
        <v>47</v>
      </c>
      <c r="O1150">
        <v>76</v>
      </c>
      <c r="P1150">
        <v>3</v>
      </c>
      <c r="Q1150">
        <v>2</v>
      </c>
      <c r="R1150" t="s">
        <v>54</v>
      </c>
      <c r="S1150">
        <v>1</v>
      </c>
      <c r="T1150" t="s">
        <v>49</v>
      </c>
      <c r="U1150">
        <v>5377</v>
      </c>
      <c r="V1150" t="str" cm="1">
        <f t="array" ref="V115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50">
        <v>3835</v>
      </c>
      <c r="X1150">
        <v>2</v>
      </c>
      <c r="Y1150" t="s">
        <v>43</v>
      </c>
      <c r="Z1150" t="s">
        <v>44</v>
      </c>
      <c r="AA1150">
        <v>13</v>
      </c>
      <c r="AB1150">
        <v>3</v>
      </c>
      <c r="AC1150">
        <v>4</v>
      </c>
      <c r="AD1150">
        <v>80</v>
      </c>
      <c r="AE1150">
        <v>3</v>
      </c>
      <c r="AF1150">
        <v>10</v>
      </c>
      <c r="AG1150">
        <v>3</v>
      </c>
      <c r="AH1150">
        <v>3</v>
      </c>
      <c r="AI1150">
        <v>7</v>
      </c>
      <c r="AJ1150">
        <v>7</v>
      </c>
      <c r="AK1150">
        <v>7</v>
      </c>
      <c r="AL1150" t="str" cm="1">
        <f t="array" ref="AL115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50">
        <v>7</v>
      </c>
    </row>
    <row r="1151" spans="1:39" x14ac:dyDescent="0.25">
      <c r="A1151">
        <v>27</v>
      </c>
      <c r="B1151" t="s">
        <v>44</v>
      </c>
      <c r="C1151" t="s">
        <v>37</v>
      </c>
      <c r="D1151">
        <v>1302</v>
      </c>
      <c r="E1151" t="s">
        <v>46</v>
      </c>
      <c r="G1151">
        <v>19</v>
      </c>
      <c r="H1151">
        <v>3</v>
      </c>
      <c r="I1151" t="s">
        <v>50</v>
      </c>
      <c r="J1151" t="str">
        <f>WA_Fn_UseC__HR_Employee_Attrition[[#This Row],[EducationField]]&amp;"-"&amp;WA_Fn_UseC__HR_Employee_Attrition[[#This Row],[Department]]</f>
        <v>Other-Research &amp; Development</v>
      </c>
      <c r="K1151">
        <v>1</v>
      </c>
      <c r="L1151">
        <v>1619</v>
      </c>
      <c r="M1151">
        <v>4</v>
      </c>
      <c r="N1151" t="s">
        <v>47</v>
      </c>
      <c r="O1151">
        <v>67</v>
      </c>
      <c r="P1151">
        <v>2</v>
      </c>
      <c r="Q1151">
        <v>1</v>
      </c>
      <c r="R1151" t="s">
        <v>51</v>
      </c>
      <c r="S1151">
        <v>1</v>
      </c>
      <c r="T1151" t="s">
        <v>53</v>
      </c>
      <c r="U1151">
        <v>4066</v>
      </c>
      <c r="V1151" t="str" cm="1">
        <f t="array" ref="V115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51">
        <v>16290</v>
      </c>
      <c r="X1151">
        <v>1</v>
      </c>
      <c r="Y1151" t="s">
        <v>43</v>
      </c>
      <c r="Z1151" t="s">
        <v>44</v>
      </c>
      <c r="AA1151">
        <v>11</v>
      </c>
      <c r="AB1151">
        <v>3</v>
      </c>
      <c r="AC1151">
        <v>1</v>
      </c>
      <c r="AD1151">
        <v>80</v>
      </c>
      <c r="AE1151">
        <v>2</v>
      </c>
      <c r="AF1151">
        <v>7</v>
      </c>
      <c r="AG1151">
        <v>3</v>
      </c>
      <c r="AH1151">
        <v>3</v>
      </c>
      <c r="AI1151">
        <v>7</v>
      </c>
      <c r="AJ1151">
        <v>7</v>
      </c>
      <c r="AK1151">
        <v>0</v>
      </c>
      <c r="AL1151" t="str" cm="1">
        <f t="array" ref="AL115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51">
        <v>7</v>
      </c>
    </row>
    <row r="1152" spans="1:39" x14ac:dyDescent="0.25">
      <c r="A1152">
        <v>35</v>
      </c>
      <c r="B1152" t="s">
        <v>44</v>
      </c>
      <c r="C1152" t="s">
        <v>37</v>
      </c>
      <c r="D1152">
        <v>819</v>
      </c>
      <c r="E1152" t="s">
        <v>46</v>
      </c>
      <c r="G1152">
        <v>18</v>
      </c>
      <c r="H1152">
        <v>5</v>
      </c>
      <c r="I1152" t="s">
        <v>39</v>
      </c>
      <c r="J1152" t="str">
        <f>WA_Fn_UseC__HR_Employee_Attrition[[#This Row],[EducationField]]&amp;"-"&amp;WA_Fn_UseC__HR_Employee_Attrition[[#This Row],[Department]]</f>
        <v>Life Sciences-Research &amp; Development</v>
      </c>
      <c r="K1152">
        <v>1</v>
      </c>
      <c r="L1152">
        <v>1621</v>
      </c>
      <c r="M1152">
        <v>2</v>
      </c>
      <c r="N1152" t="s">
        <v>47</v>
      </c>
      <c r="O1152">
        <v>48</v>
      </c>
      <c r="P1152">
        <v>4</v>
      </c>
      <c r="Q1152">
        <v>2</v>
      </c>
      <c r="R1152" t="s">
        <v>48</v>
      </c>
      <c r="S1152">
        <v>1</v>
      </c>
      <c r="T1152" t="s">
        <v>49</v>
      </c>
      <c r="U1152">
        <v>5208</v>
      </c>
      <c r="V1152" t="str" cm="1">
        <f t="array" ref="V115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52">
        <v>26312</v>
      </c>
      <c r="X1152">
        <v>1</v>
      </c>
      <c r="Y1152" t="s">
        <v>43</v>
      </c>
      <c r="Z1152" t="s">
        <v>44</v>
      </c>
      <c r="AA1152">
        <v>11</v>
      </c>
      <c r="AB1152">
        <v>3</v>
      </c>
      <c r="AC1152">
        <v>4</v>
      </c>
      <c r="AD1152">
        <v>80</v>
      </c>
      <c r="AE1152">
        <v>0</v>
      </c>
      <c r="AF1152">
        <v>16</v>
      </c>
      <c r="AG1152">
        <v>2</v>
      </c>
      <c r="AH1152">
        <v>3</v>
      </c>
      <c r="AI1152">
        <v>16</v>
      </c>
      <c r="AJ1152">
        <v>15</v>
      </c>
      <c r="AK1152">
        <v>1</v>
      </c>
      <c r="AL1152" t="str" cm="1">
        <f t="array" ref="AL115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52">
        <v>10</v>
      </c>
    </row>
    <row r="1153" spans="1:39" x14ac:dyDescent="0.25">
      <c r="A1153">
        <v>28</v>
      </c>
      <c r="B1153" t="s">
        <v>44</v>
      </c>
      <c r="C1153" t="s">
        <v>37</v>
      </c>
      <c r="D1153">
        <v>580</v>
      </c>
      <c r="E1153" t="s">
        <v>46</v>
      </c>
      <c r="G1153">
        <v>27</v>
      </c>
      <c r="H1153">
        <v>3</v>
      </c>
      <c r="I1153" t="s">
        <v>52</v>
      </c>
      <c r="J1153" t="str">
        <f>WA_Fn_UseC__HR_Employee_Attrition[[#This Row],[EducationField]]&amp;"-"&amp;WA_Fn_UseC__HR_Employee_Attrition[[#This Row],[Department]]</f>
        <v>Medical-Research &amp; Development</v>
      </c>
      <c r="K1153">
        <v>1</v>
      </c>
      <c r="L1153">
        <v>1622</v>
      </c>
      <c r="M1153">
        <v>2</v>
      </c>
      <c r="N1153" t="s">
        <v>40</v>
      </c>
      <c r="O1153">
        <v>39</v>
      </c>
      <c r="P1153">
        <v>1</v>
      </c>
      <c r="Q1153">
        <v>2</v>
      </c>
      <c r="R1153" t="s">
        <v>54</v>
      </c>
      <c r="S1153">
        <v>1</v>
      </c>
      <c r="T1153" t="s">
        <v>53</v>
      </c>
      <c r="U1153">
        <v>4877</v>
      </c>
      <c r="V1153" t="str" cm="1">
        <f t="array" ref="V115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53">
        <v>20460</v>
      </c>
      <c r="X1153">
        <v>0</v>
      </c>
      <c r="Y1153" t="s">
        <v>43</v>
      </c>
      <c r="Z1153" t="s">
        <v>44</v>
      </c>
      <c r="AA1153">
        <v>21</v>
      </c>
      <c r="AB1153">
        <v>4</v>
      </c>
      <c r="AC1153">
        <v>2</v>
      </c>
      <c r="AD1153">
        <v>80</v>
      </c>
      <c r="AE1153">
        <v>1</v>
      </c>
      <c r="AF1153">
        <v>6</v>
      </c>
      <c r="AG1153">
        <v>5</v>
      </c>
      <c r="AH1153">
        <v>2</v>
      </c>
      <c r="AI1153">
        <v>5</v>
      </c>
      <c r="AJ1153">
        <v>3</v>
      </c>
      <c r="AK1153">
        <v>0</v>
      </c>
      <c r="AL1153" t="str" cm="1">
        <f t="array" ref="AL115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53">
        <v>0</v>
      </c>
    </row>
    <row r="1154" spans="1:39" x14ac:dyDescent="0.25">
      <c r="A1154">
        <v>21</v>
      </c>
      <c r="B1154" t="s">
        <v>44</v>
      </c>
      <c r="C1154" t="s">
        <v>37</v>
      </c>
      <c r="D1154">
        <v>546</v>
      </c>
      <c r="E1154" t="s">
        <v>46</v>
      </c>
      <c r="G1154">
        <v>5</v>
      </c>
      <c r="H1154">
        <v>1</v>
      </c>
      <c r="I1154" t="s">
        <v>52</v>
      </c>
      <c r="J1154" t="str">
        <f>WA_Fn_UseC__HR_Employee_Attrition[[#This Row],[EducationField]]&amp;"-"&amp;WA_Fn_UseC__HR_Employee_Attrition[[#This Row],[Department]]</f>
        <v>Medical-Research &amp; Development</v>
      </c>
      <c r="K1154">
        <v>1</v>
      </c>
      <c r="L1154">
        <v>1623</v>
      </c>
      <c r="M1154">
        <v>3</v>
      </c>
      <c r="N1154" t="s">
        <v>47</v>
      </c>
      <c r="O1154">
        <v>97</v>
      </c>
      <c r="P1154">
        <v>3</v>
      </c>
      <c r="Q1154">
        <v>1</v>
      </c>
      <c r="R1154" t="s">
        <v>48</v>
      </c>
      <c r="S1154">
        <v>4</v>
      </c>
      <c r="T1154" t="s">
        <v>42</v>
      </c>
      <c r="U1154">
        <v>3117</v>
      </c>
      <c r="V1154" t="str" cm="1">
        <f t="array" ref="V115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54">
        <v>26009</v>
      </c>
      <c r="X1154">
        <v>1</v>
      </c>
      <c r="Y1154" t="s">
        <v>43</v>
      </c>
      <c r="Z1154" t="s">
        <v>44</v>
      </c>
      <c r="AA1154">
        <v>18</v>
      </c>
      <c r="AB1154">
        <v>3</v>
      </c>
      <c r="AC1154">
        <v>3</v>
      </c>
      <c r="AD1154">
        <v>80</v>
      </c>
      <c r="AE1154">
        <v>0</v>
      </c>
      <c r="AF1154">
        <v>3</v>
      </c>
      <c r="AG1154">
        <v>2</v>
      </c>
      <c r="AH1154">
        <v>3</v>
      </c>
      <c r="AI1154">
        <v>2</v>
      </c>
      <c r="AJ1154">
        <v>2</v>
      </c>
      <c r="AK1154">
        <v>2</v>
      </c>
      <c r="AL1154" t="str" cm="1">
        <f t="array" ref="AL115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54">
        <v>2</v>
      </c>
    </row>
    <row r="1155" spans="1:39" x14ac:dyDescent="0.25">
      <c r="A1155">
        <v>18</v>
      </c>
      <c r="B1155" t="s">
        <v>36</v>
      </c>
      <c r="C1155" t="s">
        <v>45</v>
      </c>
      <c r="D1155">
        <v>544</v>
      </c>
      <c r="E1155" t="s">
        <v>38</v>
      </c>
      <c r="G1155">
        <v>3</v>
      </c>
      <c r="H1155">
        <v>2</v>
      </c>
      <c r="I1155" t="s">
        <v>52</v>
      </c>
      <c r="J1155" t="str">
        <f>WA_Fn_UseC__HR_Employee_Attrition[[#This Row],[EducationField]]&amp;"-"&amp;WA_Fn_UseC__HR_Employee_Attrition[[#This Row],[Department]]</f>
        <v>Medical-Sales</v>
      </c>
      <c r="K1155">
        <v>1</v>
      </c>
      <c r="L1155">
        <v>1624</v>
      </c>
      <c r="M1155">
        <v>2</v>
      </c>
      <c r="N1155" t="s">
        <v>40</v>
      </c>
      <c r="O1155">
        <v>70</v>
      </c>
      <c r="P1155">
        <v>3</v>
      </c>
      <c r="Q1155">
        <v>1</v>
      </c>
      <c r="R1155" t="s">
        <v>58</v>
      </c>
      <c r="S1155">
        <v>4</v>
      </c>
      <c r="T1155" t="s">
        <v>42</v>
      </c>
      <c r="U1155">
        <v>1569</v>
      </c>
      <c r="V1155" t="str" cm="1">
        <f t="array" ref="V115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55">
        <v>18420</v>
      </c>
      <c r="X1155">
        <v>1</v>
      </c>
      <c r="Y1155" t="s">
        <v>43</v>
      </c>
      <c r="Z1155" t="s">
        <v>36</v>
      </c>
      <c r="AA1155">
        <v>12</v>
      </c>
      <c r="AB1155">
        <v>3</v>
      </c>
      <c r="AC1155">
        <v>3</v>
      </c>
      <c r="AD1155">
        <v>80</v>
      </c>
      <c r="AE1155">
        <v>0</v>
      </c>
      <c r="AF1155">
        <v>0</v>
      </c>
      <c r="AG1155">
        <v>2</v>
      </c>
      <c r="AH1155">
        <v>4</v>
      </c>
      <c r="AI1155">
        <v>0</v>
      </c>
      <c r="AJ1155">
        <v>0</v>
      </c>
      <c r="AK1155">
        <v>0</v>
      </c>
      <c r="AL1155" t="str" cm="1">
        <f t="array" ref="AL115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55">
        <v>0</v>
      </c>
    </row>
    <row r="1156" spans="1:39" x14ac:dyDescent="0.25">
      <c r="A1156">
        <v>47</v>
      </c>
      <c r="B1156" t="s">
        <v>44</v>
      </c>
      <c r="C1156" t="s">
        <v>37</v>
      </c>
      <c r="D1156">
        <v>1176</v>
      </c>
      <c r="E1156" t="s">
        <v>62</v>
      </c>
      <c r="G1156">
        <v>26</v>
      </c>
      <c r="H1156">
        <v>4</v>
      </c>
      <c r="I1156" t="s">
        <v>39</v>
      </c>
      <c r="J1156" t="str">
        <f>WA_Fn_UseC__HR_Employee_Attrition[[#This Row],[EducationField]]&amp;"-"&amp;WA_Fn_UseC__HR_Employee_Attrition[[#This Row],[Department]]</f>
        <v>Life Sciences-Human Resources</v>
      </c>
      <c r="K1156">
        <v>1</v>
      </c>
      <c r="L1156">
        <v>1625</v>
      </c>
      <c r="M1156">
        <v>4</v>
      </c>
      <c r="N1156" t="s">
        <v>40</v>
      </c>
      <c r="O1156">
        <v>98</v>
      </c>
      <c r="P1156">
        <v>3</v>
      </c>
      <c r="Q1156">
        <v>5</v>
      </c>
      <c r="R1156" t="s">
        <v>57</v>
      </c>
      <c r="S1156">
        <v>3</v>
      </c>
      <c r="T1156" t="s">
        <v>49</v>
      </c>
      <c r="U1156">
        <v>19658</v>
      </c>
      <c r="V1156" t="str" cm="1">
        <f t="array" ref="V115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56">
        <v>5220</v>
      </c>
      <c r="X1156">
        <v>3</v>
      </c>
      <c r="Y1156" t="s">
        <v>43</v>
      </c>
      <c r="Z1156" t="s">
        <v>44</v>
      </c>
      <c r="AA1156">
        <v>11</v>
      </c>
      <c r="AB1156">
        <v>3</v>
      </c>
      <c r="AC1156">
        <v>3</v>
      </c>
      <c r="AD1156">
        <v>80</v>
      </c>
      <c r="AE1156">
        <v>1</v>
      </c>
      <c r="AF1156">
        <v>27</v>
      </c>
      <c r="AG1156">
        <v>2</v>
      </c>
      <c r="AH1156">
        <v>3</v>
      </c>
      <c r="AI1156">
        <v>5</v>
      </c>
      <c r="AJ1156">
        <v>2</v>
      </c>
      <c r="AK1156">
        <v>1</v>
      </c>
      <c r="AL1156" t="str" cm="1">
        <f t="array" ref="AL115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56">
        <v>0</v>
      </c>
    </row>
    <row r="1157" spans="1:39" x14ac:dyDescent="0.25">
      <c r="A1157">
        <v>39</v>
      </c>
      <c r="B1157" t="s">
        <v>44</v>
      </c>
      <c r="C1157" t="s">
        <v>37</v>
      </c>
      <c r="D1157">
        <v>170</v>
      </c>
      <c r="E1157" t="s">
        <v>46</v>
      </c>
      <c r="G1157">
        <v>3</v>
      </c>
      <c r="H1157">
        <v>2</v>
      </c>
      <c r="I1157" t="s">
        <v>52</v>
      </c>
      <c r="J1157" t="str">
        <f>WA_Fn_UseC__HR_Employee_Attrition[[#This Row],[EducationField]]&amp;"-"&amp;WA_Fn_UseC__HR_Employee_Attrition[[#This Row],[Department]]</f>
        <v>Medical-Research &amp; Development</v>
      </c>
      <c r="K1157">
        <v>1</v>
      </c>
      <c r="L1157">
        <v>1627</v>
      </c>
      <c r="M1157">
        <v>3</v>
      </c>
      <c r="N1157" t="s">
        <v>47</v>
      </c>
      <c r="O1157">
        <v>76</v>
      </c>
      <c r="P1157">
        <v>2</v>
      </c>
      <c r="Q1157">
        <v>2</v>
      </c>
      <c r="R1157" t="s">
        <v>51</v>
      </c>
      <c r="S1157">
        <v>3</v>
      </c>
      <c r="T1157" t="s">
        <v>53</v>
      </c>
      <c r="U1157">
        <v>3069</v>
      </c>
      <c r="V1157" t="str" cm="1">
        <f t="array" ref="V115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57">
        <v>10302</v>
      </c>
      <c r="X1157">
        <v>0</v>
      </c>
      <c r="Y1157" t="s">
        <v>43</v>
      </c>
      <c r="Z1157" t="s">
        <v>44</v>
      </c>
      <c r="AA1157">
        <v>15</v>
      </c>
      <c r="AB1157">
        <v>3</v>
      </c>
      <c r="AC1157">
        <v>4</v>
      </c>
      <c r="AD1157">
        <v>80</v>
      </c>
      <c r="AE1157">
        <v>1</v>
      </c>
      <c r="AF1157">
        <v>11</v>
      </c>
      <c r="AG1157">
        <v>3</v>
      </c>
      <c r="AH1157">
        <v>3</v>
      </c>
      <c r="AI1157">
        <v>10</v>
      </c>
      <c r="AJ1157">
        <v>8</v>
      </c>
      <c r="AK1157">
        <v>0</v>
      </c>
      <c r="AL1157" t="str" cm="1">
        <f t="array" ref="AL115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57">
        <v>7</v>
      </c>
    </row>
    <row r="1158" spans="1:39" x14ac:dyDescent="0.25">
      <c r="A1158">
        <v>40</v>
      </c>
      <c r="B1158" t="s">
        <v>44</v>
      </c>
      <c r="C1158" t="s">
        <v>37</v>
      </c>
      <c r="D1158">
        <v>884</v>
      </c>
      <c r="E1158" t="s">
        <v>46</v>
      </c>
      <c r="G1158">
        <v>15</v>
      </c>
      <c r="H1158">
        <v>3</v>
      </c>
      <c r="I1158" t="s">
        <v>39</v>
      </c>
      <c r="J1158" t="str">
        <f>WA_Fn_UseC__HR_Employee_Attrition[[#This Row],[EducationField]]&amp;"-"&amp;WA_Fn_UseC__HR_Employee_Attrition[[#This Row],[Department]]</f>
        <v>Life Sciences-Research &amp; Development</v>
      </c>
      <c r="K1158">
        <v>1</v>
      </c>
      <c r="L1158">
        <v>1628</v>
      </c>
      <c r="M1158">
        <v>1</v>
      </c>
      <c r="N1158" t="s">
        <v>40</v>
      </c>
      <c r="O1158">
        <v>80</v>
      </c>
      <c r="P1158">
        <v>2</v>
      </c>
      <c r="Q1158">
        <v>3</v>
      </c>
      <c r="R1158" t="s">
        <v>54</v>
      </c>
      <c r="S1158">
        <v>3</v>
      </c>
      <c r="T1158" t="s">
        <v>49</v>
      </c>
      <c r="U1158">
        <v>10435</v>
      </c>
      <c r="V1158" t="str" cm="1">
        <f t="array" ref="V115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58">
        <v>25800</v>
      </c>
      <c r="X1158">
        <v>1</v>
      </c>
      <c r="Y1158" t="s">
        <v>43</v>
      </c>
      <c r="Z1158" t="s">
        <v>44</v>
      </c>
      <c r="AA1158">
        <v>13</v>
      </c>
      <c r="AB1158">
        <v>3</v>
      </c>
      <c r="AC1158">
        <v>4</v>
      </c>
      <c r="AD1158">
        <v>80</v>
      </c>
      <c r="AE1158">
        <v>2</v>
      </c>
      <c r="AF1158">
        <v>18</v>
      </c>
      <c r="AG1158">
        <v>2</v>
      </c>
      <c r="AH1158">
        <v>3</v>
      </c>
      <c r="AI1158">
        <v>18</v>
      </c>
      <c r="AJ1158">
        <v>15</v>
      </c>
      <c r="AK1158">
        <v>14</v>
      </c>
      <c r="AL1158" t="str" cm="1">
        <f t="array" ref="AL115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58">
        <v>12</v>
      </c>
    </row>
    <row r="1159" spans="1:39" x14ac:dyDescent="0.25">
      <c r="A1159">
        <v>35</v>
      </c>
      <c r="B1159" t="s">
        <v>44</v>
      </c>
      <c r="C1159" t="s">
        <v>56</v>
      </c>
      <c r="D1159">
        <v>208</v>
      </c>
      <c r="E1159" t="s">
        <v>46</v>
      </c>
      <c r="G1159">
        <v>8</v>
      </c>
      <c r="H1159">
        <v>4</v>
      </c>
      <c r="I1159" t="s">
        <v>39</v>
      </c>
      <c r="J1159" t="str">
        <f>WA_Fn_UseC__HR_Employee_Attrition[[#This Row],[EducationField]]&amp;"-"&amp;WA_Fn_UseC__HR_Employee_Attrition[[#This Row],[Department]]</f>
        <v>Life Sciences-Research &amp; Development</v>
      </c>
      <c r="K1159">
        <v>1</v>
      </c>
      <c r="L1159">
        <v>1630</v>
      </c>
      <c r="M1159">
        <v>3</v>
      </c>
      <c r="N1159" t="s">
        <v>40</v>
      </c>
      <c r="O1159">
        <v>52</v>
      </c>
      <c r="P1159">
        <v>3</v>
      </c>
      <c r="Q1159">
        <v>2</v>
      </c>
      <c r="R1159" t="s">
        <v>55</v>
      </c>
      <c r="S1159">
        <v>3</v>
      </c>
      <c r="T1159" t="s">
        <v>49</v>
      </c>
      <c r="U1159">
        <v>4148</v>
      </c>
      <c r="V1159" t="str" cm="1">
        <f t="array" ref="V115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59">
        <v>12250</v>
      </c>
      <c r="X1159">
        <v>1</v>
      </c>
      <c r="Y1159" t="s">
        <v>43</v>
      </c>
      <c r="Z1159" t="s">
        <v>44</v>
      </c>
      <c r="AA1159">
        <v>12</v>
      </c>
      <c r="AB1159">
        <v>3</v>
      </c>
      <c r="AC1159">
        <v>4</v>
      </c>
      <c r="AD1159">
        <v>80</v>
      </c>
      <c r="AE1159">
        <v>1</v>
      </c>
      <c r="AF1159">
        <v>15</v>
      </c>
      <c r="AG1159">
        <v>5</v>
      </c>
      <c r="AH1159">
        <v>3</v>
      </c>
      <c r="AI1159">
        <v>14</v>
      </c>
      <c r="AJ1159">
        <v>11</v>
      </c>
      <c r="AK1159">
        <v>2</v>
      </c>
      <c r="AL1159" t="str" cm="1">
        <f t="array" ref="AL115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59">
        <v>9</v>
      </c>
    </row>
    <row r="1160" spans="1:39" x14ac:dyDescent="0.25">
      <c r="A1160">
        <v>37</v>
      </c>
      <c r="B1160" t="s">
        <v>44</v>
      </c>
      <c r="C1160" t="s">
        <v>37</v>
      </c>
      <c r="D1160">
        <v>671</v>
      </c>
      <c r="E1160" t="s">
        <v>46</v>
      </c>
      <c r="G1160">
        <v>19</v>
      </c>
      <c r="H1160">
        <v>3</v>
      </c>
      <c r="I1160" t="s">
        <v>39</v>
      </c>
      <c r="J1160" t="str">
        <f>WA_Fn_UseC__HR_Employee_Attrition[[#This Row],[EducationField]]&amp;"-"&amp;WA_Fn_UseC__HR_Employee_Attrition[[#This Row],[Department]]</f>
        <v>Life Sciences-Research &amp; Development</v>
      </c>
      <c r="K1160">
        <v>1</v>
      </c>
      <c r="L1160">
        <v>1631</v>
      </c>
      <c r="M1160">
        <v>3</v>
      </c>
      <c r="N1160" t="s">
        <v>47</v>
      </c>
      <c r="O1160">
        <v>85</v>
      </c>
      <c r="P1160">
        <v>3</v>
      </c>
      <c r="Q1160">
        <v>2</v>
      </c>
      <c r="R1160" t="s">
        <v>54</v>
      </c>
      <c r="S1160">
        <v>3</v>
      </c>
      <c r="T1160" t="s">
        <v>49</v>
      </c>
      <c r="U1160">
        <v>5768</v>
      </c>
      <c r="V1160" t="str" cm="1">
        <f t="array" ref="V116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60">
        <v>26493</v>
      </c>
      <c r="X1160">
        <v>3</v>
      </c>
      <c r="Y1160" t="s">
        <v>43</v>
      </c>
      <c r="Z1160" t="s">
        <v>44</v>
      </c>
      <c r="AA1160">
        <v>17</v>
      </c>
      <c r="AB1160">
        <v>3</v>
      </c>
      <c r="AC1160">
        <v>1</v>
      </c>
      <c r="AD1160">
        <v>80</v>
      </c>
      <c r="AE1160">
        <v>3</v>
      </c>
      <c r="AF1160">
        <v>9</v>
      </c>
      <c r="AG1160">
        <v>2</v>
      </c>
      <c r="AH1160">
        <v>2</v>
      </c>
      <c r="AI1160">
        <v>4</v>
      </c>
      <c r="AJ1160">
        <v>3</v>
      </c>
      <c r="AK1160">
        <v>0</v>
      </c>
      <c r="AL1160" t="str" cm="1">
        <f t="array" ref="AL116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60">
        <v>2</v>
      </c>
    </row>
    <row r="1161" spans="1:39" x14ac:dyDescent="0.25">
      <c r="A1161">
        <v>39</v>
      </c>
      <c r="B1161" t="s">
        <v>44</v>
      </c>
      <c r="C1161" t="s">
        <v>45</v>
      </c>
      <c r="D1161">
        <v>711</v>
      </c>
      <c r="E1161" t="s">
        <v>46</v>
      </c>
      <c r="G1161">
        <v>4</v>
      </c>
      <c r="H1161">
        <v>3</v>
      </c>
      <c r="I1161" t="s">
        <v>52</v>
      </c>
      <c r="J1161" t="str">
        <f>WA_Fn_UseC__HR_Employee_Attrition[[#This Row],[EducationField]]&amp;"-"&amp;WA_Fn_UseC__HR_Employee_Attrition[[#This Row],[Department]]</f>
        <v>Medical-Research &amp; Development</v>
      </c>
      <c r="K1161">
        <v>1</v>
      </c>
      <c r="L1161">
        <v>1633</v>
      </c>
      <c r="M1161">
        <v>1</v>
      </c>
      <c r="N1161" t="s">
        <v>40</v>
      </c>
      <c r="O1161">
        <v>81</v>
      </c>
      <c r="P1161">
        <v>3</v>
      </c>
      <c r="Q1161">
        <v>2</v>
      </c>
      <c r="R1161" t="s">
        <v>54</v>
      </c>
      <c r="S1161">
        <v>3</v>
      </c>
      <c r="T1161" t="s">
        <v>42</v>
      </c>
      <c r="U1161">
        <v>5042</v>
      </c>
      <c r="V1161" t="str" cm="1">
        <f t="array" ref="V116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61">
        <v>3140</v>
      </c>
      <c r="X1161">
        <v>0</v>
      </c>
      <c r="Y1161" t="s">
        <v>43</v>
      </c>
      <c r="Z1161" t="s">
        <v>44</v>
      </c>
      <c r="AA1161">
        <v>13</v>
      </c>
      <c r="AB1161">
        <v>3</v>
      </c>
      <c r="AC1161">
        <v>4</v>
      </c>
      <c r="AD1161">
        <v>80</v>
      </c>
      <c r="AE1161">
        <v>0</v>
      </c>
      <c r="AF1161">
        <v>10</v>
      </c>
      <c r="AG1161">
        <v>2</v>
      </c>
      <c r="AH1161">
        <v>1</v>
      </c>
      <c r="AI1161">
        <v>9</v>
      </c>
      <c r="AJ1161">
        <v>2</v>
      </c>
      <c r="AK1161">
        <v>3</v>
      </c>
      <c r="AL1161" t="str" cm="1">
        <f t="array" ref="AL116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61">
        <v>8</v>
      </c>
    </row>
    <row r="1162" spans="1:39" x14ac:dyDescent="0.25">
      <c r="A1162">
        <v>45</v>
      </c>
      <c r="B1162" t="s">
        <v>44</v>
      </c>
      <c r="C1162" t="s">
        <v>37</v>
      </c>
      <c r="D1162">
        <v>1329</v>
      </c>
      <c r="E1162" t="s">
        <v>46</v>
      </c>
      <c r="G1162">
        <v>2</v>
      </c>
      <c r="H1162">
        <v>2</v>
      </c>
      <c r="I1162" t="s">
        <v>50</v>
      </c>
      <c r="J1162" t="str">
        <f>WA_Fn_UseC__HR_Employee_Attrition[[#This Row],[EducationField]]&amp;"-"&amp;WA_Fn_UseC__HR_Employee_Attrition[[#This Row],[Department]]</f>
        <v>Other-Research &amp; Development</v>
      </c>
      <c r="K1162">
        <v>1</v>
      </c>
      <c r="L1162">
        <v>1635</v>
      </c>
      <c r="M1162">
        <v>4</v>
      </c>
      <c r="N1162" t="s">
        <v>40</v>
      </c>
      <c r="O1162">
        <v>59</v>
      </c>
      <c r="P1162">
        <v>2</v>
      </c>
      <c r="Q1162">
        <v>2</v>
      </c>
      <c r="R1162" t="s">
        <v>54</v>
      </c>
      <c r="S1162">
        <v>4</v>
      </c>
      <c r="T1162" t="s">
        <v>53</v>
      </c>
      <c r="U1162">
        <v>5770</v>
      </c>
      <c r="V1162" t="str" cm="1">
        <f t="array" ref="V116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62">
        <v>5388</v>
      </c>
      <c r="X1162">
        <v>1</v>
      </c>
      <c r="Y1162" t="s">
        <v>43</v>
      </c>
      <c r="Z1162" t="s">
        <v>44</v>
      </c>
      <c r="AA1162">
        <v>19</v>
      </c>
      <c r="AB1162">
        <v>3</v>
      </c>
      <c r="AC1162">
        <v>1</v>
      </c>
      <c r="AD1162">
        <v>80</v>
      </c>
      <c r="AE1162">
        <v>2</v>
      </c>
      <c r="AF1162">
        <v>10</v>
      </c>
      <c r="AG1162">
        <v>3</v>
      </c>
      <c r="AH1162">
        <v>3</v>
      </c>
      <c r="AI1162">
        <v>10</v>
      </c>
      <c r="AJ1162">
        <v>7</v>
      </c>
      <c r="AK1162">
        <v>3</v>
      </c>
      <c r="AL1162" t="str" cm="1">
        <f t="array" ref="AL116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62">
        <v>9</v>
      </c>
    </row>
    <row r="1163" spans="1:39" x14ac:dyDescent="0.25">
      <c r="A1163">
        <v>38</v>
      </c>
      <c r="B1163" t="s">
        <v>44</v>
      </c>
      <c r="C1163" t="s">
        <v>37</v>
      </c>
      <c r="D1163">
        <v>397</v>
      </c>
      <c r="E1163" t="s">
        <v>46</v>
      </c>
      <c r="G1163">
        <v>2</v>
      </c>
      <c r="H1163">
        <v>2</v>
      </c>
      <c r="I1163" t="s">
        <v>52</v>
      </c>
      <c r="J1163" t="str">
        <f>WA_Fn_UseC__HR_Employee_Attrition[[#This Row],[EducationField]]&amp;"-"&amp;WA_Fn_UseC__HR_Employee_Attrition[[#This Row],[Department]]</f>
        <v>Medical-Research &amp; Development</v>
      </c>
      <c r="K1163">
        <v>1</v>
      </c>
      <c r="L1163">
        <v>1638</v>
      </c>
      <c r="M1163">
        <v>4</v>
      </c>
      <c r="N1163" t="s">
        <v>40</v>
      </c>
      <c r="O1163">
        <v>54</v>
      </c>
      <c r="P1163">
        <v>2</v>
      </c>
      <c r="Q1163">
        <v>3</v>
      </c>
      <c r="R1163" t="s">
        <v>54</v>
      </c>
      <c r="S1163">
        <v>3</v>
      </c>
      <c r="T1163" t="s">
        <v>49</v>
      </c>
      <c r="U1163">
        <v>7756</v>
      </c>
      <c r="V1163" t="str" cm="1">
        <f t="array" ref="V116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63">
        <v>14199</v>
      </c>
      <c r="X1163">
        <v>3</v>
      </c>
      <c r="Y1163" t="s">
        <v>43</v>
      </c>
      <c r="Z1163" t="s">
        <v>36</v>
      </c>
      <c r="AA1163">
        <v>19</v>
      </c>
      <c r="AB1163">
        <v>3</v>
      </c>
      <c r="AC1163">
        <v>4</v>
      </c>
      <c r="AD1163">
        <v>80</v>
      </c>
      <c r="AE1163">
        <v>1</v>
      </c>
      <c r="AF1163">
        <v>10</v>
      </c>
      <c r="AG1163">
        <v>6</v>
      </c>
      <c r="AH1163">
        <v>4</v>
      </c>
      <c r="AI1163">
        <v>5</v>
      </c>
      <c r="AJ1163">
        <v>4</v>
      </c>
      <c r="AK1163">
        <v>0</v>
      </c>
      <c r="AL1163" t="str" cm="1">
        <f t="array" ref="AL116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63">
        <v>2</v>
      </c>
    </row>
    <row r="1164" spans="1:39" x14ac:dyDescent="0.25">
      <c r="A1164">
        <v>35</v>
      </c>
      <c r="B1164" t="s">
        <v>36</v>
      </c>
      <c r="C1164" t="s">
        <v>37</v>
      </c>
      <c r="D1164">
        <v>737</v>
      </c>
      <c r="E1164" t="s">
        <v>38</v>
      </c>
      <c r="G1164">
        <v>10</v>
      </c>
      <c r="H1164">
        <v>3</v>
      </c>
      <c r="I1164" t="s">
        <v>52</v>
      </c>
      <c r="J1164" t="str">
        <f>WA_Fn_UseC__HR_Employee_Attrition[[#This Row],[EducationField]]&amp;"-"&amp;WA_Fn_UseC__HR_Employee_Attrition[[#This Row],[Department]]</f>
        <v>Medical-Sales</v>
      </c>
      <c r="K1164">
        <v>1</v>
      </c>
      <c r="L1164">
        <v>1639</v>
      </c>
      <c r="M1164">
        <v>4</v>
      </c>
      <c r="N1164" t="s">
        <v>47</v>
      </c>
      <c r="O1164">
        <v>55</v>
      </c>
      <c r="P1164">
        <v>2</v>
      </c>
      <c r="Q1164">
        <v>3</v>
      </c>
      <c r="R1164" t="s">
        <v>41</v>
      </c>
      <c r="S1164">
        <v>1</v>
      </c>
      <c r="T1164" t="s">
        <v>49</v>
      </c>
      <c r="U1164">
        <v>10306</v>
      </c>
      <c r="V1164" t="str" cm="1">
        <f t="array" ref="V116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64">
        <v>21530</v>
      </c>
      <c r="X1164">
        <v>9</v>
      </c>
      <c r="Y1164" t="s">
        <v>43</v>
      </c>
      <c r="Z1164" t="s">
        <v>44</v>
      </c>
      <c r="AA1164">
        <v>17</v>
      </c>
      <c r="AB1164">
        <v>3</v>
      </c>
      <c r="AC1164">
        <v>3</v>
      </c>
      <c r="AD1164">
        <v>80</v>
      </c>
      <c r="AE1164">
        <v>0</v>
      </c>
      <c r="AF1164">
        <v>15</v>
      </c>
      <c r="AG1164">
        <v>3</v>
      </c>
      <c r="AH1164">
        <v>3</v>
      </c>
      <c r="AI1164">
        <v>13</v>
      </c>
      <c r="AJ1164">
        <v>12</v>
      </c>
      <c r="AK1164">
        <v>6</v>
      </c>
      <c r="AL1164" t="str" cm="1">
        <f t="array" ref="AL116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64">
        <v>0</v>
      </c>
    </row>
    <row r="1165" spans="1:39" x14ac:dyDescent="0.25">
      <c r="A1165">
        <v>37</v>
      </c>
      <c r="B1165" t="s">
        <v>44</v>
      </c>
      <c r="C1165" t="s">
        <v>37</v>
      </c>
      <c r="D1165">
        <v>1470</v>
      </c>
      <c r="E1165" t="s">
        <v>46</v>
      </c>
      <c r="G1165">
        <v>10</v>
      </c>
      <c r="H1165">
        <v>3</v>
      </c>
      <c r="I1165" t="s">
        <v>52</v>
      </c>
      <c r="J1165" t="str">
        <f>WA_Fn_UseC__HR_Employee_Attrition[[#This Row],[EducationField]]&amp;"-"&amp;WA_Fn_UseC__HR_Employee_Attrition[[#This Row],[Department]]</f>
        <v>Medical-Research &amp; Development</v>
      </c>
      <c r="K1165">
        <v>1</v>
      </c>
      <c r="L1165">
        <v>1640</v>
      </c>
      <c r="M1165">
        <v>2</v>
      </c>
      <c r="N1165" t="s">
        <v>40</v>
      </c>
      <c r="O1165">
        <v>71</v>
      </c>
      <c r="P1165">
        <v>3</v>
      </c>
      <c r="Q1165">
        <v>1</v>
      </c>
      <c r="R1165" t="s">
        <v>48</v>
      </c>
      <c r="S1165">
        <v>2</v>
      </c>
      <c r="T1165" t="s">
        <v>49</v>
      </c>
      <c r="U1165">
        <v>3936</v>
      </c>
      <c r="V1165" t="str" cm="1">
        <f t="array" ref="V116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65">
        <v>9953</v>
      </c>
      <c r="X1165">
        <v>1</v>
      </c>
      <c r="Y1165" t="s">
        <v>43</v>
      </c>
      <c r="Z1165" t="s">
        <v>44</v>
      </c>
      <c r="AA1165">
        <v>11</v>
      </c>
      <c r="AB1165">
        <v>3</v>
      </c>
      <c r="AC1165">
        <v>1</v>
      </c>
      <c r="AD1165">
        <v>80</v>
      </c>
      <c r="AE1165">
        <v>1</v>
      </c>
      <c r="AF1165">
        <v>8</v>
      </c>
      <c r="AG1165">
        <v>2</v>
      </c>
      <c r="AH1165">
        <v>1</v>
      </c>
      <c r="AI1165">
        <v>8</v>
      </c>
      <c r="AJ1165">
        <v>4</v>
      </c>
      <c r="AK1165">
        <v>7</v>
      </c>
      <c r="AL1165" t="str" cm="1">
        <f t="array" ref="AL116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65">
        <v>7</v>
      </c>
    </row>
    <row r="1166" spans="1:39" x14ac:dyDescent="0.25">
      <c r="A1166">
        <v>40</v>
      </c>
      <c r="B1166" t="s">
        <v>44</v>
      </c>
      <c r="C1166" t="s">
        <v>37</v>
      </c>
      <c r="D1166">
        <v>448</v>
      </c>
      <c r="E1166" t="s">
        <v>46</v>
      </c>
      <c r="G1166">
        <v>16</v>
      </c>
      <c r="H1166">
        <v>3</v>
      </c>
      <c r="I1166" t="s">
        <v>39</v>
      </c>
      <c r="J1166" t="str">
        <f>WA_Fn_UseC__HR_Employee_Attrition[[#This Row],[EducationField]]&amp;"-"&amp;WA_Fn_UseC__HR_Employee_Attrition[[#This Row],[Department]]</f>
        <v>Life Sciences-Research &amp; Development</v>
      </c>
      <c r="K1166">
        <v>1</v>
      </c>
      <c r="L1166">
        <v>1641</v>
      </c>
      <c r="M1166">
        <v>3</v>
      </c>
      <c r="N1166" t="s">
        <v>40</v>
      </c>
      <c r="O1166">
        <v>84</v>
      </c>
      <c r="P1166">
        <v>3</v>
      </c>
      <c r="Q1166">
        <v>3</v>
      </c>
      <c r="R1166" t="s">
        <v>54</v>
      </c>
      <c r="S1166">
        <v>4</v>
      </c>
      <c r="T1166" t="s">
        <v>42</v>
      </c>
      <c r="U1166">
        <v>7945</v>
      </c>
      <c r="V1166" t="str" cm="1">
        <f t="array" ref="V116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66">
        <v>19948</v>
      </c>
      <c r="X1166">
        <v>6</v>
      </c>
      <c r="Y1166" t="s">
        <v>43</v>
      </c>
      <c r="Z1166" t="s">
        <v>36</v>
      </c>
      <c r="AA1166">
        <v>15</v>
      </c>
      <c r="AB1166">
        <v>3</v>
      </c>
      <c r="AC1166">
        <v>4</v>
      </c>
      <c r="AD1166">
        <v>80</v>
      </c>
      <c r="AE1166">
        <v>0</v>
      </c>
      <c r="AF1166">
        <v>18</v>
      </c>
      <c r="AG1166">
        <v>2</v>
      </c>
      <c r="AH1166">
        <v>2</v>
      </c>
      <c r="AI1166">
        <v>4</v>
      </c>
      <c r="AJ1166">
        <v>2</v>
      </c>
      <c r="AK1166">
        <v>3</v>
      </c>
      <c r="AL1166" t="str" cm="1">
        <f t="array" ref="AL116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66">
        <v>3</v>
      </c>
    </row>
    <row r="1167" spans="1:39" x14ac:dyDescent="0.25">
      <c r="A1167">
        <v>44</v>
      </c>
      <c r="B1167" t="s">
        <v>44</v>
      </c>
      <c r="C1167" t="s">
        <v>45</v>
      </c>
      <c r="D1167">
        <v>602</v>
      </c>
      <c r="E1167" t="s">
        <v>62</v>
      </c>
      <c r="G1167">
        <v>1</v>
      </c>
      <c r="H1167">
        <v>5</v>
      </c>
      <c r="I1167" t="s">
        <v>62</v>
      </c>
      <c r="J1167" t="str">
        <f>WA_Fn_UseC__HR_Employee_Attrition[[#This Row],[EducationField]]&amp;"-"&amp;WA_Fn_UseC__HR_Employee_Attrition[[#This Row],[Department]]</f>
        <v>Human Resources-Human Resources</v>
      </c>
      <c r="K1167">
        <v>1</v>
      </c>
      <c r="L1167">
        <v>1642</v>
      </c>
      <c r="M1167">
        <v>1</v>
      </c>
      <c r="N1167" t="s">
        <v>47</v>
      </c>
      <c r="O1167">
        <v>37</v>
      </c>
      <c r="P1167">
        <v>3</v>
      </c>
      <c r="Q1167">
        <v>2</v>
      </c>
      <c r="R1167" t="s">
        <v>62</v>
      </c>
      <c r="S1167">
        <v>4</v>
      </c>
      <c r="T1167" t="s">
        <v>49</v>
      </c>
      <c r="U1167">
        <v>5743</v>
      </c>
      <c r="V1167" t="str" cm="1">
        <f t="array" ref="V116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67">
        <v>10503</v>
      </c>
      <c r="X1167">
        <v>4</v>
      </c>
      <c r="Y1167" t="s">
        <v>43</v>
      </c>
      <c r="Z1167" t="s">
        <v>36</v>
      </c>
      <c r="AA1167">
        <v>11</v>
      </c>
      <c r="AB1167">
        <v>3</v>
      </c>
      <c r="AC1167">
        <v>3</v>
      </c>
      <c r="AD1167">
        <v>80</v>
      </c>
      <c r="AE1167">
        <v>0</v>
      </c>
      <c r="AF1167">
        <v>14</v>
      </c>
      <c r="AG1167">
        <v>3</v>
      </c>
      <c r="AH1167">
        <v>3</v>
      </c>
      <c r="AI1167">
        <v>10</v>
      </c>
      <c r="AJ1167">
        <v>7</v>
      </c>
      <c r="AK1167">
        <v>0</v>
      </c>
      <c r="AL1167" t="str" cm="1">
        <f t="array" ref="AL116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67">
        <v>2</v>
      </c>
    </row>
    <row r="1168" spans="1:39" x14ac:dyDescent="0.25">
      <c r="A1168">
        <v>48</v>
      </c>
      <c r="B1168" t="s">
        <v>44</v>
      </c>
      <c r="C1168" t="s">
        <v>45</v>
      </c>
      <c r="D1168">
        <v>365</v>
      </c>
      <c r="E1168" t="s">
        <v>46</v>
      </c>
      <c r="G1168">
        <v>4</v>
      </c>
      <c r="H1168">
        <v>5</v>
      </c>
      <c r="I1168" t="s">
        <v>52</v>
      </c>
      <c r="J1168" t="str">
        <f>WA_Fn_UseC__HR_Employee_Attrition[[#This Row],[EducationField]]&amp;"-"&amp;WA_Fn_UseC__HR_Employee_Attrition[[#This Row],[Department]]</f>
        <v>Medical-Research &amp; Development</v>
      </c>
      <c r="K1168">
        <v>1</v>
      </c>
      <c r="L1168">
        <v>1644</v>
      </c>
      <c r="M1168">
        <v>3</v>
      </c>
      <c r="N1168" t="s">
        <v>47</v>
      </c>
      <c r="O1168">
        <v>89</v>
      </c>
      <c r="P1168">
        <v>2</v>
      </c>
      <c r="Q1168">
        <v>4</v>
      </c>
      <c r="R1168" t="s">
        <v>57</v>
      </c>
      <c r="S1168">
        <v>4</v>
      </c>
      <c r="T1168" t="s">
        <v>49</v>
      </c>
      <c r="U1168">
        <v>15202</v>
      </c>
      <c r="V1168" t="str" cm="1">
        <f t="array" ref="V116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68">
        <v>5602</v>
      </c>
      <c r="X1168">
        <v>2</v>
      </c>
      <c r="Y1168" t="s">
        <v>43</v>
      </c>
      <c r="Z1168" t="s">
        <v>44</v>
      </c>
      <c r="AA1168">
        <v>25</v>
      </c>
      <c r="AB1168">
        <v>4</v>
      </c>
      <c r="AC1168">
        <v>2</v>
      </c>
      <c r="AD1168">
        <v>80</v>
      </c>
      <c r="AE1168">
        <v>1</v>
      </c>
      <c r="AF1168">
        <v>23</v>
      </c>
      <c r="AG1168">
        <v>3</v>
      </c>
      <c r="AH1168">
        <v>3</v>
      </c>
      <c r="AI1168">
        <v>2</v>
      </c>
      <c r="AJ1168">
        <v>2</v>
      </c>
      <c r="AK1168">
        <v>2</v>
      </c>
      <c r="AL1168" t="str" cm="1">
        <f t="array" ref="AL116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68">
        <v>2</v>
      </c>
    </row>
    <row r="1169" spans="1:39" x14ac:dyDescent="0.25">
      <c r="A1169">
        <v>35</v>
      </c>
      <c r="B1169" t="s">
        <v>36</v>
      </c>
      <c r="C1169" t="s">
        <v>37</v>
      </c>
      <c r="D1169">
        <v>763</v>
      </c>
      <c r="E1169" t="s">
        <v>38</v>
      </c>
      <c r="G1169">
        <v>15</v>
      </c>
      <c r="H1169">
        <v>2</v>
      </c>
      <c r="I1169" t="s">
        <v>52</v>
      </c>
      <c r="J1169" t="str">
        <f>WA_Fn_UseC__HR_Employee_Attrition[[#This Row],[EducationField]]&amp;"-"&amp;WA_Fn_UseC__HR_Employee_Attrition[[#This Row],[Department]]</f>
        <v>Medical-Sales</v>
      </c>
      <c r="K1169">
        <v>1</v>
      </c>
      <c r="L1169">
        <v>1645</v>
      </c>
      <c r="M1169">
        <v>1</v>
      </c>
      <c r="N1169" t="s">
        <v>47</v>
      </c>
      <c r="O1169">
        <v>59</v>
      </c>
      <c r="P1169">
        <v>1</v>
      </c>
      <c r="Q1169">
        <v>2</v>
      </c>
      <c r="R1169" t="s">
        <v>41</v>
      </c>
      <c r="S1169">
        <v>4</v>
      </c>
      <c r="T1169" t="s">
        <v>53</v>
      </c>
      <c r="U1169">
        <v>5440</v>
      </c>
      <c r="V1169" t="str" cm="1">
        <f t="array" ref="V116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69">
        <v>22098</v>
      </c>
      <c r="X1169">
        <v>6</v>
      </c>
      <c r="Y1169" t="s">
        <v>43</v>
      </c>
      <c r="Z1169" t="s">
        <v>36</v>
      </c>
      <c r="AA1169">
        <v>14</v>
      </c>
      <c r="AB1169">
        <v>3</v>
      </c>
      <c r="AC1169">
        <v>4</v>
      </c>
      <c r="AD1169">
        <v>80</v>
      </c>
      <c r="AE1169">
        <v>2</v>
      </c>
      <c r="AF1169">
        <v>7</v>
      </c>
      <c r="AG1169">
        <v>2</v>
      </c>
      <c r="AH1169">
        <v>2</v>
      </c>
      <c r="AI1169">
        <v>2</v>
      </c>
      <c r="AJ1169">
        <v>2</v>
      </c>
      <c r="AK1169">
        <v>2</v>
      </c>
      <c r="AL1169" t="str" cm="1">
        <f t="array" ref="AL116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69">
        <v>2</v>
      </c>
    </row>
    <row r="1170" spans="1:39" x14ac:dyDescent="0.25">
      <c r="A1170">
        <v>24</v>
      </c>
      <c r="B1170" t="s">
        <v>44</v>
      </c>
      <c r="C1170" t="s">
        <v>45</v>
      </c>
      <c r="D1170">
        <v>567</v>
      </c>
      <c r="E1170" t="s">
        <v>46</v>
      </c>
      <c r="G1170">
        <v>2</v>
      </c>
      <c r="H1170">
        <v>1</v>
      </c>
      <c r="I1170" t="s">
        <v>61</v>
      </c>
      <c r="J1170" t="str">
        <f>WA_Fn_UseC__HR_Employee_Attrition[[#This Row],[EducationField]]&amp;"-"&amp;WA_Fn_UseC__HR_Employee_Attrition[[#This Row],[Department]]</f>
        <v>Technical Degree-Research &amp; Development</v>
      </c>
      <c r="K1170">
        <v>1</v>
      </c>
      <c r="L1170">
        <v>1646</v>
      </c>
      <c r="M1170">
        <v>1</v>
      </c>
      <c r="N1170" t="s">
        <v>40</v>
      </c>
      <c r="O1170">
        <v>32</v>
      </c>
      <c r="P1170">
        <v>3</v>
      </c>
      <c r="Q1170">
        <v>1</v>
      </c>
      <c r="R1170" t="s">
        <v>48</v>
      </c>
      <c r="S1170">
        <v>4</v>
      </c>
      <c r="T1170" t="s">
        <v>42</v>
      </c>
      <c r="U1170">
        <v>3760</v>
      </c>
      <c r="V1170" t="str" cm="1">
        <f t="array" ref="V117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70">
        <v>17218</v>
      </c>
      <c r="X1170">
        <v>1</v>
      </c>
      <c r="Y1170" t="s">
        <v>43</v>
      </c>
      <c r="Z1170" t="s">
        <v>36</v>
      </c>
      <c r="AA1170">
        <v>13</v>
      </c>
      <c r="AB1170">
        <v>3</v>
      </c>
      <c r="AC1170">
        <v>3</v>
      </c>
      <c r="AD1170">
        <v>80</v>
      </c>
      <c r="AE1170">
        <v>0</v>
      </c>
      <c r="AF1170">
        <v>6</v>
      </c>
      <c r="AG1170">
        <v>2</v>
      </c>
      <c r="AH1170">
        <v>3</v>
      </c>
      <c r="AI1170">
        <v>6</v>
      </c>
      <c r="AJ1170">
        <v>3</v>
      </c>
      <c r="AK1170">
        <v>1</v>
      </c>
      <c r="AL1170" t="str" cm="1">
        <f t="array" ref="AL117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70">
        <v>3</v>
      </c>
    </row>
    <row r="1171" spans="1:39" x14ac:dyDescent="0.25">
      <c r="A1171">
        <v>27</v>
      </c>
      <c r="B1171" t="s">
        <v>44</v>
      </c>
      <c r="C1171" t="s">
        <v>37</v>
      </c>
      <c r="D1171">
        <v>486</v>
      </c>
      <c r="E1171" t="s">
        <v>46</v>
      </c>
      <c r="G1171">
        <v>8</v>
      </c>
      <c r="H1171">
        <v>3</v>
      </c>
      <c r="I1171" t="s">
        <v>52</v>
      </c>
      <c r="J1171" t="str">
        <f>WA_Fn_UseC__HR_Employee_Attrition[[#This Row],[EducationField]]&amp;"-"&amp;WA_Fn_UseC__HR_Employee_Attrition[[#This Row],[Department]]</f>
        <v>Medical-Research &amp; Development</v>
      </c>
      <c r="K1171">
        <v>1</v>
      </c>
      <c r="L1171">
        <v>1647</v>
      </c>
      <c r="M1171">
        <v>2</v>
      </c>
      <c r="N1171" t="s">
        <v>40</v>
      </c>
      <c r="O1171">
        <v>86</v>
      </c>
      <c r="P1171">
        <v>4</v>
      </c>
      <c r="Q1171">
        <v>1</v>
      </c>
      <c r="R1171" t="s">
        <v>48</v>
      </c>
      <c r="S1171">
        <v>3</v>
      </c>
      <c r="T1171" t="s">
        <v>49</v>
      </c>
      <c r="U1171">
        <v>3517</v>
      </c>
      <c r="V1171" t="str" cm="1">
        <f t="array" ref="V117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71">
        <v>22490</v>
      </c>
      <c r="X1171">
        <v>7</v>
      </c>
      <c r="Y1171" t="s">
        <v>43</v>
      </c>
      <c r="Z1171" t="s">
        <v>44</v>
      </c>
      <c r="AA1171">
        <v>17</v>
      </c>
      <c r="AB1171">
        <v>3</v>
      </c>
      <c r="AC1171">
        <v>1</v>
      </c>
      <c r="AD1171">
        <v>80</v>
      </c>
      <c r="AE1171">
        <v>0</v>
      </c>
      <c r="AF1171">
        <v>5</v>
      </c>
      <c r="AG1171">
        <v>0</v>
      </c>
      <c r="AH1171">
        <v>3</v>
      </c>
      <c r="AI1171">
        <v>3</v>
      </c>
      <c r="AJ1171">
        <v>2</v>
      </c>
      <c r="AK1171">
        <v>0</v>
      </c>
      <c r="AL1171" t="str" cm="1">
        <f t="array" ref="AL117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71">
        <v>2</v>
      </c>
    </row>
    <row r="1172" spans="1:39" x14ac:dyDescent="0.25">
      <c r="A1172">
        <v>27</v>
      </c>
      <c r="B1172" t="s">
        <v>44</v>
      </c>
      <c r="C1172" t="s">
        <v>45</v>
      </c>
      <c r="D1172">
        <v>591</v>
      </c>
      <c r="E1172" t="s">
        <v>46</v>
      </c>
      <c r="G1172">
        <v>2</v>
      </c>
      <c r="H1172">
        <v>3</v>
      </c>
      <c r="I1172" t="s">
        <v>52</v>
      </c>
      <c r="J1172" t="str">
        <f>WA_Fn_UseC__HR_Employee_Attrition[[#This Row],[EducationField]]&amp;"-"&amp;WA_Fn_UseC__HR_Employee_Attrition[[#This Row],[Department]]</f>
        <v>Medical-Research &amp; Development</v>
      </c>
      <c r="K1172">
        <v>1</v>
      </c>
      <c r="L1172">
        <v>1648</v>
      </c>
      <c r="M1172">
        <v>4</v>
      </c>
      <c r="N1172" t="s">
        <v>47</v>
      </c>
      <c r="O1172">
        <v>87</v>
      </c>
      <c r="P1172">
        <v>3</v>
      </c>
      <c r="Q1172">
        <v>1</v>
      </c>
      <c r="R1172" t="s">
        <v>48</v>
      </c>
      <c r="S1172">
        <v>4</v>
      </c>
      <c r="T1172" t="s">
        <v>42</v>
      </c>
      <c r="U1172">
        <v>2580</v>
      </c>
      <c r="V1172" t="str" cm="1">
        <f t="array" ref="V117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72">
        <v>6297</v>
      </c>
      <c r="X1172">
        <v>2</v>
      </c>
      <c r="Y1172" t="s">
        <v>43</v>
      </c>
      <c r="Z1172" t="s">
        <v>44</v>
      </c>
      <c r="AA1172">
        <v>13</v>
      </c>
      <c r="AB1172">
        <v>3</v>
      </c>
      <c r="AC1172">
        <v>3</v>
      </c>
      <c r="AD1172">
        <v>80</v>
      </c>
      <c r="AE1172">
        <v>0</v>
      </c>
      <c r="AF1172">
        <v>6</v>
      </c>
      <c r="AG1172">
        <v>0</v>
      </c>
      <c r="AH1172">
        <v>2</v>
      </c>
      <c r="AI1172">
        <v>4</v>
      </c>
      <c r="AJ1172">
        <v>2</v>
      </c>
      <c r="AK1172">
        <v>1</v>
      </c>
      <c r="AL1172" t="str" cm="1">
        <f t="array" ref="AL117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72">
        <v>2</v>
      </c>
    </row>
    <row r="1173" spans="1:39" x14ac:dyDescent="0.25">
      <c r="A1173">
        <v>40</v>
      </c>
      <c r="B1173" t="s">
        <v>36</v>
      </c>
      <c r="C1173" t="s">
        <v>37</v>
      </c>
      <c r="D1173">
        <v>1329</v>
      </c>
      <c r="E1173" t="s">
        <v>46</v>
      </c>
      <c r="G1173">
        <v>7</v>
      </c>
      <c r="H1173">
        <v>3</v>
      </c>
      <c r="I1173" t="s">
        <v>39</v>
      </c>
      <c r="J1173" t="str">
        <f>WA_Fn_UseC__HR_Employee_Attrition[[#This Row],[EducationField]]&amp;"-"&amp;WA_Fn_UseC__HR_Employee_Attrition[[#This Row],[Department]]</f>
        <v>Life Sciences-Research &amp; Development</v>
      </c>
      <c r="K1173">
        <v>1</v>
      </c>
      <c r="L1173">
        <v>1649</v>
      </c>
      <c r="M1173">
        <v>1</v>
      </c>
      <c r="N1173" t="s">
        <v>47</v>
      </c>
      <c r="O1173">
        <v>73</v>
      </c>
      <c r="P1173">
        <v>3</v>
      </c>
      <c r="Q1173">
        <v>1</v>
      </c>
      <c r="R1173" t="s">
        <v>51</v>
      </c>
      <c r="S1173">
        <v>1</v>
      </c>
      <c r="T1173" t="s">
        <v>42</v>
      </c>
      <c r="U1173">
        <v>2166</v>
      </c>
      <c r="V1173" t="str" cm="1">
        <f t="array" ref="V117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73">
        <v>3339</v>
      </c>
      <c r="X1173">
        <v>3</v>
      </c>
      <c r="Y1173" t="s">
        <v>43</v>
      </c>
      <c r="Z1173" t="s">
        <v>36</v>
      </c>
      <c r="AA1173">
        <v>14</v>
      </c>
      <c r="AB1173">
        <v>3</v>
      </c>
      <c r="AC1173">
        <v>2</v>
      </c>
      <c r="AD1173">
        <v>80</v>
      </c>
      <c r="AE1173">
        <v>0</v>
      </c>
      <c r="AF1173">
        <v>10</v>
      </c>
      <c r="AG1173">
        <v>3</v>
      </c>
      <c r="AH1173">
        <v>1</v>
      </c>
      <c r="AI1173">
        <v>4</v>
      </c>
      <c r="AJ1173">
        <v>2</v>
      </c>
      <c r="AK1173">
        <v>0</v>
      </c>
      <c r="AL1173" t="str" cm="1">
        <f t="array" ref="AL117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73">
        <v>3</v>
      </c>
    </row>
    <row r="1174" spans="1:39" x14ac:dyDescent="0.25">
      <c r="A1174">
        <v>29</v>
      </c>
      <c r="B1174" t="s">
        <v>44</v>
      </c>
      <c r="C1174" t="s">
        <v>37</v>
      </c>
      <c r="D1174">
        <v>469</v>
      </c>
      <c r="E1174" t="s">
        <v>38</v>
      </c>
      <c r="G1174">
        <v>10</v>
      </c>
      <c r="H1174">
        <v>3</v>
      </c>
      <c r="I1174" t="s">
        <v>52</v>
      </c>
      <c r="J1174" t="str">
        <f>WA_Fn_UseC__HR_Employee_Attrition[[#This Row],[EducationField]]&amp;"-"&amp;WA_Fn_UseC__HR_Employee_Attrition[[#This Row],[Department]]</f>
        <v>Medical-Sales</v>
      </c>
      <c r="K1174">
        <v>1</v>
      </c>
      <c r="L1174">
        <v>1650</v>
      </c>
      <c r="M1174">
        <v>3</v>
      </c>
      <c r="N1174" t="s">
        <v>47</v>
      </c>
      <c r="O1174">
        <v>42</v>
      </c>
      <c r="P1174">
        <v>2</v>
      </c>
      <c r="Q1174">
        <v>2</v>
      </c>
      <c r="R1174" t="s">
        <v>41</v>
      </c>
      <c r="S1174">
        <v>3</v>
      </c>
      <c r="T1174" t="s">
        <v>42</v>
      </c>
      <c r="U1174">
        <v>5869</v>
      </c>
      <c r="V1174" t="str" cm="1">
        <f t="array" ref="V117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74">
        <v>23413</v>
      </c>
      <c r="X1174">
        <v>9</v>
      </c>
      <c r="Y1174" t="s">
        <v>43</v>
      </c>
      <c r="Z1174" t="s">
        <v>44</v>
      </c>
      <c r="AA1174">
        <v>11</v>
      </c>
      <c r="AB1174">
        <v>3</v>
      </c>
      <c r="AC1174">
        <v>3</v>
      </c>
      <c r="AD1174">
        <v>80</v>
      </c>
      <c r="AE1174">
        <v>0</v>
      </c>
      <c r="AF1174">
        <v>8</v>
      </c>
      <c r="AG1174">
        <v>2</v>
      </c>
      <c r="AH1174">
        <v>3</v>
      </c>
      <c r="AI1174">
        <v>5</v>
      </c>
      <c r="AJ1174">
        <v>2</v>
      </c>
      <c r="AK1174">
        <v>1</v>
      </c>
      <c r="AL1174" t="str" cm="1">
        <f t="array" ref="AL117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74">
        <v>4</v>
      </c>
    </row>
    <row r="1175" spans="1:39" x14ac:dyDescent="0.25">
      <c r="A1175">
        <v>36</v>
      </c>
      <c r="B1175" t="s">
        <v>44</v>
      </c>
      <c r="C1175" t="s">
        <v>37</v>
      </c>
      <c r="D1175">
        <v>711</v>
      </c>
      <c r="E1175" t="s">
        <v>46</v>
      </c>
      <c r="G1175">
        <v>5</v>
      </c>
      <c r="H1175">
        <v>4</v>
      </c>
      <c r="I1175" t="s">
        <v>39</v>
      </c>
      <c r="J1175" t="str">
        <f>WA_Fn_UseC__HR_Employee_Attrition[[#This Row],[EducationField]]&amp;"-"&amp;WA_Fn_UseC__HR_Employee_Attrition[[#This Row],[Department]]</f>
        <v>Life Sciences-Research &amp; Development</v>
      </c>
      <c r="K1175">
        <v>1</v>
      </c>
      <c r="L1175">
        <v>1651</v>
      </c>
      <c r="M1175">
        <v>2</v>
      </c>
      <c r="N1175" t="s">
        <v>40</v>
      </c>
      <c r="O1175">
        <v>42</v>
      </c>
      <c r="P1175">
        <v>3</v>
      </c>
      <c r="Q1175">
        <v>3</v>
      </c>
      <c r="R1175" t="s">
        <v>55</v>
      </c>
      <c r="S1175">
        <v>1</v>
      </c>
      <c r="T1175" t="s">
        <v>49</v>
      </c>
      <c r="U1175">
        <v>8008</v>
      </c>
      <c r="V1175" t="str" cm="1">
        <f t="array" ref="V117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75">
        <v>22792</v>
      </c>
      <c r="X1175">
        <v>4</v>
      </c>
      <c r="Y1175" t="s">
        <v>43</v>
      </c>
      <c r="Z1175" t="s">
        <v>44</v>
      </c>
      <c r="AA1175">
        <v>12</v>
      </c>
      <c r="AB1175">
        <v>3</v>
      </c>
      <c r="AC1175">
        <v>3</v>
      </c>
      <c r="AD1175">
        <v>80</v>
      </c>
      <c r="AE1175">
        <v>2</v>
      </c>
      <c r="AF1175">
        <v>9</v>
      </c>
      <c r="AG1175">
        <v>6</v>
      </c>
      <c r="AH1175">
        <v>3</v>
      </c>
      <c r="AI1175">
        <v>3</v>
      </c>
      <c r="AJ1175">
        <v>2</v>
      </c>
      <c r="AK1175">
        <v>0</v>
      </c>
      <c r="AL1175" t="str" cm="1">
        <f t="array" ref="AL117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75">
        <v>2</v>
      </c>
    </row>
    <row r="1176" spans="1:39" x14ac:dyDescent="0.25">
      <c r="A1176">
        <v>25</v>
      </c>
      <c r="B1176" t="s">
        <v>44</v>
      </c>
      <c r="C1176" t="s">
        <v>45</v>
      </c>
      <c r="D1176">
        <v>772</v>
      </c>
      <c r="E1176" t="s">
        <v>46</v>
      </c>
      <c r="G1176">
        <v>2</v>
      </c>
      <c r="H1176">
        <v>1</v>
      </c>
      <c r="I1176" t="s">
        <v>39</v>
      </c>
      <c r="J1176" t="str">
        <f>WA_Fn_UseC__HR_Employee_Attrition[[#This Row],[EducationField]]&amp;"-"&amp;WA_Fn_UseC__HR_Employee_Attrition[[#This Row],[Department]]</f>
        <v>Life Sciences-Research &amp; Development</v>
      </c>
      <c r="K1176">
        <v>1</v>
      </c>
      <c r="L1176">
        <v>1653</v>
      </c>
      <c r="M1176">
        <v>4</v>
      </c>
      <c r="N1176" t="s">
        <v>47</v>
      </c>
      <c r="O1176">
        <v>77</v>
      </c>
      <c r="P1176">
        <v>4</v>
      </c>
      <c r="Q1176">
        <v>2</v>
      </c>
      <c r="R1176" t="s">
        <v>54</v>
      </c>
      <c r="S1176">
        <v>3</v>
      </c>
      <c r="T1176" t="s">
        <v>53</v>
      </c>
      <c r="U1176">
        <v>5206</v>
      </c>
      <c r="V1176" t="str" cm="1">
        <f t="array" ref="V117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76">
        <v>4973</v>
      </c>
      <c r="X1176">
        <v>1</v>
      </c>
      <c r="Y1176" t="s">
        <v>43</v>
      </c>
      <c r="Z1176" t="s">
        <v>44</v>
      </c>
      <c r="AA1176">
        <v>17</v>
      </c>
      <c r="AB1176">
        <v>3</v>
      </c>
      <c r="AC1176">
        <v>3</v>
      </c>
      <c r="AD1176">
        <v>80</v>
      </c>
      <c r="AE1176">
        <v>2</v>
      </c>
      <c r="AF1176">
        <v>7</v>
      </c>
      <c r="AG1176">
        <v>6</v>
      </c>
      <c r="AH1176">
        <v>3</v>
      </c>
      <c r="AI1176">
        <v>7</v>
      </c>
      <c r="AJ1176">
        <v>7</v>
      </c>
      <c r="AK1176">
        <v>0</v>
      </c>
      <c r="AL1176" t="str" cm="1">
        <f t="array" ref="AL117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76">
        <v>7</v>
      </c>
    </row>
    <row r="1177" spans="1:39" x14ac:dyDescent="0.25">
      <c r="A1177">
        <v>39</v>
      </c>
      <c r="B1177" t="s">
        <v>44</v>
      </c>
      <c r="C1177" t="s">
        <v>37</v>
      </c>
      <c r="D1177">
        <v>492</v>
      </c>
      <c r="E1177" t="s">
        <v>46</v>
      </c>
      <c r="G1177">
        <v>12</v>
      </c>
      <c r="H1177">
        <v>3</v>
      </c>
      <c r="I1177" t="s">
        <v>52</v>
      </c>
      <c r="J1177" t="str">
        <f>WA_Fn_UseC__HR_Employee_Attrition[[#This Row],[EducationField]]&amp;"-"&amp;WA_Fn_UseC__HR_Employee_Attrition[[#This Row],[Department]]</f>
        <v>Medical-Research &amp; Development</v>
      </c>
      <c r="K1177">
        <v>1</v>
      </c>
      <c r="L1177">
        <v>1654</v>
      </c>
      <c r="M1177">
        <v>4</v>
      </c>
      <c r="N1177" t="s">
        <v>47</v>
      </c>
      <c r="O1177">
        <v>66</v>
      </c>
      <c r="P1177">
        <v>3</v>
      </c>
      <c r="Q1177">
        <v>2</v>
      </c>
      <c r="R1177" t="s">
        <v>54</v>
      </c>
      <c r="S1177">
        <v>2</v>
      </c>
      <c r="T1177" t="s">
        <v>49</v>
      </c>
      <c r="U1177">
        <v>5295</v>
      </c>
      <c r="V1177" t="str" cm="1">
        <f t="array" ref="V117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77">
        <v>7693</v>
      </c>
      <c r="X1177">
        <v>4</v>
      </c>
      <c r="Y1177" t="s">
        <v>43</v>
      </c>
      <c r="Z1177" t="s">
        <v>44</v>
      </c>
      <c r="AA1177">
        <v>21</v>
      </c>
      <c r="AB1177">
        <v>4</v>
      </c>
      <c r="AC1177">
        <v>3</v>
      </c>
      <c r="AD1177">
        <v>80</v>
      </c>
      <c r="AE1177">
        <v>0</v>
      </c>
      <c r="AF1177">
        <v>7</v>
      </c>
      <c r="AG1177">
        <v>3</v>
      </c>
      <c r="AH1177">
        <v>3</v>
      </c>
      <c r="AI1177">
        <v>5</v>
      </c>
      <c r="AJ1177">
        <v>4</v>
      </c>
      <c r="AK1177">
        <v>1</v>
      </c>
      <c r="AL1177" t="str" cm="1">
        <f t="array" ref="AL117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77">
        <v>0</v>
      </c>
    </row>
    <row r="1178" spans="1:39" x14ac:dyDescent="0.25">
      <c r="A1178">
        <v>49</v>
      </c>
      <c r="B1178" t="s">
        <v>44</v>
      </c>
      <c r="C1178" t="s">
        <v>37</v>
      </c>
      <c r="D1178">
        <v>301</v>
      </c>
      <c r="E1178" t="s">
        <v>46</v>
      </c>
      <c r="G1178">
        <v>22</v>
      </c>
      <c r="H1178">
        <v>4</v>
      </c>
      <c r="I1178" t="s">
        <v>50</v>
      </c>
      <c r="J1178" t="str">
        <f>WA_Fn_UseC__HR_Employee_Attrition[[#This Row],[EducationField]]&amp;"-"&amp;WA_Fn_UseC__HR_Employee_Attrition[[#This Row],[Department]]</f>
        <v>Other-Research &amp; Development</v>
      </c>
      <c r="K1178">
        <v>1</v>
      </c>
      <c r="L1178">
        <v>1655</v>
      </c>
      <c r="M1178">
        <v>1</v>
      </c>
      <c r="N1178" t="s">
        <v>40</v>
      </c>
      <c r="O1178">
        <v>72</v>
      </c>
      <c r="P1178">
        <v>3</v>
      </c>
      <c r="Q1178">
        <v>4</v>
      </c>
      <c r="R1178" t="s">
        <v>59</v>
      </c>
      <c r="S1178">
        <v>2</v>
      </c>
      <c r="T1178" t="s">
        <v>49</v>
      </c>
      <c r="U1178">
        <v>16413</v>
      </c>
      <c r="V1178" t="str" cm="1">
        <f t="array" ref="V117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78">
        <v>3498</v>
      </c>
      <c r="X1178">
        <v>3</v>
      </c>
      <c r="Y1178" t="s">
        <v>43</v>
      </c>
      <c r="Z1178" t="s">
        <v>44</v>
      </c>
      <c r="AA1178">
        <v>16</v>
      </c>
      <c r="AB1178">
        <v>3</v>
      </c>
      <c r="AC1178">
        <v>2</v>
      </c>
      <c r="AD1178">
        <v>80</v>
      </c>
      <c r="AE1178">
        <v>2</v>
      </c>
      <c r="AF1178">
        <v>27</v>
      </c>
      <c r="AG1178">
        <v>2</v>
      </c>
      <c r="AH1178">
        <v>3</v>
      </c>
      <c r="AI1178">
        <v>4</v>
      </c>
      <c r="AJ1178">
        <v>2</v>
      </c>
      <c r="AK1178">
        <v>1</v>
      </c>
      <c r="AL1178" t="str" cm="1">
        <f t="array" ref="AL117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78">
        <v>2</v>
      </c>
    </row>
    <row r="1179" spans="1:39" x14ac:dyDescent="0.25">
      <c r="A1179">
        <v>50</v>
      </c>
      <c r="B1179" t="s">
        <v>44</v>
      </c>
      <c r="C1179" t="s">
        <v>37</v>
      </c>
      <c r="D1179">
        <v>813</v>
      </c>
      <c r="E1179" t="s">
        <v>46</v>
      </c>
      <c r="G1179">
        <v>17</v>
      </c>
      <c r="H1179">
        <v>5</v>
      </c>
      <c r="I1179" t="s">
        <v>39</v>
      </c>
      <c r="J1179" t="str">
        <f>WA_Fn_UseC__HR_Employee_Attrition[[#This Row],[EducationField]]&amp;"-"&amp;WA_Fn_UseC__HR_Employee_Attrition[[#This Row],[Department]]</f>
        <v>Life Sciences-Research &amp; Development</v>
      </c>
      <c r="K1179">
        <v>1</v>
      </c>
      <c r="L1179">
        <v>1656</v>
      </c>
      <c r="M1179">
        <v>4</v>
      </c>
      <c r="N1179" t="s">
        <v>40</v>
      </c>
      <c r="O1179">
        <v>50</v>
      </c>
      <c r="P1179">
        <v>2</v>
      </c>
      <c r="Q1179">
        <v>3</v>
      </c>
      <c r="R1179" t="s">
        <v>59</v>
      </c>
      <c r="S1179">
        <v>1</v>
      </c>
      <c r="T1179" t="s">
        <v>53</v>
      </c>
      <c r="U1179">
        <v>13269</v>
      </c>
      <c r="V1179" t="str" cm="1">
        <f t="array" ref="V117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79">
        <v>21981</v>
      </c>
      <c r="X1179">
        <v>5</v>
      </c>
      <c r="Y1179" t="s">
        <v>43</v>
      </c>
      <c r="Z1179" t="s">
        <v>44</v>
      </c>
      <c r="AA1179">
        <v>15</v>
      </c>
      <c r="AB1179">
        <v>3</v>
      </c>
      <c r="AC1179">
        <v>3</v>
      </c>
      <c r="AD1179">
        <v>80</v>
      </c>
      <c r="AE1179">
        <v>3</v>
      </c>
      <c r="AF1179">
        <v>19</v>
      </c>
      <c r="AG1179">
        <v>3</v>
      </c>
      <c r="AH1179">
        <v>3</v>
      </c>
      <c r="AI1179">
        <v>14</v>
      </c>
      <c r="AJ1179">
        <v>11</v>
      </c>
      <c r="AK1179">
        <v>1</v>
      </c>
      <c r="AL1179" t="str" cm="1">
        <f t="array" ref="AL117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79">
        <v>11</v>
      </c>
    </row>
    <row r="1180" spans="1:39" x14ac:dyDescent="0.25">
      <c r="A1180">
        <v>20</v>
      </c>
      <c r="B1180" t="s">
        <v>44</v>
      </c>
      <c r="C1180" t="s">
        <v>37</v>
      </c>
      <c r="D1180">
        <v>1141</v>
      </c>
      <c r="E1180" t="s">
        <v>38</v>
      </c>
      <c r="G1180">
        <v>2</v>
      </c>
      <c r="H1180">
        <v>3</v>
      </c>
      <c r="I1180" t="s">
        <v>52</v>
      </c>
      <c r="J1180" t="str">
        <f>WA_Fn_UseC__HR_Employee_Attrition[[#This Row],[EducationField]]&amp;"-"&amp;WA_Fn_UseC__HR_Employee_Attrition[[#This Row],[Department]]</f>
        <v>Medical-Sales</v>
      </c>
      <c r="K1180">
        <v>1</v>
      </c>
      <c r="L1180">
        <v>1657</v>
      </c>
      <c r="M1180">
        <v>3</v>
      </c>
      <c r="N1180" t="s">
        <v>40</v>
      </c>
      <c r="O1180">
        <v>31</v>
      </c>
      <c r="P1180">
        <v>3</v>
      </c>
      <c r="Q1180">
        <v>1</v>
      </c>
      <c r="R1180" t="s">
        <v>58</v>
      </c>
      <c r="S1180">
        <v>3</v>
      </c>
      <c r="T1180" t="s">
        <v>42</v>
      </c>
      <c r="U1180">
        <v>2783</v>
      </c>
      <c r="V1180" t="str" cm="1">
        <f t="array" ref="V118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80">
        <v>13251</v>
      </c>
      <c r="X1180">
        <v>1</v>
      </c>
      <c r="Y1180" t="s">
        <v>43</v>
      </c>
      <c r="Z1180" t="s">
        <v>44</v>
      </c>
      <c r="AA1180">
        <v>19</v>
      </c>
      <c r="AB1180">
        <v>3</v>
      </c>
      <c r="AC1180">
        <v>1</v>
      </c>
      <c r="AD1180">
        <v>80</v>
      </c>
      <c r="AE1180">
        <v>0</v>
      </c>
      <c r="AF1180">
        <v>2</v>
      </c>
      <c r="AG1180">
        <v>3</v>
      </c>
      <c r="AH1180">
        <v>3</v>
      </c>
      <c r="AI1180">
        <v>2</v>
      </c>
      <c r="AJ1180">
        <v>2</v>
      </c>
      <c r="AK1180">
        <v>2</v>
      </c>
      <c r="AL1180" t="str" cm="1">
        <f t="array" ref="AL118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80">
        <v>2</v>
      </c>
    </row>
    <row r="1181" spans="1:39" x14ac:dyDescent="0.25">
      <c r="A1181">
        <v>34</v>
      </c>
      <c r="B1181" t="s">
        <v>44</v>
      </c>
      <c r="C1181" t="s">
        <v>37</v>
      </c>
      <c r="D1181">
        <v>1130</v>
      </c>
      <c r="E1181" t="s">
        <v>46</v>
      </c>
      <c r="G1181">
        <v>3</v>
      </c>
      <c r="H1181">
        <v>3</v>
      </c>
      <c r="I1181" t="s">
        <v>39</v>
      </c>
      <c r="J1181" t="str">
        <f>WA_Fn_UseC__HR_Employee_Attrition[[#This Row],[EducationField]]&amp;"-"&amp;WA_Fn_UseC__HR_Employee_Attrition[[#This Row],[Department]]</f>
        <v>Life Sciences-Research &amp; Development</v>
      </c>
      <c r="K1181">
        <v>1</v>
      </c>
      <c r="L1181">
        <v>1658</v>
      </c>
      <c r="M1181">
        <v>4</v>
      </c>
      <c r="N1181" t="s">
        <v>40</v>
      </c>
      <c r="O1181">
        <v>66</v>
      </c>
      <c r="P1181">
        <v>3</v>
      </c>
      <c r="Q1181">
        <v>2</v>
      </c>
      <c r="R1181" t="s">
        <v>48</v>
      </c>
      <c r="S1181">
        <v>2</v>
      </c>
      <c r="T1181" t="s">
        <v>53</v>
      </c>
      <c r="U1181">
        <v>5433</v>
      </c>
      <c r="V1181" t="str" cm="1">
        <f t="array" ref="V118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81">
        <v>19332</v>
      </c>
      <c r="X1181">
        <v>1</v>
      </c>
      <c r="Y1181" t="s">
        <v>43</v>
      </c>
      <c r="Z1181" t="s">
        <v>44</v>
      </c>
      <c r="AA1181">
        <v>12</v>
      </c>
      <c r="AB1181">
        <v>3</v>
      </c>
      <c r="AC1181">
        <v>3</v>
      </c>
      <c r="AD1181">
        <v>80</v>
      </c>
      <c r="AE1181">
        <v>1</v>
      </c>
      <c r="AF1181">
        <v>11</v>
      </c>
      <c r="AG1181">
        <v>2</v>
      </c>
      <c r="AH1181">
        <v>3</v>
      </c>
      <c r="AI1181">
        <v>11</v>
      </c>
      <c r="AJ1181">
        <v>8</v>
      </c>
      <c r="AK1181">
        <v>7</v>
      </c>
      <c r="AL1181" t="str" cm="1">
        <f t="array" ref="AL118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81">
        <v>9</v>
      </c>
    </row>
    <row r="1182" spans="1:39" x14ac:dyDescent="0.25">
      <c r="A1182">
        <v>36</v>
      </c>
      <c r="B1182" t="s">
        <v>44</v>
      </c>
      <c r="C1182" t="s">
        <v>37</v>
      </c>
      <c r="D1182">
        <v>311</v>
      </c>
      <c r="E1182" t="s">
        <v>46</v>
      </c>
      <c r="G1182">
        <v>7</v>
      </c>
      <c r="H1182">
        <v>3</v>
      </c>
      <c r="I1182" t="s">
        <v>39</v>
      </c>
      <c r="J1182" t="str">
        <f>WA_Fn_UseC__HR_Employee_Attrition[[#This Row],[EducationField]]&amp;"-"&amp;WA_Fn_UseC__HR_Employee_Attrition[[#This Row],[Department]]</f>
        <v>Life Sciences-Research &amp; Development</v>
      </c>
      <c r="K1182">
        <v>1</v>
      </c>
      <c r="L1182">
        <v>1659</v>
      </c>
      <c r="M1182">
        <v>1</v>
      </c>
      <c r="N1182" t="s">
        <v>47</v>
      </c>
      <c r="O1182">
        <v>77</v>
      </c>
      <c r="P1182">
        <v>3</v>
      </c>
      <c r="Q1182">
        <v>1</v>
      </c>
      <c r="R1182" t="s">
        <v>51</v>
      </c>
      <c r="S1182">
        <v>2</v>
      </c>
      <c r="T1182" t="s">
        <v>42</v>
      </c>
      <c r="U1182">
        <v>2013</v>
      </c>
      <c r="V1182" t="str" cm="1">
        <f t="array" ref="V118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82">
        <v>10950</v>
      </c>
      <c r="X1182">
        <v>2</v>
      </c>
      <c r="Y1182" t="s">
        <v>43</v>
      </c>
      <c r="Z1182" t="s">
        <v>44</v>
      </c>
      <c r="AA1182">
        <v>11</v>
      </c>
      <c r="AB1182">
        <v>3</v>
      </c>
      <c r="AC1182">
        <v>3</v>
      </c>
      <c r="AD1182">
        <v>80</v>
      </c>
      <c r="AE1182">
        <v>0</v>
      </c>
      <c r="AF1182">
        <v>15</v>
      </c>
      <c r="AG1182">
        <v>4</v>
      </c>
      <c r="AH1182">
        <v>3</v>
      </c>
      <c r="AI1182">
        <v>4</v>
      </c>
      <c r="AJ1182">
        <v>3</v>
      </c>
      <c r="AK1182">
        <v>1</v>
      </c>
      <c r="AL1182" t="str" cm="1">
        <f t="array" ref="AL118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82">
        <v>3</v>
      </c>
    </row>
    <row r="1183" spans="1:39" x14ac:dyDescent="0.25">
      <c r="A1183">
        <v>49</v>
      </c>
      <c r="B1183" t="s">
        <v>44</v>
      </c>
      <c r="C1183" t="s">
        <v>37</v>
      </c>
      <c r="D1183">
        <v>465</v>
      </c>
      <c r="E1183" t="s">
        <v>46</v>
      </c>
      <c r="G1183">
        <v>6</v>
      </c>
      <c r="H1183">
        <v>1</v>
      </c>
      <c r="I1183" t="s">
        <v>39</v>
      </c>
      <c r="J1183" t="str">
        <f>WA_Fn_UseC__HR_Employee_Attrition[[#This Row],[EducationField]]&amp;"-"&amp;WA_Fn_UseC__HR_Employee_Attrition[[#This Row],[Department]]</f>
        <v>Life Sciences-Research &amp; Development</v>
      </c>
      <c r="K1183">
        <v>1</v>
      </c>
      <c r="L1183">
        <v>1661</v>
      </c>
      <c r="M1183">
        <v>3</v>
      </c>
      <c r="N1183" t="s">
        <v>40</v>
      </c>
      <c r="O1183">
        <v>41</v>
      </c>
      <c r="P1183">
        <v>2</v>
      </c>
      <c r="Q1183">
        <v>4</v>
      </c>
      <c r="R1183" t="s">
        <v>55</v>
      </c>
      <c r="S1183">
        <v>3</v>
      </c>
      <c r="T1183" t="s">
        <v>49</v>
      </c>
      <c r="U1183">
        <v>13966</v>
      </c>
      <c r="V1183" t="str" cm="1">
        <f t="array" ref="V118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83">
        <v>11652</v>
      </c>
      <c r="X1183">
        <v>2</v>
      </c>
      <c r="Y1183" t="s">
        <v>43</v>
      </c>
      <c r="Z1183" t="s">
        <v>36</v>
      </c>
      <c r="AA1183">
        <v>19</v>
      </c>
      <c r="AB1183">
        <v>3</v>
      </c>
      <c r="AC1183">
        <v>2</v>
      </c>
      <c r="AD1183">
        <v>80</v>
      </c>
      <c r="AE1183">
        <v>1</v>
      </c>
      <c r="AF1183">
        <v>30</v>
      </c>
      <c r="AG1183">
        <v>3</v>
      </c>
      <c r="AH1183">
        <v>3</v>
      </c>
      <c r="AI1183">
        <v>15</v>
      </c>
      <c r="AJ1183">
        <v>11</v>
      </c>
      <c r="AK1183">
        <v>2</v>
      </c>
      <c r="AL1183" t="str" cm="1">
        <f t="array" ref="AL118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83">
        <v>12</v>
      </c>
    </row>
    <row r="1184" spans="1:39" x14ac:dyDescent="0.25">
      <c r="A1184">
        <v>36</v>
      </c>
      <c r="B1184" t="s">
        <v>44</v>
      </c>
      <c r="C1184" t="s">
        <v>56</v>
      </c>
      <c r="D1184">
        <v>894</v>
      </c>
      <c r="E1184" t="s">
        <v>46</v>
      </c>
      <c r="G1184">
        <v>1</v>
      </c>
      <c r="H1184">
        <v>4</v>
      </c>
      <c r="I1184" t="s">
        <v>52</v>
      </c>
      <c r="J1184" t="str">
        <f>WA_Fn_UseC__HR_Employee_Attrition[[#This Row],[EducationField]]&amp;"-"&amp;WA_Fn_UseC__HR_Employee_Attrition[[#This Row],[Department]]</f>
        <v>Medical-Research &amp; Development</v>
      </c>
      <c r="K1184">
        <v>1</v>
      </c>
      <c r="L1184">
        <v>1662</v>
      </c>
      <c r="M1184">
        <v>4</v>
      </c>
      <c r="N1184" t="s">
        <v>40</v>
      </c>
      <c r="O1184">
        <v>33</v>
      </c>
      <c r="P1184">
        <v>2</v>
      </c>
      <c r="Q1184">
        <v>2</v>
      </c>
      <c r="R1184" t="s">
        <v>54</v>
      </c>
      <c r="S1184">
        <v>3</v>
      </c>
      <c r="T1184" t="s">
        <v>49</v>
      </c>
      <c r="U1184">
        <v>4374</v>
      </c>
      <c r="V1184" t="str" cm="1">
        <f t="array" ref="V118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84">
        <v>15411</v>
      </c>
      <c r="X1184">
        <v>0</v>
      </c>
      <c r="Y1184" t="s">
        <v>43</v>
      </c>
      <c r="Z1184" t="s">
        <v>44</v>
      </c>
      <c r="AA1184">
        <v>15</v>
      </c>
      <c r="AB1184">
        <v>3</v>
      </c>
      <c r="AC1184">
        <v>3</v>
      </c>
      <c r="AD1184">
        <v>80</v>
      </c>
      <c r="AE1184">
        <v>0</v>
      </c>
      <c r="AF1184">
        <v>4</v>
      </c>
      <c r="AG1184">
        <v>6</v>
      </c>
      <c r="AH1184">
        <v>3</v>
      </c>
      <c r="AI1184">
        <v>3</v>
      </c>
      <c r="AJ1184">
        <v>2</v>
      </c>
      <c r="AK1184">
        <v>1</v>
      </c>
      <c r="AL1184" t="str" cm="1">
        <f t="array" ref="AL118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84">
        <v>2</v>
      </c>
    </row>
    <row r="1185" spans="1:39" x14ac:dyDescent="0.25">
      <c r="A1185">
        <v>36</v>
      </c>
      <c r="B1185" t="s">
        <v>44</v>
      </c>
      <c r="C1185" t="s">
        <v>37</v>
      </c>
      <c r="D1185">
        <v>1040</v>
      </c>
      <c r="E1185" t="s">
        <v>46</v>
      </c>
      <c r="G1185">
        <v>3</v>
      </c>
      <c r="H1185">
        <v>2</v>
      </c>
      <c r="I1185" t="s">
        <v>39</v>
      </c>
      <c r="J1185" t="str">
        <f>WA_Fn_UseC__HR_Employee_Attrition[[#This Row],[EducationField]]&amp;"-"&amp;WA_Fn_UseC__HR_Employee_Attrition[[#This Row],[Department]]</f>
        <v>Life Sciences-Research &amp; Development</v>
      </c>
      <c r="K1185">
        <v>1</v>
      </c>
      <c r="L1185">
        <v>1664</v>
      </c>
      <c r="M1185">
        <v>4</v>
      </c>
      <c r="N1185" t="s">
        <v>47</v>
      </c>
      <c r="O1185">
        <v>79</v>
      </c>
      <c r="P1185">
        <v>4</v>
      </c>
      <c r="Q1185">
        <v>2</v>
      </c>
      <c r="R1185" t="s">
        <v>55</v>
      </c>
      <c r="S1185">
        <v>1</v>
      </c>
      <c r="T1185" t="s">
        <v>53</v>
      </c>
      <c r="U1185">
        <v>6842</v>
      </c>
      <c r="V1185" t="str" cm="1">
        <f t="array" ref="V118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85">
        <v>26308</v>
      </c>
      <c r="X1185">
        <v>6</v>
      </c>
      <c r="Y1185" t="s">
        <v>43</v>
      </c>
      <c r="Z1185" t="s">
        <v>44</v>
      </c>
      <c r="AA1185">
        <v>20</v>
      </c>
      <c r="AB1185">
        <v>4</v>
      </c>
      <c r="AC1185">
        <v>1</v>
      </c>
      <c r="AD1185">
        <v>80</v>
      </c>
      <c r="AE1185">
        <v>1</v>
      </c>
      <c r="AF1185">
        <v>13</v>
      </c>
      <c r="AG1185">
        <v>3</v>
      </c>
      <c r="AH1185">
        <v>3</v>
      </c>
      <c r="AI1185">
        <v>5</v>
      </c>
      <c r="AJ1185">
        <v>4</v>
      </c>
      <c r="AK1185">
        <v>0</v>
      </c>
      <c r="AL1185" t="str" cm="1">
        <f t="array" ref="AL118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85">
        <v>4</v>
      </c>
    </row>
    <row r="1186" spans="1:39" x14ac:dyDescent="0.25">
      <c r="A1186">
        <v>54</v>
      </c>
      <c r="B1186" t="s">
        <v>44</v>
      </c>
      <c r="C1186" t="s">
        <v>37</v>
      </c>
      <c r="D1186">
        <v>584</v>
      </c>
      <c r="E1186" t="s">
        <v>46</v>
      </c>
      <c r="G1186">
        <v>22</v>
      </c>
      <c r="H1186">
        <v>5</v>
      </c>
      <c r="I1186" t="s">
        <v>52</v>
      </c>
      <c r="J1186" t="str">
        <f>WA_Fn_UseC__HR_Employee_Attrition[[#This Row],[EducationField]]&amp;"-"&amp;WA_Fn_UseC__HR_Employee_Attrition[[#This Row],[Department]]</f>
        <v>Medical-Research &amp; Development</v>
      </c>
      <c r="K1186">
        <v>1</v>
      </c>
      <c r="L1186">
        <v>1665</v>
      </c>
      <c r="M1186">
        <v>2</v>
      </c>
      <c r="N1186" t="s">
        <v>40</v>
      </c>
      <c r="O1186">
        <v>91</v>
      </c>
      <c r="P1186">
        <v>3</v>
      </c>
      <c r="Q1186">
        <v>4</v>
      </c>
      <c r="R1186" t="s">
        <v>57</v>
      </c>
      <c r="S1186">
        <v>3</v>
      </c>
      <c r="T1186" t="s">
        <v>49</v>
      </c>
      <c r="U1186">
        <v>17426</v>
      </c>
      <c r="V1186" t="str" cm="1">
        <f t="array" ref="V118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86">
        <v>18685</v>
      </c>
      <c r="X1186">
        <v>3</v>
      </c>
      <c r="Y1186" t="s">
        <v>43</v>
      </c>
      <c r="Z1186" t="s">
        <v>44</v>
      </c>
      <c r="AA1186">
        <v>25</v>
      </c>
      <c r="AB1186">
        <v>4</v>
      </c>
      <c r="AC1186">
        <v>3</v>
      </c>
      <c r="AD1186">
        <v>80</v>
      </c>
      <c r="AE1186">
        <v>1</v>
      </c>
      <c r="AF1186">
        <v>36</v>
      </c>
      <c r="AG1186">
        <v>6</v>
      </c>
      <c r="AH1186">
        <v>3</v>
      </c>
      <c r="AI1186">
        <v>10</v>
      </c>
      <c r="AJ1186">
        <v>8</v>
      </c>
      <c r="AK1186">
        <v>4</v>
      </c>
      <c r="AL1186" t="str" cm="1">
        <f t="array" ref="AL118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86">
        <v>7</v>
      </c>
    </row>
    <row r="1187" spans="1:39" x14ac:dyDescent="0.25">
      <c r="A1187">
        <v>43</v>
      </c>
      <c r="B1187" t="s">
        <v>44</v>
      </c>
      <c r="C1187" t="s">
        <v>37</v>
      </c>
      <c r="D1187">
        <v>1291</v>
      </c>
      <c r="E1187" t="s">
        <v>46</v>
      </c>
      <c r="G1187">
        <v>15</v>
      </c>
      <c r="H1187">
        <v>2</v>
      </c>
      <c r="I1187" t="s">
        <v>39</v>
      </c>
      <c r="J1187" t="str">
        <f>WA_Fn_UseC__HR_Employee_Attrition[[#This Row],[EducationField]]&amp;"-"&amp;WA_Fn_UseC__HR_Employee_Attrition[[#This Row],[Department]]</f>
        <v>Life Sciences-Research &amp; Development</v>
      </c>
      <c r="K1187">
        <v>1</v>
      </c>
      <c r="L1187">
        <v>1666</v>
      </c>
      <c r="M1187">
        <v>3</v>
      </c>
      <c r="N1187" t="s">
        <v>47</v>
      </c>
      <c r="O1187">
        <v>65</v>
      </c>
      <c r="P1187">
        <v>2</v>
      </c>
      <c r="Q1187">
        <v>4</v>
      </c>
      <c r="R1187" t="s">
        <v>59</v>
      </c>
      <c r="S1187">
        <v>3</v>
      </c>
      <c r="T1187" t="s">
        <v>49</v>
      </c>
      <c r="U1187">
        <v>17603</v>
      </c>
      <c r="V1187" t="str" cm="1">
        <f t="array" ref="V118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87">
        <v>3525</v>
      </c>
      <c r="X1187">
        <v>1</v>
      </c>
      <c r="Y1187" t="s">
        <v>43</v>
      </c>
      <c r="Z1187" t="s">
        <v>44</v>
      </c>
      <c r="AA1187">
        <v>24</v>
      </c>
      <c r="AB1187">
        <v>4</v>
      </c>
      <c r="AC1187">
        <v>1</v>
      </c>
      <c r="AD1187">
        <v>80</v>
      </c>
      <c r="AE1187">
        <v>1</v>
      </c>
      <c r="AF1187">
        <v>14</v>
      </c>
      <c r="AG1187">
        <v>3</v>
      </c>
      <c r="AH1187">
        <v>3</v>
      </c>
      <c r="AI1187">
        <v>14</v>
      </c>
      <c r="AJ1187">
        <v>10</v>
      </c>
      <c r="AK1187">
        <v>6</v>
      </c>
      <c r="AL1187" t="str" cm="1">
        <f t="array" ref="AL118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87">
        <v>11</v>
      </c>
    </row>
    <row r="1188" spans="1:39" x14ac:dyDescent="0.25">
      <c r="A1188">
        <v>35</v>
      </c>
      <c r="B1188" t="s">
        <v>36</v>
      </c>
      <c r="C1188" t="s">
        <v>45</v>
      </c>
      <c r="D1188">
        <v>880</v>
      </c>
      <c r="E1188" t="s">
        <v>38</v>
      </c>
      <c r="G1188">
        <v>12</v>
      </c>
      <c r="H1188">
        <v>4</v>
      </c>
      <c r="I1188" t="s">
        <v>50</v>
      </c>
      <c r="J1188" t="str">
        <f>WA_Fn_UseC__HR_Employee_Attrition[[#This Row],[EducationField]]&amp;"-"&amp;WA_Fn_UseC__HR_Employee_Attrition[[#This Row],[Department]]</f>
        <v>Other-Sales</v>
      </c>
      <c r="K1188">
        <v>1</v>
      </c>
      <c r="L1188">
        <v>1667</v>
      </c>
      <c r="M1188">
        <v>4</v>
      </c>
      <c r="N1188" t="s">
        <v>47</v>
      </c>
      <c r="O1188">
        <v>36</v>
      </c>
      <c r="P1188">
        <v>3</v>
      </c>
      <c r="Q1188">
        <v>2</v>
      </c>
      <c r="R1188" t="s">
        <v>41</v>
      </c>
      <c r="S1188">
        <v>4</v>
      </c>
      <c r="T1188" t="s">
        <v>42</v>
      </c>
      <c r="U1188">
        <v>4581</v>
      </c>
      <c r="V1188" t="str" cm="1">
        <f t="array" ref="V118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88">
        <v>10414</v>
      </c>
      <c r="X1188">
        <v>3</v>
      </c>
      <c r="Y1188" t="s">
        <v>43</v>
      </c>
      <c r="Z1188" t="s">
        <v>36</v>
      </c>
      <c r="AA1188">
        <v>24</v>
      </c>
      <c r="AB1188">
        <v>4</v>
      </c>
      <c r="AC1188">
        <v>1</v>
      </c>
      <c r="AD1188">
        <v>80</v>
      </c>
      <c r="AE1188">
        <v>0</v>
      </c>
      <c r="AF1188">
        <v>13</v>
      </c>
      <c r="AG1188">
        <v>2</v>
      </c>
      <c r="AH1188">
        <v>4</v>
      </c>
      <c r="AI1188">
        <v>11</v>
      </c>
      <c r="AJ1188">
        <v>9</v>
      </c>
      <c r="AK1188">
        <v>6</v>
      </c>
      <c r="AL1188" t="str" cm="1">
        <f t="array" ref="AL118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88">
        <v>7</v>
      </c>
    </row>
    <row r="1189" spans="1:39" x14ac:dyDescent="0.25">
      <c r="A1189">
        <v>38</v>
      </c>
      <c r="B1189" t="s">
        <v>44</v>
      </c>
      <c r="C1189" t="s">
        <v>45</v>
      </c>
      <c r="D1189">
        <v>1189</v>
      </c>
      <c r="E1189" t="s">
        <v>46</v>
      </c>
      <c r="G1189">
        <v>1</v>
      </c>
      <c r="H1189">
        <v>3</v>
      </c>
      <c r="I1189" t="s">
        <v>39</v>
      </c>
      <c r="J1189" t="str">
        <f>WA_Fn_UseC__HR_Employee_Attrition[[#This Row],[EducationField]]&amp;"-"&amp;WA_Fn_UseC__HR_Employee_Attrition[[#This Row],[Department]]</f>
        <v>Life Sciences-Research &amp; Development</v>
      </c>
      <c r="K1189">
        <v>1</v>
      </c>
      <c r="L1189">
        <v>1668</v>
      </c>
      <c r="M1189">
        <v>4</v>
      </c>
      <c r="N1189" t="s">
        <v>47</v>
      </c>
      <c r="O1189">
        <v>90</v>
      </c>
      <c r="P1189">
        <v>3</v>
      </c>
      <c r="Q1189">
        <v>2</v>
      </c>
      <c r="R1189" t="s">
        <v>48</v>
      </c>
      <c r="S1189">
        <v>4</v>
      </c>
      <c r="T1189" t="s">
        <v>49</v>
      </c>
      <c r="U1189">
        <v>4735</v>
      </c>
      <c r="V1189" t="str" cm="1">
        <f t="array" ref="V118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89">
        <v>9867</v>
      </c>
      <c r="X1189">
        <v>7</v>
      </c>
      <c r="Y1189" t="s">
        <v>43</v>
      </c>
      <c r="Z1189" t="s">
        <v>44</v>
      </c>
      <c r="AA1189">
        <v>15</v>
      </c>
      <c r="AB1189">
        <v>3</v>
      </c>
      <c r="AC1189">
        <v>4</v>
      </c>
      <c r="AD1189">
        <v>80</v>
      </c>
      <c r="AE1189">
        <v>2</v>
      </c>
      <c r="AF1189">
        <v>19</v>
      </c>
      <c r="AG1189">
        <v>4</v>
      </c>
      <c r="AH1189">
        <v>4</v>
      </c>
      <c r="AI1189">
        <v>13</v>
      </c>
      <c r="AJ1189">
        <v>11</v>
      </c>
      <c r="AK1189">
        <v>2</v>
      </c>
      <c r="AL1189" t="str" cm="1">
        <f t="array" ref="AL118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89">
        <v>9</v>
      </c>
    </row>
    <row r="1190" spans="1:39" x14ac:dyDescent="0.25">
      <c r="A1190">
        <v>29</v>
      </c>
      <c r="B1190" t="s">
        <v>44</v>
      </c>
      <c r="C1190" t="s">
        <v>37</v>
      </c>
      <c r="D1190">
        <v>991</v>
      </c>
      <c r="E1190" t="s">
        <v>38</v>
      </c>
      <c r="G1190">
        <v>5</v>
      </c>
      <c r="H1190">
        <v>3</v>
      </c>
      <c r="I1190" t="s">
        <v>52</v>
      </c>
      <c r="J1190" t="str">
        <f>WA_Fn_UseC__HR_Employee_Attrition[[#This Row],[EducationField]]&amp;"-"&amp;WA_Fn_UseC__HR_Employee_Attrition[[#This Row],[Department]]</f>
        <v>Medical-Sales</v>
      </c>
      <c r="K1190">
        <v>1</v>
      </c>
      <c r="L1190">
        <v>1669</v>
      </c>
      <c r="M1190">
        <v>1</v>
      </c>
      <c r="N1190" t="s">
        <v>47</v>
      </c>
      <c r="O1190">
        <v>43</v>
      </c>
      <c r="P1190">
        <v>2</v>
      </c>
      <c r="Q1190">
        <v>2</v>
      </c>
      <c r="R1190" t="s">
        <v>41</v>
      </c>
      <c r="S1190">
        <v>2</v>
      </c>
      <c r="T1190" t="s">
        <v>53</v>
      </c>
      <c r="U1190">
        <v>4187</v>
      </c>
      <c r="V1190" t="str" cm="1">
        <f t="array" ref="V119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90">
        <v>3356</v>
      </c>
      <c r="X1190">
        <v>1</v>
      </c>
      <c r="Y1190" t="s">
        <v>43</v>
      </c>
      <c r="Z1190" t="s">
        <v>36</v>
      </c>
      <c r="AA1190">
        <v>13</v>
      </c>
      <c r="AB1190">
        <v>3</v>
      </c>
      <c r="AC1190">
        <v>2</v>
      </c>
      <c r="AD1190">
        <v>80</v>
      </c>
      <c r="AE1190">
        <v>1</v>
      </c>
      <c r="AF1190">
        <v>10</v>
      </c>
      <c r="AG1190">
        <v>3</v>
      </c>
      <c r="AH1190">
        <v>2</v>
      </c>
      <c r="AI1190">
        <v>10</v>
      </c>
      <c r="AJ1190">
        <v>0</v>
      </c>
      <c r="AK1190">
        <v>0</v>
      </c>
      <c r="AL1190" t="str" cm="1">
        <f t="array" ref="AL119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90">
        <v>9</v>
      </c>
    </row>
    <row r="1191" spans="1:39" x14ac:dyDescent="0.25">
      <c r="A1191">
        <v>33</v>
      </c>
      <c r="B1191" t="s">
        <v>44</v>
      </c>
      <c r="C1191" t="s">
        <v>37</v>
      </c>
      <c r="D1191">
        <v>392</v>
      </c>
      <c r="E1191" t="s">
        <v>38</v>
      </c>
      <c r="G1191">
        <v>2</v>
      </c>
      <c r="H1191">
        <v>4</v>
      </c>
      <c r="I1191" t="s">
        <v>52</v>
      </c>
      <c r="J1191" t="str">
        <f>WA_Fn_UseC__HR_Employee_Attrition[[#This Row],[EducationField]]&amp;"-"&amp;WA_Fn_UseC__HR_Employee_Attrition[[#This Row],[Department]]</f>
        <v>Medical-Sales</v>
      </c>
      <c r="K1191">
        <v>1</v>
      </c>
      <c r="L1191">
        <v>1670</v>
      </c>
      <c r="M1191">
        <v>4</v>
      </c>
      <c r="N1191" t="s">
        <v>47</v>
      </c>
      <c r="O1191">
        <v>93</v>
      </c>
      <c r="P1191">
        <v>3</v>
      </c>
      <c r="Q1191">
        <v>2</v>
      </c>
      <c r="R1191" t="s">
        <v>41</v>
      </c>
      <c r="S1191">
        <v>4</v>
      </c>
      <c r="T1191" t="s">
        <v>53</v>
      </c>
      <c r="U1191">
        <v>5505</v>
      </c>
      <c r="V1191" t="str" cm="1">
        <f t="array" ref="V119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91">
        <v>3921</v>
      </c>
      <c r="X1191">
        <v>1</v>
      </c>
      <c r="Y1191" t="s">
        <v>43</v>
      </c>
      <c r="Z1191" t="s">
        <v>44</v>
      </c>
      <c r="AA1191">
        <v>14</v>
      </c>
      <c r="AB1191">
        <v>3</v>
      </c>
      <c r="AC1191">
        <v>3</v>
      </c>
      <c r="AD1191">
        <v>80</v>
      </c>
      <c r="AE1191">
        <v>2</v>
      </c>
      <c r="AF1191">
        <v>6</v>
      </c>
      <c r="AG1191">
        <v>5</v>
      </c>
      <c r="AH1191">
        <v>3</v>
      </c>
      <c r="AI1191">
        <v>6</v>
      </c>
      <c r="AJ1191">
        <v>2</v>
      </c>
      <c r="AK1191">
        <v>0</v>
      </c>
      <c r="AL1191" t="str" cm="1">
        <f t="array" ref="AL119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91">
        <v>4</v>
      </c>
    </row>
    <row r="1192" spans="1:39" x14ac:dyDescent="0.25">
      <c r="A1192">
        <v>32</v>
      </c>
      <c r="B1192" t="s">
        <v>44</v>
      </c>
      <c r="C1192" t="s">
        <v>37</v>
      </c>
      <c r="D1192">
        <v>977</v>
      </c>
      <c r="E1192" t="s">
        <v>46</v>
      </c>
      <c r="G1192">
        <v>2</v>
      </c>
      <c r="H1192">
        <v>3</v>
      </c>
      <c r="I1192" t="s">
        <v>52</v>
      </c>
      <c r="J1192" t="str">
        <f>WA_Fn_UseC__HR_Employee_Attrition[[#This Row],[EducationField]]&amp;"-"&amp;WA_Fn_UseC__HR_Employee_Attrition[[#This Row],[Department]]</f>
        <v>Medical-Research &amp; Development</v>
      </c>
      <c r="K1192">
        <v>1</v>
      </c>
      <c r="L1192">
        <v>1671</v>
      </c>
      <c r="M1192">
        <v>4</v>
      </c>
      <c r="N1192" t="s">
        <v>47</v>
      </c>
      <c r="O1192">
        <v>45</v>
      </c>
      <c r="P1192">
        <v>3</v>
      </c>
      <c r="Q1192">
        <v>2</v>
      </c>
      <c r="R1192" t="s">
        <v>48</v>
      </c>
      <c r="S1192">
        <v>2</v>
      </c>
      <c r="T1192" t="s">
        <v>53</v>
      </c>
      <c r="U1192">
        <v>5470</v>
      </c>
      <c r="V1192" t="str" cm="1">
        <f t="array" ref="V119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92">
        <v>25518</v>
      </c>
      <c r="X1192">
        <v>0</v>
      </c>
      <c r="Y1192" t="s">
        <v>43</v>
      </c>
      <c r="Z1192" t="s">
        <v>44</v>
      </c>
      <c r="AA1192">
        <v>13</v>
      </c>
      <c r="AB1192">
        <v>3</v>
      </c>
      <c r="AC1192">
        <v>3</v>
      </c>
      <c r="AD1192">
        <v>80</v>
      </c>
      <c r="AE1192">
        <v>2</v>
      </c>
      <c r="AF1192">
        <v>10</v>
      </c>
      <c r="AG1192">
        <v>4</v>
      </c>
      <c r="AH1192">
        <v>2</v>
      </c>
      <c r="AI1192">
        <v>9</v>
      </c>
      <c r="AJ1192">
        <v>5</v>
      </c>
      <c r="AK1192">
        <v>1</v>
      </c>
      <c r="AL1192" t="str" cm="1">
        <f t="array" ref="AL119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92">
        <v>6</v>
      </c>
    </row>
    <row r="1193" spans="1:39" x14ac:dyDescent="0.25">
      <c r="A1193">
        <v>31</v>
      </c>
      <c r="B1193" t="s">
        <v>44</v>
      </c>
      <c r="C1193" t="s">
        <v>37</v>
      </c>
      <c r="D1193">
        <v>1112</v>
      </c>
      <c r="E1193" t="s">
        <v>38</v>
      </c>
      <c r="G1193">
        <v>5</v>
      </c>
      <c r="H1193">
        <v>4</v>
      </c>
      <c r="I1193" t="s">
        <v>39</v>
      </c>
      <c r="J1193" t="str">
        <f>WA_Fn_UseC__HR_Employee_Attrition[[#This Row],[EducationField]]&amp;"-"&amp;WA_Fn_UseC__HR_Employee_Attrition[[#This Row],[Department]]</f>
        <v>Life Sciences-Sales</v>
      </c>
      <c r="K1193">
        <v>1</v>
      </c>
      <c r="L1193">
        <v>1673</v>
      </c>
      <c r="M1193">
        <v>1</v>
      </c>
      <c r="N1193" t="s">
        <v>40</v>
      </c>
      <c r="O1193">
        <v>67</v>
      </c>
      <c r="P1193">
        <v>3</v>
      </c>
      <c r="Q1193">
        <v>2</v>
      </c>
      <c r="R1193" t="s">
        <v>41</v>
      </c>
      <c r="S1193">
        <v>4</v>
      </c>
      <c r="T1193" t="s">
        <v>49</v>
      </c>
      <c r="U1193">
        <v>5476</v>
      </c>
      <c r="V1193" t="str" cm="1">
        <f t="array" ref="V119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193">
        <v>22589</v>
      </c>
      <c r="X1193">
        <v>1</v>
      </c>
      <c r="Y1193" t="s">
        <v>43</v>
      </c>
      <c r="Z1193" t="s">
        <v>44</v>
      </c>
      <c r="AA1193">
        <v>11</v>
      </c>
      <c r="AB1193">
        <v>3</v>
      </c>
      <c r="AC1193">
        <v>1</v>
      </c>
      <c r="AD1193">
        <v>80</v>
      </c>
      <c r="AE1193">
        <v>2</v>
      </c>
      <c r="AF1193">
        <v>10</v>
      </c>
      <c r="AG1193">
        <v>2</v>
      </c>
      <c r="AH1193">
        <v>3</v>
      </c>
      <c r="AI1193">
        <v>10</v>
      </c>
      <c r="AJ1193">
        <v>0</v>
      </c>
      <c r="AK1193">
        <v>0</v>
      </c>
      <c r="AL1193" t="str" cm="1">
        <f t="array" ref="AL119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193">
        <v>2</v>
      </c>
    </row>
    <row r="1194" spans="1:39" x14ac:dyDescent="0.25">
      <c r="A1194">
        <v>49</v>
      </c>
      <c r="B1194" t="s">
        <v>44</v>
      </c>
      <c r="C1194" t="s">
        <v>37</v>
      </c>
      <c r="D1194">
        <v>464</v>
      </c>
      <c r="E1194" t="s">
        <v>46</v>
      </c>
      <c r="G1194">
        <v>16</v>
      </c>
      <c r="H1194">
        <v>3</v>
      </c>
      <c r="I1194" t="s">
        <v>52</v>
      </c>
      <c r="J1194" t="str">
        <f>WA_Fn_UseC__HR_Employee_Attrition[[#This Row],[EducationField]]&amp;"-"&amp;WA_Fn_UseC__HR_Employee_Attrition[[#This Row],[Department]]</f>
        <v>Medical-Research &amp; Development</v>
      </c>
      <c r="K1194">
        <v>1</v>
      </c>
      <c r="L1194">
        <v>1674</v>
      </c>
      <c r="M1194">
        <v>4</v>
      </c>
      <c r="N1194" t="s">
        <v>40</v>
      </c>
      <c r="O1194">
        <v>74</v>
      </c>
      <c r="P1194">
        <v>3</v>
      </c>
      <c r="Q1194">
        <v>1</v>
      </c>
      <c r="R1194" t="s">
        <v>51</v>
      </c>
      <c r="S1194">
        <v>1</v>
      </c>
      <c r="T1194" t="s">
        <v>53</v>
      </c>
      <c r="U1194">
        <v>2587</v>
      </c>
      <c r="V1194" t="str" cm="1">
        <f t="array" ref="V119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94">
        <v>24941</v>
      </c>
      <c r="X1194">
        <v>4</v>
      </c>
      <c r="Y1194" t="s">
        <v>43</v>
      </c>
      <c r="Z1194" t="s">
        <v>36</v>
      </c>
      <c r="AA1194">
        <v>16</v>
      </c>
      <c r="AB1194">
        <v>3</v>
      </c>
      <c r="AC1194">
        <v>2</v>
      </c>
      <c r="AD1194">
        <v>80</v>
      </c>
      <c r="AE1194">
        <v>1</v>
      </c>
      <c r="AF1194">
        <v>17</v>
      </c>
      <c r="AG1194">
        <v>2</v>
      </c>
      <c r="AH1194">
        <v>2</v>
      </c>
      <c r="AI1194">
        <v>2</v>
      </c>
      <c r="AJ1194">
        <v>2</v>
      </c>
      <c r="AK1194">
        <v>2</v>
      </c>
      <c r="AL1194" t="str" cm="1">
        <f t="array" ref="AL119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94">
        <v>2</v>
      </c>
    </row>
    <row r="1195" spans="1:39" x14ac:dyDescent="0.25">
      <c r="A1195">
        <v>38</v>
      </c>
      <c r="B1195" t="s">
        <v>44</v>
      </c>
      <c r="C1195" t="s">
        <v>45</v>
      </c>
      <c r="D1195">
        <v>148</v>
      </c>
      <c r="E1195" t="s">
        <v>46</v>
      </c>
      <c r="G1195">
        <v>2</v>
      </c>
      <c r="H1195">
        <v>3</v>
      </c>
      <c r="I1195" t="s">
        <v>52</v>
      </c>
      <c r="J1195" t="str">
        <f>WA_Fn_UseC__HR_Employee_Attrition[[#This Row],[EducationField]]&amp;"-"&amp;WA_Fn_UseC__HR_Employee_Attrition[[#This Row],[Department]]</f>
        <v>Medical-Research &amp; Development</v>
      </c>
      <c r="K1195">
        <v>1</v>
      </c>
      <c r="L1195">
        <v>1675</v>
      </c>
      <c r="M1195">
        <v>4</v>
      </c>
      <c r="N1195" t="s">
        <v>40</v>
      </c>
      <c r="O1195">
        <v>42</v>
      </c>
      <c r="P1195">
        <v>2</v>
      </c>
      <c r="Q1195">
        <v>1</v>
      </c>
      <c r="R1195" t="s">
        <v>51</v>
      </c>
      <c r="S1195">
        <v>2</v>
      </c>
      <c r="T1195" t="s">
        <v>42</v>
      </c>
      <c r="U1195">
        <v>2440</v>
      </c>
      <c r="V1195" t="str" cm="1">
        <f t="array" ref="V119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95">
        <v>23826</v>
      </c>
      <c r="X1195">
        <v>1</v>
      </c>
      <c r="Y1195" t="s">
        <v>43</v>
      </c>
      <c r="Z1195" t="s">
        <v>44</v>
      </c>
      <c r="AA1195">
        <v>22</v>
      </c>
      <c r="AB1195">
        <v>4</v>
      </c>
      <c r="AC1195">
        <v>2</v>
      </c>
      <c r="AD1195">
        <v>80</v>
      </c>
      <c r="AE1195">
        <v>0</v>
      </c>
      <c r="AF1195">
        <v>4</v>
      </c>
      <c r="AG1195">
        <v>3</v>
      </c>
      <c r="AH1195">
        <v>3</v>
      </c>
      <c r="AI1195">
        <v>4</v>
      </c>
      <c r="AJ1195">
        <v>3</v>
      </c>
      <c r="AK1195">
        <v>3</v>
      </c>
      <c r="AL1195" t="str" cm="1">
        <f t="array" ref="AL119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95">
        <v>3</v>
      </c>
    </row>
    <row r="1196" spans="1:39" x14ac:dyDescent="0.25">
      <c r="A1196">
        <v>47</v>
      </c>
      <c r="B1196" t="s">
        <v>44</v>
      </c>
      <c r="C1196" t="s">
        <v>37</v>
      </c>
      <c r="D1196">
        <v>1225</v>
      </c>
      <c r="E1196" t="s">
        <v>38</v>
      </c>
      <c r="G1196">
        <v>2</v>
      </c>
      <c r="H1196">
        <v>4</v>
      </c>
      <c r="I1196" t="s">
        <v>39</v>
      </c>
      <c r="J1196" t="str">
        <f>WA_Fn_UseC__HR_Employee_Attrition[[#This Row],[EducationField]]&amp;"-"&amp;WA_Fn_UseC__HR_Employee_Attrition[[#This Row],[Department]]</f>
        <v>Life Sciences-Sales</v>
      </c>
      <c r="K1196">
        <v>1</v>
      </c>
      <c r="L1196">
        <v>1676</v>
      </c>
      <c r="M1196">
        <v>2</v>
      </c>
      <c r="N1196" t="s">
        <v>40</v>
      </c>
      <c r="O1196">
        <v>47</v>
      </c>
      <c r="P1196">
        <v>4</v>
      </c>
      <c r="Q1196">
        <v>4</v>
      </c>
      <c r="R1196" t="s">
        <v>57</v>
      </c>
      <c r="S1196">
        <v>2</v>
      </c>
      <c r="T1196" t="s">
        <v>53</v>
      </c>
      <c r="U1196">
        <v>15972</v>
      </c>
      <c r="V1196" t="str" cm="1">
        <f t="array" ref="V119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96">
        <v>21086</v>
      </c>
      <c r="X1196">
        <v>6</v>
      </c>
      <c r="Y1196" t="s">
        <v>43</v>
      </c>
      <c r="Z1196" t="s">
        <v>44</v>
      </c>
      <c r="AA1196">
        <v>14</v>
      </c>
      <c r="AB1196">
        <v>3</v>
      </c>
      <c r="AC1196">
        <v>3</v>
      </c>
      <c r="AD1196">
        <v>80</v>
      </c>
      <c r="AE1196">
        <v>3</v>
      </c>
      <c r="AF1196">
        <v>29</v>
      </c>
      <c r="AG1196">
        <v>2</v>
      </c>
      <c r="AH1196">
        <v>3</v>
      </c>
      <c r="AI1196">
        <v>3</v>
      </c>
      <c r="AJ1196">
        <v>2</v>
      </c>
      <c r="AK1196">
        <v>1</v>
      </c>
      <c r="AL1196" t="str" cm="1">
        <f t="array" ref="AL119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96">
        <v>2</v>
      </c>
    </row>
    <row r="1197" spans="1:39" x14ac:dyDescent="0.25">
      <c r="A1197">
        <v>49</v>
      </c>
      <c r="B1197" t="s">
        <v>44</v>
      </c>
      <c r="C1197" t="s">
        <v>37</v>
      </c>
      <c r="D1197">
        <v>809</v>
      </c>
      <c r="E1197" t="s">
        <v>46</v>
      </c>
      <c r="G1197">
        <v>1</v>
      </c>
      <c r="H1197">
        <v>3</v>
      </c>
      <c r="I1197" t="s">
        <v>39</v>
      </c>
      <c r="J1197" t="str">
        <f>WA_Fn_UseC__HR_Employee_Attrition[[#This Row],[EducationField]]&amp;"-"&amp;WA_Fn_UseC__HR_Employee_Attrition[[#This Row],[Department]]</f>
        <v>Life Sciences-Research &amp; Development</v>
      </c>
      <c r="K1197">
        <v>1</v>
      </c>
      <c r="L1197">
        <v>1677</v>
      </c>
      <c r="M1197">
        <v>3</v>
      </c>
      <c r="N1197" t="s">
        <v>47</v>
      </c>
      <c r="O1197">
        <v>36</v>
      </c>
      <c r="P1197">
        <v>3</v>
      </c>
      <c r="Q1197">
        <v>4</v>
      </c>
      <c r="R1197" t="s">
        <v>57</v>
      </c>
      <c r="S1197">
        <v>3</v>
      </c>
      <c r="T1197" t="s">
        <v>42</v>
      </c>
      <c r="U1197">
        <v>15379</v>
      </c>
      <c r="V1197" t="str" cm="1">
        <f t="array" ref="V119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97">
        <v>22384</v>
      </c>
      <c r="X1197">
        <v>4</v>
      </c>
      <c r="Y1197" t="s">
        <v>43</v>
      </c>
      <c r="Z1197" t="s">
        <v>44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23</v>
      </c>
      <c r="AG1197">
        <v>2</v>
      </c>
      <c r="AH1197">
        <v>3</v>
      </c>
      <c r="AI1197">
        <v>8</v>
      </c>
      <c r="AJ1197">
        <v>7</v>
      </c>
      <c r="AK1197">
        <v>0</v>
      </c>
      <c r="AL1197" t="str" cm="1">
        <f t="array" ref="AL119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97">
        <v>0</v>
      </c>
    </row>
    <row r="1198" spans="1:39" x14ac:dyDescent="0.25">
      <c r="A1198">
        <v>41</v>
      </c>
      <c r="B1198" t="s">
        <v>44</v>
      </c>
      <c r="C1198" t="s">
        <v>37</v>
      </c>
      <c r="D1198">
        <v>1206</v>
      </c>
      <c r="E1198" t="s">
        <v>38</v>
      </c>
      <c r="G1198">
        <v>23</v>
      </c>
      <c r="H1198">
        <v>2</v>
      </c>
      <c r="I1198" t="s">
        <v>39</v>
      </c>
      <c r="J1198" t="str">
        <f>WA_Fn_UseC__HR_Employee_Attrition[[#This Row],[EducationField]]&amp;"-"&amp;WA_Fn_UseC__HR_Employee_Attrition[[#This Row],[Department]]</f>
        <v>Life Sciences-Sales</v>
      </c>
      <c r="K1198">
        <v>1</v>
      </c>
      <c r="L1198">
        <v>1678</v>
      </c>
      <c r="M1198">
        <v>4</v>
      </c>
      <c r="N1198" t="s">
        <v>47</v>
      </c>
      <c r="O1198">
        <v>80</v>
      </c>
      <c r="P1198">
        <v>3</v>
      </c>
      <c r="Q1198">
        <v>3</v>
      </c>
      <c r="R1198" t="s">
        <v>41</v>
      </c>
      <c r="S1198">
        <v>3</v>
      </c>
      <c r="T1198" t="s">
        <v>42</v>
      </c>
      <c r="U1198">
        <v>7082</v>
      </c>
      <c r="V1198" t="str" cm="1">
        <f t="array" ref="V119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198">
        <v>11591</v>
      </c>
      <c r="X1198">
        <v>3</v>
      </c>
      <c r="Y1198" t="s">
        <v>43</v>
      </c>
      <c r="Z1198" t="s">
        <v>36</v>
      </c>
      <c r="AA1198">
        <v>16</v>
      </c>
      <c r="AB1198">
        <v>3</v>
      </c>
      <c r="AC1198">
        <v>4</v>
      </c>
      <c r="AD1198">
        <v>80</v>
      </c>
      <c r="AE1198">
        <v>0</v>
      </c>
      <c r="AF1198">
        <v>21</v>
      </c>
      <c r="AG1198">
        <v>2</v>
      </c>
      <c r="AH1198">
        <v>3</v>
      </c>
      <c r="AI1198">
        <v>2</v>
      </c>
      <c r="AJ1198">
        <v>0</v>
      </c>
      <c r="AK1198">
        <v>0</v>
      </c>
      <c r="AL1198" t="str" cm="1">
        <f t="array" ref="AL119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198">
        <v>2</v>
      </c>
    </row>
    <row r="1199" spans="1:39" x14ac:dyDescent="0.25">
      <c r="A1199">
        <v>20</v>
      </c>
      <c r="B1199" t="s">
        <v>44</v>
      </c>
      <c r="C1199" t="s">
        <v>37</v>
      </c>
      <c r="D1199">
        <v>727</v>
      </c>
      <c r="E1199" t="s">
        <v>38</v>
      </c>
      <c r="G1199">
        <v>9</v>
      </c>
      <c r="H1199">
        <v>1</v>
      </c>
      <c r="I1199" t="s">
        <v>39</v>
      </c>
      <c r="J1199" t="str">
        <f>WA_Fn_UseC__HR_Employee_Attrition[[#This Row],[EducationField]]&amp;"-"&amp;WA_Fn_UseC__HR_Employee_Attrition[[#This Row],[Department]]</f>
        <v>Life Sciences-Sales</v>
      </c>
      <c r="K1199">
        <v>1</v>
      </c>
      <c r="L1199">
        <v>1680</v>
      </c>
      <c r="M1199">
        <v>4</v>
      </c>
      <c r="N1199" t="s">
        <v>47</v>
      </c>
      <c r="O1199">
        <v>54</v>
      </c>
      <c r="P1199">
        <v>3</v>
      </c>
      <c r="Q1199">
        <v>1</v>
      </c>
      <c r="R1199" t="s">
        <v>58</v>
      </c>
      <c r="S1199">
        <v>1</v>
      </c>
      <c r="T1199" t="s">
        <v>42</v>
      </c>
      <c r="U1199">
        <v>2728</v>
      </c>
      <c r="V1199" t="str" cm="1">
        <f t="array" ref="V119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199">
        <v>21082</v>
      </c>
      <c r="X1199">
        <v>1</v>
      </c>
      <c r="Y1199" t="s">
        <v>43</v>
      </c>
      <c r="Z1199" t="s">
        <v>44</v>
      </c>
      <c r="AA1199">
        <v>11</v>
      </c>
      <c r="AB1199">
        <v>3</v>
      </c>
      <c r="AC1199">
        <v>1</v>
      </c>
      <c r="AD1199">
        <v>80</v>
      </c>
      <c r="AE1199">
        <v>0</v>
      </c>
      <c r="AF1199">
        <v>2</v>
      </c>
      <c r="AG1199">
        <v>3</v>
      </c>
      <c r="AH1199">
        <v>3</v>
      </c>
      <c r="AI1199">
        <v>2</v>
      </c>
      <c r="AJ1199">
        <v>2</v>
      </c>
      <c r="AK1199">
        <v>0</v>
      </c>
      <c r="AL1199" t="str" cm="1">
        <f t="array" ref="AL119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199">
        <v>2</v>
      </c>
    </row>
    <row r="1200" spans="1:39" x14ac:dyDescent="0.25">
      <c r="A1200">
        <v>33</v>
      </c>
      <c r="B1200" t="s">
        <v>44</v>
      </c>
      <c r="C1200" t="s">
        <v>56</v>
      </c>
      <c r="D1200">
        <v>530</v>
      </c>
      <c r="E1200" t="s">
        <v>38</v>
      </c>
      <c r="G1200">
        <v>16</v>
      </c>
      <c r="H1200">
        <v>3</v>
      </c>
      <c r="I1200" t="s">
        <v>39</v>
      </c>
      <c r="J1200" t="str">
        <f>WA_Fn_UseC__HR_Employee_Attrition[[#This Row],[EducationField]]&amp;"-"&amp;WA_Fn_UseC__HR_Employee_Attrition[[#This Row],[Department]]</f>
        <v>Life Sciences-Sales</v>
      </c>
      <c r="K1200">
        <v>1</v>
      </c>
      <c r="L1200">
        <v>1681</v>
      </c>
      <c r="M1200">
        <v>3</v>
      </c>
      <c r="N1200" t="s">
        <v>40</v>
      </c>
      <c r="O1200">
        <v>36</v>
      </c>
      <c r="P1200">
        <v>3</v>
      </c>
      <c r="Q1200">
        <v>2</v>
      </c>
      <c r="R1200" t="s">
        <v>41</v>
      </c>
      <c r="S1200">
        <v>4</v>
      </c>
      <c r="T1200" t="s">
        <v>53</v>
      </c>
      <c r="U1200">
        <v>5368</v>
      </c>
      <c r="V1200" t="str" cm="1">
        <f t="array" ref="V120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00">
        <v>16130</v>
      </c>
      <c r="X1200">
        <v>1</v>
      </c>
      <c r="Y1200" t="s">
        <v>43</v>
      </c>
      <c r="Z1200" t="s">
        <v>36</v>
      </c>
      <c r="AA1200">
        <v>25</v>
      </c>
      <c r="AB1200">
        <v>4</v>
      </c>
      <c r="AC1200">
        <v>3</v>
      </c>
      <c r="AD1200">
        <v>80</v>
      </c>
      <c r="AE1200">
        <v>1</v>
      </c>
      <c r="AF1200">
        <v>7</v>
      </c>
      <c r="AG1200">
        <v>2</v>
      </c>
      <c r="AH1200">
        <v>3</v>
      </c>
      <c r="AI1200">
        <v>6</v>
      </c>
      <c r="AJ1200">
        <v>5</v>
      </c>
      <c r="AK1200">
        <v>1</v>
      </c>
      <c r="AL1200" t="str" cm="1">
        <f t="array" ref="AL120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00">
        <v>2</v>
      </c>
    </row>
    <row r="1201" spans="1:39" x14ac:dyDescent="0.25">
      <c r="A1201">
        <v>36</v>
      </c>
      <c r="B1201" t="s">
        <v>44</v>
      </c>
      <c r="C1201" t="s">
        <v>37</v>
      </c>
      <c r="D1201">
        <v>1351</v>
      </c>
      <c r="E1201" t="s">
        <v>46</v>
      </c>
      <c r="G1201">
        <v>26</v>
      </c>
      <c r="H1201">
        <v>4</v>
      </c>
      <c r="I1201" t="s">
        <v>39</v>
      </c>
      <c r="J1201" t="str">
        <f>WA_Fn_UseC__HR_Employee_Attrition[[#This Row],[EducationField]]&amp;"-"&amp;WA_Fn_UseC__HR_Employee_Attrition[[#This Row],[Department]]</f>
        <v>Life Sciences-Research &amp; Development</v>
      </c>
      <c r="K1201">
        <v>1</v>
      </c>
      <c r="L1201">
        <v>1682</v>
      </c>
      <c r="M1201">
        <v>1</v>
      </c>
      <c r="N1201" t="s">
        <v>47</v>
      </c>
      <c r="O1201">
        <v>80</v>
      </c>
      <c r="P1201">
        <v>3</v>
      </c>
      <c r="Q1201">
        <v>2</v>
      </c>
      <c r="R1201" t="s">
        <v>55</v>
      </c>
      <c r="S1201">
        <v>3</v>
      </c>
      <c r="T1201" t="s">
        <v>49</v>
      </c>
      <c r="U1201">
        <v>5347</v>
      </c>
      <c r="V1201" t="str" cm="1">
        <f t="array" ref="V120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01">
        <v>7419</v>
      </c>
      <c r="X1201">
        <v>6</v>
      </c>
      <c r="Y1201" t="s">
        <v>43</v>
      </c>
      <c r="Z1201" t="s">
        <v>44</v>
      </c>
      <c r="AA1201">
        <v>14</v>
      </c>
      <c r="AB1201">
        <v>3</v>
      </c>
      <c r="AC1201">
        <v>2</v>
      </c>
      <c r="AD1201">
        <v>80</v>
      </c>
      <c r="AE1201">
        <v>2</v>
      </c>
      <c r="AF1201">
        <v>10</v>
      </c>
      <c r="AG1201">
        <v>2</v>
      </c>
      <c r="AH1201">
        <v>2</v>
      </c>
      <c r="AI1201">
        <v>3</v>
      </c>
      <c r="AJ1201">
        <v>2</v>
      </c>
      <c r="AK1201">
        <v>0</v>
      </c>
      <c r="AL1201" t="str" cm="1">
        <f t="array" ref="AL120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01">
        <v>2</v>
      </c>
    </row>
    <row r="1202" spans="1:39" x14ac:dyDescent="0.25">
      <c r="A1202">
        <v>44</v>
      </c>
      <c r="B1202" t="s">
        <v>44</v>
      </c>
      <c r="C1202" t="s">
        <v>37</v>
      </c>
      <c r="D1202">
        <v>528</v>
      </c>
      <c r="E1202" t="s">
        <v>62</v>
      </c>
      <c r="G1202">
        <v>1</v>
      </c>
      <c r="H1202">
        <v>3</v>
      </c>
      <c r="I1202" t="s">
        <v>39</v>
      </c>
      <c r="J1202" t="str">
        <f>WA_Fn_UseC__HR_Employee_Attrition[[#This Row],[EducationField]]&amp;"-"&amp;WA_Fn_UseC__HR_Employee_Attrition[[#This Row],[Department]]</f>
        <v>Life Sciences-Human Resources</v>
      </c>
      <c r="K1202">
        <v>1</v>
      </c>
      <c r="L1202">
        <v>1683</v>
      </c>
      <c r="M1202">
        <v>3</v>
      </c>
      <c r="N1202" t="s">
        <v>40</v>
      </c>
      <c r="O1202">
        <v>44</v>
      </c>
      <c r="P1202">
        <v>3</v>
      </c>
      <c r="Q1202">
        <v>1</v>
      </c>
      <c r="R1202" t="s">
        <v>62</v>
      </c>
      <c r="S1202">
        <v>4</v>
      </c>
      <c r="T1202" t="s">
        <v>53</v>
      </c>
      <c r="U1202">
        <v>3195</v>
      </c>
      <c r="V1202" t="str" cm="1">
        <f t="array" ref="V120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02">
        <v>4167</v>
      </c>
      <c r="X1202">
        <v>4</v>
      </c>
      <c r="Y1202" t="s">
        <v>43</v>
      </c>
      <c r="Z1202" t="s">
        <v>36</v>
      </c>
      <c r="AA1202">
        <v>18</v>
      </c>
      <c r="AB1202">
        <v>3</v>
      </c>
      <c r="AC1202">
        <v>1</v>
      </c>
      <c r="AD1202">
        <v>80</v>
      </c>
      <c r="AE1202">
        <v>3</v>
      </c>
      <c r="AF1202">
        <v>8</v>
      </c>
      <c r="AG1202">
        <v>2</v>
      </c>
      <c r="AH1202">
        <v>3</v>
      </c>
      <c r="AI1202">
        <v>2</v>
      </c>
      <c r="AJ1202">
        <v>2</v>
      </c>
      <c r="AK1202">
        <v>2</v>
      </c>
      <c r="AL1202" t="str" cm="1">
        <f t="array" ref="AL120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02">
        <v>2</v>
      </c>
    </row>
    <row r="1203" spans="1:39" x14ac:dyDescent="0.25">
      <c r="A1203">
        <v>23</v>
      </c>
      <c r="B1203" t="s">
        <v>36</v>
      </c>
      <c r="C1203" t="s">
        <v>37</v>
      </c>
      <c r="D1203">
        <v>1320</v>
      </c>
      <c r="E1203" t="s">
        <v>46</v>
      </c>
      <c r="G1203">
        <v>8</v>
      </c>
      <c r="H1203">
        <v>1</v>
      </c>
      <c r="I1203" t="s">
        <v>52</v>
      </c>
      <c r="J1203" t="str">
        <f>WA_Fn_UseC__HR_Employee_Attrition[[#This Row],[EducationField]]&amp;"-"&amp;WA_Fn_UseC__HR_Employee_Attrition[[#This Row],[Department]]</f>
        <v>Medical-Research &amp; Development</v>
      </c>
      <c r="K1203">
        <v>1</v>
      </c>
      <c r="L1203">
        <v>1684</v>
      </c>
      <c r="M1203">
        <v>4</v>
      </c>
      <c r="N1203" t="s">
        <v>47</v>
      </c>
      <c r="O1203">
        <v>93</v>
      </c>
      <c r="P1203">
        <v>2</v>
      </c>
      <c r="Q1203">
        <v>1</v>
      </c>
      <c r="R1203" t="s">
        <v>51</v>
      </c>
      <c r="S1203">
        <v>3</v>
      </c>
      <c r="T1203" t="s">
        <v>42</v>
      </c>
      <c r="U1203">
        <v>3989</v>
      </c>
      <c r="V1203" t="str" cm="1">
        <f t="array" ref="V120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03">
        <v>20586</v>
      </c>
      <c r="X1203">
        <v>1</v>
      </c>
      <c r="Y1203" t="s">
        <v>43</v>
      </c>
      <c r="Z1203" t="s">
        <v>36</v>
      </c>
      <c r="AA1203">
        <v>11</v>
      </c>
      <c r="AB1203">
        <v>3</v>
      </c>
      <c r="AC1203">
        <v>1</v>
      </c>
      <c r="AD1203">
        <v>80</v>
      </c>
      <c r="AE1203">
        <v>0</v>
      </c>
      <c r="AF1203">
        <v>5</v>
      </c>
      <c r="AG1203">
        <v>2</v>
      </c>
      <c r="AH1203">
        <v>3</v>
      </c>
      <c r="AI1203">
        <v>5</v>
      </c>
      <c r="AJ1203">
        <v>4</v>
      </c>
      <c r="AK1203">
        <v>1</v>
      </c>
      <c r="AL1203" t="str" cm="1">
        <f t="array" ref="AL120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03">
        <v>2</v>
      </c>
    </row>
    <row r="1204" spans="1:39" x14ac:dyDescent="0.25">
      <c r="A1204">
        <v>38</v>
      </c>
      <c r="B1204" t="s">
        <v>44</v>
      </c>
      <c r="C1204" t="s">
        <v>37</v>
      </c>
      <c r="D1204">
        <v>1495</v>
      </c>
      <c r="E1204" t="s">
        <v>46</v>
      </c>
      <c r="G1204">
        <v>4</v>
      </c>
      <c r="H1204">
        <v>2</v>
      </c>
      <c r="I1204" t="s">
        <v>52</v>
      </c>
      <c r="J1204" t="str">
        <f>WA_Fn_UseC__HR_Employee_Attrition[[#This Row],[EducationField]]&amp;"-"&amp;WA_Fn_UseC__HR_Employee_Attrition[[#This Row],[Department]]</f>
        <v>Medical-Research &amp; Development</v>
      </c>
      <c r="K1204">
        <v>1</v>
      </c>
      <c r="L1204">
        <v>1687</v>
      </c>
      <c r="M1204">
        <v>4</v>
      </c>
      <c r="N1204" t="s">
        <v>40</v>
      </c>
      <c r="O1204">
        <v>87</v>
      </c>
      <c r="P1204">
        <v>3</v>
      </c>
      <c r="Q1204">
        <v>1</v>
      </c>
      <c r="R1204" t="s">
        <v>51</v>
      </c>
      <c r="S1204">
        <v>3</v>
      </c>
      <c r="T1204" t="s">
        <v>49</v>
      </c>
      <c r="U1204">
        <v>3306</v>
      </c>
      <c r="V1204" t="str" cm="1">
        <f t="array" ref="V120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04">
        <v>26176</v>
      </c>
      <c r="X1204">
        <v>7</v>
      </c>
      <c r="Y1204" t="s">
        <v>43</v>
      </c>
      <c r="Z1204" t="s">
        <v>44</v>
      </c>
      <c r="AA1204">
        <v>19</v>
      </c>
      <c r="AB1204">
        <v>3</v>
      </c>
      <c r="AC1204">
        <v>4</v>
      </c>
      <c r="AD1204">
        <v>80</v>
      </c>
      <c r="AE1204">
        <v>1</v>
      </c>
      <c r="AF1204">
        <v>7</v>
      </c>
      <c r="AG1204">
        <v>5</v>
      </c>
      <c r="AH1204">
        <v>2</v>
      </c>
      <c r="AI1204">
        <v>0</v>
      </c>
      <c r="AJ1204">
        <v>0</v>
      </c>
      <c r="AK1204">
        <v>0</v>
      </c>
      <c r="AL1204" t="str" cm="1">
        <f t="array" ref="AL120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04">
        <v>0</v>
      </c>
    </row>
    <row r="1205" spans="1:39" x14ac:dyDescent="0.25">
      <c r="A1205">
        <v>53</v>
      </c>
      <c r="B1205" t="s">
        <v>44</v>
      </c>
      <c r="C1205" t="s">
        <v>37</v>
      </c>
      <c r="D1205">
        <v>1395</v>
      </c>
      <c r="E1205" t="s">
        <v>46</v>
      </c>
      <c r="G1205">
        <v>24</v>
      </c>
      <c r="H1205">
        <v>4</v>
      </c>
      <c r="I1205" t="s">
        <v>52</v>
      </c>
      <c r="J1205" t="str">
        <f>WA_Fn_UseC__HR_Employee_Attrition[[#This Row],[EducationField]]&amp;"-"&amp;WA_Fn_UseC__HR_Employee_Attrition[[#This Row],[Department]]</f>
        <v>Medical-Research &amp; Development</v>
      </c>
      <c r="K1205">
        <v>1</v>
      </c>
      <c r="L1205">
        <v>1689</v>
      </c>
      <c r="M1205">
        <v>2</v>
      </c>
      <c r="N1205" t="s">
        <v>47</v>
      </c>
      <c r="O1205">
        <v>48</v>
      </c>
      <c r="P1205">
        <v>4</v>
      </c>
      <c r="Q1205">
        <v>3</v>
      </c>
      <c r="R1205" t="s">
        <v>55</v>
      </c>
      <c r="S1205">
        <v>4</v>
      </c>
      <c r="T1205" t="s">
        <v>49</v>
      </c>
      <c r="U1205">
        <v>7005</v>
      </c>
      <c r="V1205" t="str" cm="1">
        <f t="array" ref="V120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05">
        <v>3458</v>
      </c>
      <c r="X1205">
        <v>3</v>
      </c>
      <c r="Y1205" t="s">
        <v>43</v>
      </c>
      <c r="Z1205" t="s">
        <v>44</v>
      </c>
      <c r="AA1205">
        <v>15</v>
      </c>
      <c r="AB1205">
        <v>3</v>
      </c>
      <c r="AC1205">
        <v>3</v>
      </c>
      <c r="AD1205">
        <v>80</v>
      </c>
      <c r="AE1205">
        <v>0</v>
      </c>
      <c r="AF1205">
        <v>11</v>
      </c>
      <c r="AG1205">
        <v>2</v>
      </c>
      <c r="AH1205">
        <v>3</v>
      </c>
      <c r="AI1205">
        <v>4</v>
      </c>
      <c r="AJ1205">
        <v>3</v>
      </c>
      <c r="AK1205">
        <v>1</v>
      </c>
      <c r="AL1205" t="str" cm="1">
        <f t="array" ref="AL120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05">
        <v>2</v>
      </c>
    </row>
    <row r="1206" spans="1:39" x14ac:dyDescent="0.25">
      <c r="A1206">
        <v>48</v>
      </c>
      <c r="B1206" t="s">
        <v>36</v>
      </c>
      <c r="C1206" t="s">
        <v>45</v>
      </c>
      <c r="D1206">
        <v>708</v>
      </c>
      <c r="E1206" t="s">
        <v>38</v>
      </c>
      <c r="G1206">
        <v>7</v>
      </c>
      <c r="H1206">
        <v>2</v>
      </c>
      <c r="I1206" t="s">
        <v>52</v>
      </c>
      <c r="J1206" t="str">
        <f>WA_Fn_UseC__HR_Employee_Attrition[[#This Row],[EducationField]]&amp;"-"&amp;WA_Fn_UseC__HR_Employee_Attrition[[#This Row],[Department]]</f>
        <v>Medical-Sales</v>
      </c>
      <c r="K1206">
        <v>1</v>
      </c>
      <c r="L1206">
        <v>1691</v>
      </c>
      <c r="M1206">
        <v>4</v>
      </c>
      <c r="N1206" t="s">
        <v>40</v>
      </c>
      <c r="O1206">
        <v>95</v>
      </c>
      <c r="P1206">
        <v>3</v>
      </c>
      <c r="Q1206">
        <v>1</v>
      </c>
      <c r="R1206" t="s">
        <v>58</v>
      </c>
      <c r="S1206">
        <v>3</v>
      </c>
      <c r="T1206" t="s">
        <v>49</v>
      </c>
      <c r="U1206">
        <v>2655</v>
      </c>
      <c r="V1206" t="str" cm="1">
        <f t="array" ref="V120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06">
        <v>11740</v>
      </c>
      <c r="X1206">
        <v>2</v>
      </c>
      <c r="Y1206" t="s">
        <v>43</v>
      </c>
      <c r="Z1206" t="s">
        <v>36</v>
      </c>
      <c r="AA1206">
        <v>11</v>
      </c>
      <c r="AB1206">
        <v>3</v>
      </c>
      <c r="AC1206">
        <v>3</v>
      </c>
      <c r="AD1206">
        <v>80</v>
      </c>
      <c r="AE1206">
        <v>2</v>
      </c>
      <c r="AF1206">
        <v>19</v>
      </c>
      <c r="AG1206">
        <v>3</v>
      </c>
      <c r="AH1206">
        <v>3</v>
      </c>
      <c r="AI1206">
        <v>9</v>
      </c>
      <c r="AJ1206">
        <v>7</v>
      </c>
      <c r="AK1206">
        <v>7</v>
      </c>
      <c r="AL1206" t="str" cm="1">
        <f t="array" ref="AL120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06">
        <v>7</v>
      </c>
    </row>
    <row r="1207" spans="1:39" x14ac:dyDescent="0.25">
      <c r="A1207">
        <v>32</v>
      </c>
      <c r="B1207" t="s">
        <v>36</v>
      </c>
      <c r="C1207" t="s">
        <v>37</v>
      </c>
      <c r="D1207">
        <v>1259</v>
      </c>
      <c r="E1207" t="s">
        <v>46</v>
      </c>
      <c r="G1207">
        <v>2</v>
      </c>
      <c r="H1207">
        <v>4</v>
      </c>
      <c r="I1207" t="s">
        <v>39</v>
      </c>
      <c r="J1207" t="str">
        <f>WA_Fn_UseC__HR_Employee_Attrition[[#This Row],[EducationField]]&amp;"-"&amp;WA_Fn_UseC__HR_Employee_Attrition[[#This Row],[Department]]</f>
        <v>Life Sciences-Research &amp; Development</v>
      </c>
      <c r="K1207">
        <v>1</v>
      </c>
      <c r="L1207">
        <v>1692</v>
      </c>
      <c r="M1207">
        <v>4</v>
      </c>
      <c r="N1207" t="s">
        <v>47</v>
      </c>
      <c r="O1207">
        <v>95</v>
      </c>
      <c r="P1207">
        <v>3</v>
      </c>
      <c r="Q1207">
        <v>1</v>
      </c>
      <c r="R1207" t="s">
        <v>51</v>
      </c>
      <c r="S1207">
        <v>2</v>
      </c>
      <c r="T1207" t="s">
        <v>42</v>
      </c>
      <c r="U1207">
        <v>1393</v>
      </c>
      <c r="V1207" t="str" cm="1">
        <f t="array" ref="V120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07">
        <v>24852</v>
      </c>
      <c r="X1207">
        <v>1</v>
      </c>
      <c r="Y1207" t="s">
        <v>43</v>
      </c>
      <c r="Z1207" t="s">
        <v>44</v>
      </c>
      <c r="AA1207">
        <v>12</v>
      </c>
      <c r="AB1207">
        <v>3</v>
      </c>
      <c r="AC1207">
        <v>1</v>
      </c>
      <c r="AD1207">
        <v>80</v>
      </c>
      <c r="AE1207">
        <v>0</v>
      </c>
      <c r="AF1207">
        <v>1</v>
      </c>
      <c r="AG1207">
        <v>2</v>
      </c>
      <c r="AH1207">
        <v>3</v>
      </c>
      <c r="AI1207">
        <v>1</v>
      </c>
      <c r="AJ1207">
        <v>0</v>
      </c>
      <c r="AK1207">
        <v>0</v>
      </c>
      <c r="AL1207" t="str" cm="1">
        <f t="array" ref="AL120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07">
        <v>0</v>
      </c>
    </row>
    <row r="1208" spans="1:39" x14ac:dyDescent="0.25">
      <c r="A1208">
        <v>26</v>
      </c>
      <c r="B1208" t="s">
        <v>44</v>
      </c>
      <c r="C1208" t="s">
        <v>56</v>
      </c>
      <c r="D1208">
        <v>786</v>
      </c>
      <c r="E1208" t="s">
        <v>46</v>
      </c>
      <c r="G1208">
        <v>7</v>
      </c>
      <c r="H1208">
        <v>3</v>
      </c>
      <c r="I1208" t="s">
        <v>52</v>
      </c>
      <c r="J1208" t="str">
        <f>WA_Fn_UseC__HR_Employee_Attrition[[#This Row],[EducationField]]&amp;"-"&amp;WA_Fn_UseC__HR_Employee_Attrition[[#This Row],[Department]]</f>
        <v>Medical-Research &amp; Development</v>
      </c>
      <c r="K1208">
        <v>1</v>
      </c>
      <c r="L1208">
        <v>1693</v>
      </c>
      <c r="M1208">
        <v>4</v>
      </c>
      <c r="N1208" t="s">
        <v>47</v>
      </c>
      <c r="O1208">
        <v>76</v>
      </c>
      <c r="P1208">
        <v>3</v>
      </c>
      <c r="Q1208">
        <v>1</v>
      </c>
      <c r="R1208" t="s">
        <v>51</v>
      </c>
      <c r="S1208">
        <v>4</v>
      </c>
      <c r="T1208" t="s">
        <v>42</v>
      </c>
      <c r="U1208">
        <v>2570</v>
      </c>
      <c r="V1208" t="str" cm="1">
        <f t="array" ref="V120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08">
        <v>11925</v>
      </c>
      <c r="X1208">
        <v>1</v>
      </c>
      <c r="Y1208" t="s">
        <v>43</v>
      </c>
      <c r="Z1208" t="s">
        <v>44</v>
      </c>
      <c r="AA1208">
        <v>20</v>
      </c>
      <c r="AB1208">
        <v>4</v>
      </c>
      <c r="AC1208">
        <v>3</v>
      </c>
      <c r="AD1208">
        <v>80</v>
      </c>
      <c r="AE1208">
        <v>0</v>
      </c>
      <c r="AF1208">
        <v>7</v>
      </c>
      <c r="AG1208">
        <v>5</v>
      </c>
      <c r="AH1208">
        <v>3</v>
      </c>
      <c r="AI1208">
        <v>7</v>
      </c>
      <c r="AJ1208">
        <v>7</v>
      </c>
      <c r="AK1208">
        <v>5</v>
      </c>
      <c r="AL1208" t="str" cm="1">
        <f t="array" ref="AL120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08">
        <v>7</v>
      </c>
    </row>
    <row r="1209" spans="1:39" x14ac:dyDescent="0.25">
      <c r="A1209">
        <v>55</v>
      </c>
      <c r="B1209" t="s">
        <v>44</v>
      </c>
      <c r="C1209" t="s">
        <v>37</v>
      </c>
      <c r="D1209">
        <v>1441</v>
      </c>
      <c r="E1209" t="s">
        <v>46</v>
      </c>
      <c r="G1209">
        <v>22</v>
      </c>
      <c r="H1209">
        <v>3</v>
      </c>
      <c r="I1209" t="s">
        <v>61</v>
      </c>
      <c r="J1209" t="str">
        <f>WA_Fn_UseC__HR_Employee_Attrition[[#This Row],[EducationField]]&amp;"-"&amp;WA_Fn_UseC__HR_Employee_Attrition[[#This Row],[Department]]</f>
        <v>Technical Degree-Research &amp; Development</v>
      </c>
      <c r="K1209">
        <v>1</v>
      </c>
      <c r="L1209">
        <v>1694</v>
      </c>
      <c r="M1209">
        <v>1</v>
      </c>
      <c r="N1209" t="s">
        <v>47</v>
      </c>
      <c r="O1209">
        <v>94</v>
      </c>
      <c r="P1209">
        <v>2</v>
      </c>
      <c r="Q1209">
        <v>1</v>
      </c>
      <c r="R1209" t="s">
        <v>48</v>
      </c>
      <c r="S1209">
        <v>2</v>
      </c>
      <c r="T1209" t="s">
        <v>53</v>
      </c>
      <c r="U1209">
        <v>3537</v>
      </c>
      <c r="V1209" t="str" cm="1">
        <f t="array" ref="V120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09">
        <v>23737</v>
      </c>
      <c r="X1209">
        <v>5</v>
      </c>
      <c r="Y1209" t="s">
        <v>43</v>
      </c>
      <c r="Z1209" t="s">
        <v>44</v>
      </c>
      <c r="AA1209">
        <v>12</v>
      </c>
      <c r="AB1209">
        <v>3</v>
      </c>
      <c r="AC1209">
        <v>4</v>
      </c>
      <c r="AD1209">
        <v>80</v>
      </c>
      <c r="AE1209">
        <v>1</v>
      </c>
      <c r="AF1209">
        <v>8</v>
      </c>
      <c r="AG1209">
        <v>1</v>
      </c>
      <c r="AH1209">
        <v>3</v>
      </c>
      <c r="AI1209">
        <v>4</v>
      </c>
      <c r="AJ1209">
        <v>2</v>
      </c>
      <c r="AK1209">
        <v>1</v>
      </c>
      <c r="AL1209" t="str" cm="1">
        <f t="array" ref="AL120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09">
        <v>2</v>
      </c>
    </row>
    <row r="1210" spans="1:39" x14ac:dyDescent="0.25">
      <c r="A1210">
        <v>34</v>
      </c>
      <c r="B1210" t="s">
        <v>44</v>
      </c>
      <c r="C1210" t="s">
        <v>37</v>
      </c>
      <c r="D1210">
        <v>1157</v>
      </c>
      <c r="E1210" t="s">
        <v>46</v>
      </c>
      <c r="G1210">
        <v>5</v>
      </c>
      <c r="H1210">
        <v>2</v>
      </c>
      <c r="I1210" t="s">
        <v>52</v>
      </c>
      <c r="J1210" t="str">
        <f>WA_Fn_UseC__HR_Employee_Attrition[[#This Row],[EducationField]]&amp;"-"&amp;WA_Fn_UseC__HR_Employee_Attrition[[#This Row],[Department]]</f>
        <v>Medical-Research &amp; Development</v>
      </c>
      <c r="K1210">
        <v>1</v>
      </c>
      <c r="L1210">
        <v>1696</v>
      </c>
      <c r="M1210">
        <v>2</v>
      </c>
      <c r="N1210" t="s">
        <v>47</v>
      </c>
      <c r="O1210">
        <v>57</v>
      </c>
      <c r="P1210">
        <v>2</v>
      </c>
      <c r="Q1210">
        <v>2</v>
      </c>
      <c r="R1210" t="s">
        <v>51</v>
      </c>
      <c r="S1210">
        <v>4</v>
      </c>
      <c r="T1210" t="s">
        <v>49</v>
      </c>
      <c r="U1210">
        <v>3986</v>
      </c>
      <c r="V1210" t="str" cm="1">
        <f t="array" ref="V121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10">
        <v>11912</v>
      </c>
      <c r="X1210">
        <v>1</v>
      </c>
      <c r="Y1210" t="s">
        <v>43</v>
      </c>
      <c r="Z1210" t="s">
        <v>44</v>
      </c>
      <c r="AA1210">
        <v>14</v>
      </c>
      <c r="AB1210">
        <v>3</v>
      </c>
      <c r="AC1210">
        <v>3</v>
      </c>
      <c r="AD1210">
        <v>80</v>
      </c>
      <c r="AE1210">
        <v>1</v>
      </c>
      <c r="AF1210">
        <v>15</v>
      </c>
      <c r="AG1210">
        <v>3</v>
      </c>
      <c r="AH1210">
        <v>4</v>
      </c>
      <c r="AI1210">
        <v>15</v>
      </c>
      <c r="AJ1210">
        <v>10</v>
      </c>
      <c r="AK1210">
        <v>4</v>
      </c>
      <c r="AL1210" t="str" cm="1">
        <f t="array" ref="AL121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10">
        <v>13</v>
      </c>
    </row>
    <row r="1211" spans="1:39" x14ac:dyDescent="0.25">
      <c r="A1211">
        <v>60</v>
      </c>
      <c r="B1211" t="s">
        <v>44</v>
      </c>
      <c r="C1211" t="s">
        <v>37</v>
      </c>
      <c r="D1211">
        <v>370</v>
      </c>
      <c r="E1211" t="s">
        <v>46</v>
      </c>
      <c r="G1211">
        <v>1</v>
      </c>
      <c r="H1211">
        <v>4</v>
      </c>
      <c r="I1211" t="s">
        <v>52</v>
      </c>
      <c r="J1211" t="str">
        <f>WA_Fn_UseC__HR_Employee_Attrition[[#This Row],[EducationField]]&amp;"-"&amp;WA_Fn_UseC__HR_Employee_Attrition[[#This Row],[Department]]</f>
        <v>Medical-Research &amp; Development</v>
      </c>
      <c r="K1211">
        <v>1</v>
      </c>
      <c r="L1211">
        <v>1697</v>
      </c>
      <c r="M1211">
        <v>3</v>
      </c>
      <c r="N1211" t="s">
        <v>47</v>
      </c>
      <c r="O1211">
        <v>92</v>
      </c>
      <c r="P1211">
        <v>1</v>
      </c>
      <c r="Q1211">
        <v>3</v>
      </c>
      <c r="R1211" t="s">
        <v>55</v>
      </c>
      <c r="S1211">
        <v>4</v>
      </c>
      <c r="T1211" t="s">
        <v>53</v>
      </c>
      <c r="U1211">
        <v>10883</v>
      </c>
      <c r="V1211" t="str" cm="1">
        <f t="array" ref="V121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11">
        <v>20467</v>
      </c>
      <c r="X1211">
        <v>3</v>
      </c>
      <c r="Y1211" t="s">
        <v>43</v>
      </c>
      <c r="Z1211" t="s">
        <v>44</v>
      </c>
      <c r="AA1211">
        <v>20</v>
      </c>
      <c r="AB1211">
        <v>4</v>
      </c>
      <c r="AC1211">
        <v>3</v>
      </c>
      <c r="AD1211">
        <v>80</v>
      </c>
      <c r="AE1211">
        <v>1</v>
      </c>
      <c r="AF1211">
        <v>19</v>
      </c>
      <c r="AG1211">
        <v>2</v>
      </c>
      <c r="AH1211">
        <v>4</v>
      </c>
      <c r="AI1211">
        <v>1</v>
      </c>
      <c r="AJ1211">
        <v>0</v>
      </c>
      <c r="AK1211">
        <v>0</v>
      </c>
      <c r="AL1211" t="str" cm="1">
        <f t="array" ref="AL121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11">
        <v>0</v>
      </c>
    </row>
    <row r="1212" spans="1:39" x14ac:dyDescent="0.25">
      <c r="A1212">
        <v>33</v>
      </c>
      <c r="B1212" t="s">
        <v>44</v>
      </c>
      <c r="C1212" t="s">
        <v>37</v>
      </c>
      <c r="D1212">
        <v>267</v>
      </c>
      <c r="E1212" t="s">
        <v>46</v>
      </c>
      <c r="G1212">
        <v>21</v>
      </c>
      <c r="H1212">
        <v>3</v>
      </c>
      <c r="I1212" t="s">
        <v>52</v>
      </c>
      <c r="J1212" t="str">
        <f>WA_Fn_UseC__HR_Employee_Attrition[[#This Row],[EducationField]]&amp;"-"&amp;WA_Fn_UseC__HR_Employee_Attrition[[#This Row],[Department]]</f>
        <v>Medical-Research &amp; Development</v>
      </c>
      <c r="K1212">
        <v>1</v>
      </c>
      <c r="L1212">
        <v>1698</v>
      </c>
      <c r="M1212">
        <v>2</v>
      </c>
      <c r="N1212" t="s">
        <v>47</v>
      </c>
      <c r="O1212">
        <v>79</v>
      </c>
      <c r="P1212">
        <v>4</v>
      </c>
      <c r="Q1212">
        <v>1</v>
      </c>
      <c r="R1212" t="s">
        <v>51</v>
      </c>
      <c r="S1212">
        <v>2</v>
      </c>
      <c r="T1212" t="s">
        <v>49</v>
      </c>
      <c r="U1212">
        <v>2028</v>
      </c>
      <c r="V1212" t="str" cm="1">
        <f t="array" ref="V121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12">
        <v>13637</v>
      </c>
      <c r="X1212">
        <v>1</v>
      </c>
      <c r="Y1212" t="s">
        <v>43</v>
      </c>
      <c r="Z1212" t="s">
        <v>44</v>
      </c>
      <c r="AA1212">
        <v>18</v>
      </c>
      <c r="AB1212">
        <v>3</v>
      </c>
      <c r="AC1212">
        <v>4</v>
      </c>
      <c r="AD1212">
        <v>80</v>
      </c>
      <c r="AE1212">
        <v>3</v>
      </c>
      <c r="AF1212">
        <v>14</v>
      </c>
      <c r="AG1212">
        <v>6</v>
      </c>
      <c r="AH1212">
        <v>3</v>
      </c>
      <c r="AI1212">
        <v>14</v>
      </c>
      <c r="AJ1212">
        <v>11</v>
      </c>
      <c r="AK1212">
        <v>2</v>
      </c>
      <c r="AL1212" t="str" cm="1">
        <f t="array" ref="AL121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12">
        <v>13</v>
      </c>
    </row>
    <row r="1213" spans="1:39" x14ac:dyDescent="0.25">
      <c r="A1213">
        <v>37</v>
      </c>
      <c r="B1213" t="s">
        <v>44</v>
      </c>
      <c r="C1213" t="s">
        <v>45</v>
      </c>
      <c r="D1213">
        <v>1278</v>
      </c>
      <c r="E1213" t="s">
        <v>38</v>
      </c>
      <c r="G1213">
        <v>1</v>
      </c>
      <c r="H1213">
        <v>4</v>
      </c>
      <c r="I1213" t="s">
        <v>52</v>
      </c>
      <c r="J1213" t="str">
        <f>WA_Fn_UseC__HR_Employee_Attrition[[#This Row],[EducationField]]&amp;"-"&amp;WA_Fn_UseC__HR_Employee_Attrition[[#This Row],[Department]]</f>
        <v>Medical-Sales</v>
      </c>
      <c r="K1213">
        <v>1</v>
      </c>
      <c r="L1213">
        <v>1700</v>
      </c>
      <c r="M1213">
        <v>3</v>
      </c>
      <c r="N1213" t="s">
        <v>47</v>
      </c>
      <c r="O1213">
        <v>31</v>
      </c>
      <c r="P1213">
        <v>1</v>
      </c>
      <c r="Q1213">
        <v>2</v>
      </c>
      <c r="R1213" t="s">
        <v>41</v>
      </c>
      <c r="S1213">
        <v>4</v>
      </c>
      <c r="T1213" t="s">
        <v>53</v>
      </c>
      <c r="U1213">
        <v>9525</v>
      </c>
      <c r="V1213" t="str" cm="1">
        <f t="array" ref="V121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13">
        <v>7677</v>
      </c>
      <c r="X1213">
        <v>1</v>
      </c>
      <c r="Y1213" t="s">
        <v>43</v>
      </c>
      <c r="Z1213" t="s">
        <v>44</v>
      </c>
      <c r="AA1213">
        <v>14</v>
      </c>
      <c r="AB1213">
        <v>3</v>
      </c>
      <c r="AC1213">
        <v>3</v>
      </c>
      <c r="AD1213">
        <v>80</v>
      </c>
      <c r="AE1213">
        <v>2</v>
      </c>
      <c r="AF1213">
        <v>6</v>
      </c>
      <c r="AG1213">
        <v>2</v>
      </c>
      <c r="AH1213">
        <v>2</v>
      </c>
      <c r="AI1213">
        <v>6</v>
      </c>
      <c r="AJ1213">
        <v>3</v>
      </c>
      <c r="AK1213">
        <v>1</v>
      </c>
      <c r="AL1213" t="str" cm="1">
        <f t="array" ref="AL121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13">
        <v>3</v>
      </c>
    </row>
    <row r="1214" spans="1:39" x14ac:dyDescent="0.25">
      <c r="A1214">
        <v>34</v>
      </c>
      <c r="B1214" t="s">
        <v>44</v>
      </c>
      <c r="C1214" t="s">
        <v>37</v>
      </c>
      <c r="D1214">
        <v>678</v>
      </c>
      <c r="E1214" t="s">
        <v>46</v>
      </c>
      <c r="G1214">
        <v>19</v>
      </c>
      <c r="H1214">
        <v>3</v>
      </c>
      <c r="I1214" t="s">
        <v>39</v>
      </c>
      <c r="J1214" t="str">
        <f>WA_Fn_UseC__HR_Employee_Attrition[[#This Row],[EducationField]]&amp;"-"&amp;WA_Fn_UseC__HR_Employee_Attrition[[#This Row],[Department]]</f>
        <v>Life Sciences-Research &amp; Development</v>
      </c>
      <c r="K1214">
        <v>1</v>
      </c>
      <c r="L1214">
        <v>1701</v>
      </c>
      <c r="M1214">
        <v>2</v>
      </c>
      <c r="N1214" t="s">
        <v>40</v>
      </c>
      <c r="O1214">
        <v>35</v>
      </c>
      <c r="P1214">
        <v>2</v>
      </c>
      <c r="Q1214">
        <v>1</v>
      </c>
      <c r="R1214" t="s">
        <v>48</v>
      </c>
      <c r="S1214">
        <v>4</v>
      </c>
      <c r="T1214" t="s">
        <v>49</v>
      </c>
      <c r="U1214">
        <v>2929</v>
      </c>
      <c r="V1214" t="str" cm="1">
        <f t="array" ref="V121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14">
        <v>20338</v>
      </c>
      <c r="X1214">
        <v>1</v>
      </c>
      <c r="Y1214" t="s">
        <v>43</v>
      </c>
      <c r="Z1214" t="s">
        <v>44</v>
      </c>
      <c r="AA1214">
        <v>12</v>
      </c>
      <c r="AB1214">
        <v>3</v>
      </c>
      <c r="AC1214">
        <v>2</v>
      </c>
      <c r="AD1214">
        <v>80</v>
      </c>
      <c r="AE1214">
        <v>0</v>
      </c>
      <c r="AF1214">
        <v>10</v>
      </c>
      <c r="AG1214">
        <v>3</v>
      </c>
      <c r="AH1214">
        <v>3</v>
      </c>
      <c r="AI1214">
        <v>10</v>
      </c>
      <c r="AJ1214">
        <v>9</v>
      </c>
      <c r="AK1214">
        <v>8</v>
      </c>
      <c r="AL1214" t="str" cm="1">
        <f t="array" ref="AL121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14">
        <v>7</v>
      </c>
    </row>
    <row r="1215" spans="1:39" x14ac:dyDescent="0.25">
      <c r="A1215">
        <v>23</v>
      </c>
      <c r="B1215" t="s">
        <v>36</v>
      </c>
      <c r="C1215" t="s">
        <v>37</v>
      </c>
      <c r="D1215">
        <v>427</v>
      </c>
      <c r="E1215" t="s">
        <v>38</v>
      </c>
      <c r="G1215">
        <v>7</v>
      </c>
      <c r="H1215">
        <v>3</v>
      </c>
      <c r="I1215" t="s">
        <v>39</v>
      </c>
      <c r="J1215" t="str">
        <f>WA_Fn_UseC__HR_Employee_Attrition[[#This Row],[EducationField]]&amp;"-"&amp;WA_Fn_UseC__HR_Employee_Attrition[[#This Row],[Department]]</f>
        <v>Life Sciences-Sales</v>
      </c>
      <c r="K1215">
        <v>1</v>
      </c>
      <c r="L1215">
        <v>1702</v>
      </c>
      <c r="M1215">
        <v>3</v>
      </c>
      <c r="N1215" t="s">
        <v>47</v>
      </c>
      <c r="O1215">
        <v>99</v>
      </c>
      <c r="P1215">
        <v>3</v>
      </c>
      <c r="Q1215">
        <v>1</v>
      </c>
      <c r="R1215" t="s">
        <v>58</v>
      </c>
      <c r="S1215">
        <v>4</v>
      </c>
      <c r="T1215" t="s">
        <v>53</v>
      </c>
      <c r="U1215">
        <v>2275</v>
      </c>
      <c r="V1215" t="str" cm="1">
        <f t="array" ref="V121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15">
        <v>25103</v>
      </c>
      <c r="X1215">
        <v>1</v>
      </c>
      <c r="Y1215" t="s">
        <v>43</v>
      </c>
      <c r="Z1215" t="s">
        <v>36</v>
      </c>
      <c r="AA1215">
        <v>21</v>
      </c>
      <c r="AB1215">
        <v>4</v>
      </c>
      <c r="AC1215">
        <v>2</v>
      </c>
      <c r="AD1215">
        <v>80</v>
      </c>
      <c r="AE1215">
        <v>1</v>
      </c>
      <c r="AF1215">
        <v>3</v>
      </c>
      <c r="AG1215">
        <v>2</v>
      </c>
      <c r="AH1215">
        <v>3</v>
      </c>
      <c r="AI1215">
        <v>3</v>
      </c>
      <c r="AJ1215">
        <v>2</v>
      </c>
      <c r="AK1215">
        <v>0</v>
      </c>
      <c r="AL1215" t="str" cm="1">
        <f t="array" ref="AL121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15">
        <v>2</v>
      </c>
    </row>
    <row r="1216" spans="1:39" x14ac:dyDescent="0.25">
      <c r="A1216">
        <v>44</v>
      </c>
      <c r="B1216" t="s">
        <v>44</v>
      </c>
      <c r="C1216" t="s">
        <v>37</v>
      </c>
      <c r="D1216">
        <v>921</v>
      </c>
      <c r="E1216" t="s">
        <v>46</v>
      </c>
      <c r="G1216">
        <v>2</v>
      </c>
      <c r="H1216">
        <v>3</v>
      </c>
      <c r="I1216" t="s">
        <v>39</v>
      </c>
      <c r="J1216" t="str">
        <f>WA_Fn_UseC__HR_Employee_Attrition[[#This Row],[EducationField]]&amp;"-"&amp;WA_Fn_UseC__HR_Employee_Attrition[[#This Row],[Department]]</f>
        <v>Life Sciences-Research &amp; Development</v>
      </c>
      <c r="K1216">
        <v>1</v>
      </c>
      <c r="L1216">
        <v>1703</v>
      </c>
      <c r="M1216">
        <v>3</v>
      </c>
      <c r="N1216" t="s">
        <v>40</v>
      </c>
      <c r="O1216">
        <v>96</v>
      </c>
      <c r="P1216">
        <v>4</v>
      </c>
      <c r="Q1216">
        <v>3</v>
      </c>
      <c r="R1216" t="s">
        <v>55</v>
      </c>
      <c r="S1216">
        <v>4</v>
      </c>
      <c r="T1216" t="s">
        <v>49</v>
      </c>
      <c r="U1216">
        <v>7879</v>
      </c>
      <c r="V1216" t="str" cm="1">
        <f t="array" ref="V121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16">
        <v>14810</v>
      </c>
      <c r="X1216">
        <v>1</v>
      </c>
      <c r="Y1216" t="s">
        <v>43</v>
      </c>
      <c r="Z1216" t="s">
        <v>36</v>
      </c>
      <c r="AA1216">
        <v>19</v>
      </c>
      <c r="AB1216">
        <v>3</v>
      </c>
      <c r="AC1216">
        <v>2</v>
      </c>
      <c r="AD1216">
        <v>80</v>
      </c>
      <c r="AE1216">
        <v>1</v>
      </c>
      <c r="AF1216">
        <v>9</v>
      </c>
      <c r="AG1216">
        <v>2</v>
      </c>
      <c r="AH1216">
        <v>3</v>
      </c>
      <c r="AI1216">
        <v>8</v>
      </c>
      <c r="AJ1216">
        <v>7</v>
      </c>
      <c r="AK1216">
        <v>6</v>
      </c>
      <c r="AL1216" t="str" cm="1">
        <f t="array" ref="AL121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16">
        <v>7</v>
      </c>
    </row>
    <row r="1217" spans="1:39" x14ac:dyDescent="0.25">
      <c r="A1217">
        <v>35</v>
      </c>
      <c r="B1217" t="s">
        <v>44</v>
      </c>
      <c r="C1217" t="s">
        <v>45</v>
      </c>
      <c r="D1217">
        <v>146</v>
      </c>
      <c r="E1217" t="s">
        <v>46</v>
      </c>
      <c r="G1217">
        <v>2</v>
      </c>
      <c r="H1217">
        <v>4</v>
      </c>
      <c r="I1217" t="s">
        <v>52</v>
      </c>
      <c r="J1217" t="str">
        <f>WA_Fn_UseC__HR_Employee_Attrition[[#This Row],[EducationField]]&amp;"-"&amp;WA_Fn_UseC__HR_Employee_Attrition[[#This Row],[Department]]</f>
        <v>Medical-Research &amp; Development</v>
      </c>
      <c r="K1217">
        <v>1</v>
      </c>
      <c r="L1217">
        <v>1704</v>
      </c>
      <c r="M1217">
        <v>1</v>
      </c>
      <c r="N1217" t="s">
        <v>47</v>
      </c>
      <c r="O1217">
        <v>79</v>
      </c>
      <c r="P1217">
        <v>2</v>
      </c>
      <c r="Q1217">
        <v>1</v>
      </c>
      <c r="R1217" t="s">
        <v>48</v>
      </c>
      <c r="S1217">
        <v>4</v>
      </c>
      <c r="T1217" t="s">
        <v>42</v>
      </c>
      <c r="U1217">
        <v>4930</v>
      </c>
      <c r="V1217" t="str" cm="1">
        <f t="array" ref="V121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17">
        <v>13970</v>
      </c>
      <c r="X1217">
        <v>0</v>
      </c>
      <c r="Y1217" t="s">
        <v>43</v>
      </c>
      <c r="Z1217" t="s">
        <v>36</v>
      </c>
      <c r="AA1217">
        <v>14</v>
      </c>
      <c r="AB1217">
        <v>3</v>
      </c>
      <c r="AC1217">
        <v>3</v>
      </c>
      <c r="AD1217">
        <v>80</v>
      </c>
      <c r="AE1217">
        <v>0</v>
      </c>
      <c r="AF1217">
        <v>6</v>
      </c>
      <c r="AG1217">
        <v>2</v>
      </c>
      <c r="AH1217">
        <v>4</v>
      </c>
      <c r="AI1217">
        <v>5</v>
      </c>
      <c r="AJ1217">
        <v>4</v>
      </c>
      <c r="AK1217">
        <v>1</v>
      </c>
      <c r="AL1217" t="str" cm="1">
        <f t="array" ref="AL121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17">
        <v>4</v>
      </c>
    </row>
    <row r="1218" spans="1:39" x14ac:dyDescent="0.25">
      <c r="A1218">
        <v>43</v>
      </c>
      <c r="B1218" t="s">
        <v>44</v>
      </c>
      <c r="C1218" t="s">
        <v>37</v>
      </c>
      <c r="D1218">
        <v>1179</v>
      </c>
      <c r="E1218" t="s">
        <v>38</v>
      </c>
      <c r="G1218">
        <v>2</v>
      </c>
      <c r="H1218">
        <v>3</v>
      </c>
      <c r="I1218" t="s">
        <v>52</v>
      </c>
      <c r="J1218" t="str">
        <f>WA_Fn_UseC__HR_Employee_Attrition[[#This Row],[EducationField]]&amp;"-"&amp;WA_Fn_UseC__HR_Employee_Attrition[[#This Row],[Department]]</f>
        <v>Medical-Sales</v>
      </c>
      <c r="K1218">
        <v>1</v>
      </c>
      <c r="L1218">
        <v>1706</v>
      </c>
      <c r="M1218">
        <v>4</v>
      </c>
      <c r="N1218" t="s">
        <v>47</v>
      </c>
      <c r="O1218">
        <v>73</v>
      </c>
      <c r="P1218">
        <v>3</v>
      </c>
      <c r="Q1218">
        <v>2</v>
      </c>
      <c r="R1218" t="s">
        <v>41</v>
      </c>
      <c r="S1218">
        <v>4</v>
      </c>
      <c r="T1218" t="s">
        <v>49</v>
      </c>
      <c r="U1218">
        <v>7847</v>
      </c>
      <c r="V1218" t="str" cm="1">
        <f t="array" ref="V121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18">
        <v>6069</v>
      </c>
      <c r="X1218">
        <v>1</v>
      </c>
      <c r="Y1218" t="s">
        <v>43</v>
      </c>
      <c r="Z1218" t="s">
        <v>36</v>
      </c>
      <c r="AA1218">
        <v>17</v>
      </c>
      <c r="AB1218">
        <v>3</v>
      </c>
      <c r="AC1218">
        <v>1</v>
      </c>
      <c r="AD1218">
        <v>80</v>
      </c>
      <c r="AE1218">
        <v>1</v>
      </c>
      <c r="AF1218">
        <v>10</v>
      </c>
      <c r="AG1218">
        <v>3</v>
      </c>
      <c r="AH1218">
        <v>3</v>
      </c>
      <c r="AI1218">
        <v>10</v>
      </c>
      <c r="AJ1218">
        <v>9</v>
      </c>
      <c r="AK1218">
        <v>8</v>
      </c>
      <c r="AL1218" t="str" cm="1">
        <f t="array" ref="AL121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18">
        <v>8</v>
      </c>
    </row>
    <row r="1219" spans="1:39" x14ac:dyDescent="0.25">
      <c r="A1219">
        <v>24</v>
      </c>
      <c r="B1219" t="s">
        <v>44</v>
      </c>
      <c r="C1219" t="s">
        <v>37</v>
      </c>
      <c r="D1219">
        <v>581</v>
      </c>
      <c r="E1219" t="s">
        <v>46</v>
      </c>
      <c r="G1219">
        <v>9</v>
      </c>
      <c r="H1219">
        <v>3</v>
      </c>
      <c r="I1219" t="s">
        <v>52</v>
      </c>
      <c r="J1219" t="str">
        <f>WA_Fn_UseC__HR_Employee_Attrition[[#This Row],[EducationField]]&amp;"-"&amp;WA_Fn_UseC__HR_Employee_Attrition[[#This Row],[Department]]</f>
        <v>Medical-Research &amp; Development</v>
      </c>
      <c r="K1219">
        <v>1</v>
      </c>
      <c r="L1219">
        <v>1707</v>
      </c>
      <c r="M1219">
        <v>3</v>
      </c>
      <c r="N1219" t="s">
        <v>47</v>
      </c>
      <c r="O1219">
        <v>62</v>
      </c>
      <c r="P1219">
        <v>4</v>
      </c>
      <c r="Q1219">
        <v>1</v>
      </c>
      <c r="R1219" t="s">
        <v>48</v>
      </c>
      <c r="S1219">
        <v>3</v>
      </c>
      <c r="T1219" t="s">
        <v>49</v>
      </c>
      <c r="U1219">
        <v>4401</v>
      </c>
      <c r="V1219" t="str" cm="1">
        <f t="array" ref="V121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19">
        <v>17616</v>
      </c>
      <c r="X1219">
        <v>1</v>
      </c>
      <c r="Y1219" t="s">
        <v>43</v>
      </c>
      <c r="Z1219" t="s">
        <v>44</v>
      </c>
      <c r="AA1219">
        <v>16</v>
      </c>
      <c r="AB1219">
        <v>3</v>
      </c>
      <c r="AC1219">
        <v>4</v>
      </c>
      <c r="AD1219">
        <v>80</v>
      </c>
      <c r="AE1219">
        <v>1</v>
      </c>
      <c r="AF1219">
        <v>5</v>
      </c>
      <c r="AG1219">
        <v>1</v>
      </c>
      <c r="AH1219">
        <v>3</v>
      </c>
      <c r="AI1219">
        <v>5</v>
      </c>
      <c r="AJ1219">
        <v>3</v>
      </c>
      <c r="AK1219">
        <v>0</v>
      </c>
      <c r="AL1219" t="str" cm="1">
        <f t="array" ref="AL121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19">
        <v>4</v>
      </c>
    </row>
    <row r="1220" spans="1:39" x14ac:dyDescent="0.25">
      <c r="A1220">
        <v>41</v>
      </c>
      <c r="B1220" t="s">
        <v>44</v>
      </c>
      <c r="C1220" t="s">
        <v>37</v>
      </c>
      <c r="D1220">
        <v>918</v>
      </c>
      <c r="E1220" t="s">
        <v>38</v>
      </c>
      <c r="G1220">
        <v>6</v>
      </c>
      <c r="H1220">
        <v>3</v>
      </c>
      <c r="I1220" t="s">
        <v>60</v>
      </c>
      <c r="J1220" t="str">
        <f>WA_Fn_UseC__HR_Employee_Attrition[[#This Row],[EducationField]]&amp;"-"&amp;WA_Fn_UseC__HR_Employee_Attrition[[#This Row],[Department]]</f>
        <v>Marketing-Sales</v>
      </c>
      <c r="K1220">
        <v>1</v>
      </c>
      <c r="L1220">
        <v>1708</v>
      </c>
      <c r="M1220">
        <v>4</v>
      </c>
      <c r="N1220" t="s">
        <v>47</v>
      </c>
      <c r="O1220">
        <v>35</v>
      </c>
      <c r="P1220">
        <v>3</v>
      </c>
      <c r="Q1220">
        <v>3</v>
      </c>
      <c r="R1220" t="s">
        <v>41</v>
      </c>
      <c r="S1220">
        <v>3</v>
      </c>
      <c r="T1220" t="s">
        <v>42</v>
      </c>
      <c r="U1220">
        <v>9241</v>
      </c>
      <c r="V1220" t="str" cm="1">
        <f t="array" ref="V122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20">
        <v>15869</v>
      </c>
      <c r="X1220">
        <v>1</v>
      </c>
      <c r="Y1220" t="s">
        <v>43</v>
      </c>
      <c r="Z1220" t="s">
        <v>44</v>
      </c>
      <c r="AA1220">
        <v>12</v>
      </c>
      <c r="AB1220">
        <v>3</v>
      </c>
      <c r="AC1220">
        <v>2</v>
      </c>
      <c r="AD1220">
        <v>80</v>
      </c>
      <c r="AE1220">
        <v>0</v>
      </c>
      <c r="AF1220">
        <v>10</v>
      </c>
      <c r="AG1220">
        <v>3</v>
      </c>
      <c r="AH1220">
        <v>3</v>
      </c>
      <c r="AI1220">
        <v>10</v>
      </c>
      <c r="AJ1220">
        <v>8</v>
      </c>
      <c r="AK1220">
        <v>8</v>
      </c>
      <c r="AL1220" t="str" cm="1">
        <f t="array" ref="AL122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20">
        <v>7</v>
      </c>
    </row>
    <row r="1221" spans="1:39" x14ac:dyDescent="0.25">
      <c r="A1221">
        <v>29</v>
      </c>
      <c r="B1221" t="s">
        <v>44</v>
      </c>
      <c r="C1221" t="s">
        <v>37</v>
      </c>
      <c r="D1221">
        <v>1082</v>
      </c>
      <c r="E1221" t="s">
        <v>46</v>
      </c>
      <c r="G1221">
        <v>9</v>
      </c>
      <c r="H1221">
        <v>4</v>
      </c>
      <c r="I1221" t="s">
        <v>52</v>
      </c>
      <c r="J1221" t="str">
        <f>WA_Fn_UseC__HR_Employee_Attrition[[#This Row],[EducationField]]&amp;"-"&amp;WA_Fn_UseC__HR_Employee_Attrition[[#This Row],[Department]]</f>
        <v>Medical-Research &amp; Development</v>
      </c>
      <c r="K1221">
        <v>1</v>
      </c>
      <c r="L1221">
        <v>1709</v>
      </c>
      <c r="M1221">
        <v>4</v>
      </c>
      <c r="N1221" t="s">
        <v>40</v>
      </c>
      <c r="O1221">
        <v>43</v>
      </c>
      <c r="P1221">
        <v>3</v>
      </c>
      <c r="Q1221">
        <v>1</v>
      </c>
      <c r="R1221" t="s">
        <v>51</v>
      </c>
      <c r="S1221">
        <v>3</v>
      </c>
      <c r="T1221" t="s">
        <v>49</v>
      </c>
      <c r="U1221">
        <v>2974</v>
      </c>
      <c r="V1221" t="str" cm="1">
        <f t="array" ref="V122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21">
        <v>25412</v>
      </c>
      <c r="X1221">
        <v>9</v>
      </c>
      <c r="Y1221" t="s">
        <v>43</v>
      </c>
      <c r="Z1221" t="s">
        <v>44</v>
      </c>
      <c r="AA1221">
        <v>17</v>
      </c>
      <c r="AB1221">
        <v>3</v>
      </c>
      <c r="AC1221">
        <v>3</v>
      </c>
      <c r="AD1221">
        <v>80</v>
      </c>
      <c r="AE1221">
        <v>1</v>
      </c>
      <c r="AF1221">
        <v>9</v>
      </c>
      <c r="AG1221">
        <v>2</v>
      </c>
      <c r="AH1221">
        <v>3</v>
      </c>
      <c r="AI1221">
        <v>5</v>
      </c>
      <c r="AJ1221">
        <v>3</v>
      </c>
      <c r="AK1221">
        <v>1</v>
      </c>
      <c r="AL1221" t="str" cm="1">
        <f t="array" ref="AL122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21">
        <v>2</v>
      </c>
    </row>
    <row r="1222" spans="1:39" x14ac:dyDescent="0.25">
      <c r="A1222">
        <v>36</v>
      </c>
      <c r="B1222" t="s">
        <v>44</v>
      </c>
      <c r="C1222" t="s">
        <v>37</v>
      </c>
      <c r="D1222">
        <v>530</v>
      </c>
      <c r="E1222" t="s">
        <v>38</v>
      </c>
      <c r="G1222">
        <v>2</v>
      </c>
      <c r="H1222">
        <v>4</v>
      </c>
      <c r="I1222" t="s">
        <v>39</v>
      </c>
      <c r="J1222" t="str">
        <f>WA_Fn_UseC__HR_Employee_Attrition[[#This Row],[EducationField]]&amp;"-"&amp;WA_Fn_UseC__HR_Employee_Attrition[[#This Row],[Department]]</f>
        <v>Life Sciences-Sales</v>
      </c>
      <c r="K1222">
        <v>1</v>
      </c>
      <c r="L1222">
        <v>1710</v>
      </c>
      <c r="M1222">
        <v>3</v>
      </c>
      <c r="N1222" t="s">
        <v>40</v>
      </c>
      <c r="O1222">
        <v>51</v>
      </c>
      <c r="P1222">
        <v>3</v>
      </c>
      <c r="Q1222">
        <v>2</v>
      </c>
      <c r="R1222" t="s">
        <v>58</v>
      </c>
      <c r="S1222">
        <v>4</v>
      </c>
      <c r="T1222" t="s">
        <v>42</v>
      </c>
      <c r="U1222">
        <v>4502</v>
      </c>
      <c r="V1222" t="str" cm="1">
        <f t="array" ref="V122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22">
        <v>7439</v>
      </c>
      <c r="X1222">
        <v>3</v>
      </c>
      <c r="Y1222" t="s">
        <v>43</v>
      </c>
      <c r="Z1222" t="s">
        <v>44</v>
      </c>
      <c r="AA1222">
        <v>15</v>
      </c>
      <c r="AB1222">
        <v>3</v>
      </c>
      <c r="AC1222">
        <v>3</v>
      </c>
      <c r="AD1222">
        <v>80</v>
      </c>
      <c r="AE1222">
        <v>0</v>
      </c>
      <c r="AF1222">
        <v>17</v>
      </c>
      <c r="AG1222">
        <v>2</v>
      </c>
      <c r="AH1222">
        <v>2</v>
      </c>
      <c r="AI1222">
        <v>13</v>
      </c>
      <c r="AJ1222">
        <v>7</v>
      </c>
      <c r="AK1222">
        <v>6</v>
      </c>
      <c r="AL1222" t="str" cm="1">
        <f t="array" ref="AL122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22">
        <v>7</v>
      </c>
    </row>
    <row r="1223" spans="1:39" x14ac:dyDescent="0.25">
      <c r="A1223">
        <v>45</v>
      </c>
      <c r="B1223" t="s">
        <v>44</v>
      </c>
      <c r="C1223" t="s">
        <v>56</v>
      </c>
      <c r="D1223">
        <v>1238</v>
      </c>
      <c r="E1223" t="s">
        <v>46</v>
      </c>
      <c r="G1223">
        <v>1</v>
      </c>
      <c r="H1223">
        <v>1</v>
      </c>
      <c r="I1223" t="s">
        <v>39</v>
      </c>
      <c r="J1223" t="str">
        <f>WA_Fn_UseC__HR_Employee_Attrition[[#This Row],[EducationField]]&amp;"-"&amp;WA_Fn_UseC__HR_Employee_Attrition[[#This Row],[Department]]</f>
        <v>Life Sciences-Research &amp; Development</v>
      </c>
      <c r="K1223">
        <v>1</v>
      </c>
      <c r="L1223">
        <v>1712</v>
      </c>
      <c r="M1223">
        <v>3</v>
      </c>
      <c r="N1223" t="s">
        <v>47</v>
      </c>
      <c r="O1223">
        <v>74</v>
      </c>
      <c r="P1223">
        <v>2</v>
      </c>
      <c r="Q1223">
        <v>3</v>
      </c>
      <c r="R1223" t="s">
        <v>55</v>
      </c>
      <c r="S1223">
        <v>3</v>
      </c>
      <c r="T1223" t="s">
        <v>49</v>
      </c>
      <c r="U1223">
        <v>10748</v>
      </c>
      <c r="V1223" t="str" cm="1">
        <f t="array" ref="V122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23">
        <v>3395</v>
      </c>
      <c r="X1223">
        <v>3</v>
      </c>
      <c r="Y1223" t="s">
        <v>43</v>
      </c>
      <c r="Z1223" t="s">
        <v>44</v>
      </c>
      <c r="AA1223">
        <v>23</v>
      </c>
      <c r="AB1223">
        <v>4</v>
      </c>
      <c r="AC1223">
        <v>4</v>
      </c>
      <c r="AD1223">
        <v>80</v>
      </c>
      <c r="AE1223">
        <v>1</v>
      </c>
      <c r="AF1223">
        <v>25</v>
      </c>
      <c r="AG1223">
        <v>3</v>
      </c>
      <c r="AH1223">
        <v>2</v>
      </c>
      <c r="AI1223">
        <v>23</v>
      </c>
      <c r="AJ1223">
        <v>15</v>
      </c>
      <c r="AK1223">
        <v>14</v>
      </c>
      <c r="AL1223" t="str" cm="1">
        <f t="array" ref="AL122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23">
        <v>4</v>
      </c>
    </row>
    <row r="1224" spans="1:39" x14ac:dyDescent="0.25">
      <c r="A1224">
        <v>24</v>
      </c>
      <c r="B1224" t="s">
        <v>36</v>
      </c>
      <c r="C1224" t="s">
        <v>37</v>
      </c>
      <c r="D1224">
        <v>240</v>
      </c>
      <c r="E1224" t="s">
        <v>62</v>
      </c>
      <c r="G1224">
        <v>22</v>
      </c>
      <c r="H1224">
        <v>1</v>
      </c>
      <c r="I1224" t="s">
        <v>62</v>
      </c>
      <c r="J1224" t="str">
        <f>WA_Fn_UseC__HR_Employee_Attrition[[#This Row],[EducationField]]&amp;"-"&amp;WA_Fn_UseC__HR_Employee_Attrition[[#This Row],[Department]]</f>
        <v>Human Resources-Human Resources</v>
      </c>
      <c r="K1224">
        <v>1</v>
      </c>
      <c r="L1224">
        <v>1714</v>
      </c>
      <c r="M1224">
        <v>4</v>
      </c>
      <c r="N1224" t="s">
        <v>47</v>
      </c>
      <c r="O1224">
        <v>58</v>
      </c>
      <c r="P1224">
        <v>1</v>
      </c>
      <c r="Q1224">
        <v>1</v>
      </c>
      <c r="R1224" t="s">
        <v>62</v>
      </c>
      <c r="S1224">
        <v>3</v>
      </c>
      <c r="T1224" t="s">
        <v>49</v>
      </c>
      <c r="U1224">
        <v>1555</v>
      </c>
      <c r="V1224" t="str" cm="1">
        <f t="array" ref="V122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24">
        <v>11585</v>
      </c>
      <c r="X1224">
        <v>1</v>
      </c>
      <c r="Y1224" t="s">
        <v>43</v>
      </c>
      <c r="Z1224" t="s">
        <v>44</v>
      </c>
      <c r="AA1224">
        <v>11</v>
      </c>
      <c r="AB1224">
        <v>3</v>
      </c>
      <c r="AC1224">
        <v>3</v>
      </c>
      <c r="AD1224">
        <v>80</v>
      </c>
      <c r="AE1224">
        <v>1</v>
      </c>
      <c r="AF1224">
        <v>1</v>
      </c>
      <c r="AG1224">
        <v>2</v>
      </c>
      <c r="AH1224">
        <v>3</v>
      </c>
      <c r="AI1224">
        <v>1</v>
      </c>
      <c r="AJ1224">
        <v>0</v>
      </c>
      <c r="AK1224">
        <v>0</v>
      </c>
      <c r="AL1224" t="str" cm="1">
        <f t="array" ref="AL122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24">
        <v>0</v>
      </c>
    </row>
    <row r="1225" spans="1:39" x14ac:dyDescent="0.25">
      <c r="A1225">
        <v>47</v>
      </c>
      <c r="B1225" t="s">
        <v>36</v>
      </c>
      <c r="C1225" t="s">
        <v>45</v>
      </c>
      <c r="D1225">
        <v>1093</v>
      </c>
      <c r="E1225" t="s">
        <v>38</v>
      </c>
      <c r="G1225">
        <v>9</v>
      </c>
      <c r="H1225">
        <v>3</v>
      </c>
      <c r="I1225" t="s">
        <v>39</v>
      </c>
      <c r="J1225" t="str">
        <f>WA_Fn_UseC__HR_Employee_Attrition[[#This Row],[EducationField]]&amp;"-"&amp;WA_Fn_UseC__HR_Employee_Attrition[[#This Row],[Department]]</f>
        <v>Life Sciences-Sales</v>
      </c>
      <c r="K1225">
        <v>1</v>
      </c>
      <c r="L1225">
        <v>1716</v>
      </c>
      <c r="M1225">
        <v>3</v>
      </c>
      <c r="N1225" t="s">
        <v>47</v>
      </c>
      <c r="O1225">
        <v>82</v>
      </c>
      <c r="P1225">
        <v>1</v>
      </c>
      <c r="Q1225">
        <v>4</v>
      </c>
      <c r="R1225" t="s">
        <v>41</v>
      </c>
      <c r="S1225">
        <v>3</v>
      </c>
      <c r="T1225" t="s">
        <v>49</v>
      </c>
      <c r="U1225">
        <v>12936</v>
      </c>
      <c r="V1225" t="str" cm="1">
        <f t="array" ref="V122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25">
        <v>24164</v>
      </c>
      <c r="X1225">
        <v>7</v>
      </c>
      <c r="Y1225" t="s">
        <v>43</v>
      </c>
      <c r="Z1225" t="s">
        <v>44</v>
      </c>
      <c r="AA1225">
        <v>11</v>
      </c>
      <c r="AB1225">
        <v>3</v>
      </c>
      <c r="AC1225">
        <v>3</v>
      </c>
      <c r="AD1225">
        <v>80</v>
      </c>
      <c r="AE1225">
        <v>0</v>
      </c>
      <c r="AF1225">
        <v>25</v>
      </c>
      <c r="AG1225">
        <v>3</v>
      </c>
      <c r="AH1225">
        <v>1</v>
      </c>
      <c r="AI1225">
        <v>23</v>
      </c>
      <c r="AJ1225">
        <v>5</v>
      </c>
      <c r="AK1225">
        <v>14</v>
      </c>
      <c r="AL1225" t="str" cm="1">
        <f t="array" ref="AL122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25">
        <v>10</v>
      </c>
    </row>
    <row r="1226" spans="1:39" x14ac:dyDescent="0.25">
      <c r="A1226">
        <v>26</v>
      </c>
      <c r="B1226" t="s">
        <v>44</v>
      </c>
      <c r="C1226" t="s">
        <v>37</v>
      </c>
      <c r="D1226">
        <v>390</v>
      </c>
      <c r="E1226" t="s">
        <v>46</v>
      </c>
      <c r="G1226">
        <v>17</v>
      </c>
      <c r="H1226">
        <v>4</v>
      </c>
      <c r="I1226" t="s">
        <v>52</v>
      </c>
      <c r="J1226" t="str">
        <f>WA_Fn_UseC__HR_Employee_Attrition[[#This Row],[EducationField]]&amp;"-"&amp;WA_Fn_UseC__HR_Employee_Attrition[[#This Row],[Department]]</f>
        <v>Medical-Research &amp; Development</v>
      </c>
      <c r="K1226">
        <v>1</v>
      </c>
      <c r="L1226">
        <v>1718</v>
      </c>
      <c r="M1226">
        <v>4</v>
      </c>
      <c r="N1226" t="s">
        <v>47</v>
      </c>
      <c r="O1226">
        <v>62</v>
      </c>
      <c r="P1226">
        <v>1</v>
      </c>
      <c r="Q1226">
        <v>1</v>
      </c>
      <c r="R1226" t="s">
        <v>51</v>
      </c>
      <c r="S1226">
        <v>3</v>
      </c>
      <c r="T1226" t="s">
        <v>49</v>
      </c>
      <c r="U1226">
        <v>2305</v>
      </c>
      <c r="V1226" t="str" cm="1">
        <f t="array" ref="V122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26">
        <v>6217</v>
      </c>
      <c r="X1226">
        <v>1</v>
      </c>
      <c r="Y1226" t="s">
        <v>43</v>
      </c>
      <c r="Z1226" t="s">
        <v>44</v>
      </c>
      <c r="AA1226">
        <v>15</v>
      </c>
      <c r="AB1226">
        <v>3</v>
      </c>
      <c r="AC1226">
        <v>3</v>
      </c>
      <c r="AD1226">
        <v>80</v>
      </c>
      <c r="AE1226">
        <v>3</v>
      </c>
      <c r="AF1226">
        <v>3</v>
      </c>
      <c r="AG1226">
        <v>3</v>
      </c>
      <c r="AH1226">
        <v>4</v>
      </c>
      <c r="AI1226">
        <v>3</v>
      </c>
      <c r="AJ1226">
        <v>2</v>
      </c>
      <c r="AK1226">
        <v>0</v>
      </c>
      <c r="AL1226" t="str" cm="1">
        <f t="array" ref="AL122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26">
        <v>2</v>
      </c>
    </row>
    <row r="1227" spans="1:39" x14ac:dyDescent="0.25">
      <c r="A1227">
        <v>45</v>
      </c>
      <c r="B1227" t="s">
        <v>44</v>
      </c>
      <c r="C1227" t="s">
        <v>37</v>
      </c>
      <c r="D1227">
        <v>1005</v>
      </c>
      <c r="E1227" t="s">
        <v>46</v>
      </c>
      <c r="G1227">
        <v>28</v>
      </c>
      <c r="H1227">
        <v>2</v>
      </c>
      <c r="I1227" t="s">
        <v>61</v>
      </c>
      <c r="J1227" t="str">
        <f>WA_Fn_UseC__HR_Employee_Attrition[[#This Row],[EducationField]]&amp;"-"&amp;WA_Fn_UseC__HR_Employee_Attrition[[#This Row],[Department]]</f>
        <v>Technical Degree-Research &amp; Development</v>
      </c>
      <c r="K1227">
        <v>1</v>
      </c>
      <c r="L1227">
        <v>1719</v>
      </c>
      <c r="M1227">
        <v>4</v>
      </c>
      <c r="N1227" t="s">
        <v>40</v>
      </c>
      <c r="O1227">
        <v>48</v>
      </c>
      <c r="P1227">
        <v>2</v>
      </c>
      <c r="Q1227">
        <v>4</v>
      </c>
      <c r="R1227" t="s">
        <v>59</v>
      </c>
      <c r="S1227">
        <v>2</v>
      </c>
      <c r="T1227" t="s">
        <v>42</v>
      </c>
      <c r="U1227">
        <v>16704</v>
      </c>
      <c r="V1227" t="str" cm="1">
        <f t="array" ref="V122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27">
        <v>17119</v>
      </c>
      <c r="X1227">
        <v>1</v>
      </c>
      <c r="Y1227" t="s">
        <v>43</v>
      </c>
      <c r="Z1227" t="s">
        <v>44</v>
      </c>
      <c r="AA1227">
        <v>11</v>
      </c>
      <c r="AB1227">
        <v>3</v>
      </c>
      <c r="AC1227">
        <v>3</v>
      </c>
      <c r="AD1227">
        <v>80</v>
      </c>
      <c r="AE1227">
        <v>0</v>
      </c>
      <c r="AF1227">
        <v>21</v>
      </c>
      <c r="AG1227">
        <v>2</v>
      </c>
      <c r="AH1227">
        <v>3</v>
      </c>
      <c r="AI1227">
        <v>21</v>
      </c>
      <c r="AJ1227">
        <v>6</v>
      </c>
      <c r="AK1227">
        <v>8</v>
      </c>
      <c r="AL1227" t="str" cm="1">
        <f t="array" ref="AL122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27">
        <v>6</v>
      </c>
    </row>
    <row r="1228" spans="1:39" x14ac:dyDescent="0.25">
      <c r="A1228">
        <v>32</v>
      </c>
      <c r="B1228" t="s">
        <v>44</v>
      </c>
      <c r="C1228" t="s">
        <v>45</v>
      </c>
      <c r="D1228">
        <v>585</v>
      </c>
      <c r="E1228" t="s">
        <v>46</v>
      </c>
      <c r="G1228">
        <v>10</v>
      </c>
      <c r="H1228">
        <v>3</v>
      </c>
      <c r="I1228" t="s">
        <v>39</v>
      </c>
      <c r="J1228" t="str">
        <f>WA_Fn_UseC__HR_Employee_Attrition[[#This Row],[EducationField]]&amp;"-"&amp;WA_Fn_UseC__HR_Employee_Attrition[[#This Row],[Department]]</f>
        <v>Life Sciences-Research &amp; Development</v>
      </c>
      <c r="K1228">
        <v>1</v>
      </c>
      <c r="L1228">
        <v>1720</v>
      </c>
      <c r="M1228">
        <v>1</v>
      </c>
      <c r="N1228" t="s">
        <v>47</v>
      </c>
      <c r="O1228">
        <v>56</v>
      </c>
      <c r="P1228">
        <v>3</v>
      </c>
      <c r="Q1228">
        <v>1</v>
      </c>
      <c r="R1228" t="s">
        <v>48</v>
      </c>
      <c r="S1228">
        <v>3</v>
      </c>
      <c r="T1228" t="s">
        <v>49</v>
      </c>
      <c r="U1228">
        <v>3433</v>
      </c>
      <c r="V1228" t="str" cm="1">
        <f t="array" ref="V122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28">
        <v>17360</v>
      </c>
      <c r="X1228">
        <v>6</v>
      </c>
      <c r="Y1228" t="s">
        <v>43</v>
      </c>
      <c r="Z1228" t="s">
        <v>44</v>
      </c>
      <c r="AA1228">
        <v>13</v>
      </c>
      <c r="AB1228">
        <v>3</v>
      </c>
      <c r="AC1228">
        <v>1</v>
      </c>
      <c r="AD1228">
        <v>80</v>
      </c>
      <c r="AE1228">
        <v>1</v>
      </c>
      <c r="AF1228">
        <v>10</v>
      </c>
      <c r="AG1228">
        <v>3</v>
      </c>
      <c r="AH1228">
        <v>2</v>
      </c>
      <c r="AI1228">
        <v>5</v>
      </c>
      <c r="AJ1228">
        <v>2</v>
      </c>
      <c r="AK1228">
        <v>1</v>
      </c>
      <c r="AL1228" t="str" cm="1">
        <f t="array" ref="AL122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28">
        <v>3</v>
      </c>
    </row>
    <row r="1229" spans="1:39" x14ac:dyDescent="0.25">
      <c r="A1229">
        <v>31</v>
      </c>
      <c r="B1229" t="s">
        <v>44</v>
      </c>
      <c r="C1229" t="s">
        <v>37</v>
      </c>
      <c r="D1229">
        <v>741</v>
      </c>
      <c r="E1229" t="s">
        <v>46</v>
      </c>
      <c r="G1229">
        <v>2</v>
      </c>
      <c r="H1229">
        <v>4</v>
      </c>
      <c r="I1229" t="s">
        <v>39</v>
      </c>
      <c r="J1229" t="str">
        <f>WA_Fn_UseC__HR_Employee_Attrition[[#This Row],[EducationField]]&amp;"-"&amp;WA_Fn_UseC__HR_Employee_Attrition[[#This Row],[Department]]</f>
        <v>Life Sciences-Research &amp; Development</v>
      </c>
      <c r="K1229">
        <v>1</v>
      </c>
      <c r="L1229">
        <v>1721</v>
      </c>
      <c r="M1229">
        <v>2</v>
      </c>
      <c r="N1229" t="s">
        <v>47</v>
      </c>
      <c r="O1229">
        <v>69</v>
      </c>
      <c r="P1229">
        <v>3</v>
      </c>
      <c r="Q1229">
        <v>1</v>
      </c>
      <c r="R1229" t="s">
        <v>51</v>
      </c>
      <c r="S1229">
        <v>3</v>
      </c>
      <c r="T1229" t="s">
        <v>49</v>
      </c>
      <c r="U1229">
        <v>3477</v>
      </c>
      <c r="V1229" t="str" cm="1">
        <f t="array" ref="V122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29">
        <v>18103</v>
      </c>
      <c r="X1229">
        <v>1</v>
      </c>
      <c r="Y1229" t="s">
        <v>43</v>
      </c>
      <c r="Z1229" t="s">
        <v>44</v>
      </c>
      <c r="AA1229">
        <v>14</v>
      </c>
      <c r="AB1229">
        <v>3</v>
      </c>
      <c r="AC1229">
        <v>4</v>
      </c>
      <c r="AD1229">
        <v>80</v>
      </c>
      <c r="AE1229">
        <v>1</v>
      </c>
      <c r="AF1229">
        <v>6</v>
      </c>
      <c r="AG1229">
        <v>2</v>
      </c>
      <c r="AH1229">
        <v>4</v>
      </c>
      <c r="AI1229">
        <v>5</v>
      </c>
      <c r="AJ1229">
        <v>2</v>
      </c>
      <c r="AK1229">
        <v>0</v>
      </c>
      <c r="AL1229" t="str" cm="1">
        <f t="array" ref="AL122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29">
        <v>3</v>
      </c>
    </row>
    <row r="1230" spans="1:39" x14ac:dyDescent="0.25">
      <c r="A1230">
        <v>41</v>
      </c>
      <c r="B1230" t="s">
        <v>44</v>
      </c>
      <c r="C1230" t="s">
        <v>56</v>
      </c>
      <c r="D1230">
        <v>552</v>
      </c>
      <c r="E1230" t="s">
        <v>62</v>
      </c>
      <c r="G1230">
        <v>4</v>
      </c>
      <c r="H1230">
        <v>3</v>
      </c>
      <c r="I1230" t="s">
        <v>62</v>
      </c>
      <c r="J1230" t="str">
        <f>WA_Fn_UseC__HR_Employee_Attrition[[#This Row],[EducationField]]&amp;"-"&amp;WA_Fn_UseC__HR_Employee_Attrition[[#This Row],[Department]]</f>
        <v>Human Resources-Human Resources</v>
      </c>
      <c r="K1230">
        <v>1</v>
      </c>
      <c r="L1230">
        <v>1722</v>
      </c>
      <c r="M1230">
        <v>3</v>
      </c>
      <c r="N1230" t="s">
        <v>47</v>
      </c>
      <c r="O1230">
        <v>60</v>
      </c>
      <c r="P1230">
        <v>1</v>
      </c>
      <c r="Q1230">
        <v>2</v>
      </c>
      <c r="R1230" t="s">
        <v>62</v>
      </c>
      <c r="S1230">
        <v>2</v>
      </c>
      <c r="T1230" t="s">
        <v>49</v>
      </c>
      <c r="U1230">
        <v>6430</v>
      </c>
      <c r="V1230" t="str" cm="1">
        <f t="array" ref="V123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30">
        <v>20794</v>
      </c>
      <c r="X1230">
        <v>6</v>
      </c>
      <c r="Y1230" t="s">
        <v>43</v>
      </c>
      <c r="Z1230" t="s">
        <v>44</v>
      </c>
      <c r="AA1230">
        <v>19</v>
      </c>
      <c r="AB1230">
        <v>3</v>
      </c>
      <c r="AC1230">
        <v>2</v>
      </c>
      <c r="AD1230">
        <v>80</v>
      </c>
      <c r="AE1230">
        <v>1</v>
      </c>
      <c r="AF1230">
        <v>10</v>
      </c>
      <c r="AG1230">
        <v>4</v>
      </c>
      <c r="AH1230">
        <v>3</v>
      </c>
      <c r="AI1230">
        <v>3</v>
      </c>
      <c r="AJ1230">
        <v>2</v>
      </c>
      <c r="AK1230">
        <v>1</v>
      </c>
      <c r="AL1230" t="str" cm="1">
        <f t="array" ref="AL123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30">
        <v>2</v>
      </c>
    </row>
    <row r="1231" spans="1:39" x14ac:dyDescent="0.25">
      <c r="A1231">
        <v>40</v>
      </c>
      <c r="B1231" t="s">
        <v>44</v>
      </c>
      <c r="C1231" t="s">
        <v>37</v>
      </c>
      <c r="D1231">
        <v>369</v>
      </c>
      <c r="E1231" t="s">
        <v>46</v>
      </c>
      <c r="G1231">
        <v>8</v>
      </c>
      <c r="H1231">
        <v>2</v>
      </c>
      <c r="I1231" t="s">
        <v>39</v>
      </c>
      <c r="J1231" t="str">
        <f>WA_Fn_UseC__HR_Employee_Attrition[[#This Row],[EducationField]]&amp;"-"&amp;WA_Fn_UseC__HR_Employee_Attrition[[#This Row],[Department]]</f>
        <v>Life Sciences-Research &amp; Development</v>
      </c>
      <c r="K1231">
        <v>1</v>
      </c>
      <c r="L1231">
        <v>1724</v>
      </c>
      <c r="M1231">
        <v>2</v>
      </c>
      <c r="N1231" t="s">
        <v>40</v>
      </c>
      <c r="O1231">
        <v>92</v>
      </c>
      <c r="P1231">
        <v>3</v>
      </c>
      <c r="Q1231">
        <v>2</v>
      </c>
      <c r="R1231" t="s">
        <v>54</v>
      </c>
      <c r="S1231">
        <v>1</v>
      </c>
      <c r="T1231" t="s">
        <v>49</v>
      </c>
      <c r="U1231">
        <v>6516</v>
      </c>
      <c r="V1231" t="str" cm="1">
        <f t="array" ref="V123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31">
        <v>5041</v>
      </c>
      <c r="X1231">
        <v>2</v>
      </c>
      <c r="Y1231" t="s">
        <v>43</v>
      </c>
      <c r="Z1231" t="s">
        <v>36</v>
      </c>
      <c r="AA1231">
        <v>16</v>
      </c>
      <c r="AB1231">
        <v>3</v>
      </c>
      <c r="AC1231">
        <v>2</v>
      </c>
      <c r="AD1231">
        <v>80</v>
      </c>
      <c r="AE1231">
        <v>1</v>
      </c>
      <c r="AF1231">
        <v>18</v>
      </c>
      <c r="AG1231">
        <v>3</v>
      </c>
      <c r="AH1231">
        <v>3</v>
      </c>
      <c r="AI1231">
        <v>1</v>
      </c>
      <c r="AJ1231">
        <v>0</v>
      </c>
      <c r="AK1231">
        <v>0</v>
      </c>
      <c r="AL1231" t="str" cm="1">
        <f t="array" ref="AL123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31">
        <v>0</v>
      </c>
    </row>
    <row r="1232" spans="1:39" x14ac:dyDescent="0.25">
      <c r="A1232">
        <v>24</v>
      </c>
      <c r="B1232" t="s">
        <v>44</v>
      </c>
      <c r="C1232" t="s">
        <v>37</v>
      </c>
      <c r="D1232">
        <v>506</v>
      </c>
      <c r="E1232" t="s">
        <v>46</v>
      </c>
      <c r="G1232">
        <v>29</v>
      </c>
      <c r="H1232">
        <v>1</v>
      </c>
      <c r="I1232" t="s">
        <v>52</v>
      </c>
      <c r="J1232" t="str">
        <f>WA_Fn_UseC__HR_Employee_Attrition[[#This Row],[EducationField]]&amp;"-"&amp;WA_Fn_UseC__HR_Employee_Attrition[[#This Row],[Department]]</f>
        <v>Medical-Research &amp; Development</v>
      </c>
      <c r="K1232">
        <v>1</v>
      </c>
      <c r="L1232">
        <v>1725</v>
      </c>
      <c r="M1232">
        <v>2</v>
      </c>
      <c r="N1232" t="s">
        <v>47</v>
      </c>
      <c r="O1232">
        <v>91</v>
      </c>
      <c r="P1232">
        <v>3</v>
      </c>
      <c r="Q1232">
        <v>1</v>
      </c>
      <c r="R1232" t="s">
        <v>51</v>
      </c>
      <c r="S1232">
        <v>1</v>
      </c>
      <c r="T1232" t="s">
        <v>53</v>
      </c>
      <c r="U1232">
        <v>3907</v>
      </c>
      <c r="V1232" t="str" cm="1">
        <f t="array" ref="V123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32">
        <v>3622</v>
      </c>
      <c r="X1232">
        <v>1</v>
      </c>
      <c r="Y1232" t="s">
        <v>43</v>
      </c>
      <c r="Z1232" t="s">
        <v>44</v>
      </c>
      <c r="AA1232">
        <v>13</v>
      </c>
      <c r="AB1232">
        <v>3</v>
      </c>
      <c r="AC1232">
        <v>2</v>
      </c>
      <c r="AD1232">
        <v>80</v>
      </c>
      <c r="AE1232">
        <v>3</v>
      </c>
      <c r="AF1232">
        <v>6</v>
      </c>
      <c r="AG1232">
        <v>2</v>
      </c>
      <c r="AH1232">
        <v>4</v>
      </c>
      <c r="AI1232">
        <v>6</v>
      </c>
      <c r="AJ1232">
        <v>2</v>
      </c>
      <c r="AK1232">
        <v>1</v>
      </c>
      <c r="AL1232" t="str" cm="1">
        <f t="array" ref="AL123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32">
        <v>2</v>
      </c>
    </row>
    <row r="1233" spans="1:39" x14ac:dyDescent="0.25">
      <c r="A1233">
        <v>46</v>
      </c>
      <c r="B1233" t="s">
        <v>44</v>
      </c>
      <c r="C1233" t="s">
        <v>37</v>
      </c>
      <c r="D1233">
        <v>717</v>
      </c>
      <c r="E1233" t="s">
        <v>46</v>
      </c>
      <c r="G1233">
        <v>13</v>
      </c>
      <c r="H1233">
        <v>4</v>
      </c>
      <c r="I1233" t="s">
        <v>39</v>
      </c>
      <c r="J1233" t="str">
        <f>WA_Fn_UseC__HR_Employee_Attrition[[#This Row],[EducationField]]&amp;"-"&amp;WA_Fn_UseC__HR_Employee_Attrition[[#This Row],[Department]]</f>
        <v>Life Sciences-Research &amp; Development</v>
      </c>
      <c r="K1233">
        <v>1</v>
      </c>
      <c r="L1233">
        <v>1727</v>
      </c>
      <c r="M1233">
        <v>3</v>
      </c>
      <c r="N1233" t="s">
        <v>47</v>
      </c>
      <c r="O1233">
        <v>34</v>
      </c>
      <c r="P1233">
        <v>3</v>
      </c>
      <c r="Q1233">
        <v>2</v>
      </c>
      <c r="R1233" t="s">
        <v>55</v>
      </c>
      <c r="S1233">
        <v>2</v>
      </c>
      <c r="T1233" t="s">
        <v>42</v>
      </c>
      <c r="U1233">
        <v>5562</v>
      </c>
      <c r="V1233" t="str" cm="1">
        <f t="array" ref="V123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33">
        <v>9697</v>
      </c>
      <c r="X1233">
        <v>6</v>
      </c>
      <c r="Y1233" t="s">
        <v>43</v>
      </c>
      <c r="Z1233" t="s">
        <v>44</v>
      </c>
      <c r="AA1233">
        <v>14</v>
      </c>
      <c r="AB1233">
        <v>3</v>
      </c>
      <c r="AC1233">
        <v>4</v>
      </c>
      <c r="AD1233">
        <v>80</v>
      </c>
      <c r="AE1233">
        <v>0</v>
      </c>
      <c r="AF1233">
        <v>19</v>
      </c>
      <c r="AG1233">
        <v>3</v>
      </c>
      <c r="AH1233">
        <v>3</v>
      </c>
      <c r="AI1233">
        <v>10</v>
      </c>
      <c r="AJ1233">
        <v>7</v>
      </c>
      <c r="AK1233">
        <v>0</v>
      </c>
      <c r="AL1233" t="str" cm="1">
        <f t="array" ref="AL123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33">
        <v>9</v>
      </c>
    </row>
    <row r="1234" spans="1:39" x14ac:dyDescent="0.25">
      <c r="A1234">
        <v>35</v>
      </c>
      <c r="B1234" t="s">
        <v>44</v>
      </c>
      <c r="C1234" t="s">
        <v>37</v>
      </c>
      <c r="D1234">
        <v>1370</v>
      </c>
      <c r="E1234" t="s">
        <v>46</v>
      </c>
      <c r="G1234">
        <v>27</v>
      </c>
      <c r="H1234">
        <v>4</v>
      </c>
      <c r="I1234" t="s">
        <v>39</v>
      </c>
      <c r="J1234" t="str">
        <f>WA_Fn_UseC__HR_Employee_Attrition[[#This Row],[EducationField]]&amp;"-"&amp;WA_Fn_UseC__HR_Employee_Attrition[[#This Row],[Department]]</f>
        <v>Life Sciences-Research &amp; Development</v>
      </c>
      <c r="K1234">
        <v>1</v>
      </c>
      <c r="L1234">
        <v>1728</v>
      </c>
      <c r="M1234">
        <v>4</v>
      </c>
      <c r="N1234" t="s">
        <v>47</v>
      </c>
      <c r="O1234">
        <v>49</v>
      </c>
      <c r="P1234">
        <v>3</v>
      </c>
      <c r="Q1234">
        <v>2</v>
      </c>
      <c r="R1234" t="s">
        <v>54</v>
      </c>
      <c r="S1234">
        <v>3</v>
      </c>
      <c r="T1234" t="s">
        <v>49</v>
      </c>
      <c r="U1234">
        <v>6883</v>
      </c>
      <c r="V1234" t="str" cm="1">
        <f t="array" ref="V123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34">
        <v>5151</v>
      </c>
      <c r="X1234">
        <v>2</v>
      </c>
      <c r="Y1234" t="s">
        <v>43</v>
      </c>
      <c r="Z1234" t="s">
        <v>44</v>
      </c>
      <c r="AA1234">
        <v>16</v>
      </c>
      <c r="AB1234">
        <v>3</v>
      </c>
      <c r="AC1234">
        <v>2</v>
      </c>
      <c r="AD1234">
        <v>80</v>
      </c>
      <c r="AE1234">
        <v>1</v>
      </c>
      <c r="AF1234">
        <v>17</v>
      </c>
      <c r="AG1234">
        <v>3</v>
      </c>
      <c r="AH1234">
        <v>3</v>
      </c>
      <c r="AI1234">
        <v>7</v>
      </c>
      <c r="AJ1234">
        <v>7</v>
      </c>
      <c r="AK1234">
        <v>0</v>
      </c>
      <c r="AL1234" t="str" cm="1">
        <f t="array" ref="AL123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34">
        <v>7</v>
      </c>
    </row>
    <row r="1235" spans="1:39" x14ac:dyDescent="0.25">
      <c r="A1235">
        <v>30</v>
      </c>
      <c r="B1235" t="s">
        <v>44</v>
      </c>
      <c r="C1235" t="s">
        <v>37</v>
      </c>
      <c r="D1235">
        <v>793</v>
      </c>
      <c r="E1235" t="s">
        <v>46</v>
      </c>
      <c r="G1235">
        <v>16</v>
      </c>
      <c r="H1235">
        <v>1</v>
      </c>
      <c r="I1235" t="s">
        <v>39</v>
      </c>
      <c r="J1235" t="str">
        <f>WA_Fn_UseC__HR_Employee_Attrition[[#This Row],[EducationField]]&amp;"-"&amp;WA_Fn_UseC__HR_Employee_Attrition[[#This Row],[Department]]</f>
        <v>Life Sciences-Research &amp; Development</v>
      </c>
      <c r="K1235">
        <v>1</v>
      </c>
      <c r="L1235">
        <v>1729</v>
      </c>
      <c r="M1235">
        <v>2</v>
      </c>
      <c r="N1235" t="s">
        <v>47</v>
      </c>
      <c r="O1235">
        <v>33</v>
      </c>
      <c r="P1235">
        <v>3</v>
      </c>
      <c r="Q1235">
        <v>1</v>
      </c>
      <c r="R1235" t="s">
        <v>48</v>
      </c>
      <c r="S1235">
        <v>4</v>
      </c>
      <c r="T1235" t="s">
        <v>49</v>
      </c>
      <c r="U1235">
        <v>2862</v>
      </c>
      <c r="V1235" t="str" cm="1">
        <f t="array" ref="V123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35">
        <v>3811</v>
      </c>
      <c r="X1235">
        <v>1</v>
      </c>
      <c r="Y1235" t="s">
        <v>43</v>
      </c>
      <c r="Z1235" t="s">
        <v>44</v>
      </c>
      <c r="AA1235">
        <v>12</v>
      </c>
      <c r="AB1235">
        <v>3</v>
      </c>
      <c r="AC1235">
        <v>2</v>
      </c>
      <c r="AD1235">
        <v>80</v>
      </c>
      <c r="AE1235">
        <v>1</v>
      </c>
      <c r="AF1235">
        <v>10</v>
      </c>
      <c r="AG1235">
        <v>2</v>
      </c>
      <c r="AH1235">
        <v>2</v>
      </c>
      <c r="AI1235">
        <v>10</v>
      </c>
      <c r="AJ1235">
        <v>0</v>
      </c>
      <c r="AK1235">
        <v>0</v>
      </c>
      <c r="AL1235" t="str" cm="1">
        <f t="array" ref="AL123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35">
        <v>8</v>
      </c>
    </row>
    <row r="1236" spans="1:39" x14ac:dyDescent="0.25">
      <c r="A1236">
        <v>47</v>
      </c>
      <c r="B1236" t="s">
        <v>44</v>
      </c>
      <c r="C1236" t="s">
        <v>56</v>
      </c>
      <c r="D1236">
        <v>543</v>
      </c>
      <c r="E1236" t="s">
        <v>38</v>
      </c>
      <c r="G1236">
        <v>2</v>
      </c>
      <c r="H1236">
        <v>4</v>
      </c>
      <c r="I1236" t="s">
        <v>60</v>
      </c>
      <c r="J1236" t="str">
        <f>WA_Fn_UseC__HR_Employee_Attrition[[#This Row],[EducationField]]&amp;"-"&amp;WA_Fn_UseC__HR_Employee_Attrition[[#This Row],[Department]]</f>
        <v>Marketing-Sales</v>
      </c>
      <c r="K1236">
        <v>1</v>
      </c>
      <c r="L1236">
        <v>1731</v>
      </c>
      <c r="M1236">
        <v>3</v>
      </c>
      <c r="N1236" t="s">
        <v>47</v>
      </c>
      <c r="O1236">
        <v>87</v>
      </c>
      <c r="P1236">
        <v>3</v>
      </c>
      <c r="Q1236">
        <v>2</v>
      </c>
      <c r="R1236" t="s">
        <v>41</v>
      </c>
      <c r="S1236">
        <v>2</v>
      </c>
      <c r="T1236" t="s">
        <v>49</v>
      </c>
      <c r="U1236">
        <v>4978</v>
      </c>
      <c r="V1236" t="str" cm="1">
        <f t="array" ref="V123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36">
        <v>3536</v>
      </c>
      <c r="X1236">
        <v>7</v>
      </c>
      <c r="Y1236" t="s">
        <v>43</v>
      </c>
      <c r="Z1236" t="s">
        <v>44</v>
      </c>
      <c r="AA1236">
        <v>11</v>
      </c>
      <c r="AB1236">
        <v>3</v>
      </c>
      <c r="AC1236">
        <v>4</v>
      </c>
      <c r="AD1236">
        <v>80</v>
      </c>
      <c r="AE1236">
        <v>1</v>
      </c>
      <c r="AF1236">
        <v>4</v>
      </c>
      <c r="AG1236">
        <v>3</v>
      </c>
      <c r="AH1236">
        <v>1</v>
      </c>
      <c r="AI1236">
        <v>1</v>
      </c>
      <c r="AJ1236">
        <v>0</v>
      </c>
      <c r="AK1236">
        <v>0</v>
      </c>
      <c r="AL1236" t="str" cm="1">
        <f t="array" ref="AL123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36">
        <v>0</v>
      </c>
    </row>
    <row r="1237" spans="1:39" x14ac:dyDescent="0.25">
      <c r="A1237">
        <v>46</v>
      </c>
      <c r="B1237" t="s">
        <v>44</v>
      </c>
      <c r="C1237" t="s">
        <v>37</v>
      </c>
      <c r="D1237">
        <v>1277</v>
      </c>
      <c r="E1237" t="s">
        <v>38</v>
      </c>
      <c r="G1237">
        <v>2</v>
      </c>
      <c r="H1237">
        <v>3</v>
      </c>
      <c r="I1237" t="s">
        <v>39</v>
      </c>
      <c r="J1237" t="str">
        <f>WA_Fn_UseC__HR_Employee_Attrition[[#This Row],[EducationField]]&amp;"-"&amp;WA_Fn_UseC__HR_Employee_Attrition[[#This Row],[Department]]</f>
        <v>Life Sciences-Sales</v>
      </c>
      <c r="K1237">
        <v>1</v>
      </c>
      <c r="L1237">
        <v>1732</v>
      </c>
      <c r="M1237">
        <v>3</v>
      </c>
      <c r="N1237" t="s">
        <v>47</v>
      </c>
      <c r="O1237">
        <v>74</v>
      </c>
      <c r="P1237">
        <v>3</v>
      </c>
      <c r="Q1237">
        <v>3</v>
      </c>
      <c r="R1237" t="s">
        <v>41</v>
      </c>
      <c r="S1237">
        <v>4</v>
      </c>
      <c r="T1237" t="s">
        <v>53</v>
      </c>
      <c r="U1237">
        <v>10368</v>
      </c>
      <c r="V1237" t="str" cm="1">
        <f t="array" ref="V123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37">
        <v>5596</v>
      </c>
      <c r="X1237">
        <v>4</v>
      </c>
      <c r="Y1237" t="s">
        <v>43</v>
      </c>
      <c r="Z1237" t="s">
        <v>36</v>
      </c>
      <c r="AA1237">
        <v>12</v>
      </c>
      <c r="AB1237">
        <v>3</v>
      </c>
      <c r="AC1237">
        <v>2</v>
      </c>
      <c r="AD1237">
        <v>80</v>
      </c>
      <c r="AE1237">
        <v>1</v>
      </c>
      <c r="AF1237">
        <v>13</v>
      </c>
      <c r="AG1237">
        <v>5</v>
      </c>
      <c r="AH1237">
        <v>2</v>
      </c>
      <c r="AI1237">
        <v>10</v>
      </c>
      <c r="AJ1237">
        <v>6</v>
      </c>
      <c r="AK1237">
        <v>0</v>
      </c>
      <c r="AL1237" t="str" cm="1">
        <f t="array" ref="AL123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37">
        <v>3</v>
      </c>
    </row>
    <row r="1238" spans="1:39" x14ac:dyDescent="0.25">
      <c r="A1238">
        <v>36</v>
      </c>
      <c r="B1238" t="s">
        <v>36</v>
      </c>
      <c r="C1238" t="s">
        <v>37</v>
      </c>
      <c r="D1238">
        <v>1456</v>
      </c>
      <c r="E1238" t="s">
        <v>38</v>
      </c>
      <c r="G1238">
        <v>13</v>
      </c>
      <c r="H1238">
        <v>5</v>
      </c>
      <c r="I1238" t="s">
        <v>60</v>
      </c>
      <c r="J1238" t="str">
        <f>WA_Fn_UseC__HR_Employee_Attrition[[#This Row],[EducationField]]&amp;"-"&amp;WA_Fn_UseC__HR_Employee_Attrition[[#This Row],[Department]]</f>
        <v>Marketing-Sales</v>
      </c>
      <c r="K1238">
        <v>1</v>
      </c>
      <c r="L1238">
        <v>1733</v>
      </c>
      <c r="M1238">
        <v>2</v>
      </c>
      <c r="N1238" t="s">
        <v>47</v>
      </c>
      <c r="O1238">
        <v>96</v>
      </c>
      <c r="P1238">
        <v>2</v>
      </c>
      <c r="Q1238">
        <v>2</v>
      </c>
      <c r="R1238" t="s">
        <v>41</v>
      </c>
      <c r="S1238">
        <v>1</v>
      </c>
      <c r="T1238" t="s">
        <v>53</v>
      </c>
      <c r="U1238">
        <v>6134</v>
      </c>
      <c r="V1238" t="str" cm="1">
        <f t="array" ref="V123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38">
        <v>8658</v>
      </c>
      <c r="X1238">
        <v>5</v>
      </c>
      <c r="Y1238" t="s">
        <v>43</v>
      </c>
      <c r="Z1238" t="s">
        <v>36</v>
      </c>
      <c r="AA1238">
        <v>13</v>
      </c>
      <c r="AB1238">
        <v>3</v>
      </c>
      <c r="AC1238">
        <v>2</v>
      </c>
      <c r="AD1238">
        <v>80</v>
      </c>
      <c r="AE1238">
        <v>3</v>
      </c>
      <c r="AF1238">
        <v>16</v>
      </c>
      <c r="AG1238">
        <v>3</v>
      </c>
      <c r="AH1238">
        <v>3</v>
      </c>
      <c r="AI1238">
        <v>2</v>
      </c>
      <c r="AJ1238">
        <v>2</v>
      </c>
      <c r="AK1238">
        <v>2</v>
      </c>
      <c r="AL1238" t="str" cm="1">
        <f t="array" ref="AL123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38">
        <v>2</v>
      </c>
    </row>
    <row r="1239" spans="1:39" x14ac:dyDescent="0.25">
      <c r="A1239">
        <v>32</v>
      </c>
      <c r="B1239" t="s">
        <v>36</v>
      </c>
      <c r="C1239" t="s">
        <v>37</v>
      </c>
      <c r="D1239">
        <v>964</v>
      </c>
      <c r="E1239" t="s">
        <v>38</v>
      </c>
      <c r="G1239">
        <v>1</v>
      </c>
      <c r="H1239">
        <v>2</v>
      </c>
      <c r="I1239" t="s">
        <v>39</v>
      </c>
      <c r="J1239" t="str">
        <f>WA_Fn_UseC__HR_Employee_Attrition[[#This Row],[EducationField]]&amp;"-"&amp;WA_Fn_UseC__HR_Employee_Attrition[[#This Row],[Department]]</f>
        <v>Life Sciences-Sales</v>
      </c>
      <c r="K1239">
        <v>1</v>
      </c>
      <c r="L1239">
        <v>1734</v>
      </c>
      <c r="M1239">
        <v>1</v>
      </c>
      <c r="N1239" t="s">
        <v>47</v>
      </c>
      <c r="O1239">
        <v>34</v>
      </c>
      <c r="P1239">
        <v>1</v>
      </c>
      <c r="Q1239">
        <v>2</v>
      </c>
      <c r="R1239" t="s">
        <v>41</v>
      </c>
      <c r="S1239">
        <v>2</v>
      </c>
      <c r="T1239" t="s">
        <v>42</v>
      </c>
      <c r="U1239">
        <v>6735</v>
      </c>
      <c r="V1239" t="str" cm="1">
        <f t="array" ref="V123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39">
        <v>12147</v>
      </c>
      <c r="X1239">
        <v>6</v>
      </c>
      <c r="Y1239" t="s">
        <v>43</v>
      </c>
      <c r="Z1239" t="s">
        <v>44</v>
      </c>
      <c r="AA1239">
        <v>15</v>
      </c>
      <c r="AB1239">
        <v>3</v>
      </c>
      <c r="AC1239">
        <v>2</v>
      </c>
      <c r="AD1239">
        <v>80</v>
      </c>
      <c r="AE1239">
        <v>0</v>
      </c>
      <c r="AF1239">
        <v>10</v>
      </c>
      <c r="AG1239">
        <v>2</v>
      </c>
      <c r="AH1239">
        <v>3</v>
      </c>
      <c r="AI1239">
        <v>0</v>
      </c>
      <c r="AJ1239">
        <v>0</v>
      </c>
      <c r="AK1239">
        <v>0</v>
      </c>
      <c r="AL1239" t="str" cm="1">
        <f t="array" ref="AL123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39">
        <v>0</v>
      </c>
    </row>
    <row r="1240" spans="1:39" x14ac:dyDescent="0.25">
      <c r="A1240">
        <v>23</v>
      </c>
      <c r="B1240" t="s">
        <v>44</v>
      </c>
      <c r="C1240" t="s">
        <v>37</v>
      </c>
      <c r="D1240">
        <v>160</v>
      </c>
      <c r="E1240" t="s">
        <v>46</v>
      </c>
      <c r="G1240">
        <v>4</v>
      </c>
      <c r="H1240">
        <v>1</v>
      </c>
      <c r="I1240" t="s">
        <v>52</v>
      </c>
      <c r="J1240" t="str">
        <f>WA_Fn_UseC__HR_Employee_Attrition[[#This Row],[EducationField]]&amp;"-"&amp;WA_Fn_UseC__HR_Employee_Attrition[[#This Row],[Department]]</f>
        <v>Medical-Research &amp; Development</v>
      </c>
      <c r="K1240">
        <v>1</v>
      </c>
      <c r="L1240">
        <v>1735</v>
      </c>
      <c r="M1240">
        <v>3</v>
      </c>
      <c r="N1240" t="s">
        <v>40</v>
      </c>
      <c r="O1240">
        <v>51</v>
      </c>
      <c r="P1240">
        <v>3</v>
      </c>
      <c r="Q1240">
        <v>1</v>
      </c>
      <c r="R1240" t="s">
        <v>51</v>
      </c>
      <c r="S1240">
        <v>2</v>
      </c>
      <c r="T1240" t="s">
        <v>42</v>
      </c>
      <c r="U1240">
        <v>3295</v>
      </c>
      <c r="V1240" t="str" cm="1">
        <f t="array" ref="V124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40">
        <v>12862</v>
      </c>
      <c r="X1240">
        <v>1</v>
      </c>
      <c r="Y1240" t="s">
        <v>43</v>
      </c>
      <c r="Z1240" t="s">
        <v>44</v>
      </c>
      <c r="AA1240">
        <v>13</v>
      </c>
      <c r="AB1240">
        <v>3</v>
      </c>
      <c r="AC1240">
        <v>3</v>
      </c>
      <c r="AD1240">
        <v>80</v>
      </c>
      <c r="AE1240">
        <v>0</v>
      </c>
      <c r="AF1240">
        <v>3</v>
      </c>
      <c r="AG1240">
        <v>3</v>
      </c>
      <c r="AH1240">
        <v>1</v>
      </c>
      <c r="AI1240">
        <v>3</v>
      </c>
      <c r="AJ1240">
        <v>2</v>
      </c>
      <c r="AK1240">
        <v>1</v>
      </c>
      <c r="AL1240" t="str" cm="1">
        <f t="array" ref="AL124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40">
        <v>2</v>
      </c>
    </row>
    <row r="1241" spans="1:39" x14ac:dyDescent="0.25">
      <c r="A1241">
        <v>31</v>
      </c>
      <c r="B1241" t="s">
        <v>44</v>
      </c>
      <c r="C1241" t="s">
        <v>45</v>
      </c>
      <c r="D1241">
        <v>163</v>
      </c>
      <c r="E1241" t="s">
        <v>46</v>
      </c>
      <c r="G1241">
        <v>24</v>
      </c>
      <c r="H1241">
        <v>1</v>
      </c>
      <c r="I1241" t="s">
        <v>61</v>
      </c>
      <c r="J1241" t="str">
        <f>WA_Fn_UseC__HR_Employee_Attrition[[#This Row],[EducationField]]&amp;"-"&amp;WA_Fn_UseC__HR_Employee_Attrition[[#This Row],[Department]]</f>
        <v>Technical Degree-Research &amp; Development</v>
      </c>
      <c r="K1241">
        <v>1</v>
      </c>
      <c r="L1241">
        <v>1736</v>
      </c>
      <c r="M1241">
        <v>4</v>
      </c>
      <c r="N1241" t="s">
        <v>40</v>
      </c>
      <c r="O1241">
        <v>30</v>
      </c>
      <c r="P1241">
        <v>3</v>
      </c>
      <c r="Q1241">
        <v>2</v>
      </c>
      <c r="R1241" t="s">
        <v>54</v>
      </c>
      <c r="S1241">
        <v>4</v>
      </c>
      <c r="T1241" t="s">
        <v>42</v>
      </c>
      <c r="U1241">
        <v>5238</v>
      </c>
      <c r="V1241" t="str" cm="1">
        <f t="array" ref="V124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41">
        <v>6670</v>
      </c>
      <c r="X1241">
        <v>2</v>
      </c>
      <c r="Y1241" t="s">
        <v>43</v>
      </c>
      <c r="Z1241" t="s">
        <v>44</v>
      </c>
      <c r="AA1241">
        <v>20</v>
      </c>
      <c r="AB1241">
        <v>4</v>
      </c>
      <c r="AC1241">
        <v>4</v>
      </c>
      <c r="AD1241">
        <v>80</v>
      </c>
      <c r="AE1241">
        <v>0</v>
      </c>
      <c r="AF1241">
        <v>9</v>
      </c>
      <c r="AG1241">
        <v>3</v>
      </c>
      <c r="AH1241">
        <v>2</v>
      </c>
      <c r="AI1241">
        <v>5</v>
      </c>
      <c r="AJ1241">
        <v>4</v>
      </c>
      <c r="AK1241">
        <v>1</v>
      </c>
      <c r="AL1241" t="str" cm="1">
        <f t="array" ref="AL124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41">
        <v>4</v>
      </c>
    </row>
    <row r="1242" spans="1:39" x14ac:dyDescent="0.25">
      <c r="A1242">
        <v>39</v>
      </c>
      <c r="B1242" t="s">
        <v>44</v>
      </c>
      <c r="C1242" t="s">
        <v>56</v>
      </c>
      <c r="D1242">
        <v>792</v>
      </c>
      <c r="E1242" t="s">
        <v>46</v>
      </c>
      <c r="G1242">
        <v>1</v>
      </c>
      <c r="H1242">
        <v>3</v>
      </c>
      <c r="I1242" t="s">
        <v>39</v>
      </c>
      <c r="J1242" t="str">
        <f>WA_Fn_UseC__HR_Employee_Attrition[[#This Row],[EducationField]]&amp;"-"&amp;WA_Fn_UseC__HR_Employee_Attrition[[#This Row],[Department]]</f>
        <v>Life Sciences-Research &amp; Development</v>
      </c>
      <c r="K1242">
        <v>1</v>
      </c>
      <c r="L1242">
        <v>1737</v>
      </c>
      <c r="M1242">
        <v>4</v>
      </c>
      <c r="N1242" t="s">
        <v>47</v>
      </c>
      <c r="O1242">
        <v>77</v>
      </c>
      <c r="P1242">
        <v>3</v>
      </c>
      <c r="Q1242">
        <v>2</v>
      </c>
      <c r="R1242" t="s">
        <v>51</v>
      </c>
      <c r="S1242">
        <v>4</v>
      </c>
      <c r="T1242" t="s">
        <v>49</v>
      </c>
      <c r="U1242">
        <v>6472</v>
      </c>
      <c r="V1242" t="str" cm="1">
        <f t="array" ref="V124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42">
        <v>8989</v>
      </c>
      <c r="X1242">
        <v>1</v>
      </c>
      <c r="Y1242" t="s">
        <v>43</v>
      </c>
      <c r="Z1242" t="s">
        <v>36</v>
      </c>
      <c r="AA1242">
        <v>15</v>
      </c>
      <c r="AB1242">
        <v>3</v>
      </c>
      <c r="AC1242">
        <v>4</v>
      </c>
      <c r="AD1242">
        <v>80</v>
      </c>
      <c r="AE1242">
        <v>1</v>
      </c>
      <c r="AF1242">
        <v>9</v>
      </c>
      <c r="AG1242">
        <v>2</v>
      </c>
      <c r="AH1242">
        <v>3</v>
      </c>
      <c r="AI1242">
        <v>9</v>
      </c>
      <c r="AJ1242">
        <v>8</v>
      </c>
      <c r="AK1242">
        <v>5</v>
      </c>
      <c r="AL1242" t="str" cm="1">
        <f t="array" ref="AL124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42">
        <v>8</v>
      </c>
    </row>
    <row r="1243" spans="1:39" x14ac:dyDescent="0.25">
      <c r="A1243">
        <v>32</v>
      </c>
      <c r="B1243" t="s">
        <v>44</v>
      </c>
      <c r="C1243" t="s">
        <v>37</v>
      </c>
      <c r="D1243">
        <v>371</v>
      </c>
      <c r="E1243" t="s">
        <v>38</v>
      </c>
      <c r="G1243">
        <v>19</v>
      </c>
      <c r="H1243">
        <v>3</v>
      </c>
      <c r="I1243" t="s">
        <v>39</v>
      </c>
      <c r="J1243" t="str">
        <f>WA_Fn_UseC__HR_Employee_Attrition[[#This Row],[EducationField]]&amp;"-"&amp;WA_Fn_UseC__HR_Employee_Attrition[[#This Row],[Department]]</f>
        <v>Life Sciences-Sales</v>
      </c>
      <c r="K1243">
        <v>1</v>
      </c>
      <c r="L1243">
        <v>1739</v>
      </c>
      <c r="M1243">
        <v>4</v>
      </c>
      <c r="N1243" t="s">
        <v>47</v>
      </c>
      <c r="O1243">
        <v>80</v>
      </c>
      <c r="P1243">
        <v>1</v>
      </c>
      <c r="Q1243">
        <v>3</v>
      </c>
      <c r="R1243" t="s">
        <v>41</v>
      </c>
      <c r="S1243">
        <v>3</v>
      </c>
      <c r="T1243" t="s">
        <v>49</v>
      </c>
      <c r="U1243">
        <v>9610</v>
      </c>
      <c r="V1243" t="str" cm="1">
        <f t="array" ref="V124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43">
        <v>3840</v>
      </c>
      <c r="X1243">
        <v>3</v>
      </c>
      <c r="Y1243" t="s">
        <v>43</v>
      </c>
      <c r="Z1243" t="s">
        <v>44</v>
      </c>
      <c r="AA1243">
        <v>13</v>
      </c>
      <c r="AB1243">
        <v>3</v>
      </c>
      <c r="AC1243">
        <v>3</v>
      </c>
      <c r="AD1243">
        <v>80</v>
      </c>
      <c r="AE1243">
        <v>1</v>
      </c>
      <c r="AF1243">
        <v>10</v>
      </c>
      <c r="AG1243">
        <v>2</v>
      </c>
      <c r="AH1243">
        <v>1</v>
      </c>
      <c r="AI1243">
        <v>4</v>
      </c>
      <c r="AJ1243">
        <v>3</v>
      </c>
      <c r="AK1243">
        <v>0</v>
      </c>
      <c r="AL1243" t="str" cm="1">
        <f t="array" ref="AL124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43">
        <v>2</v>
      </c>
    </row>
    <row r="1244" spans="1:39" x14ac:dyDescent="0.25">
      <c r="A1244">
        <v>40</v>
      </c>
      <c r="B1244" t="s">
        <v>44</v>
      </c>
      <c r="C1244" t="s">
        <v>37</v>
      </c>
      <c r="D1244">
        <v>611</v>
      </c>
      <c r="E1244" t="s">
        <v>38</v>
      </c>
      <c r="G1244">
        <v>7</v>
      </c>
      <c r="H1244">
        <v>4</v>
      </c>
      <c r="I1244" t="s">
        <v>52</v>
      </c>
      <c r="J1244" t="str">
        <f>WA_Fn_UseC__HR_Employee_Attrition[[#This Row],[EducationField]]&amp;"-"&amp;WA_Fn_UseC__HR_Employee_Attrition[[#This Row],[Department]]</f>
        <v>Medical-Sales</v>
      </c>
      <c r="K1244">
        <v>1</v>
      </c>
      <c r="L1244">
        <v>1740</v>
      </c>
      <c r="M1244">
        <v>2</v>
      </c>
      <c r="N1244" t="s">
        <v>47</v>
      </c>
      <c r="O1244">
        <v>88</v>
      </c>
      <c r="P1244">
        <v>3</v>
      </c>
      <c r="Q1244">
        <v>5</v>
      </c>
      <c r="R1244" t="s">
        <v>57</v>
      </c>
      <c r="S1244">
        <v>2</v>
      </c>
      <c r="T1244" t="s">
        <v>42</v>
      </c>
      <c r="U1244">
        <v>19833</v>
      </c>
      <c r="V1244" t="str" cm="1">
        <f t="array" ref="V124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44">
        <v>4349</v>
      </c>
      <c r="X1244">
        <v>1</v>
      </c>
      <c r="Y1244" t="s">
        <v>43</v>
      </c>
      <c r="Z1244" t="s">
        <v>44</v>
      </c>
      <c r="AA1244">
        <v>14</v>
      </c>
      <c r="AB1244">
        <v>3</v>
      </c>
      <c r="AC1244">
        <v>2</v>
      </c>
      <c r="AD1244">
        <v>80</v>
      </c>
      <c r="AE1244">
        <v>0</v>
      </c>
      <c r="AF1244">
        <v>21</v>
      </c>
      <c r="AG1244">
        <v>3</v>
      </c>
      <c r="AH1244">
        <v>2</v>
      </c>
      <c r="AI1244">
        <v>21</v>
      </c>
      <c r="AJ1244">
        <v>8</v>
      </c>
      <c r="AK1244">
        <v>12</v>
      </c>
      <c r="AL1244" t="str" cm="1">
        <f t="array" ref="AL124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44">
        <v>8</v>
      </c>
    </row>
    <row r="1245" spans="1:39" x14ac:dyDescent="0.25">
      <c r="A1245">
        <v>45</v>
      </c>
      <c r="B1245" t="s">
        <v>44</v>
      </c>
      <c r="C1245" t="s">
        <v>37</v>
      </c>
      <c r="D1245">
        <v>176</v>
      </c>
      <c r="E1245" t="s">
        <v>62</v>
      </c>
      <c r="G1245">
        <v>4</v>
      </c>
      <c r="H1245">
        <v>3</v>
      </c>
      <c r="I1245" t="s">
        <v>39</v>
      </c>
      <c r="J1245" t="str">
        <f>WA_Fn_UseC__HR_Employee_Attrition[[#This Row],[EducationField]]&amp;"-"&amp;WA_Fn_UseC__HR_Employee_Attrition[[#This Row],[Department]]</f>
        <v>Life Sciences-Human Resources</v>
      </c>
      <c r="K1245">
        <v>1</v>
      </c>
      <c r="L1245">
        <v>1744</v>
      </c>
      <c r="M1245">
        <v>3</v>
      </c>
      <c r="N1245" t="s">
        <v>40</v>
      </c>
      <c r="O1245">
        <v>56</v>
      </c>
      <c r="P1245">
        <v>1</v>
      </c>
      <c r="Q1245">
        <v>3</v>
      </c>
      <c r="R1245" t="s">
        <v>62</v>
      </c>
      <c r="S1245">
        <v>3</v>
      </c>
      <c r="T1245" t="s">
        <v>49</v>
      </c>
      <c r="U1245">
        <v>9756</v>
      </c>
      <c r="V1245" t="str" cm="1">
        <f t="array" ref="V124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45">
        <v>6595</v>
      </c>
      <c r="X1245">
        <v>4</v>
      </c>
      <c r="Y1245" t="s">
        <v>43</v>
      </c>
      <c r="Z1245" t="s">
        <v>44</v>
      </c>
      <c r="AA1245">
        <v>21</v>
      </c>
      <c r="AB1245">
        <v>4</v>
      </c>
      <c r="AC1245">
        <v>3</v>
      </c>
      <c r="AD1245">
        <v>80</v>
      </c>
      <c r="AE1245">
        <v>2</v>
      </c>
      <c r="AF1245">
        <v>9</v>
      </c>
      <c r="AG1245">
        <v>2</v>
      </c>
      <c r="AH1245">
        <v>4</v>
      </c>
      <c r="AI1245">
        <v>5</v>
      </c>
      <c r="AJ1245">
        <v>0</v>
      </c>
      <c r="AK1245">
        <v>0</v>
      </c>
      <c r="AL1245" t="str" cm="1">
        <f t="array" ref="AL124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45">
        <v>3</v>
      </c>
    </row>
    <row r="1246" spans="1:39" x14ac:dyDescent="0.25">
      <c r="A1246">
        <v>30</v>
      </c>
      <c r="B1246" t="s">
        <v>44</v>
      </c>
      <c r="C1246" t="s">
        <v>45</v>
      </c>
      <c r="D1246">
        <v>1312</v>
      </c>
      <c r="E1246" t="s">
        <v>46</v>
      </c>
      <c r="G1246">
        <v>2</v>
      </c>
      <c r="H1246">
        <v>4</v>
      </c>
      <c r="I1246" t="s">
        <v>61</v>
      </c>
      <c r="J1246" t="str">
        <f>WA_Fn_UseC__HR_Employee_Attrition[[#This Row],[EducationField]]&amp;"-"&amp;WA_Fn_UseC__HR_Employee_Attrition[[#This Row],[Department]]</f>
        <v>Technical Degree-Research &amp; Development</v>
      </c>
      <c r="K1246">
        <v>1</v>
      </c>
      <c r="L1246">
        <v>1745</v>
      </c>
      <c r="M1246">
        <v>4</v>
      </c>
      <c r="N1246" t="s">
        <v>40</v>
      </c>
      <c r="O1246">
        <v>78</v>
      </c>
      <c r="P1246">
        <v>2</v>
      </c>
      <c r="Q1246">
        <v>1</v>
      </c>
      <c r="R1246" t="s">
        <v>48</v>
      </c>
      <c r="S1246">
        <v>1</v>
      </c>
      <c r="T1246" t="s">
        <v>42</v>
      </c>
      <c r="U1246">
        <v>4968</v>
      </c>
      <c r="V1246" t="str" cm="1">
        <f t="array" ref="V124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46">
        <v>26427</v>
      </c>
      <c r="X1246">
        <v>0</v>
      </c>
      <c r="Y1246" t="s">
        <v>43</v>
      </c>
      <c r="Z1246" t="s">
        <v>44</v>
      </c>
      <c r="AA1246">
        <v>16</v>
      </c>
      <c r="AB1246">
        <v>3</v>
      </c>
      <c r="AC1246">
        <v>4</v>
      </c>
      <c r="AD1246">
        <v>80</v>
      </c>
      <c r="AE1246">
        <v>0</v>
      </c>
      <c r="AF1246">
        <v>10</v>
      </c>
      <c r="AG1246">
        <v>2</v>
      </c>
      <c r="AH1246">
        <v>3</v>
      </c>
      <c r="AI1246">
        <v>9</v>
      </c>
      <c r="AJ1246">
        <v>7</v>
      </c>
      <c r="AK1246">
        <v>0</v>
      </c>
      <c r="AL1246" t="str" cm="1">
        <f t="array" ref="AL124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46">
        <v>7</v>
      </c>
    </row>
    <row r="1247" spans="1:39" x14ac:dyDescent="0.25">
      <c r="A1247">
        <v>24</v>
      </c>
      <c r="B1247" t="s">
        <v>44</v>
      </c>
      <c r="C1247" t="s">
        <v>45</v>
      </c>
      <c r="D1247">
        <v>897</v>
      </c>
      <c r="E1247" t="s">
        <v>62</v>
      </c>
      <c r="G1247">
        <v>10</v>
      </c>
      <c r="H1247">
        <v>3</v>
      </c>
      <c r="I1247" t="s">
        <v>52</v>
      </c>
      <c r="J1247" t="str">
        <f>WA_Fn_UseC__HR_Employee_Attrition[[#This Row],[EducationField]]&amp;"-"&amp;WA_Fn_UseC__HR_Employee_Attrition[[#This Row],[Department]]</f>
        <v>Medical-Human Resources</v>
      </c>
      <c r="K1247">
        <v>1</v>
      </c>
      <c r="L1247">
        <v>1746</v>
      </c>
      <c r="M1247">
        <v>1</v>
      </c>
      <c r="N1247" t="s">
        <v>47</v>
      </c>
      <c r="O1247">
        <v>59</v>
      </c>
      <c r="P1247">
        <v>3</v>
      </c>
      <c r="Q1247">
        <v>1</v>
      </c>
      <c r="R1247" t="s">
        <v>62</v>
      </c>
      <c r="S1247">
        <v>4</v>
      </c>
      <c r="T1247" t="s">
        <v>49</v>
      </c>
      <c r="U1247">
        <v>2145</v>
      </c>
      <c r="V1247" t="str" cm="1">
        <f t="array" ref="V124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47">
        <v>2097</v>
      </c>
      <c r="X1247">
        <v>0</v>
      </c>
      <c r="Y1247" t="s">
        <v>43</v>
      </c>
      <c r="Z1247" t="s">
        <v>44</v>
      </c>
      <c r="AA1247">
        <v>14</v>
      </c>
      <c r="AB1247">
        <v>3</v>
      </c>
      <c r="AC1247">
        <v>4</v>
      </c>
      <c r="AD1247">
        <v>80</v>
      </c>
      <c r="AE1247">
        <v>1</v>
      </c>
      <c r="AF1247">
        <v>3</v>
      </c>
      <c r="AG1247">
        <v>2</v>
      </c>
      <c r="AH1247">
        <v>3</v>
      </c>
      <c r="AI1247">
        <v>2</v>
      </c>
      <c r="AJ1247">
        <v>2</v>
      </c>
      <c r="AK1247">
        <v>2</v>
      </c>
      <c r="AL1247" t="str" cm="1">
        <f t="array" ref="AL124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47">
        <v>1</v>
      </c>
    </row>
    <row r="1248" spans="1:39" x14ac:dyDescent="0.25">
      <c r="A1248">
        <v>30</v>
      </c>
      <c r="B1248" t="s">
        <v>36</v>
      </c>
      <c r="C1248" t="s">
        <v>45</v>
      </c>
      <c r="D1248">
        <v>600</v>
      </c>
      <c r="E1248" t="s">
        <v>62</v>
      </c>
      <c r="G1248">
        <v>8</v>
      </c>
      <c r="H1248">
        <v>3</v>
      </c>
      <c r="I1248" t="s">
        <v>62</v>
      </c>
      <c r="J1248" t="str">
        <f>WA_Fn_UseC__HR_Employee_Attrition[[#This Row],[EducationField]]&amp;"-"&amp;WA_Fn_UseC__HR_Employee_Attrition[[#This Row],[Department]]</f>
        <v>Human Resources-Human Resources</v>
      </c>
      <c r="K1248">
        <v>1</v>
      </c>
      <c r="L1248">
        <v>1747</v>
      </c>
      <c r="M1248">
        <v>3</v>
      </c>
      <c r="N1248" t="s">
        <v>40</v>
      </c>
      <c r="O1248">
        <v>66</v>
      </c>
      <c r="P1248">
        <v>2</v>
      </c>
      <c r="Q1248">
        <v>1</v>
      </c>
      <c r="R1248" t="s">
        <v>62</v>
      </c>
      <c r="S1248">
        <v>4</v>
      </c>
      <c r="T1248" t="s">
        <v>53</v>
      </c>
      <c r="U1248">
        <v>2180</v>
      </c>
      <c r="V1248" t="str" cm="1">
        <f t="array" ref="V124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48">
        <v>9732</v>
      </c>
      <c r="X1248">
        <v>6</v>
      </c>
      <c r="Y1248" t="s">
        <v>43</v>
      </c>
      <c r="Z1248" t="s">
        <v>44</v>
      </c>
      <c r="AA1248">
        <v>11</v>
      </c>
      <c r="AB1248">
        <v>3</v>
      </c>
      <c r="AC1248">
        <v>3</v>
      </c>
      <c r="AD1248">
        <v>80</v>
      </c>
      <c r="AE1248">
        <v>1</v>
      </c>
      <c r="AF1248">
        <v>6</v>
      </c>
      <c r="AG1248">
        <v>0</v>
      </c>
      <c r="AH1248">
        <v>2</v>
      </c>
      <c r="AI1248">
        <v>4</v>
      </c>
      <c r="AJ1248">
        <v>2</v>
      </c>
      <c r="AK1248">
        <v>1</v>
      </c>
      <c r="AL1248" t="str" cm="1">
        <f t="array" ref="AL124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48">
        <v>2</v>
      </c>
    </row>
    <row r="1249" spans="1:39" x14ac:dyDescent="0.25">
      <c r="A1249">
        <v>31</v>
      </c>
      <c r="B1249" t="s">
        <v>44</v>
      </c>
      <c r="C1249" t="s">
        <v>37</v>
      </c>
      <c r="D1249">
        <v>1003</v>
      </c>
      <c r="E1249" t="s">
        <v>38</v>
      </c>
      <c r="G1249">
        <v>5</v>
      </c>
      <c r="H1249">
        <v>3</v>
      </c>
      <c r="I1249" t="s">
        <v>61</v>
      </c>
      <c r="J1249" t="str">
        <f>WA_Fn_UseC__HR_Employee_Attrition[[#This Row],[EducationField]]&amp;"-"&amp;WA_Fn_UseC__HR_Employee_Attrition[[#This Row],[Department]]</f>
        <v>Technical Degree-Sales</v>
      </c>
      <c r="K1249">
        <v>1</v>
      </c>
      <c r="L1249">
        <v>1749</v>
      </c>
      <c r="M1249">
        <v>1</v>
      </c>
      <c r="N1249" t="s">
        <v>47</v>
      </c>
      <c r="O1249">
        <v>51</v>
      </c>
      <c r="P1249">
        <v>3</v>
      </c>
      <c r="Q1249">
        <v>2</v>
      </c>
      <c r="R1249" t="s">
        <v>41</v>
      </c>
      <c r="S1249">
        <v>3</v>
      </c>
      <c r="T1249" t="s">
        <v>49</v>
      </c>
      <c r="U1249">
        <v>8346</v>
      </c>
      <c r="V1249" t="str" cm="1">
        <f t="array" ref="V124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49">
        <v>20943</v>
      </c>
      <c r="X1249">
        <v>1</v>
      </c>
      <c r="Y1249" t="s">
        <v>43</v>
      </c>
      <c r="Z1249" t="s">
        <v>44</v>
      </c>
      <c r="AA1249">
        <v>19</v>
      </c>
      <c r="AB1249">
        <v>3</v>
      </c>
      <c r="AC1249">
        <v>3</v>
      </c>
      <c r="AD1249">
        <v>80</v>
      </c>
      <c r="AE1249">
        <v>1</v>
      </c>
      <c r="AF1249">
        <v>6</v>
      </c>
      <c r="AG1249">
        <v>3</v>
      </c>
      <c r="AH1249">
        <v>3</v>
      </c>
      <c r="AI1249">
        <v>5</v>
      </c>
      <c r="AJ1249">
        <v>2</v>
      </c>
      <c r="AK1249">
        <v>0</v>
      </c>
      <c r="AL1249" t="str" cm="1">
        <f t="array" ref="AL124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49">
        <v>2</v>
      </c>
    </row>
    <row r="1250" spans="1:39" x14ac:dyDescent="0.25">
      <c r="A1250">
        <v>27</v>
      </c>
      <c r="B1250" t="s">
        <v>44</v>
      </c>
      <c r="C1250" t="s">
        <v>37</v>
      </c>
      <c r="D1250">
        <v>1054</v>
      </c>
      <c r="E1250" t="s">
        <v>46</v>
      </c>
      <c r="G1250">
        <v>8</v>
      </c>
      <c r="H1250">
        <v>3</v>
      </c>
      <c r="I1250" t="s">
        <v>52</v>
      </c>
      <c r="J1250" t="str">
        <f>WA_Fn_UseC__HR_Employee_Attrition[[#This Row],[EducationField]]&amp;"-"&amp;WA_Fn_UseC__HR_Employee_Attrition[[#This Row],[Department]]</f>
        <v>Medical-Research &amp; Development</v>
      </c>
      <c r="K1250">
        <v>1</v>
      </c>
      <c r="L1250">
        <v>1751</v>
      </c>
      <c r="M1250">
        <v>3</v>
      </c>
      <c r="N1250" t="s">
        <v>40</v>
      </c>
      <c r="O1250">
        <v>67</v>
      </c>
      <c r="P1250">
        <v>3</v>
      </c>
      <c r="Q1250">
        <v>1</v>
      </c>
      <c r="R1250" t="s">
        <v>48</v>
      </c>
      <c r="S1250">
        <v>4</v>
      </c>
      <c r="T1250" t="s">
        <v>42</v>
      </c>
      <c r="U1250">
        <v>3445</v>
      </c>
      <c r="V1250" t="str" cm="1">
        <f t="array" ref="V125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50">
        <v>6152</v>
      </c>
      <c r="X1250">
        <v>1</v>
      </c>
      <c r="Y1250" t="s">
        <v>43</v>
      </c>
      <c r="Z1250" t="s">
        <v>44</v>
      </c>
      <c r="AA1250">
        <v>11</v>
      </c>
      <c r="AB1250">
        <v>3</v>
      </c>
      <c r="AC1250">
        <v>3</v>
      </c>
      <c r="AD1250">
        <v>80</v>
      </c>
      <c r="AE1250">
        <v>0</v>
      </c>
      <c r="AF1250">
        <v>6</v>
      </c>
      <c r="AG1250">
        <v>5</v>
      </c>
      <c r="AH1250">
        <v>2</v>
      </c>
      <c r="AI1250">
        <v>6</v>
      </c>
      <c r="AJ1250">
        <v>2</v>
      </c>
      <c r="AK1250">
        <v>1</v>
      </c>
      <c r="AL1250" t="str" cm="1">
        <f t="array" ref="AL125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50">
        <v>4</v>
      </c>
    </row>
    <row r="1251" spans="1:39" x14ac:dyDescent="0.25">
      <c r="A1251">
        <v>29</v>
      </c>
      <c r="B1251" t="s">
        <v>36</v>
      </c>
      <c r="C1251" t="s">
        <v>37</v>
      </c>
      <c r="D1251">
        <v>428</v>
      </c>
      <c r="E1251" t="s">
        <v>38</v>
      </c>
      <c r="G1251">
        <v>9</v>
      </c>
      <c r="H1251">
        <v>3</v>
      </c>
      <c r="I1251" t="s">
        <v>60</v>
      </c>
      <c r="J1251" t="str">
        <f>WA_Fn_UseC__HR_Employee_Attrition[[#This Row],[EducationField]]&amp;"-"&amp;WA_Fn_UseC__HR_Employee_Attrition[[#This Row],[Department]]</f>
        <v>Marketing-Sales</v>
      </c>
      <c r="K1251">
        <v>1</v>
      </c>
      <c r="L1251">
        <v>1752</v>
      </c>
      <c r="M1251">
        <v>2</v>
      </c>
      <c r="N1251" t="s">
        <v>40</v>
      </c>
      <c r="O1251">
        <v>52</v>
      </c>
      <c r="P1251">
        <v>1</v>
      </c>
      <c r="Q1251">
        <v>1</v>
      </c>
      <c r="R1251" t="s">
        <v>58</v>
      </c>
      <c r="S1251">
        <v>2</v>
      </c>
      <c r="T1251" t="s">
        <v>42</v>
      </c>
      <c r="U1251">
        <v>2760</v>
      </c>
      <c r="V1251" t="str" cm="1">
        <f t="array" ref="V125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51">
        <v>14630</v>
      </c>
      <c r="X1251">
        <v>1</v>
      </c>
      <c r="Y1251" t="s">
        <v>43</v>
      </c>
      <c r="Z1251" t="s">
        <v>44</v>
      </c>
      <c r="AA1251">
        <v>13</v>
      </c>
      <c r="AB1251">
        <v>3</v>
      </c>
      <c r="AC1251">
        <v>3</v>
      </c>
      <c r="AD1251">
        <v>80</v>
      </c>
      <c r="AE1251">
        <v>0</v>
      </c>
      <c r="AF1251">
        <v>2</v>
      </c>
      <c r="AG1251">
        <v>3</v>
      </c>
      <c r="AH1251">
        <v>3</v>
      </c>
      <c r="AI1251">
        <v>2</v>
      </c>
      <c r="AJ1251">
        <v>2</v>
      </c>
      <c r="AK1251">
        <v>2</v>
      </c>
      <c r="AL1251" t="str" cm="1">
        <f t="array" ref="AL125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51">
        <v>2</v>
      </c>
    </row>
    <row r="1252" spans="1:39" x14ac:dyDescent="0.25">
      <c r="A1252">
        <v>29</v>
      </c>
      <c r="B1252" t="s">
        <v>44</v>
      </c>
      <c r="C1252" t="s">
        <v>45</v>
      </c>
      <c r="D1252">
        <v>461</v>
      </c>
      <c r="E1252" t="s">
        <v>46</v>
      </c>
      <c r="G1252">
        <v>1</v>
      </c>
      <c r="H1252">
        <v>3</v>
      </c>
      <c r="I1252" t="s">
        <v>39</v>
      </c>
      <c r="J1252" t="str">
        <f>WA_Fn_UseC__HR_Employee_Attrition[[#This Row],[EducationField]]&amp;"-"&amp;WA_Fn_UseC__HR_Employee_Attrition[[#This Row],[Department]]</f>
        <v>Life Sciences-Research &amp; Development</v>
      </c>
      <c r="K1252">
        <v>1</v>
      </c>
      <c r="L1252">
        <v>1753</v>
      </c>
      <c r="M1252">
        <v>4</v>
      </c>
      <c r="N1252" t="s">
        <v>47</v>
      </c>
      <c r="O1252">
        <v>70</v>
      </c>
      <c r="P1252">
        <v>4</v>
      </c>
      <c r="Q1252">
        <v>2</v>
      </c>
      <c r="R1252" t="s">
        <v>55</v>
      </c>
      <c r="S1252">
        <v>3</v>
      </c>
      <c r="T1252" t="s">
        <v>42</v>
      </c>
      <c r="U1252">
        <v>6294</v>
      </c>
      <c r="V1252" t="str" cm="1">
        <f t="array" ref="V125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52">
        <v>23060</v>
      </c>
      <c r="X1252">
        <v>8</v>
      </c>
      <c r="Y1252" t="s">
        <v>43</v>
      </c>
      <c r="Z1252" t="s">
        <v>36</v>
      </c>
      <c r="AA1252">
        <v>12</v>
      </c>
      <c r="AB1252">
        <v>3</v>
      </c>
      <c r="AC1252">
        <v>4</v>
      </c>
      <c r="AD1252">
        <v>80</v>
      </c>
      <c r="AE1252">
        <v>0</v>
      </c>
      <c r="AF1252">
        <v>10</v>
      </c>
      <c r="AG1252">
        <v>5</v>
      </c>
      <c r="AH1252">
        <v>4</v>
      </c>
      <c r="AI1252">
        <v>3</v>
      </c>
      <c r="AJ1252">
        <v>2</v>
      </c>
      <c r="AK1252">
        <v>0</v>
      </c>
      <c r="AL1252" t="str" cm="1">
        <f t="array" ref="AL125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52">
        <v>2</v>
      </c>
    </row>
    <row r="1253" spans="1:39" x14ac:dyDescent="0.25">
      <c r="A1253">
        <v>30</v>
      </c>
      <c r="B1253" t="s">
        <v>44</v>
      </c>
      <c r="C1253" t="s">
        <v>37</v>
      </c>
      <c r="D1253">
        <v>979</v>
      </c>
      <c r="E1253" t="s">
        <v>38</v>
      </c>
      <c r="G1253">
        <v>15</v>
      </c>
      <c r="H1253">
        <v>2</v>
      </c>
      <c r="I1253" t="s">
        <v>60</v>
      </c>
      <c r="J1253" t="str">
        <f>WA_Fn_UseC__HR_Employee_Attrition[[#This Row],[EducationField]]&amp;"-"&amp;WA_Fn_UseC__HR_Employee_Attrition[[#This Row],[Department]]</f>
        <v>Marketing-Sales</v>
      </c>
      <c r="K1253">
        <v>1</v>
      </c>
      <c r="L1253">
        <v>1754</v>
      </c>
      <c r="M1253">
        <v>3</v>
      </c>
      <c r="N1253" t="s">
        <v>47</v>
      </c>
      <c r="O1253">
        <v>94</v>
      </c>
      <c r="P1253">
        <v>2</v>
      </c>
      <c r="Q1253">
        <v>3</v>
      </c>
      <c r="R1253" t="s">
        <v>41</v>
      </c>
      <c r="S1253">
        <v>1</v>
      </c>
      <c r="T1253" t="s">
        <v>53</v>
      </c>
      <c r="U1253">
        <v>7140</v>
      </c>
      <c r="V1253" t="str" cm="1">
        <f t="array" ref="V125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53">
        <v>3088</v>
      </c>
      <c r="X1253">
        <v>2</v>
      </c>
      <c r="Y1253" t="s">
        <v>43</v>
      </c>
      <c r="Z1253" t="s">
        <v>44</v>
      </c>
      <c r="AA1253">
        <v>11</v>
      </c>
      <c r="AB1253">
        <v>3</v>
      </c>
      <c r="AC1253">
        <v>1</v>
      </c>
      <c r="AD1253">
        <v>80</v>
      </c>
      <c r="AE1253">
        <v>1</v>
      </c>
      <c r="AF1253">
        <v>12</v>
      </c>
      <c r="AG1253">
        <v>2</v>
      </c>
      <c r="AH1253">
        <v>3</v>
      </c>
      <c r="AI1253">
        <v>7</v>
      </c>
      <c r="AJ1253">
        <v>7</v>
      </c>
      <c r="AK1253">
        <v>1</v>
      </c>
      <c r="AL1253" t="str" cm="1">
        <f t="array" ref="AL125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53">
        <v>7</v>
      </c>
    </row>
    <row r="1254" spans="1:39" x14ac:dyDescent="0.25">
      <c r="A1254">
        <v>34</v>
      </c>
      <c r="B1254" t="s">
        <v>44</v>
      </c>
      <c r="C1254" t="s">
        <v>37</v>
      </c>
      <c r="D1254">
        <v>181</v>
      </c>
      <c r="E1254" t="s">
        <v>46</v>
      </c>
      <c r="G1254">
        <v>2</v>
      </c>
      <c r="H1254">
        <v>4</v>
      </c>
      <c r="I1254" t="s">
        <v>52</v>
      </c>
      <c r="J1254" t="str">
        <f>WA_Fn_UseC__HR_Employee_Attrition[[#This Row],[EducationField]]&amp;"-"&amp;WA_Fn_UseC__HR_Employee_Attrition[[#This Row],[Department]]</f>
        <v>Medical-Research &amp; Development</v>
      </c>
      <c r="K1254">
        <v>1</v>
      </c>
      <c r="L1254">
        <v>1755</v>
      </c>
      <c r="M1254">
        <v>4</v>
      </c>
      <c r="N1254" t="s">
        <v>47</v>
      </c>
      <c r="O1254">
        <v>97</v>
      </c>
      <c r="P1254">
        <v>4</v>
      </c>
      <c r="Q1254">
        <v>1</v>
      </c>
      <c r="R1254" t="s">
        <v>48</v>
      </c>
      <c r="S1254">
        <v>4</v>
      </c>
      <c r="T1254" t="s">
        <v>49</v>
      </c>
      <c r="U1254">
        <v>2932</v>
      </c>
      <c r="V1254" t="str" cm="1">
        <f t="array" ref="V125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54">
        <v>5586</v>
      </c>
      <c r="X1254">
        <v>0</v>
      </c>
      <c r="Y1254" t="s">
        <v>43</v>
      </c>
      <c r="Z1254" t="s">
        <v>36</v>
      </c>
      <c r="AA1254">
        <v>14</v>
      </c>
      <c r="AB1254">
        <v>3</v>
      </c>
      <c r="AC1254">
        <v>1</v>
      </c>
      <c r="AD1254">
        <v>80</v>
      </c>
      <c r="AE1254">
        <v>3</v>
      </c>
      <c r="AF1254">
        <v>6</v>
      </c>
      <c r="AG1254">
        <v>3</v>
      </c>
      <c r="AH1254">
        <v>3</v>
      </c>
      <c r="AI1254">
        <v>5</v>
      </c>
      <c r="AJ1254">
        <v>0</v>
      </c>
      <c r="AK1254">
        <v>1</v>
      </c>
      <c r="AL1254" t="str" cm="1">
        <f t="array" ref="AL125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54">
        <v>2</v>
      </c>
    </row>
    <row r="1255" spans="1:39" x14ac:dyDescent="0.25">
      <c r="A1255">
        <v>33</v>
      </c>
      <c r="B1255" t="s">
        <v>44</v>
      </c>
      <c r="C1255" t="s">
        <v>56</v>
      </c>
      <c r="D1255">
        <v>1283</v>
      </c>
      <c r="E1255" t="s">
        <v>38</v>
      </c>
      <c r="G1255">
        <v>2</v>
      </c>
      <c r="H1255">
        <v>3</v>
      </c>
      <c r="I1255" t="s">
        <v>60</v>
      </c>
      <c r="J1255" t="str">
        <f>WA_Fn_UseC__HR_Employee_Attrition[[#This Row],[EducationField]]&amp;"-"&amp;WA_Fn_UseC__HR_Employee_Attrition[[#This Row],[Department]]</f>
        <v>Marketing-Sales</v>
      </c>
      <c r="K1255">
        <v>1</v>
      </c>
      <c r="L1255">
        <v>1756</v>
      </c>
      <c r="M1255">
        <v>4</v>
      </c>
      <c r="N1255" t="s">
        <v>40</v>
      </c>
      <c r="O1255">
        <v>62</v>
      </c>
      <c r="P1255">
        <v>3</v>
      </c>
      <c r="Q1255">
        <v>2</v>
      </c>
      <c r="R1255" t="s">
        <v>41</v>
      </c>
      <c r="S1255">
        <v>2</v>
      </c>
      <c r="T1255" t="s">
        <v>42</v>
      </c>
      <c r="U1255">
        <v>5147</v>
      </c>
      <c r="V1255" t="str" cm="1">
        <f t="array" ref="V125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55">
        <v>10697</v>
      </c>
      <c r="X1255">
        <v>8</v>
      </c>
      <c r="Y1255" t="s">
        <v>43</v>
      </c>
      <c r="Z1255" t="s">
        <v>44</v>
      </c>
      <c r="AA1255">
        <v>15</v>
      </c>
      <c r="AB1255">
        <v>3</v>
      </c>
      <c r="AC1255">
        <v>4</v>
      </c>
      <c r="AD1255">
        <v>80</v>
      </c>
      <c r="AE1255">
        <v>0</v>
      </c>
      <c r="AF1255">
        <v>13</v>
      </c>
      <c r="AG1255">
        <v>2</v>
      </c>
      <c r="AH1255">
        <v>2</v>
      </c>
      <c r="AI1255">
        <v>11</v>
      </c>
      <c r="AJ1255">
        <v>7</v>
      </c>
      <c r="AK1255">
        <v>1</v>
      </c>
      <c r="AL1255" t="str" cm="1">
        <f t="array" ref="AL125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55">
        <v>7</v>
      </c>
    </row>
    <row r="1256" spans="1:39" x14ac:dyDescent="0.25">
      <c r="A1256">
        <v>49</v>
      </c>
      <c r="B1256" t="s">
        <v>44</v>
      </c>
      <c r="C1256" t="s">
        <v>37</v>
      </c>
      <c r="D1256">
        <v>1313</v>
      </c>
      <c r="E1256" t="s">
        <v>38</v>
      </c>
      <c r="G1256">
        <v>11</v>
      </c>
      <c r="H1256">
        <v>4</v>
      </c>
      <c r="I1256" t="s">
        <v>60</v>
      </c>
      <c r="J1256" t="str">
        <f>WA_Fn_UseC__HR_Employee_Attrition[[#This Row],[EducationField]]&amp;"-"&amp;WA_Fn_UseC__HR_Employee_Attrition[[#This Row],[Department]]</f>
        <v>Marketing-Sales</v>
      </c>
      <c r="K1256">
        <v>1</v>
      </c>
      <c r="L1256">
        <v>1757</v>
      </c>
      <c r="M1256">
        <v>4</v>
      </c>
      <c r="N1256" t="s">
        <v>40</v>
      </c>
      <c r="O1256">
        <v>80</v>
      </c>
      <c r="P1256">
        <v>3</v>
      </c>
      <c r="Q1256">
        <v>2</v>
      </c>
      <c r="R1256" t="s">
        <v>41</v>
      </c>
      <c r="S1256">
        <v>4</v>
      </c>
      <c r="T1256" t="s">
        <v>42</v>
      </c>
      <c r="U1256">
        <v>4507</v>
      </c>
      <c r="V1256" t="str" cm="1">
        <f t="array" ref="V125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56">
        <v>8191</v>
      </c>
      <c r="X1256">
        <v>3</v>
      </c>
      <c r="Y1256" t="s">
        <v>43</v>
      </c>
      <c r="Z1256" t="s">
        <v>44</v>
      </c>
      <c r="AA1256">
        <v>12</v>
      </c>
      <c r="AB1256">
        <v>3</v>
      </c>
      <c r="AC1256">
        <v>3</v>
      </c>
      <c r="AD1256">
        <v>80</v>
      </c>
      <c r="AE1256">
        <v>0</v>
      </c>
      <c r="AF1256">
        <v>8</v>
      </c>
      <c r="AG1256">
        <v>1</v>
      </c>
      <c r="AH1256">
        <v>4</v>
      </c>
      <c r="AI1256">
        <v>5</v>
      </c>
      <c r="AJ1256">
        <v>1</v>
      </c>
      <c r="AK1256">
        <v>0</v>
      </c>
      <c r="AL1256" t="str" cm="1">
        <f t="array" ref="AL125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56">
        <v>4</v>
      </c>
    </row>
    <row r="1257" spans="1:39" x14ac:dyDescent="0.25">
      <c r="A1257">
        <v>33</v>
      </c>
      <c r="B1257" t="s">
        <v>36</v>
      </c>
      <c r="C1257" t="s">
        <v>37</v>
      </c>
      <c r="D1257">
        <v>211</v>
      </c>
      <c r="E1257" t="s">
        <v>38</v>
      </c>
      <c r="G1257">
        <v>16</v>
      </c>
      <c r="H1257">
        <v>3</v>
      </c>
      <c r="I1257" t="s">
        <v>39</v>
      </c>
      <c r="J1257" t="str">
        <f>WA_Fn_UseC__HR_Employee_Attrition[[#This Row],[EducationField]]&amp;"-"&amp;WA_Fn_UseC__HR_Employee_Attrition[[#This Row],[Department]]</f>
        <v>Life Sciences-Sales</v>
      </c>
      <c r="K1257">
        <v>1</v>
      </c>
      <c r="L1257">
        <v>1758</v>
      </c>
      <c r="M1257">
        <v>1</v>
      </c>
      <c r="N1257" t="s">
        <v>40</v>
      </c>
      <c r="O1257">
        <v>74</v>
      </c>
      <c r="P1257">
        <v>3</v>
      </c>
      <c r="Q1257">
        <v>3</v>
      </c>
      <c r="R1257" t="s">
        <v>41</v>
      </c>
      <c r="S1257">
        <v>1</v>
      </c>
      <c r="T1257" t="s">
        <v>42</v>
      </c>
      <c r="U1257">
        <v>8564</v>
      </c>
      <c r="V1257" t="str" cm="1">
        <f t="array" ref="V125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57">
        <v>10092</v>
      </c>
      <c r="X1257">
        <v>2</v>
      </c>
      <c r="Y1257" t="s">
        <v>43</v>
      </c>
      <c r="Z1257" t="s">
        <v>36</v>
      </c>
      <c r="AA1257">
        <v>20</v>
      </c>
      <c r="AB1257">
        <v>4</v>
      </c>
      <c r="AC1257">
        <v>3</v>
      </c>
      <c r="AD1257">
        <v>80</v>
      </c>
      <c r="AE1257">
        <v>0</v>
      </c>
      <c r="AF1257">
        <v>11</v>
      </c>
      <c r="AG1257">
        <v>2</v>
      </c>
      <c r="AH1257">
        <v>2</v>
      </c>
      <c r="AI1257">
        <v>0</v>
      </c>
      <c r="AJ1257">
        <v>0</v>
      </c>
      <c r="AK1257">
        <v>0</v>
      </c>
      <c r="AL1257" t="str" cm="1">
        <f t="array" ref="AL125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57">
        <v>0</v>
      </c>
    </row>
    <row r="1258" spans="1:39" x14ac:dyDescent="0.25">
      <c r="A1258">
        <v>38</v>
      </c>
      <c r="B1258" t="s">
        <v>44</v>
      </c>
      <c r="C1258" t="s">
        <v>45</v>
      </c>
      <c r="D1258">
        <v>594</v>
      </c>
      <c r="E1258" t="s">
        <v>46</v>
      </c>
      <c r="G1258">
        <v>2</v>
      </c>
      <c r="H1258">
        <v>2</v>
      </c>
      <c r="I1258" t="s">
        <v>52</v>
      </c>
      <c r="J1258" t="str">
        <f>WA_Fn_UseC__HR_Employee_Attrition[[#This Row],[EducationField]]&amp;"-"&amp;WA_Fn_UseC__HR_Employee_Attrition[[#This Row],[Department]]</f>
        <v>Medical-Research &amp; Development</v>
      </c>
      <c r="K1258">
        <v>1</v>
      </c>
      <c r="L1258">
        <v>1760</v>
      </c>
      <c r="M1258">
        <v>3</v>
      </c>
      <c r="N1258" t="s">
        <v>40</v>
      </c>
      <c r="O1258">
        <v>75</v>
      </c>
      <c r="P1258">
        <v>2</v>
      </c>
      <c r="Q1258">
        <v>1</v>
      </c>
      <c r="R1258" t="s">
        <v>51</v>
      </c>
      <c r="S1258">
        <v>2</v>
      </c>
      <c r="T1258" t="s">
        <v>49</v>
      </c>
      <c r="U1258">
        <v>2468</v>
      </c>
      <c r="V1258" t="str" cm="1">
        <f t="array" ref="V125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58">
        <v>15963</v>
      </c>
      <c r="X1258">
        <v>4</v>
      </c>
      <c r="Y1258" t="s">
        <v>43</v>
      </c>
      <c r="Z1258" t="s">
        <v>44</v>
      </c>
      <c r="AA1258">
        <v>14</v>
      </c>
      <c r="AB1258">
        <v>3</v>
      </c>
      <c r="AC1258">
        <v>2</v>
      </c>
      <c r="AD1258">
        <v>80</v>
      </c>
      <c r="AE1258">
        <v>1</v>
      </c>
      <c r="AF1258">
        <v>9</v>
      </c>
      <c r="AG1258">
        <v>4</v>
      </c>
      <c r="AH1258">
        <v>2</v>
      </c>
      <c r="AI1258">
        <v>6</v>
      </c>
      <c r="AJ1258">
        <v>1</v>
      </c>
      <c r="AK1258">
        <v>0</v>
      </c>
      <c r="AL1258" t="str" cm="1">
        <f t="array" ref="AL125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58">
        <v>5</v>
      </c>
    </row>
    <row r="1259" spans="1:39" x14ac:dyDescent="0.25">
      <c r="A1259">
        <v>31</v>
      </c>
      <c r="B1259" t="s">
        <v>36</v>
      </c>
      <c r="C1259" t="s">
        <v>37</v>
      </c>
      <c r="D1259">
        <v>1079</v>
      </c>
      <c r="E1259" t="s">
        <v>38</v>
      </c>
      <c r="G1259">
        <v>16</v>
      </c>
      <c r="H1259">
        <v>4</v>
      </c>
      <c r="I1259" t="s">
        <v>60</v>
      </c>
      <c r="J1259" t="str">
        <f>WA_Fn_UseC__HR_Employee_Attrition[[#This Row],[EducationField]]&amp;"-"&amp;WA_Fn_UseC__HR_Employee_Attrition[[#This Row],[Department]]</f>
        <v>Marketing-Sales</v>
      </c>
      <c r="K1259">
        <v>1</v>
      </c>
      <c r="L1259">
        <v>1761</v>
      </c>
      <c r="M1259">
        <v>1</v>
      </c>
      <c r="N1259" t="s">
        <v>47</v>
      </c>
      <c r="O1259">
        <v>70</v>
      </c>
      <c r="P1259">
        <v>3</v>
      </c>
      <c r="Q1259">
        <v>3</v>
      </c>
      <c r="R1259" t="s">
        <v>41</v>
      </c>
      <c r="S1259">
        <v>3</v>
      </c>
      <c r="T1259" t="s">
        <v>49</v>
      </c>
      <c r="U1259">
        <v>8161</v>
      </c>
      <c r="V1259" t="str" cm="1">
        <f t="array" ref="V125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59">
        <v>19002</v>
      </c>
      <c r="X1259">
        <v>2</v>
      </c>
      <c r="Y1259" t="s">
        <v>43</v>
      </c>
      <c r="Z1259" t="s">
        <v>44</v>
      </c>
      <c r="AA1259">
        <v>13</v>
      </c>
      <c r="AB1259">
        <v>3</v>
      </c>
      <c r="AC1259">
        <v>1</v>
      </c>
      <c r="AD1259">
        <v>80</v>
      </c>
      <c r="AE1259">
        <v>3</v>
      </c>
      <c r="AF1259">
        <v>10</v>
      </c>
      <c r="AG1259">
        <v>2</v>
      </c>
      <c r="AH1259">
        <v>3</v>
      </c>
      <c r="AI1259">
        <v>1</v>
      </c>
      <c r="AJ1259">
        <v>0</v>
      </c>
      <c r="AK1259">
        <v>0</v>
      </c>
      <c r="AL1259" t="str" cm="1">
        <f t="array" ref="AL125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59">
        <v>0</v>
      </c>
    </row>
    <row r="1260" spans="1:39" x14ac:dyDescent="0.25">
      <c r="A1260">
        <v>29</v>
      </c>
      <c r="B1260" t="s">
        <v>44</v>
      </c>
      <c r="C1260" t="s">
        <v>37</v>
      </c>
      <c r="D1260">
        <v>590</v>
      </c>
      <c r="E1260" t="s">
        <v>46</v>
      </c>
      <c r="G1260">
        <v>4</v>
      </c>
      <c r="H1260">
        <v>3</v>
      </c>
      <c r="I1260" t="s">
        <v>61</v>
      </c>
      <c r="J1260" t="str">
        <f>WA_Fn_UseC__HR_Employee_Attrition[[#This Row],[EducationField]]&amp;"-"&amp;WA_Fn_UseC__HR_Employee_Attrition[[#This Row],[Department]]</f>
        <v>Technical Degree-Research &amp; Development</v>
      </c>
      <c r="K1260">
        <v>1</v>
      </c>
      <c r="L1260">
        <v>1762</v>
      </c>
      <c r="M1260">
        <v>4</v>
      </c>
      <c r="N1260" t="s">
        <v>40</v>
      </c>
      <c r="O1260">
        <v>91</v>
      </c>
      <c r="P1260">
        <v>2</v>
      </c>
      <c r="Q1260">
        <v>1</v>
      </c>
      <c r="R1260" t="s">
        <v>48</v>
      </c>
      <c r="S1260">
        <v>1</v>
      </c>
      <c r="T1260" t="s">
        <v>53</v>
      </c>
      <c r="U1260">
        <v>2109</v>
      </c>
      <c r="V1260" t="str" cm="1">
        <f t="array" ref="V126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60">
        <v>10007</v>
      </c>
      <c r="X1260">
        <v>1</v>
      </c>
      <c r="Y1260" t="s">
        <v>43</v>
      </c>
      <c r="Z1260" t="s">
        <v>44</v>
      </c>
      <c r="AA1260">
        <v>13</v>
      </c>
      <c r="AB1260">
        <v>3</v>
      </c>
      <c r="AC1260">
        <v>3</v>
      </c>
      <c r="AD1260">
        <v>80</v>
      </c>
      <c r="AE1260">
        <v>1</v>
      </c>
      <c r="AF1260">
        <v>1</v>
      </c>
      <c r="AG1260">
        <v>2</v>
      </c>
      <c r="AH1260">
        <v>3</v>
      </c>
      <c r="AI1260">
        <v>1</v>
      </c>
      <c r="AJ1260">
        <v>0</v>
      </c>
      <c r="AK1260">
        <v>0</v>
      </c>
      <c r="AL1260" t="str" cm="1">
        <f t="array" ref="AL126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60">
        <v>0</v>
      </c>
    </row>
    <row r="1261" spans="1:39" x14ac:dyDescent="0.25">
      <c r="A1261">
        <v>30</v>
      </c>
      <c r="B1261" t="s">
        <v>44</v>
      </c>
      <c r="C1261" t="s">
        <v>37</v>
      </c>
      <c r="D1261">
        <v>305</v>
      </c>
      <c r="E1261" t="s">
        <v>46</v>
      </c>
      <c r="G1261">
        <v>16</v>
      </c>
      <c r="H1261">
        <v>3</v>
      </c>
      <c r="I1261" t="s">
        <v>39</v>
      </c>
      <c r="J1261" t="str">
        <f>WA_Fn_UseC__HR_Employee_Attrition[[#This Row],[EducationField]]&amp;"-"&amp;WA_Fn_UseC__HR_Employee_Attrition[[#This Row],[Department]]</f>
        <v>Life Sciences-Research &amp; Development</v>
      </c>
      <c r="K1261">
        <v>1</v>
      </c>
      <c r="L1261">
        <v>1763</v>
      </c>
      <c r="M1261">
        <v>3</v>
      </c>
      <c r="N1261" t="s">
        <v>47</v>
      </c>
      <c r="O1261">
        <v>58</v>
      </c>
      <c r="P1261">
        <v>4</v>
      </c>
      <c r="Q1261">
        <v>2</v>
      </c>
      <c r="R1261" t="s">
        <v>55</v>
      </c>
      <c r="S1261">
        <v>3</v>
      </c>
      <c r="T1261" t="s">
        <v>49</v>
      </c>
      <c r="U1261">
        <v>5294</v>
      </c>
      <c r="V1261" t="str" cm="1">
        <f t="array" ref="V126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61">
        <v>9128</v>
      </c>
      <c r="X1261">
        <v>3</v>
      </c>
      <c r="Y1261" t="s">
        <v>43</v>
      </c>
      <c r="Z1261" t="s">
        <v>44</v>
      </c>
      <c r="AA1261">
        <v>16</v>
      </c>
      <c r="AB1261">
        <v>3</v>
      </c>
      <c r="AC1261">
        <v>3</v>
      </c>
      <c r="AD1261">
        <v>80</v>
      </c>
      <c r="AE1261">
        <v>1</v>
      </c>
      <c r="AF1261">
        <v>10</v>
      </c>
      <c r="AG1261">
        <v>3</v>
      </c>
      <c r="AH1261">
        <v>3</v>
      </c>
      <c r="AI1261">
        <v>7</v>
      </c>
      <c r="AJ1261">
        <v>0</v>
      </c>
      <c r="AK1261">
        <v>1</v>
      </c>
      <c r="AL1261" t="str" cm="1">
        <f t="array" ref="AL126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61">
        <v>7</v>
      </c>
    </row>
    <row r="1262" spans="1:39" x14ac:dyDescent="0.25">
      <c r="A1262">
        <v>32</v>
      </c>
      <c r="B1262" t="s">
        <v>44</v>
      </c>
      <c r="C1262" t="s">
        <v>56</v>
      </c>
      <c r="D1262">
        <v>953</v>
      </c>
      <c r="E1262" t="s">
        <v>46</v>
      </c>
      <c r="G1262">
        <v>5</v>
      </c>
      <c r="H1262">
        <v>4</v>
      </c>
      <c r="I1262" t="s">
        <v>61</v>
      </c>
      <c r="J1262" t="str">
        <f>WA_Fn_UseC__HR_Employee_Attrition[[#This Row],[EducationField]]&amp;"-"&amp;WA_Fn_UseC__HR_Employee_Attrition[[#This Row],[Department]]</f>
        <v>Technical Degree-Research &amp; Development</v>
      </c>
      <c r="K1262">
        <v>1</v>
      </c>
      <c r="L1262">
        <v>1764</v>
      </c>
      <c r="M1262">
        <v>2</v>
      </c>
      <c r="N1262" t="s">
        <v>47</v>
      </c>
      <c r="O1262">
        <v>65</v>
      </c>
      <c r="P1262">
        <v>3</v>
      </c>
      <c r="Q1262">
        <v>1</v>
      </c>
      <c r="R1262" t="s">
        <v>48</v>
      </c>
      <c r="S1262">
        <v>2</v>
      </c>
      <c r="T1262" t="s">
        <v>42</v>
      </c>
      <c r="U1262">
        <v>2718</v>
      </c>
      <c r="V1262" t="str" cm="1">
        <f t="array" ref="V126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62">
        <v>17674</v>
      </c>
      <c r="X1262">
        <v>2</v>
      </c>
      <c r="Y1262" t="s">
        <v>43</v>
      </c>
      <c r="Z1262" t="s">
        <v>44</v>
      </c>
      <c r="AA1262">
        <v>14</v>
      </c>
      <c r="AB1262">
        <v>3</v>
      </c>
      <c r="AC1262">
        <v>2</v>
      </c>
      <c r="AD1262">
        <v>80</v>
      </c>
      <c r="AE1262">
        <v>0</v>
      </c>
      <c r="AF1262">
        <v>12</v>
      </c>
      <c r="AG1262">
        <v>3</v>
      </c>
      <c r="AH1262">
        <v>3</v>
      </c>
      <c r="AI1262">
        <v>7</v>
      </c>
      <c r="AJ1262">
        <v>7</v>
      </c>
      <c r="AK1262">
        <v>0</v>
      </c>
      <c r="AL1262" t="str" cm="1">
        <f t="array" ref="AL126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62">
        <v>7</v>
      </c>
    </row>
    <row r="1263" spans="1:39" x14ac:dyDescent="0.25">
      <c r="A1263">
        <v>38</v>
      </c>
      <c r="B1263" t="s">
        <v>44</v>
      </c>
      <c r="C1263" t="s">
        <v>37</v>
      </c>
      <c r="D1263">
        <v>833</v>
      </c>
      <c r="E1263" t="s">
        <v>46</v>
      </c>
      <c r="G1263">
        <v>18</v>
      </c>
      <c r="H1263">
        <v>3</v>
      </c>
      <c r="I1263" t="s">
        <v>52</v>
      </c>
      <c r="J1263" t="str">
        <f>WA_Fn_UseC__HR_Employee_Attrition[[#This Row],[EducationField]]&amp;"-"&amp;WA_Fn_UseC__HR_Employee_Attrition[[#This Row],[Department]]</f>
        <v>Medical-Research &amp; Development</v>
      </c>
      <c r="K1263">
        <v>1</v>
      </c>
      <c r="L1263">
        <v>1766</v>
      </c>
      <c r="M1263">
        <v>2</v>
      </c>
      <c r="N1263" t="s">
        <v>47</v>
      </c>
      <c r="O1263">
        <v>60</v>
      </c>
      <c r="P1263">
        <v>1</v>
      </c>
      <c r="Q1263">
        <v>2</v>
      </c>
      <c r="R1263" t="s">
        <v>55</v>
      </c>
      <c r="S1263">
        <v>4</v>
      </c>
      <c r="T1263" t="s">
        <v>49</v>
      </c>
      <c r="U1263">
        <v>5811</v>
      </c>
      <c r="V1263" t="str" cm="1">
        <f t="array" ref="V126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63">
        <v>24539</v>
      </c>
      <c r="X1263">
        <v>3</v>
      </c>
      <c r="Y1263" t="s">
        <v>43</v>
      </c>
      <c r="Z1263" t="s">
        <v>36</v>
      </c>
      <c r="AA1263">
        <v>16</v>
      </c>
      <c r="AB1263">
        <v>3</v>
      </c>
      <c r="AC1263">
        <v>3</v>
      </c>
      <c r="AD1263">
        <v>80</v>
      </c>
      <c r="AE1263">
        <v>1</v>
      </c>
      <c r="AF1263">
        <v>15</v>
      </c>
      <c r="AG1263">
        <v>2</v>
      </c>
      <c r="AH1263">
        <v>3</v>
      </c>
      <c r="AI1263">
        <v>1</v>
      </c>
      <c r="AJ1263">
        <v>0</v>
      </c>
      <c r="AK1263">
        <v>1</v>
      </c>
      <c r="AL1263" t="str" cm="1">
        <f t="array" ref="AL126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63">
        <v>0</v>
      </c>
    </row>
    <row r="1264" spans="1:39" x14ac:dyDescent="0.25">
      <c r="A1264">
        <v>43</v>
      </c>
      <c r="B1264" t="s">
        <v>36</v>
      </c>
      <c r="C1264" t="s">
        <v>45</v>
      </c>
      <c r="D1264">
        <v>807</v>
      </c>
      <c r="E1264" t="s">
        <v>46</v>
      </c>
      <c r="G1264">
        <v>17</v>
      </c>
      <c r="H1264">
        <v>3</v>
      </c>
      <c r="I1264" t="s">
        <v>61</v>
      </c>
      <c r="J1264" t="str">
        <f>WA_Fn_UseC__HR_Employee_Attrition[[#This Row],[EducationField]]&amp;"-"&amp;WA_Fn_UseC__HR_Employee_Attrition[[#This Row],[Department]]</f>
        <v>Technical Degree-Research &amp; Development</v>
      </c>
      <c r="K1264">
        <v>1</v>
      </c>
      <c r="L1264">
        <v>1767</v>
      </c>
      <c r="M1264">
        <v>3</v>
      </c>
      <c r="N1264" t="s">
        <v>47</v>
      </c>
      <c r="O1264">
        <v>38</v>
      </c>
      <c r="P1264">
        <v>2</v>
      </c>
      <c r="Q1264">
        <v>1</v>
      </c>
      <c r="R1264" t="s">
        <v>48</v>
      </c>
      <c r="S1264">
        <v>3</v>
      </c>
      <c r="T1264" t="s">
        <v>49</v>
      </c>
      <c r="U1264">
        <v>2437</v>
      </c>
      <c r="V1264" t="str" cm="1">
        <f t="array" ref="V126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64">
        <v>15587</v>
      </c>
      <c r="X1264">
        <v>9</v>
      </c>
      <c r="Y1264" t="s">
        <v>43</v>
      </c>
      <c r="Z1264" t="s">
        <v>36</v>
      </c>
      <c r="AA1264">
        <v>16</v>
      </c>
      <c r="AB1264">
        <v>3</v>
      </c>
      <c r="AC1264">
        <v>4</v>
      </c>
      <c r="AD1264">
        <v>80</v>
      </c>
      <c r="AE1264">
        <v>1</v>
      </c>
      <c r="AF1264">
        <v>6</v>
      </c>
      <c r="AG1264">
        <v>4</v>
      </c>
      <c r="AH1264">
        <v>3</v>
      </c>
      <c r="AI1264">
        <v>1</v>
      </c>
      <c r="AJ1264">
        <v>0</v>
      </c>
      <c r="AK1264">
        <v>0</v>
      </c>
      <c r="AL1264" t="str" cm="1">
        <f t="array" ref="AL126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64">
        <v>0</v>
      </c>
    </row>
    <row r="1265" spans="1:39" x14ac:dyDescent="0.25">
      <c r="A1265">
        <v>42</v>
      </c>
      <c r="B1265" t="s">
        <v>44</v>
      </c>
      <c r="C1265" t="s">
        <v>37</v>
      </c>
      <c r="D1265">
        <v>855</v>
      </c>
      <c r="E1265" t="s">
        <v>46</v>
      </c>
      <c r="G1265">
        <v>12</v>
      </c>
      <c r="H1265">
        <v>3</v>
      </c>
      <c r="I1265" t="s">
        <v>52</v>
      </c>
      <c r="J1265" t="str">
        <f>WA_Fn_UseC__HR_Employee_Attrition[[#This Row],[EducationField]]&amp;"-"&amp;WA_Fn_UseC__HR_Employee_Attrition[[#This Row],[Department]]</f>
        <v>Medical-Research &amp; Development</v>
      </c>
      <c r="K1265">
        <v>1</v>
      </c>
      <c r="L1265">
        <v>1768</v>
      </c>
      <c r="M1265">
        <v>2</v>
      </c>
      <c r="N1265" t="s">
        <v>47</v>
      </c>
      <c r="O1265">
        <v>57</v>
      </c>
      <c r="P1265">
        <v>3</v>
      </c>
      <c r="Q1265">
        <v>1</v>
      </c>
      <c r="R1265" t="s">
        <v>51</v>
      </c>
      <c r="S1265">
        <v>2</v>
      </c>
      <c r="T1265" t="s">
        <v>53</v>
      </c>
      <c r="U1265">
        <v>2766</v>
      </c>
      <c r="V1265" t="str" cm="1">
        <f t="array" ref="V126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65">
        <v>8952</v>
      </c>
      <c r="X1265">
        <v>8</v>
      </c>
      <c r="Y1265" t="s">
        <v>43</v>
      </c>
      <c r="Z1265" t="s">
        <v>44</v>
      </c>
      <c r="AA1265">
        <v>22</v>
      </c>
      <c r="AB1265">
        <v>4</v>
      </c>
      <c r="AC1265">
        <v>2</v>
      </c>
      <c r="AD1265">
        <v>80</v>
      </c>
      <c r="AE1265">
        <v>3</v>
      </c>
      <c r="AF1265">
        <v>7</v>
      </c>
      <c r="AG1265">
        <v>6</v>
      </c>
      <c r="AH1265">
        <v>2</v>
      </c>
      <c r="AI1265">
        <v>5</v>
      </c>
      <c r="AJ1265">
        <v>3</v>
      </c>
      <c r="AK1265">
        <v>0</v>
      </c>
      <c r="AL1265" t="str" cm="1">
        <f t="array" ref="AL126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65">
        <v>4</v>
      </c>
    </row>
    <row r="1266" spans="1:39" x14ac:dyDescent="0.25">
      <c r="A1266">
        <v>55</v>
      </c>
      <c r="B1266" t="s">
        <v>44</v>
      </c>
      <c r="C1266" t="s">
        <v>37</v>
      </c>
      <c r="D1266">
        <v>478</v>
      </c>
      <c r="E1266" t="s">
        <v>46</v>
      </c>
      <c r="G1266">
        <v>2</v>
      </c>
      <c r="H1266">
        <v>3</v>
      </c>
      <c r="I1266" t="s">
        <v>52</v>
      </c>
      <c r="J1266" t="str">
        <f>WA_Fn_UseC__HR_Employee_Attrition[[#This Row],[EducationField]]&amp;"-"&amp;WA_Fn_UseC__HR_Employee_Attrition[[#This Row],[Department]]</f>
        <v>Medical-Research &amp; Development</v>
      </c>
      <c r="K1266">
        <v>1</v>
      </c>
      <c r="L1266">
        <v>1770</v>
      </c>
      <c r="M1266">
        <v>3</v>
      </c>
      <c r="N1266" t="s">
        <v>47</v>
      </c>
      <c r="O1266">
        <v>60</v>
      </c>
      <c r="P1266">
        <v>2</v>
      </c>
      <c r="Q1266">
        <v>5</v>
      </c>
      <c r="R1266" t="s">
        <v>59</v>
      </c>
      <c r="S1266">
        <v>1</v>
      </c>
      <c r="T1266" t="s">
        <v>49</v>
      </c>
      <c r="U1266">
        <v>19038</v>
      </c>
      <c r="V1266" t="str" cm="1">
        <f t="array" ref="V126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66">
        <v>19805</v>
      </c>
      <c r="X1266">
        <v>8</v>
      </c>
      <c r="Y1266" t="s">
        <v>43</v>
      </c>
      <c r="Z1266" t="s">
        <v>44</v>
      </c>
      <c r="AA1266">
        <v>12</v>
      </c>
      <c r="AB1266">
        <v>3</v>
      </c>
      <c r="AC1266">
        <v>2</v>
      </c>
      <c r="AD1266">
        <v>80</v>
      </c>
      <c r="AE1266">
        <v>3</v>
      </c>
      <c r="AF1266">
        <v>34</v>
      </c>
      <c r="AG1266">
        <v>2</v>
      </c>
      <c r="AH1266">
        <v>3</v>
      </c>
      <c r="AI1266">
        <v>1</v>
      </c>
      <c r="AJ1266">
        <v>0</v>
      </c>
      <c r="AK1266">
        <v>0</v>
      </c>
      <c r="AL1266" t="str" cm="1">
        <f t="array" ref="AL126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66">
        <v>0</v>
      </c>
    </row>
    <row r="1267" spans="1:39" x14ac:dyDescent="0.25">
      <c r="A1267">
        <v>33</v>
      </c>
      <c r="B1267" t="s">
        <v>44</v>
      </c>
      <c r="C1267" t="s">
        <v>56</v>
      </c>
      <c r="D1267">
        <v>775</v>
      </c>
      <c r="E1267" t="s">
        <v>46</v>
      </c>
      <c r="G1267">
        <v>4</v>
      </c>
      <c r="H1267">
        <v>3</v>
      </c>
      <c r="I1267" t="s">
        <v>61</v>
      </c>
      <c r="J1267" t="str">
        <f>WA_Fn_UseC__HR_Employee_Attrition[[#This Row],[EducationField]]&amp;"-"&amp;WA_Fn_UseC__HR_Employee_Attrition[[#This Row],[Department]]</f>
        <v>Technical Degree-Research &amp; Development</v>
      </c>
      <c r="K1267">
        <v>1</v>
      </c>
      <c r="L1267">
        <v>1771</v>
      </c>
      <c r="M1267">
        <v>4</v>
      </c>
      <c r="N1267" t="s">
        <v>47</v>
      </c>
      <c r="O1267">
        <v>90</v>
      </c>
      <c r="P1267">
        <v>3</v>
      </c>
      <c r="Q1267">
        <v>2</v>
      </c>
      <c r="R1267" t="s">
        <v>48</v>
      </c>
      <c r="S1267">
        <v>2</v>
      </c>
      <c r="T1267" t="s">
        <v>53</v>
      </c>
      <c r="U1267">
        <v>3055</v>
      </c>
      <c r="V1267" t="str" cm="1">
        <f t="array" ref="V126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67">
        <v>6194</v>
      </c>
      <c r="X1267">
        <v>5</v>
      </c>
      <c r="Y1267" t="s">
        <v>43</v>
      </c>
      <c r="Z1267" t="s">
        <v>44</v>
      </c>
      <c r="AA1267">
        <v>15</v>
      </c>
      <c r="AB1267">
        <v>3</v>
      </c>
      <c r="AC1267">
        <v>4</v>
      </c>
      <c r="AD1267">
        <v>80</v>
      </c>
      <c r="AE1267">
        <v>2</v>
      </c>
      <c r="AF1267">
        <v>11</v>
      </c>
      <c r="AG1267">
        <v>2</v>
      </c>
      <c r="AH1267">
        <v>2</v>
      </c>
      <c r="AI1267">
        <v>9</v>
      </c>
      <c r="AJ1267">
        <v>8</v>
      </c>
      <c r="AK1267">
        <v>1</v>
      </c>
      <c r="AL1267" t="str" cm="1">
        <f t="array" ref="AL126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67">
        <v>7</v>
      </c>
    </row>
    <row r="1268" spans="1:39" x14ac:dyDescent="0.25">
      <c r="A1268">
        <v>41</v>
      </c>
      <c r="B1268" t="s">
        <v>44</v>
      </c>
      <c r="C1268" t="s">
        <v>37</v>
      </c>
      <c r="D1268">
        <v>548</v>
      </c>
      <c r="E1268" t="s">
        <v>46</v>
      </c>
      <c r="G1268">
        <v>9</v>
      </c>
      <c r="H1268">
        <v>4</v>
      </c>
      <c r="I1268" t="s">
        <v>39</v>
      </c>
      <c r="J1268" t="str">
        <f>WA_Fn_UseC__HR_Employee_Attrition[[#This Row],[EducationField]]&amp;"-"&amp;WA_Fn_UseC__HR_Employee_Attrition[[#This Row],[Department]]</f>
        <v>Life Sciences-Research &amp; Development</v>
      </c>
      <c r="K1268">
        <v>1</v>
      </c>
      <c r="L1268">
        <v>1772</v>
      </c>
      <c r="M1268">
        <v>3</v>
      </c>
      <c r="N1268" t="s">
        <v>47</v>
      </c>
      <c r="O1268">
        <v>94</v>
      </c>
      <c r="P1268">
        <v>3</v>
      </c>
      <c r="Q1268">
        <v>1</v>
      </c>
      <c r="R1268" t="s">
        <v>51</v>
      </c>
      <c r="S1268">
        <v>1</v>
      </c>
      <c r="T1268" t="s">
        <v>53</v>
      </c>
      <c r="U1268">
        <v>2289</v>
      </c>
      <c r="V1268" t="str" cm="1">
        <f t="array" ref="V126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68">
        <v>20520</v>
      </c>
      <c r="X1268">
        <v>1</v>
      </c>
      <c r="Y1268" t="s">
        <v>43</v>
      </c>
      <c r="Z1268" t="s">
        <v>44</v>
      </c>
      <c r="AA1268">
        <v>20</v>
      </c>
      <c r="AB1268">
        <v>4</v>
      </c>
      <c r="AC1268">
        <v>2</v>
      </c>
      <c r="AD1268">
        <v>80</v>
      </c>
      <c r="AE1268">
        <v>2</v>
      </c>
      <c r="AF1268">
        <v>5</v>
      </c>
      <c r="AG1268">
        <v>2</v>
      </c>
      <c r="AH1268">
        <v>3</v>
      </c>
      <c r="AI1268">
        <v>5</v>
      </c>
      <c r="AJ1268">
        <v>3</v>
      </c>
      <c r="AK1268">
        <v>0</v>
      </c>
      <c r="AL1268" t="str" cm="1">
        <f t="array" ref="AL126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68">
        <v>4</v>
      </c>
    </row>
    <row r="1269" spans="1:39" x14ac:dyDescent="0.25">
      <c r="A1269">
        <v>34</v>
      </c>
      <c r="B1269" t="s">
        <v>44</v>
      </c>
      <c r="C1269" t="s">
        <v>56</v>
      </c>
      <c r="D1269">
        <v>1375</v>
      </c>
      <c r="E1269" t="s">
        <v>38</v>
      </c>
      <c r="G1269">
        <v>10</v>
      </c>
      <c r="H1269">
        <v>3</v>
      </c>
      <c r="I1269" t="s">
        <v>39</v>
      </c>
      <c r="J1269" t="str">
        <f>WA_Fn_UseC__HR_Employee_Attrition[[#This Row],[EducationField]]&amp;"-"&amp;WA_Fn_UseC__HR_Employee_Attrition[[#This Row],[Department]]</f>
        <v>Life Sciences-Sales</v>
      </c>
      <c r="K1269">
        <v>1</v>
      </c>
      <c r="L1269">
        <v>1774</v>
      </c>
      <c r="M1269">
        <v>4</v>
      </c>
      <c r="N1269" t="s">
        <v>47</v>
      </c>
      <c r="O1269">
        <v>87</v>
      </c>
      <c r="P1269">
        <v>3</v>
      </c>
      <c r="Q1269">
        <v>2</v>
      </c>
      <c r="R1269" t="s">
        <v>41</v>
      </c>
      <c r="S1269">
        <v>3</v>
      </c>
      <c r="T1269" t="s">
        <v>53</v>
      </c>
      <c r="U1269">
        <v>4001</v>
      </c>
      <c r="V1269" t="str" cm="1">
        <f t="array" ref="V126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69">
        <v>12313</v>
      </c>
      <c r="X1269">
        <v>1</v>
      </c>
      <c r="Y1269" t="s">
        <v>43</v>
      </c>
      <c r="Z1269" t="s">
        <v>36</v>
      </c>
      <c r="AA1269">
        <v>14</v>
      </c>
      <c r="AB1269">
        <v>3</v>
      </c>
      <c r="AC1269">
        <v>3</v>
      </c>
      <c r="AD1269">
        <v>80</v>
      </c>
      <c r="AE1269">
        <v>1</v>
      </c>
      <c r="AF1269">
        <v>15</v>
      </c>
      <c r="AG1269">
        <v>3</v>
      </c>
      <c r="AH1269">
        <v>3</v>
      </c>
      <c r="AI1269">
        <v>15</v>
      </c>
      <c r="AJ1269">
        <v>14</v>
      </c>
      <c r="AK1269">
        <v>0</v>
      </c>
      <c r="AL1269" t="str" cm="1">
        <f t="array" ref="AL126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69">
        <v>7</v>
      </c>
    </row>
    <row r="1270" spans="1:39" x14ac:dyDescent="0.25">
      <c r="A1270">
        <v>53</v>
      </c>
      <c r="B1270" t="s">
        <v>44</v>
      </c>
      <c r="C1270" t="s">
        <v>56</v>
      </c>
      <c r="D1270">
        <v>661</v>
      </c>
      <c r="E1270" t="s">
        <v>46</v>
      </c>
      <c r="G1270">
        <v>1</v>
      </c>
      <c r="H1270">
        <v>4</v>
      </c>
      <c r="I1270" t="s">
        <v>52</v>
      </c>
      <c r="J1270" t="str">
        <f>WA_Fn_UseC__HR_Employee_Attrition[[#This Row],[EducationField]]&amp;"-"&amp;WA_Fn_UseC__HR_Employee_Attrition[[#This Row],[Department]]</f>
        <v>Medical-Research &amp; Development</v>
      </c>
      <c r="K1270">
        <v>1</v>
      </c>
      <c r="L1270">
        <v>1775</v>
      </c>
      <c r="M1270">
        <v>1</v>
      </c>
      <c r="N1270" t="s">
        <v>40</v>
      </c>
      <c r="O1270">
        <v>60</v>
      </c>
      <c r="P1270">
        <v>2</v>
      </c>
      <c r="Q1270">
        <v>4</v>
      </c>
      <c r="R1270" t="s">
        <v>54</v>
      </c>
      <c r="S1270">
        <v>3</v>
      </c>
      <c r="T1270" t="s">
        <v>49</v>
      </c>
      <c r="U1270">
        <v>12965</v>
      </c>
      <c r="V1270" t="str" cm="1">
        <f t="array" ref="V127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70">
        <v>22308</v>
      </c>
      <c r="X1270">
        <v>4</v>
      </c>
      <c r="Y1270" t="s">
        <v>43</v>
      </c>
      <c r="Z1270" t="s">
        <v>36</v>
      </c>
      <c r="AA1270">
        <v>20</v>
      </c>
      <c r="AB1270">
        <v>4</v>
      </c>
      <c r="AC1270">
        <v>4</v>
      </c>
      <c r="AD1270">
        <v>80</v>
      </c>
      <c r="AE1270">
        <v>3</v>
      </c>
      <c r="AF1270">
        <v>27</v>
      </c>
      <c r="AG1270">
        <v>2</v>
      </c>
      <c r="AH1270">
        <v>2</v>
      </c>
      <c r="AI1270">
        <v>3</v>
      </c>
      <c r="AJ1270">
        <v>2</v>
      </c>
      <c r="AK1270">
        <v>0</v>
      </c>
      <c r="AL1270" t="str" cm="1">
        <f t="array" ref="AL127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70">
        <v>2</v>
      </c>
    </row>
    <row r="1271" spans="1:39" x14ac:dyDescent="0.25">
      <c r="A1271">
        <v>43</v>
      </c>
      <c r="B1271" t="s">
        <v>44</v>
      </c>
      <c r="C1271" t="s">
        <v>37</v>
      </c>
      <c r="D1271">
        <v>244</v>
      </c>
      <c r="E1271" t="s">
        <v>62</v>
      </c>
      <c r="G1271">
        <v>2</v>
      </c>
      <c r="H1271">
        <v>3</v>
      </c>
      <c r="I1271" t="s">
        <v>39</v>
      </c>
      <c r="J1271" t="str">
        <f>WA_Fn_UseC__HR_Employee_Attrition[[#This Row],[EducationField]]&amp;"-"&amp;WA_Fn_UseC__HR_Employee_Attrition[[#This Row],[Department]]</f>
        <v>Life Sciences-Human Resources</v>
      </c>
      <c r="K1271">
        <v>1</v>
      </c>
      <c r="L1271">
        <v>1778</v>
      </c>
      <c r="M1271">
        <v>2</v>
      </c>
      <c r="N1271" t="s">
        <v>47</v>
      </c>
      <c r="O1271">
        <v>97</v>
      </c>
      <c r="P1271">
        <v>3</v>
      </c>
      <c r="Q1271">
        <v>1</v>
      </c>
      <c r="R1271" t="s">
        <v>62</v>
      </c>
      <c r="S1271">
        <v>4</v>
      </c>
      <c r="T1271" t="s">
        <v>42</v>
      </c>
      <c r="U1271">
        <v>3539</v>
      </c>
      <c r="V1271" t="str" cm="1">
        <f t="array" ref="V127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71">
        <v>5033</v>
      </c>
      <c r="X1271">
        <v>0</v>
      </c>
      <c r="Y1271" t="s">
        <v>43</v>
      </c>
      <c r="Z1271" t="s">
        <v>44</v>
      </c>
      <c r="AA1271">
        <v>13</v>
      </c>
      <c r="AB1271">
        <v>3</v>
      </c>
      <c r="AC1271">
        <v>2</v>
      </c>
      <c r="AD1271">
        <v>80</v>
      </c>
      <c r="AE1271">
        <v>0</v>
      </c>
      <c r="AF1271">
        <v>10</v>
      </c>
      <c r="AG1271">
        <v>5</v>
      </c>
      <c r="AH1271">
        <v>3</v>
      </c>
      <c r="AI1271">
        <v>9</v>
      </c>
      <c r="AJ1271">
        <v>7</v>
      </c>
      <c r="AK1271">
        <v>1</v>
      </c>
      <c r="AL1271" t="str" cm="1">
        <f t="array" ref="AL127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71">
        <v>8</v>
      </c>
    </row>
    <row r="1272" spans="1:39" x14ac:dyDescent="0.25">
      <c r="A1272">
        <v>34</v>
      </c>
      <c r="B1272" t="s">
        <v>44</v>
      </c>
      <c r="C1272" t="s">
        <v>37</v>
      </c>
      <c r="D1272">
        <v>511</v>
      </c>
      <c r="E1272" t="s">
        <v>38</v>
      </c>
      <c r="G1272">
        <v>3</v>
      </c>
      <c r="H1272">
        <v>2</v>
      </c>
      <c r="I1272" t="s">
        <v>39</v>
      </c>
      <c r="J1272" t="str">
        <f>WA_Fn_UseC__HR_Employee_Attrition[[#This Row],[EducationField]]&amp;"-"&amp;WA_Fn_UseC__HR_Employee_Attrition[[#This Row],[Department]]</f>
        <v>Life Sciences-Sales</v>
      </c>
      <c r="K1272">
        <v>1</v>
      </c>
      <c r="L1272">
        <v>1779</v>
      </c>
      <c r="M1272">
        <v>4</v>
      </c>
      <c r="N1272" t="s">
        <v>40</v>
      </c>
      <c r="O1272">
        <v>32</v>
      </c>
      <c r="P1272">
        <v>1</v>
      </c>
      <c r="Q1272">
        <v>2</v>
      </c>
      <c r="R1272" t="s">
        <v>41</v>
      </c>
      <c r="S1272">
        <v>4</v>
      </c>
      <c r="T1272" t="s">
        <v>42</v>
      </c>
      <c r="U1272">
        <v>6029</v>
      </c>
      <c r="V1272" t="str" cm="1">
        <f t="array" ref="V127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72">
        <v>25353</v>
      </c>
      <c r="X1272">
        <v>5</v>
      </c>
      <c r="Y1272" t="s">
        <v>43</v>
      </c>
      <c r="Z1272" t="s">
        <v>44</v>
      </c>
      <c r="AA1272">
        <v>12</v>
      </c>
      <c r="AB1272">
        <v>3</v>
      </c>
      <c r="AC1272">
        <v>1</v>
      </c>
      <c r="AD1272">
        <v>80</v>
      </c>
      <c r="AE1272">
        <v>0</v>
      </c>
      <c r="AF1272">
        <v>6</v>
      </c>
      <c r="AG1272">
        <v>3</v>
      </c>
      <c r="AH1272">
        <v>3</v>
      </c>
      <c r="AI1272">
        <v>2</v>
      </c>
      <c r="AJ1272">
        <v>2</v>
      </c>
      <c r="AK1272">
        <v>2</v>
      </c>
      <c r="AL1272" t="str" cm="1">
        <f t="array" ref="AL127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72">
        <v>2</v>
      </c>
    </row>
    <row r="1273" spans="1:39" x14ac:dyDescent="0.25">
      <c r="A1273">
        <v>21</v>
      </c>
      <c r="B1273" t="s">
        <v>36</v>
      </c>
      <c r="C1273" t="s">
        <v>37</v>
      </c>
      <c r="D1273">
        <v>337</v>
      </c>
      <c r="E1273" t="s">
        <v>38</v>
      </c>
      <c r="G1273">
        <v>7</v>
      </c>
      <c r="H1273">
        <v>1</v>
      </c>
      <c r="I1273" t="s">
        <v>60</v>
      </c>
      <c r="J1273" t="str">
        <f>WA_Fn_UseC__HR_Employee_Attrition[[#This Row],[EducationField]]&amp;"-"&amp;WA_Fn_UseC__HR_Employee_Attrition[[#This Row],[Department]]</f>
        <v>Marketing-Sales</v>
      </c>
      <c r="K1273">
        <v>1</v>
      </c>
      <c r="L1273">
        <v>1780</v>
      </c>
      <c r="M1273">
        <v>2</v>
      </c>
      <c r="N1273" t="s">
        <v>47</v>
      </c>
      <c r="O1273">
        <v>31</v>
      </c>
      <c r="P1273">
        <v>3</v>
      </c>
      <c r="Q1273">
        <v>1</v>
      </c>
      <c r="R1273" t="s">
        <v>58</v>
      </c>
      <c r="S1273">
        <v>2</v>
      </c>
      <c r="T1273" t="s">
        <v>42</v>
      </c>
      <c r="U1273">
        <v>2679</v>
      </c>
      <c r="V1273" t="str" cm="1">
        <f t="array" ref="V127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73">
        <v>4567</v>
      </c>
      <c r="X1273">
        <v>1</v>
      </c>
      <c r="Y1273" t="s">
        <v>43</v>
      </c>
      <c r="Z1273" t="s">
        <v>44</v>
      </c>
      <c r="AA1273">
        <v>13</v>
      </c>
      <c r="AB1273">
        <v>3</v>
      </c>
      <c r="AC1273">
        <v>2</v>
      </c>
      <c r="AD1273">
        <v>80</v>
      </c>
      <c r="AE1273">
        <v>0</v>
      </c>
      <c r="AF1273">
        <v>1</v>
      </c>
      <c r="AG1273">
        <v>3</v>
      </c>
      <c r="AH1273">
        <v>3</v>
      </c>
      <c r="AI1273">
        <v>1</v>
      </c>
      <c r="AJ1273">
        <v>0</v>
      </c>
      <c r="AK1273">
        <v>1</v>
      </c>
      <c r="AL1273" t="str" cm="1">
        <f t="array" ref="AL127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73">
        <v>0</v>
      </c>
    </row>
    <row r="1274" spans="1:39" x14ac:dyDescent="0.25">
      <c r="A1274">
        <v>38</v>
      </c>
      <c r="B1274" t="s">
        <v>44</v>
      </c>
      <c r="C1274" t="s">
        <v>37</v>
      </c>
      <c r="D1274">
        <v>1153</v>
      </c>
      <c r="E1274" t="s">
        <v>46</v>
      </c>
      <c r="G1274">
        <v>6</v>
      </c>
      <c r="H1274">
        <v>2</v>
      </c>
      <c r="I1274" t="s">
        <v>50</v>
      </c>
      <c r="J1274" t="str">
        <f>WA_Fn_UseC__HR_Employee_Attrition[[#This Row],[EducationField]]&amp;"-"&amp;WA_Fn_UseC__HR_Employee_Attrition[[#This Row],[Department]]</f>
        <v>Other-Research &amp; Development</v>
      </c>
      <c r="K1274">
        <v>1</v>
      </c>
      <c r="L1274">
        <v>1782</v>
      </c>
      <c r="M1274">
        <v>4</v>
      </c>
      <c r="N1274" t="s">
        <v>40</v>
      </c>
      <c r="O1274">
        <v>40</v>
      </c>
      <c r="P1274">
        <v>2</v>
      </c>
      <c r="Q1274">
        <v>1</v>
      </c>
      <c r="R1274" t="s">
        <v>51</v>
      </c>
      <c r="S1274">
        <v>3</v>
      </c>
      <c r="T1274" t="s">
        <v>49</v>
      </c>
      <c r="U1274">
        <v>3702</v>
      </c>
      <c r="V1274" t="str" cm="1">
        <f t="array" ref="V127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74">
        <v>16376</v>
      </c>
      <c r="X1274">
        <v>1</v>
      </c>
      <c r="Y1274" t="s">
        <v>43</v>
      </c>
      <c r="Z1274" t="s">
        <v>44</v>
      </c>
      <c r="AA1274">
        <v>11</v>
      </c>
      <c r="AB1274">
        <v>3</v>
      </c>
      <c r="AC1274">
        <v>2</v>
      </c>
      <c r="AD1274">
        <v>80</v>
      </c>
      <c r="AE1274">
        <v>1</v>
      </c>
      <c r="AF1274">
        <v>5</v>
      </c>
      <c r="AG1274">
        <v>3</v>
      </c>
      <c r="AH1274">
        <v>3</v>
      </c>
      <c r="AI1274">
        <v>5</v>
      </c>
      <c r="AJ1274">
        <v>4</v>
      </c>
      <c r="AK1274">
        <v>0</v>
      </c>
      <c r="AL1274" t="str" cm="1">
        <f t="array" ref="AL127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74">
        <v>4</v>
      </c>
    </row>
    <row r="1275" spans="1:39" x14ac:dyDescent="0.25">
      <c r="A1275">
        <v>22</v>
      </c>
      <c r="B1275" t="s">
        <v>36</v>
      </c>
      <c r="C1275" t="s">
        <v>37</v>
      </c>
      <c r="D1275">
        <v>1294</v>
      </c>
      <c r="E1275" t="s">
        <v>46</v>
      </c>
      <c r="G1275">
        <v>8</v>
      </c>
      <c r="H1275">
        <v>1</v>
      </c>
      <c r="I1275" t="s">
        <v>52</v>
      </c>
      <c r="J1275" t="str">
        <f>WA_Fn_UseC__HR_Employee_Attrition[[#This Row],[EducationField]]&amp;"-"&amp;WA_Fn_UseC__HR_Employee_Attrition[[#This Row],[Department]]</f>
        <v>Medical-Research &amp; Development</v>
      </c>
      <c r="K1275">
        <v>1</v>
      </c>
      <c r="L1275">
        <v>1783</v>
      </c>
      <c r="M1275">
        <v>3</v>
      </c>
      <c r="N1275" t="s">
        <v>40</v>
      </c>
      <c r="O1275">
        <v>79</v>
      </c>
      <c r="P1275">
        <v>3</v>
      </c>
      <c r="Q1275">
        <v>1</v>
      </c>
      <c r="R1275" t="s">
        <v>51</v>
      </c>
      <c r="S1275">
        <v>1</v>
      </c>
      <c r="T1275" t="s">
        <v>49</v>
      </c>
      <c r="U1275">
        <v>2398</v>
      </c>
      <c r="V1275" t="str" cm="1">
        <f t="array" ref="V127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75">
        <v>15999</v>
      </c>
      <c r="X1275">
        <v>1</v>
      </c>
      <c r="Y1275" t="s">
        <v>43</v>
      </c>
      <c r="Z1275" t="s">
        <v>36</v>
      </c>
      <c r="AA1275">
        <v>17</v>
      </c>
      <c r="AB1275">
        <v>3</v>
      </c>
      <c r="AC1275">
        <v>3</v>
      </c>
      <c r="AD1275">
        <v>80</v>
      </c>
      <c r="AE1275">
        <v>0</v>
      </c>
      <c r="AF1275">
        <v>1</v>
      </c>
      <c r="AG1275">
        <v>6</v>
      </c>
      <c r="AH1275">
        <v>3</v>
      </c>
      <c r="AI1275">
        <v>1</v>
      </c>
      <c r="AJ1275">
        <v>0</v>
      </c>
      <c r="AK1275">
        <v>0</v>
      </c>
      <c r="AL1275" t="str" cm="1">
        <f t="array" ref="AL127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75">
        <v>0</v>
      </c>
    </row>
    <row r="1276" spans="1:39" x14ac:dyDescent="0.25">
      <c r="A1276">
        <v>31</v>
      </c>
      <c r="B1276" t="s">
        <v>44</v>
      </c>
      <c r="C1276" t="s">
        <v>37</v>
      </c>
      <c r="D1276">
        <v>196</v>
      </c>
      <c r="E1276" t="s">
        <v>38</v>
      </c>
      <c r="G1276">
        <v>29</v>
      </c>
      <c r="H1276">
        <v>4</v>
      </c>
      <c r="I1276" t="s">
        <v>60</v>
      </c>
      <c r="J1276" t="str">
        <f>WA_Fn_UseC__HR_Employee_Attrition[[#This Row],[EducationField]]&amp;"-"&amp;WA_Fn_UseC__HR_Employee_Attrition[[#This Row],[Department]]</f>
        <v>Marketing-Sales</v>
      </c>
      <c r="K1276">
        <v>1</v>
      </c>
      <c r="L1276">
        <v>1784</v>
      </c>
      <c r="M1276">
        <v>1</v>
      </c>
      <c r="N1276" t="s">
        <v>40</v>
      </c>
      <c r="O1276">
        <v>91</v>
      </c>
      <c r="P1276">
        <v>2</v>
      </c>
      <c r="Q1276">
        <v>2</v>
      </c>
      <c r="R1276" t="s">
        <v>41</v>
      </c>
      <c r="S1276">
        <v>4</v>
      </c>
      <c r="T1276" t="s">
        <v>49</v>
      </c>
      <c r="U1276">
        <v>5468</v>
      </c>
      <c r="V1276" t="str" cm="1">
        <f t="array" ref="V127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76">
        <v>13402</v>
      </c>
      <c r="X1276">
        <v>1</v>
      </c>
      <c r="Y1276" t="s">
        <v>43</v>
      </c>
      <c r="Z1276" t="s">
        <v>44</v>
      </c>
      <c r="AA1276">
        <v>14</v>
      </c>
      <c r="AB1276">
        <v>3</v>
      </c>
      <c r="AC1276">
        <v>1</v>
      </c>
      <c r="AD1276">
        <v>80</v>
      </c>
      <c r="AE1276">
        <v>2</v>
      </c>
      <c r="AF1276">
        <v>13</v>
      </c>
      <c r="AG1276">
        <v>3</v>
      </c>
      <c r="AH1276">
        <v>3</v>
      </c>
      <c r="AI1276">
        <v>12</v>
      </c>
      <c r="AJ1276">
        <v>7</v>
      </c>
      <c r="AK1276">
        <v>5</v>
      </c>
      <c r="AL1276" t="str" cm="1">
        <f t="array" ref="AL127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76">
        <v>7</v>
      </c>
    </row>
    <row r="1277" spans="1:39" x14ac:dyDescent="0.25">
      <c r="A1277">
        <v>51</v>
      </c>
      <c r="B1277" t="s">
        <v>44</v>
      </c>
      <c r="C1277" t="s">
        <v>37</v>
      </c>
      <c r="D1277">
        <v>942</v>
      </c>
      <c r="E1277" t="s">
        <v>46</v>
      </c>
      <c r="G1277">
        <v>3</v>
      </c>
      <c r="H1277">
        <v>3</v>
      </c>
      <c r="I1277" t="s">
        <v>61</v>
      </c>
      <c r="J1277" t="str">
        <f>WA_Fn_UseC__HR_Employee_Attrition[[#This Row],[EducationField]]&amp;"-"&amp;WA_Fn_UseC__HR_Employee_Attrition[[#This Row],[Department]]</f>
        <v>Technical Degree-Research &amp; Development</v>
      </c>
      <c r="K1277">
        <v>1</v>
      </c>
      <c r="L1277">
        <v>1786</v>
      </c>
      <c r="M1277">
        <v>1</v>
      </c>
      <c r="N1277" t="s">
        <v>40</v>
      </c>
      <c r="O1277">
        <v>53</v>
      </c>
      <c r="P1277">
        <v>3</v>
      </c>
      <c r="Q1277">
        <v>3</v>
      </c>
      <c r="R1277" t="s">
        <v>57</v>
      </c>
      <c r="S1277">
        <v>3</v>
      </c>
      <c r="T1277" t="s">
        <v>49</v>
      </c>
      <c r="U1277">
        <v>13116</v>
      </c>
      <c r="V1277" t="str" cm="1">
        <f t="array" ref="V127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77">
        <v>22984</v>
      </c>
      <c r="X1277">
        <v>2</v>
      </c>
      <c r="Y1277" t="s">
        <v>43</v>
      </c>
      <c r="Z1277" t="s">
        <v>44</v>
      </c>
      <c r="AA1277">
        <v>11</v>
      </c>
      <c r="AB1277">
        <v>3</v>
      </c>
      <c r="AC1277">
        <v>4</v>
      </c>
      <c r="AD1277">
        <v>80</v>
      </c>
      <c r="AE1277">
        <v>0</v>
      </c>
      <c r="AF1277">
        <v>15</v>
      </c>
      <c r="AG1277">
        <v>2</v>
      </c>
      <c r="AH1277">
        <v>3</v>
      </c>
      <c r="AI1277">
        <v>2</v>
      </c>
      <c r="AJ1277">
        <v>2</v>
      </c>
      <c r="AK1277">
        <v>2</v>
      </c>
      <c r="AL1277" t="str" cm="1">
        <f t="array" ref="AL127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77">
        <v>2</v>
      </c>
    </row>
    <row r="1278" spans="1:39" x14ac:dyDescent="0.25">
      <c r="A1278">
        <v>37</v>
      </c>
      <c r="B1278" t="s">
        <v>44</v>
      </c>
      <c r="C1278" t="s">
        <v>37</v>
      </c>
      <c r="D1278">
        <v>589</v>
      </c>
      <c r="E1278" t="s">
        <v>38</v>
      </c>
      <c r="G1278">
        <v>9</v>
      </c>
      <c r="H1278">
        <v>2</v>
      </c>
      <c r="I1278" t="s">
        <v>60</v>
      </c>
      <c r="J1278" t="str">
        <f>WA_Fn_UseC__HR_Employee_Attrition[[#This Row],[EducationField]]&amp;"-"&amp;WA_Fn_UseC__HR_Employee_Attrition[[#This Row],[Department]]</f>
        <v>Marketing-Sales</v>
      </c>
      <c r="K1278">
        <v>1</v>
      </c>
      <c r="L1278">
        <v>1787</v>
      </c>
      <c r="M1278">
        <v>2</v>
      </c>
      <c r="N1278" t="s">
        <v>47</v>
      </c>
      <c r="O1278">
        <v>46</v>
      </c>
      <c r="P1278">
        <v>2</v>
      </c>
      <c r="Q1278">
        <v>2</v>
      </c>
      <c r="R1278" t="s">
        <v>41</v>
      </c>
      <c r="S1278">
        <v>2</v>
      </c>
      <c r="T1278" t="s">
        <v>49</v>
      </c>
      <c r="U1278">
        <v>4189</v>
      </c>
      <c r="V1278" t="str" cm="1">
        <f t="array" ref="V127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78">
        <v>8800</v>
      </c>
      <c r="X1278">
        <v>1</v>
      </c>
      <c r="Y1278" t="s">
        <v>43</v>
      </c>
      <c r="Z1278" t="s">
        <v>44</v>
      </c>
      <c r="AA1278">
        <v>14</v>
      </c>
      <c r="AB1278">
        <v>3</v>
      </c>
      <c r="AC1278">
        <v>1</v>
      </c>
      <c r="AD1278">
        <v>80</v>
      </c>
      <c r="AE1278">
        <v>2</v>
      </c>
      <c r="AF1278">
        <v>5</v>
      </c>
      <c r="AG1278">
        <v>2</v>
      </c>
      <c r="AH1278">
        <v>3</v>
      </c>
      <c r="AI1278">
        <v>5</v>
      </c>
      <c r="AJ1278">
        <v>2</v>
      </c>
      <c r="AK1278">
        <v>0</v>
      </c>
      <c r="AL1278" t="str" cm="1">
        <f t="array" ref="AL127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78">
        <v>3</v>
      </c>
    </row>
    <row r="1279" spans="1:39" x14ac:dyDescent="0.25">
      <c r="A1279">
        <v>46</v>
      </c>
      <c r="B1279" t="s">
        <v>44</v>
      </c>
      <c r="C1279" t="s">
        <v>37</v>
      </c>
      <c r="D1279">
        <v>734</v>
      </c>
      <c r="E1279" t="s">
        <v>46</v>
      </c>
      <c r="G1279">
        <v>2</v>
      </c>
      <c r="H1279">
        <v>4</v>
      </c>
      <c r="I1279" t="s">
        <v>52</v>
      </c>
      <c r="J1279" t="str">
        <f>WA_Fn_UseC__HR_Employee_Attrition[[#This Row],[EducationField]]&amp;"-"&amp;WA_Fn_UseC__HR_Employee_Attrition[[#This Row],[Department]]</f>
        <v>Medical-Research &amp; Development</v>
      </c>
      <c r="K1279">
        <v>1</v>
      </c>
      <c r="L1279">
        <v>1789</v>
      </c>
      <c r="M1279">
        <v>3</v>
      </c>
      <c r="N1279" t="s">
        <v>47</v>
      </c>
      <c r="O1279">
        <v>46</v>
      </c>
      <c r="P1279">
        <v>3</v>
      </c>
      <c r="Q1279">
        <v>5</v>
      </c>
      <c r="R1279" t="s">
        <v>59</v>
      </c>
      <c r="S1279">
        <v>4</v>
      </c>
      <c r="T1279" t="s">
        <v>53</v>
      </c>
      <c r="U1279">
        <v>19328</v>
      </c>
      <c r="V1279" t="str" cm="1">
        <f t="array" ref="V127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79">
        <v>14218</v>
      </c>
      <c r="X1279">
        <v>7</v>
      </c>
      <c r="Y1279" t="s">
        <v>43</v>
      </c>
      <c r="Z1279" t="s">
        <v>36</v>
      </c>
      <c r="AA1279">
        <v>17</v>
      </c>
      <c r="AB1279">
        <v>3</v>
      </c>
      <c r="AC1279">
        <v>3</v>
      </c>
      <c r="AD1279">
        <v>80</v>
      </c>
      <c r="AE1279">
        <v>1</v>
      </c>
      <c r="AF1279">
        <v>24</v>
      </c>
      <c r="AG1279">
        <v>3</v>
      </c>
      <c r="AH1279">
        <v>3</v>
      </c>
      <c r="AI1279">
        <v>2</v>
      </c>
      <c r="AJ1279">
        <v>1</v>
      </c>
      <c r="AK1279">
        <v>2</v>
      </c>
      <c r="AL1279" t="str" cm="1">
        <f t="array" ref="AL127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79">
        <v>2</v>
      </c>
    </row>
    <row r="1280" spans="1:39" x14ac:dyDescent="0.25">
      <c r="A1280">
        <v>36</v>
      </c>
      <c r="B1280" t="s">
        <v>44</v>
      </c>
      <c r="C1280" t="s">
        <v>37</v>
      </c>
      <c r="D1280">
        <v>1383</v>
      </c>
      <c r="E1280" t="s">
        <v>46</v>
      </c>
      <c r="G1280">
        <v>10</v>
      </c>
      <c r="H1280">
        <v>3</v>
      </c>
      <c r="I1280" t="s">
        <v>39</v>
      </c>
      <c r="J1280" t="str">
        <f>WA_Fn_UseC__HR_Employee_Attrition[[#This Row],[EducationField]]&amp;"-"&amp;WA_Fn_UseC__HR_Employee_Attrition[[#This Row],[Department]]</f>
        <v>Life Sciences-Research &amp; Development</v>
      </c>
      <c r="K1280">
        <v>1</v>
      </c>
      <c r="L1280">
        <v>1790</v>
      </c>
      <c r="M1280">
        <v>4</v>
      </c>
      <c r="N1280" t="s">
        <v>47</v>
      </c>
      <c r="O1280">
        <v>90</v>
      </c>
      <c r="P1280">
        <v>3</v>
      </c>
      <c r="Q1280">
        <v>3</v>
      </c>
      <c r="R1280" t="s">
        <v>55</v>
      </c>
      <c r="S1280">
        <v>1</v>
      </c>
      <c r="T1280" t="s">
        <v>49</v>
      </c>
      <c r="U1280">
        <v>8321</v>
      </c>
      <c r="V1280" t="str" cm="1">
        <f t="array" ref="V128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80">
        <v>25949</v>
      </c>
      <c r="X1280">
        <v>7</v>
      </c>
      <c r="Y1280" t="s">
        <v>43</v>
      </c>
      <c r="Z1280" t="s">
        <v>36</v>
      </c>
      <c r="AA1280">
        <v>13</v>
      </c>
      <c r="AB1280">
        <v>3</v>
      </c>
      <c r="AC1280">
        <v>4</v>
      </c>
      <c r="AD1280">
        <v>80</v>
      </c>
      <c r="AE1280">
        <v>1</v>
      </c>
      <c r="AF1280">
        <v>15</v>
      </c>
      <c r="AG1280">
        <v>1</v>
      </c>
      <c r="AH1280">
        <v>3</v>
      </c>
      <c r="AI1280">
        <v>12</v>
      </c>
      <c r="AJ1280">
        <v>8</v>
      </c>
      <c r="AK1280">
        <v>5</v>
      </c>
      <c r="AL1280" t="str" cm="1">
        <f t="array" ref="AL128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80">
        <v>7</v>
      </c>
    </row>
    <row r="1281" spans="1:39" x14ac:dyDescent="0.25">
      <c r="A1281">
        <v>44</v>
      </c>
      <c r="B1281" t="s">
        <v>36</v>
      </c>
      <c r="C1281" t="s">
        <v>45</v>
      </c>
      <c r="D1281">
        <v>429</v>
      </c>
      <c r="E1281" t="s">
        <v>46</v>
      </c>
      <c r="G1281">
        <v>1</v>
      </c>
      <c r="H1281">
        <v>2</v>
      </c>
      <c r="I1281" t="s">
        <v>52</v>
      </c>
      <c r="J1281" t="str">
        <f>WA_Fn_UseC__HR_Employee_Attrition[[#This Row],[EducationField]]&amp;"-"&amp;WA_Fn_UseC__HR_Employee_Attrition[[#This Row],[Department]]</f>
        <v>Medical-Research &amp; Development</v>
      </c>
      <c r="K1281">
        <v>1</v>
      </c>
      <c r="L1281">
        <v>1792</v>
      </c>
      <c r="M1281">
        <v>3</v>
      </c>
      <c r="N1281" t="s">
        <v>47</v>
      </c>
      <c r="O1281">
        <v>99</v>
      </c>
      <c r="P1281">
        <v>3</v>
      </c>
      <c r="Q1281">
        <v>1</v>
      </c>
      <c r="R1281" t="s">
        <v>48</v>
      </c>
      <c r="S1281">
        <v>2</v>
      </c>
      <c r="T1281" t="s">
        <v>53</v>
      </c>
      <c r="U1281">
        <v>2342</v>
      </c>
      <c r="V1281" t="str" cm="1">
        <f t="array" ref="V128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81">
        <v>11092</v>
      </c>
      <c r="X1281">
        <v>1</v>
      </c>
      <c r="Y1281" t="s">
        <v>43</v>
      </c>
      <c r="Z1281" t="s">
        <v>36</v>
      </c>
      <c r="AA1281">
        <v>12</v>
      </c>
      <c r="AB1281">
        <v>3</v>
      </c>
      <c r="AC1281">
        <v>3</v>
      </c>
      <c r="AD1281">
        <v>80</v>
      </c>
      <c r="AE1281">
        <v>3</v>
      </c>
      <c r="AF1281">
        <v>6</v>
      </c>
      <c r="AG1281">
        <v>2</v>
      </c>
      <c r="AH1281">
        <v>2</v>
      </c>
      <c r="AI1281">
        <v>5</v>
      </c>
      <c r="AJ1281">
        <v>3</v>
      </c>
      <c r="AK1281">
        <v>2</v>
      </c>
      <c r="AL1281" t="str" cm="1">
        <f t="array" ref="AL128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81">
        <v>3</v>
      </c>
    </row>
    <row r="1282" spans="1:39" x14ac:dyDescent="0.25">
      <c r="A1282">
        <v>37</v>
      </c>
      <c r="B1282" t="s">
        <v>44</v>
      </c>
      <c r="C1282" t="s">
        <v>37</v>
      </c>
      <c r="D1282">
        <v>1239</v>
      </c>
      <c r="E1282" t="s">
        <v>62</v>
      </c>
      <c r="G1282">
        <v>8</v>
      </c>
      <c r="H1282">
        <v>2</v>
      </c>
      <c r="I1282" t="s">
        <v>50</v>
      </c>
      <c r="J1282" t="str">
        <f>WA_Fn_UseC__HR_Employee_Attrition[[#This Row],[EducationField]]&amp;"-"&amp;WA_Fn_UseC__HR_Employee_Attrition[[#This Row],[Department]]</f>
        <v>Other-Human Resources</v>
      </c>
      <c r="K1282">
        <v>1</v>
      </c>
      <c r="L1282">
        <v>1794</v>
      </c>
      <c r="M1282">
        <v>3</v>
      </c>
      <c r="N1282" t="s">
        <v>47</v>
      </c>
      <c r="O1282">
        <v>89</v>
      </c>
      <c r="P1282">
        <v>3</v>
      </c>
      <c r="Q1282">
        <v>2</v>
      </c>
      <c r="R1282" t="s">
        <v>62</v>
      </c>
      <c r="S1282">
        <v>2</v>
      </c>
      <c r="T1282" t="s">
        <v>53</v>
      </c>
      <c r="U1282">
        <v>4071</v>
      </c>
      <c r="V1282" t="str" cm="1">
        <f t="array" ref="V128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82">
        <v>12832</v>
      </c>
      <c r="X1282">
        <v>2</v>
      </c>
      <c r="Y1282" t="s">
        <v>43</v>
      </c>
      <c r="Z1282" t="s">
        <v>44</v>
      </c>
      <c r="AA1282">
        <v>13</v>
      </c>
      <c r="AB1282">
        <v>3</v>
      </c>
      <c r="AC1282">
        <v>3</v>
      </c>
      <c r="AD1282">
        <v>80</v>
      </c>
      <c r="AE1282">
        <v>0</v>
      </c>
      <c r="AF1282">
        <v>19</v>
      </c>
      <c r="AG1282">
        <v>4</v>
      </c>
      <c r="AH1282">
        <v>2</v>
      </c>
      <c r="AI1282">
        <v>10</v>
      </c>
      <c r="AJ1282">
        <v>0</v>
      </c>
      <c r="AK1282">
        <v>4</v>
      </c>
      <c r="AL1282" t="str" cm="1">
        <f t="array" ref="AL128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82">
        <v>7</v>
      </c>
    </row>
    <row r="1283" spans="1:39" x14ac:dyDescent="0.25">
      <c r="A1283">
        <v>35</v>
      </c>
      <c r="B1283" t="s">
        <v>36</v>
      </c>
      <c r="C1283" t="s">
        <v>37</v>
      </c>
      <c r="D1283">
        <v>303</v>
      </c>
      <c r="E1283" t="s">
        <v>38</v>
      </c>
      <c r="G1283">
        <v>27</v>
      </c>
      <c r="H1283">
        <v>3</v>
      </c>
      <c r="I1283" t="s">
        <v>39</v>
      </c>
      <c r="J1283" t="str">
        <f>WA_Fn_UseC__HR_Employee_Attrition[[#This Row],[EducationField]]&amp;"-"&amp;WA_Fn_UseC__HR_Employee_Attrition[[#This Row],[Department]]</f>
        <v>Life Sciences-Sales</v>
      </c>
      <c r="K1283">
        <v>1</v>
      </c>
      <c r="L1283">
        <v>1797</v>
      </c>
      <c r="M1283">
        <v>3</v>
      </c>
      <c r="N1283" t="s">
        <v>47</v>
      </c>
      <c r="O1283">
        <v>84</v>
      </c>
      <c r="P1283">
        <v>3</v>
      </c>
      <c r="Q1283">
        <v>2</v>
      </c>
      <c r="R1283" t="s">
        <v>41</v>
      </c>
      <c r="S1283">
        <v>4</v>
      </c>
      <c r="T1283" t="s">
        <v>42</v>
      </c>
      <c r="U1283">
        <v>5813</v>
      </c>
      <c r="V1283" t="str" cm="1">
        <f t="array" ref="V128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83">
        <v>13492</v>
      </c>
      <c r="X1283">
        <v>1</v>
      </c>
      <c r="Y1283" t="s">
        <v>43</v>
      </c>
      <c r="Z1283" t="s">
        <v>36</v>
      </c>
      <c r="AA1283">
        <v>18</v>
      </c>
      <c r="AB1283">
        <v>3</v>
      </c>
      <c r="AC1283">
        <v>4</v>
      </c>
      <c r="AD1283">
        <v>80</v>
      </c>
      <c r="AE1283">
        <v>0</v>
      </c>
      <c r="AF1283">
        <v>10</v>
      </c>
      <c r="AG1283">
        <v>2</v>
      </c>
      <c r="AH1283">
        <v>3</v>
      </c>
      <c r="AI1283">
        <v>10</v>
      </c>
      <c r="AJ1283">
        <v>7</v>
      </c>
      <c r="AK1283">
        <v>7</v>
      </c>
      <c r="AL1283" t="str" cm="1">
        <f t="array" ref="AL128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83">
        <v>7</v>
      </c>
    </row>
    <row r="1284" spans="1:39" x14ac:dyDescent="0.25">
      <c r="A1284">
        <v>33</v>
      </c>
      <c r="B1284" t="s">
        <v>44</v>
      </c>
      <c r="C1284" t="s">
        <v>37</v>
      </c>
      <c r="D1284">
        <v>867</v>
      </c>
      <c r="E1284" t="s">
        <v>46</v>
      </c>
      <c r="G1284">
        <v>8</v>
      </c>
      <c r="H1284">
        <v>4</v>
      </c>
      <c r="I1284" t="s">
        <v>39</v>
      </c>
      <c r="J1284" t="str">
        <f>WA_Fn_UseC__HR_Employee_Attrition[[#This Row],[EducationField]]&amp;"-"&amp;WA_Fn_UseC__HR_Employee_Attrition[[#This Row],[Department]]</f>
        <v>Life Sciences-Research &amp; Development</v>
      </c>
      <c r="K1284">
        <v>1</v>
      </c>
      <c r="L1284">
        <v>1798</v>
      </c>
      <c r="M1284">
        <v>4</v>
      </c>
      <c r="N1284" t="s">
        <v>47</v>
      </c>
      <c r="O1284">
        <v>90</v>
      </c>
      <c r="P1284">
        <v>4</v>
      </c>
      <c r="Q1284">
        <v>1</v>
      </c>
      <c r="R1284" t="s">
        <v>48</v>
      </c>
      <c r="S1284">
        <v>1</v>
      </c>
      <c r="T1284" t="s">
        <v>49</v>
      </c>
      <c r="U1284">
        <v>3143</v>
      </c>
      <c r="V1284" t="str" cm="1">
        <f t="array" ref="V128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84">
        <v>6076</v>
      </c>
      <c r="X1284">
        <v>6</v>
      </c>
      <c r="Y1284" t="s">
        <v>43</v>
      </c>
      <c r="Z1284" t="s">
        <v>44</v>
      </c>
      <c r="AA1284">
        <v>19</v>
      </c>
      <c r="AB1284">
        <v>3</v>
      </c>
      <c r="AC1284">
        <v>2</v>
      </c>
      <c r="AD1284">
        <v>80</v>
      </c>
      <c r="AE1284">
        <v>1</v>
      </c>
      <c r="AF1284">
        <v>14</v>
      </c>
      <c r="AG1284">
        <v>1</v>
      </c>
      <c r="AH1284">
        <v>3</v>
      </c>
      <c r="AI1284">
        <v>10</v>
      </c>
      <c r="AJ1284">
        <v>8</v>
      </c>
      <c r="AK1284">
        <v>7</v>
      </c>
      <c r="AL1284" t="str" cm="1">
        <f t="array" ref="AL128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84">
        <v>6</v>
      </c>
    </row>
    <row r="1285" spans="1:39" x14ac:dyDescent="0.25">
      <c r="A1285">
        <v>28</v>
      </c>
      <c r="B1285" t="s">
        <v>44</v>
      </c>
      <c r="C1285" t="s">
        <v>37</v>
      </c>
      <c r="D1285">
        <v>1181</v>
      </c>
      <c r="E1285" t="s">
        <v>46</v>
      </c>
      <c r="G1285">
        <v>1</v>
      </c>
      <c r="H1285">
        <v>3</v>
      </c>
      <c r="I1285" t="s">
        <v>39</v>
      </c>
      <c r="J1285" t="str">
        <f>WA_Fn_UseC__HR_Employee_Attrition[[#This Row],[EducationField]]&amp;"-"&amp;WA_Fn_UseC__HR_Employee_Attrition[[#This Row],[Department]]</f>
        <v>Life Sciences-Research &amp; Development</v>
      </c>
      <c r="K1285">
        <v>1</v>
      </c>
      <c r="L1285">
        <v>1799</v>
      </c>
      <c r="M1285">
        <v>3</v>
      </c>
      <c r="N1285" t="s">
        <v>47</v>
      </c>
      <c r="O1285">
        <v>82</v>
      </c>
      <c r="P1285">
        <v>3</v>
      </c>
      <c r="Q1285">
        <v>1</v>
      </c>
      <c r="R1285" t="s">
        <v>48</v>
      </c>
      <c r="S1285">
        <v>4</v>
      </c>
      <c r="T1285" t="s">
        <v>49</v>
      </c>
      <c r="U1285">
        <v>2044</v>
      </c>
      <c r="V1285" t="str" cm="1">
        <f t="array" ref="V128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85">
        <v>5531</v>
      </c>
      <c r="X1285">
        <v>1</v>
      </c>
      <c r="Y1285" t="s">
        <v>43</v>
      </c>
      <c r="Z1285" t="s">
        <v>44</v>
      </c>
      <c r="AA1285">
        <v>11</v>
      </c>
      <c r="AB1285">
        <v>3</v>
      </c>
      <c r="AC1285">
        <v>3</v>
      </c>
      <c r="AD1285">
        <v>80</v>
      </c>
      <c r="AE1285">
        <v>1</v>
      </c>
      <c r="AF1285">
        <v>5</v>
      </c>
      <c r="AG1285">
        <v>6</v>
      </c>
      <c r="AH1285">
        <v>4</v>
      </c>
      <c r="AI1285">
        <v>5</v>
      </c>
      <c r="AJ1285">
        <v>3</v>
      </c>
      <c r="AK1285">
        <v>0</v>
      </c>
      <c r="AL1285" t="str" cm="1">
        <f t="array" ref="AL128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85">
        <v>3</v>
      </c>
    </row>
    <row r="1286" spans="1:39" x14ac:dyDescent="0.25">
      <c r="A1286">
        <v>39</v>
      </c>
      <c r="B1286" t="s">
        <v>44</v>
      </c>
      <c r="C1286" t="s">
        <v>37</v>
      </c>
      <c r="D1286">
        <v>1253</v>
      </c>
      <c r="E1286" t="s">
        <v>46</v>
      </c>
      <c r="G1286">
        <v>10</v>
      </c>
      <c r="H1286">
        <v>1</v>
      </c>
      <c r="I1286" t="s">
        <v>52</v>
      </c>
      <c r="J1286" t="str">
        <f>WA_Fn_UseC__HR_Employee_Attrition[[#This Row],[EducationField]]&amp;"-"&amp;WA_Fn_UseC__HR_Employee_Attrition[[#This Row],[Department]]</f>
        <v>Medical-Research &amp; Development</v>
      </c>
      <c r="K1286">
        <v>1</v>
      </c>
      <c r="L1286">
        <v>1800</v>
      </c>
      <c r="M1286">
        <v>3</v>
      </c>
      <c r="N1286" t="s">
        <v>47</v>
      </c>
      <c r="O1286">
        <v>65</v>
      </c>
      <c r="P1286">
        <v>3</v>
      </c>
      <c r="Q1286">
        <v>3</v>
      </c>
      <c r="R1286" t="s">
        <v>59</v>
      </c>
      <c r="S1286">
        <v>3</v>
      </c>
      <c r="T1286" t="s">
        <v>42</v>
      </c>
      <c r="U1286">
        <v>13464</v>
      </c>
      <c r="V1286" t="str" cm="1">
        <f t="array" ref="V128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86">
        <v>7914</v>
      </c>
      <c r="X1286">
        <v>7</v>
      </c>
      <c r="Y1286" t="s">
        <v>43</v>
      </c>
      <c r="Z1286" t="s">
        <v>44</v>
      </c>
      <c r="AA1286">
        <v>21</v>
      </c>
      <c r="AB1286">
        <v>4</v>
      </c>
      <c r="AC1286">
        <v>3</v>
      </c>
      <c r="AD1286">
        <v>80</v>
      </c>
      <c r="AE1286">
        <v>0</v>
      </c>
      <c r="AF1286">
        <v>9</v>
      </c>
      <c r="AG1286">
        <v>3</v>
      </c>
      <c r="AH1286">
        <v>3</v>
      </c>
      <c r="AI1286">
        <v>4</v>
      </c>
      <c r="AJ1286">
        <v>3</v>
      </c>
      <c r="AK1286">
        <v>2</v>
      </c>
      <c r="AL1286" t="str" cm="1">
        <f t="array" ref="AL128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86">
        <v>2</v>
      </c>
    </row>
    <row r="1287" spans="1:39" x14ac:dyDescent="0.25">
      <c r="A1287">
        <v>46</v>
      </c>
      <c r="B1287" t="s">
        <v>44</v>
      </c>
      <c r="C1287" t="s">
        <v>56</v>
      </c>
      <c r="D1287">
        <v>849</v>
      </c>
      <c r="E1287" t="s">
        <v>38</v>
      </c>
      <c r="G1287">
        <v>26</v>
      </c>
      <c r="H1287">
        <v>2</v>
      </c>
      <c r="I1287" t="s">
        <v>39</v>
      </c>
      <c r="J1287" t="str">
        <f>WA_Fn_UseC__HR_Employee_Attrition[[#This Row],[EducationField]]&amp;"-"&amp;WA_Fn_UseC__HR_Employee_Attrition[[#This Row],[Department]]</f>
        <v>Life Sciences-Sales</v>
      </c>
      <c r="K1287">
        <v>1</v>
      </c>
      <c r="L1287">
        <v>1801</v>
      </c>
      <c r="M1287">
        <v>2</v>
      </c>
      <c r="N1287" t="s">
        <v>47</v>
      </c>
      <c r="O1287">
        <v>98</v>
      </c>
      <c r="P1287">
        <v>2</v>
      </c>
      <c r="Q1287">
        <v>2</v>
      </c>
      <c r="R1287" t="s">
        <v>41</v>
      </c>
      <c r="S1287">
        <v>2</v>
      </c>
      <c r="T1287" t="s">
        <v>42</v>
      </c>
      <c r="U1287">
        <v>7991</v>
      </c>
      <c r="V1287" t="str" cm="1">
        <f t="array" ref="V128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87">
        <v>25166</v>
      </c>
      <c r="X1287">
        <v>8</v>
      </c>
      <c r="Y1287" t="s">
        <v>43</v>
      </c>
      <c r="Z1287" t="s">
        <v>44</v>
      </c>
      <c r="AA1287">
        <v>15</v>
      </c>
      <c r="AB1287">
        <v>3</v>
      </c>
      <c r="AC1287">
        <v>3</v>
      </c>
      <c r="AD1287">
        <v>80</v>
      </c>
      <c r="AE1287">
        <v>0</v>
      </c>
      <c r="AF1287">
        <v>6</v>
      </c>
      <c r="AG1287">
        <v>3</v>
      </c>
      <c r="AH1287">
        <v>3</v>
      </c>
      <c r="AI1287">
        <v>2</v>
      </c>
      <c r="AJ1287">
        <v>2</v>
      </c>
      <c r="AK1287">
        <v>2</v>
      </c>
      <c r="AL1287" t="str" cm="1">
        <f t="array" ref="AL128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87">
        <v>2</v>
      </c>
    </row>
    <row r="1288" spans="1:39" x14ac:dyDescent="0.25">
      <c r="A1288">
        <v>40</v>
      </c>
      <c r="B1288" t="s">
        <v>44</v>
      </c>
      <c r="C1288" t="s">
        <v>37</v>
      </c>
      <c r="D1288">
        <v>616</v>
      </c>
      <c r="E1288" t="s">
        <v>46</v>
      </c>
      <c r="G1288">
        <v>2</v>
      </c>
      <c r="H1288">
        <v>2</v>
      </c>
      <c r="I1288" t="s">
        <v>39</v>
      </c>
      <c r="J1288" t="str">
        <f>WA_Fn_UseC__HR_Employee_Attrition[[#This Row],[EducationField]]&amp;"-"&amp;WA_Fn_UseC__HR_Employee_Attrition[[#This Row],[Department]]</f>
        <v>Life Sciences-Research &amp; Development</v>
      </c>
      <c r="K1288">
        <v>1</v>
      </c>
      <c r="L1288">
        <v>1802</v>
      </c>
      <c r="M1288">
        <v>3</v>
      </c>
      <c r="N1288" t="s">
        <v>40</v>
      </c>
      <c r="O1288">
        <v>99</v>
      </c>
      <c r="P1288">
        <v>3</v>
      </c>
      <c r="Q1288">
        <v>1</v>
      </c>
      <c r="R1288" t="s">
        <v>51</v>
      </c>
      <c r="S1288">
        <v>1</v>
      </c>
      <c r="T1288" t="s">
        <v>49</v>
      </c>
      <c r="U1288">
        <v>3377</v>
      </c>
      <c r="V1288" t="str" cm="1">
        <f t="array" ref="V128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88">
        <v>25605</v>
      </c>
      <c r="X1288">
        <v>4</v>
      </c>
      <c r="Y1288" t="s">
        <v>43</v>
      </c>
      <c r="Z1288" t="s">
        <v>44</v>
      </c>
      <c r="AA1288">
        <v>17</v>
      </c>
      <c r="AB1288">
        <v>3</v>
      </c>
      <c r="AC1288">
        <v>4</v>
      </c>
      <c r="AD1288">
        <v>80</v>
      </c>
      <c r="AE1288">
        <v>1</v>
      </c>
      <c r="AF1288">
        <v>7</v>
      </c>
      <c r="AG1288">
        <v>5</v>
      </c>
      <c r="AH1288">
        <v>2</v>
      </c>
      <c r="AI1288">
        <v>4</v>
      </c>
      <c r="AJ1288">
        <v>3</v>
      </c>
      <c r="AK1288">
        <v>0</v>
      </c>
      <c r="AL1288" t="str" cm="1">
        <f t="array" ref="AL128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88">
        <v>2</v>
      </c>
    </row>
    <row r="1289" spans="1:39" x14ac:dyDescent="0.25">
      <c r="A1289">
        <v>42</v>
      </c>
      <c r="B1289" t="s">
        <v>44</v>
      </c>
      <c r="C1289" t="s">
        <v>37</v>
      </c>
      <c r="D1289">
        <v>1128</v>
      </c>
      <c r="E1289" t="s">
        <v>46</v>
      </c>
      <c r="G1289">
        <v>13</v>
      </c>
      <c r="H1289">
        <v>3</v>
      </c>
      <c r="I1289" t="s">
        <v>52</v>
      </c>
      <c r="J1289" t="str">
        <f>WA_Fn_UseC__HR_Employee_Attrition[[#This Row],[EducationField]]&amp;"-"&amp;WA_Fn_UseC__HR_Employee_Attrition[[#This Row],[Department]]</f>
        <v>Medical-Research &amp; Development</v>
      </c>
      <c r="K1289">
        <v>1</v>
      </c>
      <c r="L1289">
        <v>1803</v>
      </c>
      <c r="M1289">
        <v>2</v>
      </c>
      <c r="N1289" t="s">
        <v>47</v>
      </c>
      <c r="O1289">
        <v>95</v>
      </c>
      <c r="P1289">
        <v>4</v>
      </c>
      <c r="Q1289">
        <v>2</v>
      </c>
      <c r="R1289" t="s">
        <v>55</v>
      </c>
      <c r="S1289">
        <v>1</v>
      </c>
      <c r="T1289" t="s">
        <v>49</v>
      </c>
      <c r="U1289">
        <v>5538</v>
      </c>
      <c r="V1289" t="str" cm="1">
        <f t="array" ref="V128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89">
        <v>5696</v>
      </c>
      <c r="X1289">
        <v>5</v>
      </c>
      <c r="Y1289" t="s">
        <v>43</v>
      </c>
      <c r="Z1289" t="s">
        <v>44</v>
      </c>
      <c r="AA1289">
        <v>18</v>
      </c>
      <c r="AB1289">
        <v>3</v>
      </c>
      <c r="AC1289">
        <v>3</v>
      </c>
      <c r="AD1289">
        <v>80</v>
      </c>
      <c r="AE1289">
        <v>2</v>
      </c>
      <c r="AF1289">
        <v>10</v>
      </c>
      <c r="AG1289">
        <v>2</v>
      </c>
      <c r="AH1289">
        <v>2</v>
      </c>
      <c r="AI1289">
        <v>0</v>
      </c>
      <c r="AJ1289">
        <v>0</v>
      </c>
      <c r="AK1289">
        <v>0</v>
      </c>
      <c r="AL1289" t="str" cm="1">
        <f t="array" ref="AL128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89">
        <v>0</v>
      </c>
    </row>
    <row r="1290" spans="1:39" x14ac:dyDescent="0.25">
      <c r="A1290">
        <v>35</v>
      </c>
      <c r="B1290" t="s">
        <v>44</v>
      </c>
      <c r="C1290" t="s">
        <v>56</v>
      </c>
      <c r="D1290">
        <v>1180</v>
      </c>
      <c r="E1290" t="s">
        <v>46</v>
      </c>
      <c r="G1290">
        <v>2</v>
      </c>
      <c r="H1290">
        <v>2</v>
      </c>
      <c r="I1290" t="s">
        <v>52</v>
      </c>
      <c r="J1290" t="str">
        <f>WA_Fn_UseC__HR_Employee_Attrition[[#This Row],[EducationField]]&amp;"-"&amp;WA_Fn_UseC__HR_Employee_Attrition[[#This Row],[Department]]</f>
        <v>Medical-Research &amp; Development</v>
      </c>
      <c r="K1290">
        <v>1</v>
      </c>
      <c r="L1290">
        <v>1804</v>
      </c>
      <c r="M1290">
        <v>2</v>
      </c>
      <c r="N1290" t="s">
        <v>47</v>
      </c>
      <c r="O1290">
        <v>90</v>
      </c>
      <c r="P1290">
        <v>3</v>
      </c>
      <c r="Q1290">
        <v>2</v>
      </c>
      <c r="R1290" t="s">
        <v>54</v>
      </c>
      <c r="S1290">
        <v>4</v>
      </c>
      <c r="T1290" t="s">
        <v>53</v>
      </c>
      <c r="U1290">
        <v>5762</v>
      </c>
      <c r="V1290" t="str" cm="1">
        <f t="array" ref="V129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90">
        <v>24442</v>
      </c>
      <c r="X1290">
        <v>2</v>
      </c>
      <c r="Y1290" t="s">
        <v>43</v>
      </c>
      <c r="Z1290" t="s">
        <v>44</v>
      </c>
      <c r="AA1290">
        <v>14</v>
      </c>
      <c r="AB1290">
        <v>3</v>
      </c>
      <c r="AC1290">
        <v>3</v>
      </c>
      <c r="AD1290">
        <v>80</v>
      </c>
      <c r="AE1290">
        <v>1</v>
      </c>
      <c r="AF1290">
        <v>15</v>
      </c>
      <c r="AG1290">
        <v>6</v>
      </c>
      <c r="AH1290">
        <v>3</v>
      </c>
      <c r="AI1290">
        <v>7</v>
      </c>
      <c r="AJ1290">
        <v>7</v>
      </c>
      <c r="AK1290">
        <v>1</v>
      </c>
      <c r="AL1290" t="str" cm="1">
        <f t="array" ref="AL129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90">
        <v>7</v>
      </c>
    </row>
    <row r="1291" spans="1:39" x14ac:dyDescent="0.25">
      <c r="A1291">
        <v>38</v>
      </c>
      <c r="B1291" t="s">
        <v>44</v>
      </c>
      <c r="C1291" t="s">
        <v>56</v>
      </c>
      <c r="D1291">
        <v>1336</v>
      </c>
      <c r="E1291" t="s">
        <v>62</v>
      </c>
      <c r="G1291">
        <v>2</v>
      </c>
      <c r="H1291">
        <v>3</v>
      </c>
      <c r="I1291" t="s">
        <v>62</v>
      </c>
      <c r="J1291" t="str">
        <f>WA_Fn_UseC__HR_Employee_Attrition[[#This Row],[EducationField]]&amp;"-"&amp;WA_Fn_UseC__HR_Employee_Attrition[[#This Row],[Department]]</f>
        <v>Human Resources-Human Resources</v>
      </c>
      <c r="K1291">
        <v>1</v>
      </c>
      <c r="L1291">
        <v>1805</v>
      </c>
      <c r="M1291">
        <v>1</v>
      </c>
      <c r="N1291" t="s">
        <v>47</v>
      </c>
      <c r="O1291">
        <v>100</v>
      </c>
      <c r="P1291">
        <v>3</v>
      </c>
      <c r="Q1291">
        <v>1</v>
      </c>
      <c r="R1291" t="s">
        <v>62</v>
      </c>
      <c r="S1291">
        <v>2</v>
      </c>
      <c r="T1291" t="s">
        <v>53</v>
      </c>
      <c r="U1291">
        <v>2592</v>
      </c>
      <c r="V1291" t="str" cm="1">
        <f t="array" ref="V129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91">
        <v>7129</v>
      </c>
      <c r="X1291">
        <v>5</v>
      </c>
      <c r="Y1291" t="s">
        <v>43</v>
      </c>
      <c r="Z1291" t="s">
        <v>44</v>
      </c>
      <c r="AA1291">
        <v>13</v>
      </c>
      <c r="AB1291">
        <v>3</v>
      </c>
      <c r="AC1291">
        <v>4</v>
      </c>
      <c r="AD1291">
        <v>80</v>
      </c>
      <c r="AE1291">
        <v>3</v>
      </c>
      <c r="AF1291">
        <v>13</v>
      </c>
      <c r="AG1291">
        <v>3</v>
      </c>
      <c r="AH1291">
        <v>3</v>
      </c>
      <c r="AI1291">
        <v>11</v>
      </c>
      <c r="AJ1291">
        <v>10</v>
      </c>
      <c r="AK1291">
        <v>3</v>
      </c>
      <c r="AL1291" t="str" cm="1">
        <f t="array" ref="AL129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91">
        <v>8</v>
      </c>
    </row>
    <row r="1292" spans="1:39" x14ac:dyDescent="0.25">
      <c r="A1292">
        <v>34</v>
      </c>
      <c r="B1292" t="s">
        <v>36</v>
      </c>
      <c r="C1292" t="s">
        <v>45</v>
      </c>
      <c r="D1292">
        <v>234</v>
      </c>
      <c r="E1292" t="s">
        <v>46</v>
      </c>
      <c r="G1292">
        <v>9</v>
      </c>
      <c r="H1292">
        <v>4</v>
      </c>
      <c r="I1292" t="s">
        <v>39</v>
      </c>
      <c r="J1292" t="str">
        <f>WA_Fn_UseC__HR_Employee_Attrition[[#This Row],[EducationField]]&amp;"-"&amp;WA_Fn_UseC__HR_Employee_Attrition[[#This Row],[Department]]</f>
        <v>Life Sciences-Research &amp; Development</v>
      </c>
      <c r="K1292">
        <v>1</v>
      </c>
      <c r="L1292">
        <v>1807</v>
      </c>
      <c r="M1292">
        <v>4</v>
      </c>
      <c r="N1292" t="s">
        <v>47</v>
      </c>
      <c r="O1292">
        <v>93</v>
      </c>
      <c r="P1292">
        <v>3</v>
      </c>
      <c r="Q1292">
        <v>2</v>
      </c>
      <c r="R1292" t="s">
        <v>51</v>
      </c>
      <c r="S1292">
        <v>1</v>
      </c>
      <c r="T1292" t="s">
        <v>49</v>
      </c>
      <c r="U1292">
        <v>5346</v>
      </c>
      <c r="V1292" t="str" cm="1">
        <f t="array" ref="V129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92">
        <v>6208</v>
      </c>
      <c r="X1292">
        <v>4</v>
      </c>
      <c r="Y1292" t="s">
        <v>43</v>
      </c>
      <c r="Z1292" t="s">
        <v>44</v>
      </c>
      <c r="AA1292">
        <v>17</v>
      </c>
      <c r="AB1292">
        <v>3</v>
      </c>
      <c r="AC1292">
        <v>3</v>
      </c>
      <c r="AD1292">
        <v>80</v>
      </c>
      <c r="AE1292">
        <v>1</v>
      </c>
      <c r="AF1292">
        <v>11</v>
      </c>
      <c r="AG1292">
        <v>3</v>
      </c>
      <c r="AH1292">
        <v>2</v>
      </c>
      <c r="AI1292">
        <v>7</v>
      </c>
      <c r="AJ1292">
        <v>1</v>
      </c>
      <c r="AK1292">
        <v>0</v>
      </c>
      <c r="AL1292" t="str" cm="1">
        <f t="array" ref="AL129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92">
        <v>7</v>
      </c>
    </row>
    <row r="1293" spans="1:39" x14ac:dyDescent="0.25">
      <c r="A1293">
        <v>37</v>
      </c>
      <c r="B1293" t="s">
        <v>36</v>
      </c>
      <c r="C1293" t="s">
        <v>37</v>
      </c>
      <c r="D1293">
        <v>370</v>
      </c>
      <c r="E1293" t="s">
        <v>46</v>
      </c>
      <c r="G1293">
        <v>10</v>
      </c>
      <c r="H1293">
        <v>4</v>
      </c>
      <c r="I1293" t="s">
        <v>52</v>
      </c>
      <c r="J1293" t="str">
        <f>WA_Fn_UseC__HR_Employee_Attrition[[#This Row],[EducationField]]&amp;"-"&amp;WA_Fn_UseC__HR_Employee_Attrition[[#This Row],[Department]]</f>
        <v>Medical-Research &amp; Development</v>
      </c>
      <c r="K1293">
        <v>1</v>
      </c>
      <c r="L1293">
        <v>1809</v>
      </c>
      <c r="M1293">
        <v>4</v>
      </c>
      <c r="N1293" t="s">
        <v>47</v>
      </c>
      <c r="O1293">
        <v>58</v>
      </c>
      <c r="P1293">
        <v>3</v>
      </c>
      <c r="Q1293">
        <v>2</v>
      </c>
      <c r="R1293" t="s">
        <v>54</v>
      </c>
      <c r="S1293">
        <v>1</v>
      </c>
      <c r="T1293" t="s">
        <v>42</v>
      </c>
      <c r="U1293">
        <v>4213</v>
      </c>
      <c r="V1293" t="str" cm="1">
        <f t="array" ref="V129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93">
        <v>4992</v>
      </c>
      <c r="X1293">
        <v>1</v>
      </c>
      <c r="Y1293" t="s">
        <v>43</v>
      </c>
      <c r="Z1293" t="s">
        <v>44</v>
      </c>
      <c r="AA1293">
        <v>15</v>
      </c>
      <c r="AB1293">
        <v>3</v>
      </c>
      <c r="AC1293">
        <v>2</v>
      </c>
      <c r="AD1293">
        <v>80</v>
      </c>
      <c r="AE1293">
        <v>0</v>
      </c>
      <c r="AF1293">
        <v>10</v>
      </c>
      <c r="AG1293">
        <v>4</v>
      </c>
      <c r="AH1293">
        <v>1</v>
      </c>
      <c r="AI1293">
        <v>10</v>
      </c>
      <c r="AJ1293">
        <v>3</v>
      </c>
      <c r="AK1293">
        <v>0</v>
      </c>
      <c r="AL1293" t="str" cm="1">
        <f t="array" ref="AL129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93">
        <v>8</v>
      </c>
    </row>
    <row r="1294" spans="1:39" x14ac:dyDescent="0.25">
      <c r="A1294">
        <v>39</v>
      </c>
      <c r="B1294" t="s">
        <v>44</v>
      </c>
      <c r="C1294" t="s">
        <v>45</v>
      </c>
      <c r="D1294">
        <v>766</v>
      </c>
      <c r="E1294" t="s">
        <v>38</v>
      </c>
      <c r="G1294">
        <v>20</v>
      </c>
      <c r="H1294">
        <v>3</v>
      </c>
      <c r="I1294" t="s">
        <v>39</v>
      </c>
      <c r="J1294" t="str">
        <f>WA_Fn_UseC__HR_Employee_Attrition[[#This Row],[EducationField]]&amp;"-"&amp;WA_Fn_UseC__HR_Employee_Attrition[[#This Row],[Department]]</f>
        <v>Life Sciences-Sales</v>
      </c>
      <c r="K1294">
        <v>1</v>
      </c>
      <c r="L1294">
        <v>1812</v>
      </c>
      <c r="M1294">
        <v>3</v>
      </c>
      <c r="N1294" t="s">
        <v>47</v>
      </c>
      <c r="O1294">
        <v>83</v>
      </c>
      <c r="P1294">
        <v>3</v>
      </c>
      <c r="Q1294">
        <v>2</v>
      </c>
      <c r="R1294" t="s">
        <v>41</v>
      </c>
      <c r="S1294">
        <v>4</v>
      </c>
      <c r="T1294" t="s">
        <v>53</v>
      </c>
      <c r="U1294">
        <v>4127</v>
      </c>
      <c r="V1294" t="str" cm="1">
        <f t="array" ref="V129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294">
        <v>19188</v>
      </c>
      <c r="X1294">
        <v>2</v>
      </c>
      <c r="Y1294" t="s">
        <v>43</v>
      </c>
      <c r="Z1294" t="s">
        <v>44</v>
      </c>
      <c r="AA1294">
        <v>18</v>
      </c>
      <c r="AB1294">
        <v>3</v>
      </c>
      <c r="AC1294">
        <v>4</v>
      </c>
      <c r="AD1294">
        <v>80</v>
      </c>
      <c r="AE1294">
        <v>1</v>
      </c>
      <c r="AF1294">
        <v>7</v>
      </c>
      <c r="AG1294">
        <v>6</v>
      </c>
      <c r="AH1294">
        <v>3</v>
      </c>
      <c r="AI1294">
        <v>2</v>
      </c>
      <c r="AJ1294">
        <v>1</v>
      </c>
      <c r="AK1294">
        <v>2</v>
      </c>
      <c r="AL1294" t="str" cm="1">
        <f t="array" ref="AL129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294">
        <v>2</v>
      </c>
    </row>
    <row r="1295" spans="1:39" x14ac:dyDescent="0.25">
      <c r="A1295">
        <v>43</v>
      </c>
      <c r="B1295" t="s">
        <v>44</v>
      </c>
      <c r="C1295" t="s">
        <v>56</v>
      </c>
      <c r="D1295">
        <v>343</v>
      </c>
      <c r="E1295" t="s">
        <v>46</v>
      </c>
      <c r="G1295">
        <v>9</v>
      </c>
      <c r="H1295">
        <v>3</v>
      </c>
      <c r="I1295" t="s">
        <v>39</v>
      </c>
      <c r="J1295" t="str">
        <f>WA_Fn_UseC__HR_Employee_Attrition[[#This Row],[EducationField]]&amp;"-"&amp;WA_Fn_UseC__HR_Employee_Attrition[[#This Row],[Department]]</f>
        <v>Life Sciences-Research &amp; Development</v>
      </c>
      <c r="K1295">
        <v>1</v>
      </c>
      <c r="L1295">
        <v>1813</v>
      </c>
      <c r="M1295">
        <v>1</v>
      </c>
      <c r="N1295" t="s">
        <v>47</v>
      </c>
      <c r="O1295">
        <v>52</v>
      </c>
      <c r="P1295">
        <v>3</v>
      </c>
      <c r="Q1295">
        <v>1</v>
      </c>
      <c r="R1295" t="s">
        <v>48</v>
      </c>
      <c r="S1295">
        <v>3</v>
      </c>
      <c r="T1295" t="s">
        <v>42</v>
      </c>
      <c r="U1295">
        <v>2438</v>
      </c>
      <c r="V1295" t="str" cm="1">
        <f t="array" ref="V129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95">
        <v>24978</v>
      </c>
      <c r="X1295">
        <v>4</v>
      </c>
      <c r="Y1295" t="s">
        <v>43</v>
      </c>
      <c r="Z1295" t="s">
        <v>44</v>
      </c>
      <c r="AA1295">
        <v>13</v>
      </c>
      <c r="AB1295">
        <v>3</v>
      </c>
      <c r="AC1295">
        <v>3</v>
      </c>
      <c r="AD1295">
        <v>80</v>
      </c>
      <c r="AE1295">
        <v>0</v>
      </c>
      <c r="AF1295">
        <v>7</v>
      </c>
      <c r="AG1295">
        <v>2</v>
      </c>
      <c r="AH1295">
        <v>2</v>
      </c>
      <c r="AI1295">
        <v>3</v>
      </c>
      <c r="AJ1295">
        <v>2</v>
      </c>
      <c r="AK1295">
        <v>1</v>
      </c>
      <c r="AL1295" t="str" cm="1">
        <f t="array" ref="AL129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95">
        <v>2</v>
      </c>
    </row>
    <row r="1296" spans="1:39" x14ac:dyDescent="0.25">
      <c r="A1296">
        <v>41</v>
      </c>
      <c r="B1296" t="s">
        <v>44</v>
      </c>
      <c r="C1296" t="s">
        <v>37</v>
      </c>
      <c r="D1296">
        <v>447</v>
      </c>
      <c r="E1296" t="s">
        <v>46</v>
      </c>
      <c r="G1296">
        <v>5</v>
      </c>
      <c r="H1296">
        <v>3</v>
      </c>
      <c r="I1296" t="s">
        <v>39</v>
      </c>
      <c r="J1296" t="str">
        <f>WA_Fn_UseC__HR_Employee_Attrition[[#This Row],[EducationField]]&amp;"-"&amp;WA_Fn_UseC__HR_Employee_Attrition[[#This Row],[Department]]</f>
        <v>Life Sciences-Research &amp; Development</v>
      </c>
      <c r="K1296">
        <v>1</v>
      </c>
      <c r="L1296">
        <v>1814</v>
      </c>
      <c r="M1296">
        <v>2</v>
      </c>
      <c r="N1296" t="s">
        <v>47</v>
      </c>
      <c r="O1296">
        <v>85</v>
      </c>
      <c r="P1296">
        <v>4</v>
      </c>
      <c r="Q1296">
        <v>2</v>
      </c>
      <c r="R1296" t="s">
        <v>55</v>
      </c>
      <c r="S1296">
        <v>2</v>
      </c>
      <c r="T1296" t="s">
        <v>42</v>
      </c>
      <c r="U1296">
        <v>6870</v>
      </c>
      <c r="V1296" t="str" cm="1">
        <f t="array" ref="V129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96">
        <v>15530</v>
      </c>
      <c r="X1296">
        <v>3</v>
      </c>
      <c r="Y1296" t="s">
        <v>43</v>
      </c>
      <c r="Z1296" t="s">
        <v>44</v>
      </c>
      <c r="AA1296">
        <v>12</v>
      </c>
      <c r="AB1296">
        <v>3</v>
      </c>
      <c r="AC1296">
        <v>1</v>
      </c>
      <c r="AD1296">
        <v>80</v>
      </c>
      <c r="AE1296">
        <v>0</v>
      </c>
      <c r="AF1296">
        <v>11</v>
      </c>
      <c r="AG1296">
        <v>3</v>
      </c>
      <c r="AH1296">
        <v>1</v>
      </c>
      <c r="AI1296">
        <v>3</v>
      </c>
      <c r="AJ1296">
        <v>2</v>
      </c>
      <c r="AK1296">
        <v>1</v>
      </c>
      <c r="AL1296" t="str" cm="1">
        <f t="array" ref="AL129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96">
        <v>2</v>
      </c>
    </row>
    <row r="1297" spans="1:39" x14ac:dyDescent="0.25">
      <c r="A1297">
        <v>41</v>
      </c>
      <c r="B1297" t="s">
        <v>44</v>
      </c>
      <c r="C1297" t="s">
        <v>37</v>
      </c>
      <c r="D1297">
        <v>796</v>
      </c>
      <c r="E1297" t="s">
        <v>38</v>
      </c>
      <c r="G1297">
        <v>4</v>
      </c>
      <c r="H1297">
        <v>1</v>
      </c>
      <c r="I1297" t="s">
        <v>60</v>
      </c>
      <c r="J1297" t="str">
        <f>WA_Fn_UseC__HR_Employee_Attrition[[#This Row],[EducationField]]&amp;"-"&amp;WA_Fn_UseC__HR_Employee_Attrition[[#This Row],[Department]]</f>
        <v>Marketing-Sales</v>
      </c>
      <c r="K1297">
        <v>1</v>
      </c>
      <c r="L1297">
        <v>1815</v>
      </c>
      <c r="M1297">
        <v>3</v>
      </c>
      <c r="N1297" t="s">
        <v>40</v>
      </c>
      <c r="O1297">
        <v>81</v>
      </c>
      <c r="P1297">
        <v>3</v>
      </c>
      <c r="Q1297">
        <v>3</v>
      </c>
      <c r="R1297" t="s">
        <v>41</v>
      </c>
      <c r="S1297">
        <v>3</v>
      </c>
      <c r="T1297" t="s">
        <v>53</v>
      </c>
      <c r="U1297">
        <v>10447</v>
      </c>
      <c r="V1297" t="str" cm="1">
        <f t="array" ref="V129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97">
        <v>26458</v>
      </c>
      <c r="X1297">
        <v>0</v>
      </c>
      <c r="Y1297" t="s">
        <v>43</v>
      </c>
      <c r="Z1297" t="s">
        <v>36</v>
      </c>
      <c r="AA1297">
        <v>13</v>
      </c>
      <c r="AB1297">
        <v>3</v>
      </c>
      <c r="AC1297">
        <v>4</v>
      </c>
      <c r="AD1297">
        <v>80</v>
      </c>
      <c r="AE1297">
        <v>1</v>
      </c>
      <c r="AF1297">
        <v>23</v>
      </c>
      <c r="AG1297">
        <v>3</v>
      </c>
      <c r="AH1297">
        <v>4</v>
      </c>
      <c r="AI1297">
        <v>22</v>
      </c>
      <c r="AJ1297">
        <v>14</v>
      </c>
      <c r="AK1297">
        <v>13</v>
      </c>
      <c r="AL1297" t="str" cm="1">
        <f t="array" ref="AL129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97">
        <v>5</v>
      </c>
    </row>
    <row r="1298" spans="1:39" x14ac:dyDescent="0.25">
      <c r="A1298">
        <v>30</v>
      </c>
      <c r="B1298" t="s">
        <v>44</v>
      </c>
      <c r="C1298" t="s">
        <v>37</v>
      </c>
      <c r="D1298">
        <v>1092</v>
      </c>
      <c r="E1298" t="s">
        <v>46</v>
      </c>
      <c r="G1298">
        <v>10</v>
      </c>
      <c r="H1298">
        <v>3</v>
      </c>
      <c r="I1298" t="s">
        <v>52</v>
      </c>
      <c r="J1298" t="str">
        <f>WA_Fn_UseC__HR_Employee_Attrition[[#This Row],[EducationField]]&amp;"-"&amp;WA_Fn_UseC__HR_Employee_Attrition[[#This Row],[Department]]</f>
        <v>Medical-Research &amp; Development</v>
      </c>
      <c r="K1298">
        <v>1</v>
      </c>
      <c r="L1298">
        <v>1816</v>
      </c>
      <c r="M1298">
        <v>1</v>
      </c>
      <c r="N1298" t="s">
        <v>40</v>
      </c>
      <c r="O1298">
        <v>64</v>
      </c>
      <c r="P1298">
        <v>3</v>
      </c>
      <c r="Q1298">
        <v>3</v>
      </c>
      <c r="R1298" t="s">
        <v>54</v>
      </c>
      <c r="S1298">
        <v>3</v>
      </c>
      <c r="T1298" t="s">
        <v>42</v>
      </c>
      <c r="U1298">
        <v>9667</v>
      </c>
      <c r="V1298" t="str" cm="1">
        <f t="array" ref="V129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298">
        <v>2739</v>
      </c>
      <c r="X1298">
        <v>9</v>
      </c>
      <c r="Y1298" t="s">
        <v>43</v>
      </c>
      <c r="Z1298" t="s">
        <v>44</v>
      </c>
      <c r="AA1298">
        <v>14</v>
      </c>
      <c r="AB1298">
        <v>3</v>
      </c>
      <c r="AC1298">
        <v>2</v>
      </c>
      <c r="AD1298">
        <v>80</v>
      </c>
      <c r="AE1298">
        <v>0</v>
      </c>
      <c r="AF1298">
        <v>9</v>
      </c>
      <c r="AG1298">
        <v>3</v>
      </c>
      <c r="AH1298">
        <v>3</v>
      </c>
      <c r="AI1298">
        <v>7</v>
      </c>
      <c r="AJ1298">
        <v>7</v>
      </c>
      <c r="AK1298">
        <v>0</v>
      </c>
      <c r="AL1298" t="str" cm="1">
        <f t="array" ref="AL129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298">
        <v>2</v>
      </c>
    </row>
    <row r="1299" spans="1:39" x14ac:dyDescent="0.25">
      <c r="A1299">
        <v>26</v>
      </c>
      <c r="B1299" t="s">
        <v>36</v>
      </c>
      <c r="C1299" t="s">
        <v>37</v>
      </c>
      <c r="D1299">
        <v>920</v>
      </c>
      <c r="E1299" t="s">
        <v>62</v>
      </c>
      <c r="G1299">
        <v>20</v>
      </c>
      <c r="H1299">
        <v>2</v>
      </c>
      <c r="I1299" t="s">
        <v>52</v>
      </c>
      <c r="J1299" t="str">
        <f>WA_Fn_UseC__HR_Employee_Attrition[[#This Row],[EducationField]]&amp;"-"&amp;WA_Fn_UseC__HR_Employee_Attrition[[#This Row],[Department]]</f>
        <v>Medical-Human Resources</v>
      </c>
      <c r="K1299">
        <v>1</v>
      </c>
      <c r="L1299">
        <v>1818</v>
      </c>
      <c r="M1299">
        <v>4</v>
      </c>
      <c r="N1299" t="s">
        <v>40</v>
      </c>
      <c r="O1299">
        <v>69</v>
      </c>
      <c r="P1299">
        <v>3</v>
      </c>
      <c r="Q1299">
        <v>1</v>
      </c>
      <c r="R1299" t="s">
        <v>62</v>
      </c>
      <c r="S1299">
        <v>2</v>
      </c>
      <c r="T1299" t="s">
        <v>49</v>
      </c>
      <c r="U1299">
        <v>2148</v>
      </c>
      <c r="V1299" t="str" cm="1">
        <f t="array" ref="V129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299">
        <v>6889</v>
      </c>
      <c r="X1299">
        <v>0</v>
      </c>
      <c r="Y1299" t="s">
        <v>43</v>
      </c>
      <c r="Z1299" t="s">
        <v>36</v>
      </c>
      <c r="AA1299">
        <v>11</v>
      </c>
      <c r="AB1299">
        <v>3</v>
      </c>
      <c r="AC1299">
        <v>3</v>
      </c>
      <c r="AD1299">
        <v>80</v>
      </c>
      <c r="AE1299">
        <v>0</v>
      </c>
      <c r="AF1299">
        <v>6</v>
      </c>
      <c r="AG1299">
        <v>3</v>
      </c>
      <c r="AH1299">
        <v>3</v>
      </c>
      <c r="AI1299">
        <v>5</v>
      </c>
      <c r="AJ1299">
        <v>1</v>
      </c>
      <c r="AK1299">
        <v>1</v>
      </c>
      <c r="AL1299" t="str" cm="1">
        <f t="array" ref="AL129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299">
        <v>4</v>
      </c>
    </row>
    <row r="1300" spans="1:39" x14ac:dyDescent="0.25">
      <c r="A1300">
        <v>46</v>
      </c>
      <c r="B1300" t="s">
        <v>36</v>
      </c>
      <c r="C1300" t="s">
        <v>37</v>
      </c>
      <c r="D1300">
        <v>261</v>
      </c>
      <c r="E1300" t="s">
        <v>46</v>
      </c>
      <c r="G1300">
        <v>21</v>
      </c>
      <c r="H1300">
        <v>2</v>
      </c>
      <c r="I1300" t="s">
        <v>52</v>
      </c>
      <c r="J1300" t="str">
        <f>WA_Fn_UseC__HR_Employee_Attrition[[#This Row],[EducationField]]&amp;"-"&amp;WA_Fn_UseC__HR_Employee_Attrition[[#This Row],[Department]]</f>
        <v>Medical-Research &amp; Development</v>
      </c>
      <c r="K1300">
        <v>1</v>
      </c>
      <c r="L1300">
        <v>1821</v>
      </c>
      <c r="M1300">
        <v>4</v>
      </c>
      <c r="N1300" t="s">
        <v>40</v>
      </c>
      <c r="O1300">
        <v>66</v>
      </c>
      <c r="P1300">
        <v>3</v>
      </c>
      <c r="Q1300">
        <v>2</v>
      </c>
      <c r="R1300" t="s">
        <v>55</v>
      </c>
      <c r="S1300">
        <v>2</v>
      </c>
      <c r="T1300" t="s">
        <v>49</v>
      </c>
      <c r="U1300">
        <v>8926</v>
      </c>
      <c r="V1300" t="str" cm="1">
        <f t="array" ref="V130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00">
        <v>10842</v>
      </c>
      <c r="X1300">
        <v>4</v>
      </c>
      <c r="Y1300" t="s">
        <v>43</v>
      </c>
      <c r="Z1300" t="s">
        <v>44</v>
      </c>
      <c r="AA1300">
        <v>22</v>
      </c>
      <c r="AB1300">
        <v>4</v>
      </c>
      <c r="AC1300">
        <v>4</v>
      </c>
      <c r="AD1300">
        <v>80</v>
      </c>
      <c r="AE1300">
        <v>1</v>
      </c>
      <c r="AF1300">
        <v>13</v>
      </c>
      <c r="AG1300">
        <v>2</v>
      </c>
      <c r="AH1300">
        <v>4</v>
      </c>
      <c r="AI1300">
        <v>9</v>
      </c>
      <c r="AJ1300">
        <v>7</v>
      </c>
      <c r="AK1300">
        <v>3</v>
      </c>
      <c r="AL1300" t="str" cm="1">
        <f t="array" ref="AL130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00">
        <v>7</v>
      </c>
    </row>
    <row r="1301" spans="1:39" x14ac:dyDescent="0.25">
      <c r="A1301">
        <v>40</v>
      </c>
      <c r="B1301" t="s">
        <v>44</v>
      </c>
      <c r="C1301" t="s">
        <v>37</v>
      </c>
      <c r="D1301">
        <v>1194</v>
      </c>
      <c r="E1301" t="s">
        <v>46</v>
      </c>
      <c r="G1301">
        <v>1</v>
      </c>
      <c r="H1301">
        <v>3</v>
      </c>
      <c r="I1301" t="s">
        <v>39</v>
      </c>
      <c r="J1301" t="str">
        <f>WA_Fn_UseC__HR_Employee_Attrition[[#This Row],[EducationField]]&amp;"-"&amp;WA_Fn_UseC__HR_Employee_Attrition[[#This Row],[Department]]</f>
        <v>Life Sciences-Research &amp; Development</v>
      </c>
      <c r="K1301">
        <v>1</v>
      </c>
      <c r="L1301">
        <v>1822</v>
      </c>
      <c r="M1301">
        <v>3</v>
      </c>
      <c r="N1301" t="s">
        <v>40</v>
      </c>
      <c r="O1301">
        <v>52</v>
      </c>
      <c r="P1301">
        <v>3</v>
      </c>
      <c r="Q1301">
        <v>2</v>
      </c>
      <c r="R1301" t="s">
        <v>55</v>
      </c>
      <c r="S1301">
        <v>4</v>
      </c>
      <c r="T1301" t="s">
        <v>53</v>
      </c>
      <c r="U1301">
        <v>6513</v>
      </c>
      <c r="V1301" t="str" cm="1">
        <f t="array" ref="V130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01">
        <v>9060</v>
      </c>
      <c r="X1301">
        <v>4</v>
      </c>
      <c r="Y1301" t="s">
        <v>43</v>
      </c>
      <c r="Z1301" t="s">
        <v>44</v>
      </c>
      <c r="AA1301">
        <v>17</v>
      </c>
      <c r="AB1301">
        <v>3</v>
      </c>
      <c r="AC1301">
        <v>4</v>
      </c>
      <c r="AD1301">
        <v>80</v>
      </c>
      <c r="AE1301">
        <v>1</v>
      </c>
      <c r="AF1301">
        <v>12</v>
      </c>
      <c r="AG1301">
        <v>3</v>
      </c>
      <c r="AH1301">
        <v>3</v>
      </c>
      <c r="AI1301">
        <v>5</v>
      </c>
      <c r="AJ1301">
        <v>3</v>
      </c>
      <c r="AK1301">
        <v>0</v>
      </c>
      <c r="AL1301" t="str" cm="1">
        <f t="array" ref="AL130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01">
        <v>3</v>
      </c>
    </row>
    <row r="1302" spans="1:39" x14ac:dyDescent="0.25">
      <c r="A1302">
        <v>34</v>
      </c>
      <c r="B1302" t="s">
        <v>44</v>
      </c>
      <c r="C1302" t="s">
        <v>37</v>
      </c>
      <c r="D1302">
        <v>810</v>
      </c>
      <c r="E1302" t="s">
        <v>38</v>
      </c>
      <c r="G1302">
        <v>8</v>
      </c>
      <c r="H1302">
        <v>2</v>
      </c>
      <c r="I1302" t="s">
        <v>61</v>
      </c>
      <c r="J1302" t="str">
        <f>WA_Fn_UseC__HR_Employee_Attrition[[#This Row],[EducationField]]&amp;"-"&amp;WA_Fn_UseC__HR_Employee_Attrition[[#This Row],[Department]]</f>
        <v>Technical Degree-Sales</v>
      </c>
      <c r="K1302">
        <v>1</v>
      </c>
      <c r="L1302">
        <v>1823</v>
      </c>
      <c r="M1302">
        <v>2</v>
      </c>
      <c r="N1302" t="s">
        <v>47</v>
      </c>
      <c r="O1302">
        <v>92</v>
      </c>
      <c r="P1302">
        <v>4</v>
      </c>
      <c r="Q1302">
        <v>2</v>
      </c>
      <c r="R1302" t="s">
        <v>41</v>
      </c>
      <c r="S1302">
        <v>3</v>
      </c>
      <c r="T1302" t="s">
        <v>49</v>
      </c>
      <c r="U1302">
        <v>6799</v>
      </c>
      <c r="V1302" t="str" cm="1">
        <f t="array" ref="V130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02">
        <v>22128</v>
      </c>
      <c r="X1302">
        <v>1</v>
      </c>
      <c r="Y1302" t="s">
        <v>43</v>
      </c>
      <c r="Z1302" t="s">
        <v>44</v>
      </c>
      <c r="AA1302">
        <v>21</v>
      </c>
      <c r="AB1302">
        <v>4</v>
      </c>
      <c r="AC1302">
        <v>3</v>
      </c>
      <c r="AD1302">
        <v>80</v>
      </c>
      <c r="AE1302">
        <v>2</v>
      </c>
      <c r="AF1302">
        <v>10</v>
      </c>
      <c r="AG1302">
        <v>5</v>
      </c>
      <c r="AH1302">
        <v>3</v>
      </c>
      <c r="AI1302">
        <v>10</v>
      </c>
      <c r="AJ1302">
        <v>8</v>
      </c>
      <c r="AK1302">
        <v>4</v>
      </c>
      <c r="AL1302" t="str" cm="1">
        <f t="array" ref="AL130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02">
        <v>8</v>
      </c>
    </row>
    <row r="1303" spans="1:39" x14ac:dyDescent="0.25">
      <c r="A1303">
        <v>58</v>
      </c>
      <c r="B1303" t="s">
        <v>44</v>
      </c>
      <c r="C1303" t="s">
        <v>56</v>
      </c>
      <c r="D1303">
        <v>350</v>
      </c>
      <c r="E1303" t="s">
        <v>38</v>
      </c>
      <c r="G1303">
        <v>2</v>
      </c>
      <c r="H1303">
        <v>3</v>
      </c>
      <c r="I1303" t="s">
        <v>52</v>
      </c>
      <c r="J1303" t="str">
        <f>WA_Fn_UseC__HR_Employee_Attrition[[#This Row],[EducationField]]&amp;"-"&amp;WA_Fn_UseC__HR_Employee_Attrition[[#This Row],[Department]]</f>
        <v>Medical-Sales</v>
      </c>
      <c r="K1303">
        <v>1</v>
      </c>
      <c r="L1303">
        <v>1824</v>
      </c>
      <c r="M1303">
        <v>2</v>
      </c>
      <c r="N1303" t="s">
        <v>47</v>
      </c>
      <c r="O1303">
        <v>52</v>
      </c>
      <c r="P1303">
        <v>3</v>
      </c>
      <c r="Q1303">
        <v>4</v>
      </c>
      <c r="R1303" t="s">
        <v>57</v>
      </c>
      <c r="S1303">
        <v>2</v>
      </c>
      <c r="T1303" t="s">
        <v>53</v>
      </c>
      <c r="U1303">
        <v>16291</v>
      </c>
      <c r="V1303" t="str" cm="1">
        <f t="array" ref="V130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03">
        <v>22577</v>
      </c>
      <c r="X1303">
        <v>4</v>
      </c>
      <c r="Y1303" t="s">
        <v>43</v>
      </c>
      <c r="Z1303" t="s">
        <v>44</v>
      </c>
      <c r="AA1303">
        <v>22</v>
      </c>
      <c r="AB1303">
        <v>4</v>
      </c>
      <c r="AC1303">
        <v>4</v>
      </c>
      <c r="AD1303">
        <v>80</v>
      </c>
      <c r="AE1303">
        <v>1</v>
      </c>
      <c r="AF1303">
        <v>37</v>
      </c>
      <c r="AG1303">
        <v>0</v>
      </c>
      <c r="AH1303">
        <v>2</v>
      </c>
      <c r="AI1303">
        <v>16</v>
      </c>
      <c r="AJ1303">
        <v>9</v>
      </c>
      <c r="AK1303">
        <v>14</v>
      </c>
      <c r="AL1303" t="str" cm="1">
        <f t="array" ref="AL130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03">
        <v>14</v>
      </c>
    </row>
    <row r="1304" spans="1:39" x14ac:dyDescent="0.25">
      <c r="A1304">
        <v>35</v>
      </c>
      <c r="B1304" t="s">
        <v>44</v>
      </c>
      <c r="C1304" t="s">
        <v>37</v>
      </c>
      <c r="D1304">
        <v>185</v>
      </c>
      <c r="E1304" t="s">
        <v>46</v>
      </c>
      <c r="G1304">
        <v>23</v>
      </c>
      <c r="H1304">
        <v>4</v>
      </c>
      <c r="I1304" t="s">
        <v>52</v>
      </c>
      <c r="J1304" t="str">
        <f>WA_Fn_UseC__HR_Employee_Attrition[[#This Row],[EducationField]]&amp;"-"&amp;WA_Fn_UseC__HR_Employee_Attrition[[#This Row],[Department]]</f>
        <v>Medical-Research &amp; Development</v>
      </c>
      <c r="K1304">
        <v>1</v>
      </c>
      <c r="L1304">
        <v>1826</v>
      </c>
      <c r="M1304">
        <v>2</v>
      </c>
      <c r="N1304" t="s">
        <v>47</v>
      </c>
      <c r="O1304">
        <v>91</v>
      </c>
      <c r="P1304">
        <v>1</v>
      </c>
      <c r="Q1304">
        <v>1</v>
      </c>
      <c r="R1304" t="s">
        <v>51</v>
      </c>
      <c r="S1304">
        <v>3</v>
      </c>
      <c r="T1304" t="s">
        <v>49</v>
      </c>
      <c r="U1304">
        <v>2705</v>
      </c>
      <c r="V1304" t="str" cm="1">
        <f t="array" ref="V130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04">
        <v>9696</v>
      </c>
      <c r="X1304">
        <v>0</v>
      </c>
      <c r="Y1304" t="s">
        <v>43</v>
      </c>
      <c r="Z1304" t="s">
        <v>44</v>
      </c>
      <c r="AA1304">
        <v>16</v>
      </c>
      <c r="AB1304">
        <v>3</v>
      </c>
      <c r="AC1304">
        <v>2</v>
      </c>
      <c r="AD1304">
        <v>80</v>
      </c>
      <c r="AE1304">
        <v>1</v>
      </c>
      <c r="AF1304">
        <v>6</v>
      </c>
      <c r="AG1304">
        <v>2</v>
      </c>
      <c r="AH1304">
        <v>4</v>
      </c>
      <c r="AI1304">
        <v>5</v>
      </c>
      <c r="AJ1304">
        <v>4</v>
      </c>
      <c r="AK1304">
        <v>0</v>
      </c>
      <c r="AL1304" t="str" cm="1">
        <f t="array" ref="AL130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04">
        <v>3</v>
      </c>
    </row>
    <row r="1305" spans="1:39" x14ac:dyDescent="0.25">
      <c r="A1305">
        <v>47</v>
      </c>
      <c r="B1305" t="s">
        <v>44</v>
      </c>
      <c r="C1305" t="s">
        <v>37</v>
      </c>
      <c r="D1305">
        <v>1001</v>
      </c>
      <c r="E1305" t="s">
        <v>46</v>
      </c>
      <c r="G1305">
        <v>4</v>
      </c>
      <c r="H1305">
        <v>3</v>
      </c>
      <c r="I1305" t="s">
        <v>39</v>
      </c>
      <c r="J1305" t="str">
        <f>WA_Fn_UseC__HR_Employee_Attrition[[#This Row],[EducationField]]&amp;"-"&amp;WA_Fn_UseC__HR_Employee_Attrition[[#This Row],[Department]]</f>
        <v>Life Sciences-Research &amp; Development</v>
      </c>
      <c r="K1305">
        <v>1</v>
      </c>
      <c r="L1305">
        <v>1827</v>
      </c>
      <c r="M1305">
        <v>3</v>
      </c>
      <c r="N1305" t="s">
        <v>40</v>
      </c>
      <c r="O1305">
        <v>92</v>
      </c>
      <c r="P1305">
        <v>2</v>
      </c>
      <c r="Q1305">
        <v>3</v>
      </c>
      <c r="R1305" t="s">
        <v>54</v>
      </c>
      <c r="S1305">
        <v>2</v>
      </c>
      <c r="T1305" t="s">
        <v>53</v>
      </c>
      <c r="U1305">
        <v>10333</v>
      </c>
      <c r="V1305" t="str" cm="1">
        <f t="array" ref="V130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05">
        <v>19271</v>
      </c>
      <c r="X1305">
        <v>8</v>
      </c>
      <c r="Y1305" t="s">
        <v>43</v>
      </c>
      <c r="Z1305" t="s">
        <v>36</v>
      </c>
      <c r="AA1305">
        <v>12</v>
      </c>
      <c r="AB1305">
        <v>3</v>
      </c>
      <c r="AC1305">
        <v>3</v>
      </c>
      <c r="AD1305">
        <v>80</v>
      </c>
      <c r="AE1305">
        <v>1</v>
      </c>
      <c r="AF1305">
        <v>28</v>
      </c>
      <c r="AG1305">
        <v>4</v>
      </c>
      <c r="AH1305">
        <v>3</v>
      </c>
      <c r="AI1305">
        <v>22</v>
      </c>
      <c r="AJ1305">
        <v>11</v>
      </c>
      <c r="AK1305">
        <v>14</v>
      </c>
      <c r="AL1305" t="str" cm="1">
        <f t="array" ref="AL130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05">
        <v>10</v>
      </c>
    </row>
    <row r="1306" spans="1:39" x14ac:dyDescent="0.25">
      <c r="A1306">
        <v>40</v>
      </c>
      <c r="B1306" t="s">
        <v>44</v>
      </c>
      <c r="C1306" t="s">
        <v>37</v>
      </c>
      <c r="D1306">
        <v>750</v>
      </c>
      <c r="E1306" t="s">
        <v>46</v>
      </c>
      <c r="G1306">
        <v>12</v>
      </c>
      <c r="H1306">
        <v>3</v>
      </c>
      <c r="I1306" t="s">
        <v>39</v>
      </c>
      <c r="J1306" t="str">
        <f>WA_Fn_UseC__HR_Employee_Attrition[[#This Row],[EducationField]]&amp;"-"&amp;WA_Fn_UseC__HR_Employee_Attrition[[#This Row],[Department]]</f>
        <v>Life Sciences-Research &amp; Development</v>
      </c>
      <c r="K1306">
        <v>1</v>
      </c>
      <c r="L1306">
        <v>1829</v>
      </c>
      <c r="M1306">
        <v>2</v>
      </c>
      <c r="N1306" t="s">
        <v>40</v>
      </c>
      <c r="O1306">
        <v>47</v>
      </c>
      <c r="P1306">
        <v>3</v>
      </c>
      <c r="Q1306">
        <v>2</v>
      </c>
      <c r="R1306" t="s">
        <v>55</v>
      </c>
      <c r="S1306">
        <v>1</v>
      </c>
      <c r="T1306" t="s">
        <v>53</v>
      </c>
      <c r="U1306">
        <v>4448</v>
      </c>
      <c r="V1306" t="str" cm="1">
        <f t="array" ref="V130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06">
        <v>10748</v>
      </c>
      <c r="X1306">
        <v>2</v>
      </c>
      <c r="Y1306" t="s">
        <v>43</v>
      </c>
      <c r="Z1306" t="s">
        <v>44</v>
      </c>
      <c r="AA1306">
        <v>12</v>
      </c>
      <c r="AB1306">
        <v>3</v>
      </c>
      <c r="AC1306">
        <v>2</v>
      </c>
      <c r="AD1306">
        <v>80</v>
      </c>
      <c r="AE1306">
        <v>1</v>
      </c>
      <c r="AF1306">
        <v>15</v>
      </c>
      <c r="AG1306">
        <v>3</v>
      </c>
      <c r="AH1306">
        <v>3</v>
      </c>
      <c r="AI1306">
        <v>7</v>
      </c>
      <c r="AJ1306">
        <v>4</v>
      </c>
      <c r="AK1306">
        <v>7</v>
      </c>
      <c r="AL1306" t="str" cm="1">
        <f t="array" ref="AL130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06">
        <v>7</v>
      </c>
    </row>
    <row r="1307" spans="1:39" x14ac:dyDescent="0.25">
      <c r="A1307">
        <v>54</v>
      </c>
      <c r="B1307" t="s">
        <v>44</v>
      </c>
      <c r="C1307" t="s">
        <v>37</v>
      </c>
      <c r="D1307">
        <v>431</v>
      </c>
      <c r="E1307" t="s">
        <v>46</v>
      </c>
      <c r="G1307">
        <v>7</v>
      </c>
      <c r="H1307">
        <v>4</v>
      </c>
      <c r="I1307" t="s">
        <v>52</v>
      </c>
      <c r="J1307" t="str">
        <f>WA_Fn_UseC__HR_Employee_Attrition[[#This Row],[EducationField]]&amp;"-"&amp;WA_Fn_UseC__HR_Employee_Attrition[[#This Row],[Department]]</f>
        <v>Medical-Research &amp; Development</v>
      </c>
      <c r="K1307">
        <v>1</v>
      </c>
      <c r="L1307">
        <v>1830</v>
      </c>
      <c r="M1307">
        <v>4</v>
      </c>
      <c r="N1307" t="s">
        <v>40</v>
      </c>
      <c r="O1307">
        <v>68</v>
      </c>
      <c r="P1307">
        <v>3</v>
      </c>
      <c r="Q1307">
        <v>2</v>
      </c>
      <c r="R1307" t="s">
        <v>48</v>
      </c>
      <c r="S1307">
        <v>4</v>
      </c>
      <c r="T1307" t="s">
        <v>49</v>
      </c>
      <c r="U1307">
        <v>6854</v>
      </c>
      <c r="V1307" t="str" cm="1">
        <f t="array" ref="V130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07">
        <v>15696</v>
      </c>
      <c r="X1307">
        <v>4</v>
      </c>
      <c r="Y1307" t="s">
        <v>43</v>
      </c>
      <c r="Z1307" t="s">
        <v>44</v>
      </c>
      <c r="AA1307">
        <v>15</v>
      </c>
      <c r="AB1307">
        <v>3</v>
      </c>
      <c r="AC1307">
        <v>2</v>
      </c>
      <c r="AD1307">
        <v>80</v>
      </c>
      <c r="AE1307">
        <v>1</v>
      </c>
      <c r="AF1307">
        <v>14</v>
      </c>
      <c r="AG1307">
        <v>2</v>
      </c>
      <c r="AH1307">
        <v>2</v>
      </c>
      <c r="AI1307">
        <v>7</v>
      </c>
      <c r="AJ1307">
        <v>1</v>
      </c>
      <c r="AK1307">
        <v>1</v>
      </c>
      <c r="AL1307" t="str" cm="1">
        <f t="array" ref="AL130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07">
        <v>7</v>
      </c>
    </row>
    <row r="1308" spans="1:39" x14ac:dyDescent="0.25">
      <c r="A1308">
        <v>31</v>
      </c>
      <c r="B1308" t="s">
        <v>44</v>
      </c>
      <c r="C1308" t="s">
        <v>45</v>
      </c>
      <c r="D1308">
        <v>1125</v>
      </c>
      <c r="E1308" t="s">
        <v>38</v>
      </c>
      <c r="G1308">
        <v>7</v>
      </c>
      <c r="H1308">
        <v>4</v>
      </c>
      <c r="I1308" t="s">
        <v>60</v>
      </c>
      <c r="J1308" t="str">
        <f>WA_Fn_UseC__HR_Employee_Attrition[[#This Row],[EducationField]]&amp;"-"&amp;WA_Fn_UseC__HR_Employee_Attrition[[#This Row],[Department]]</f>
        <v>Marketing-Sales</v>
      </c>
      <c r="K1308">
        <v>1</v>
      </c>
      <c r="L1308">
        <v>1833</v>
      </c>
      <c r="M1308">
        <v>1</v>
      </c>
      <c r="N1308" t="s">
        <v>40</v>
      </c>
      <c r="O1308">
        <v>68</v>
      </c>
      <c r="P1308">
        <v>3</v>
      </c>
      <c r="Q1308">
        <v>3</v>
      </c>
      <c r="R1308" t="s">
        <v>41</v>
      </c>
      <c r="S1308">
        <v>1</v>
      </c>
      <c r="T1308" t="s">
        <v>49</v>
      </c>
      <c r="U1308">
        <v>9637</v>
      </c>
      <c r="V1308" t="str" cm="1">
        <f t="array" ref="V130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08">
        <v>8277</v>
      </c>
      <c r="X1308">
        <v>2</v>
      </c>
      <c r="Y1308" t="s">
        <v>43</v>
      </c>
      <c r="Z1308" t="s">
        <v>44</v>
      </c>
      <c r="AA1308">
        <v>14</v>
      </c>
      <c r="AB1308">
        <v>3</v>
      </c>
      <c r="AC1308">
        <v>4</v>
      </c>
      <c r="AD1308">
        <v>80</v>
      </c>
      <c r="AE1308">
        <v>2</v>
      </c>
      <c r="AF1308">
        <v>9</v>
      </c>
      <c r="AG1308">
        <v>3</v>
      </c>
      <c r="AH1308">
        <v>3</v>
      </c>
      <c r="AI1308">
        <v>3</v>
      </c>
      <c r="AJ1308">
        <v>2</v>
      </c>
      <c r="AK1308">
        <v>2</v>
      </c>
      <c r="AL1308" t="str" cm="1">
        <f t="array" ref="AL130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08">
        <v>2</v>
      </c>
    </row>
    <row r="1309" spans="1:39" x14ac:dyDescent="0.25">
      <c r="A1309">
        <v>28</v>
      </c>
      <c r="B1309" t="s">
        <v>44</v>
      </c>
      <c r="C1309" t="s">
        <v>37</v>
      </c>
      <c r="D1309">
        <v>1217</v>
      </c>
      <c r="E1309" t="s">
        <v>46</v>
      </c>
      <c r="G1309">
        <v>1</v>
      </c>
      <c r="H1309">
        <v>3</v>
      </c>
      <c r="I1309" t="s">
        <v>52</v>
      </c>
      <c r="J1309" t="str">
        <f>WA_Fn_UseC__HR_Employee_Attrition[[#This Row],[EducationField]]&amp;"-"&amp;WA_Fn_UseC__HR_Employee_Attrition[[#This Row],[Department]]</f>
        <v>Medical-Research &amp; Development</v>
      </c>
      <c r="K1309">
        <v>1</v>
      </c>
      <c r="L1309">
        <v>1834</v>
      </c>
      <c r="M1309">
        <v>3</v>
      </c>
      <c r="N1309" t="s">
        <v>40</v>
      </c>
      <c r="O1309">
        <v>67</v>
      </c>
      <c r="P1309">
        <v>3</v>
      </c>
      <c r="Q1309">
        <v>1</v>
      </c>
      <c r="R1309" t="s">
        <v>48</v>
      </c>
      <c r="S1309">
        <v>1</v>
      </c>
      <c r="T1309" t="s">
        <v>49</v>
      </c>
      <c r="U1309">
        <v>3591</v>
      </c>
      <c r="V1309" t="str" cm="1">
        <f t="array" ref="V130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09">
        <v>12719</v>
      </c>
      <c r="X1309">
        <v>1</v>
      </c>
      <c r="Y1309" t="s">
        <v>43</v>
      </c>
      <c r="Z1309" t="s">
        <v>44</v>
      </c>
      <c r="AA1309">
        <v>25</v>
      </c>
      <c r="AB1309">
        <v>4</v>
      </c>
      <c r="AC1309">
        <v>3</v>
      </c>
      <c r="AD1309">
        <v>80</v>
      </c>
      <c r="AE1309">
        <v>1</v>
      </c>
      <c r="AF1309">
        <v>3</v>
      </c>
      <c r="AG1309">
        <v>3</v>
      </c>
      <c r="AH1309">
        <v>3</v>
      </c>
      <c r="AI1309">
        <v>3</v>
      </c>
      <c r="AJ1309">
        <v>2</v>
      </c>
      <c r="AK1309">
        <v>1</v>
      </c>
      <c r="AL1309" t="str" cm="1">
        <f t="array" ref="AL130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09">
        <v>2</v>
      </c>
    </row>
    <row r="1310" spans="1:39" x14ac:dyDescent="0.25">
      <c r="A1310">
        <v>38</v>
      </c>
      <c r="B1310" t="s">
        <v>44</v>
      </c>
      <c r="C1310" t="s">
        <v>37</v>
      </c>
      <c r="D1310">
        <v>723</v>
      </c>
      <c r="E1310" t="s">
        <v>38</v>
      </c>
      <c r="G1310">
        <v>2</v>
      </c>
      <c r="H1310">
        <v>4</v>
      </c>
      <c r="I1310" t="s">
        <v>60</v>
      </c>
      <c r="J1310" t="str">
        <f>WA_Fn_UseC__HR_Employee_Attrition[[#This Row],[EducationField]]&amp;"-"&amp;WA_Fn_UseC__HR_Employee_Attrition[[#This Row],[Department]]</f>
        <v>Marketing-Sales</v>
      </c>
      <c r="K1310">
        <v>1</v>
      </c>
      <c r="L1310">
        <v>1835</v>
      </c>
      <c r="M1310">
        <v>2</v>
      </c>
      <c r="N1310" t="s">
        <v>40</v>
      </c>
      <c r="O1310">
        <v>77</v>
      </c>
      <c r="P1310">
        <v>1</v>
      </c>
      <c r="Q1310">
        <v>2</v>
      </c>
      <c r="R1310" t="s">
        <v>58</v>
      </c>
      <c r="S1310">
        <v>4</v>
      </c>
      <c r="T1310" t="s">
        <v>49</v>
      </c>
      <c r="U1310">
        <v>5405</v>
      </c>
      <c r="V1310" t="str" cm="1">
        <f t="array" ref="V131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10">
        <v>4244</v>
      </c>
      <c r="X1310">
        <v>2</v>
      </c>
      <c r="Y1310" t="s">
        <v>43</v>
      </c>
      <c r="Z1310" t="s">
        <v>36</v>
      </c>
      <c r="AA1310">
        <v>20</v>
      </c>
      <c r="AB1310">
        <v>4</v>
      </c>
      <c r="AC1310">
        <v>1</v>
      </c>
      <c r="AD1310">
        <v>80</v>
      </c>
      <c r="AE1310">
        <v>2</v>
      </c>
      <c r="AF1310">
        <v>20</v>
      </c>
      <c r="AG1310">
        <v>4</v>
      </c>
      <c r="AH1310">
        <v>2</v>
      </c>
      <c r="AI1310">
        <v>4</v>
      </c>
      <c r="AJ1310">
        <v>2</v>
      </c>
      <c r="AK1310">
        <v>0</v>
      </c>
      <c r="AL1310" t="str" cm="1">
        <f t="array" ref="AL131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10">
        <v>3</v>
      </c>
    </row>
    <row r="1311" spans="1:39" x14ac:dyDescent="0.25">
      <c r="A1311">
        <v>26</v>
      </c>
      <c r="B1311" t="s">
        <v>44</v>
      </c>
      <c r="C1311" t="s">
        <v>37</v>
      </c>
      <c r="D1311">
        <v>572</v>
      </c>
      <c r="E1311" t="s">
        <v>38</v>
      </c>
      <c r="G1311">
        <v>10</v>
      </c>
      <c r="H1311">
        <v>3</v>
      </c>
      <c r="I1311" t="s">
        <v>52</v>
      </c>
      <c r="J1311" t="str">
        <f>WA_Fn_UseC__HR_Employee_Attrition[[#This Row],[EducationField]]&amp;"-"&amp;WA_Fn_UseC__HR_Employee_Attrition[[#This Row],[Department]]</f>
        <v>Medical-Sales</v>
      </c>
      <c r="K1311">
        <v>1</v>
      </c>
      <c r="L1311">
        <v>1836</v>
      </c>
      <c r="M1311">
        <v>3</v>
      </c>
      <c r="N1311" t="s">
        <v>47</v>
      </c>
      <c r="O1311">
        <v>46</v>
      </c>
      <c r="P1311">
        <v>3</v>
      </c>
      <c r="Q1311">
        <v>2</v>
      </c>
      <c r="R1311" t="s">
        <v>41</v>
      </c>
      <c r="S1311">
        <v>4</v>
      </c>
      <c r="T1311" t="s">
        <v>42</v>
      </c>
      <c r="U1311">
        <v>4684</v>
      </c>
      <c r="V1311" t="str" cm="1">
        <f t="array" ref="V131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11">
        <v>9125</v>
      </c>
      <c r="X1311">
        <v>1</v>
      </c>
      <c r="Y1311" t="s">
        <v>43</v>
      </c>
      <c r="Z1311" t="s">
        <v>44</v>
      </c>
      <c r="AA1311">
        <v>13</v>
      </c>
      <c r="AB1311">
        <v>3</v>
      </c>
      <c r="AC1311">
        <v>1</v>
      </c>
      <c r="AD1311">
        <v>80</v>
      </c>
      <c r="AE1311">
        <v>0</v>
      </c>
      <c r="AF1311">
        <v>5</v>
      </c>
      <c r="AG1311">
        <v>4</v>
      </c>
      <c r="AH1311">
        <v>3</v>
      </c>
      <c r="AI1311">
        <v>5</v>
      </c>
      <c r="AJ1311">
        <v>3</v>
      </c>
      <c r="AK1311">
        <v>1</v>
      </c>
      <c r="AL1311" t="str" cm="1">
        <f t="array" ref="AL131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11">
        <v>2</v>
      </c>
    </row>
    <row r="1312" spans="1:39" x14ac:dyDescent="0.25">
      <c r="A1312">
        <v>58</v>
      </c>
      <c r="B1312" t="s">
        <v>44</v>
      </c>
      <c r="C1312" t="s">
        <v>45</v>
      </c>
      <c r="D1312">
        <v>1216</v>
      </c>
      <c r="E1312" t="s">
        <v>46</v>
      </c>
      <c r="G1312">
        <v>15</v>
      </c>
      <c r="H1312">
        <v>4</v>
      </c>
      <c r="I1312" t="s">
        <v>39</v>
      </c>
      <c r="J1312" t="str">
        <f>WA_Fn_UseC__HR_Employee_Attrition[[#This Row],[EducationField]]&amp;"-"&amp;WA_Fn_UseC__HR_Employee_Attrition[[#This Row],[Department]]</f>
        <v>Life Sciences-Research &amp; Development</v>
      </c>
      <c r="K1312">
        <v>1</v>
      </c>
      <c r="L1312">
        <v>1837</v>
      </c>
      <c r="M1312">
        <v>1</v>
      </c>
      <c r="N1312" t="s">
        <v>47</v>
      </c>
      <c r="O1312">
        <v>87</v>
      </c>
      <c r="P1312">
        <v>3</v>
      </c>
      <c r="Q1312">
        <v>4</v>
      </c>
      <c r="R1312" t="s">
        <v>59</v>
      </c>
      <c r="S1312">
        <v>3</v>
      </c>
      <c r="T1312" t="s">
        <v>49</v>
      </c>
      <c r="U1312">
        <v>15787</v>
      </c>
      <c r="V1312" t="str" cm="1">
        <f t="array" ref="V131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12">
        <v>21624</v>
      </c>
      <c r="X1312">
        <v>2</v>
      </c>
      <c r="Y1312" t="s">
        <v>43</v>
      </c>
      <c r="Z1312" t="s">
        <v>36</v>
      </c>
      <c r="AA1312">
        <v>14</v>
      </c>
      <c r="AB1312">
        <v>3</v>
      </c>
      <c r="AC1312">
        <v>2</v>
      </c>
      <c r="AD1312">
        <v>80</v>
      </c>
      <c r="AE1312">
        <v>0</v>
      </c>
      <c r="AF1312">
        <v>23</v>
      </c>
      <c r="AG1312">
        <v>3</v>
      </c>
      <c r="AH1312">
        <v>3</v>
      </c>
      <c r="AI1312">
        <v>2</v>
      </c>
      <c r="AJ1312">
        <v>2</v>
      </c>
      <c r="AK1312">
        <v>2</v>
      </c>
      <c r="AL1312" t="str" cm="1">
        <f t="array" ref="AL131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12">
        <v>2</v>
      </c>
    </row>
    <row r="1313" spans="1:39" x14ac:dyDescent="0.25">
      <c r="A1313">
        <v>18</v>
      </c>
      <c r="B1313" t="s">
        <v>44</v>
      </c>
      <c r="C1313" t="s">
        <v>56</v>
      </c>
      <c r="D1313">
        <v>1431</v>
      </c>
      <c r="E1313" t="s">
        <v>46</v>
      </c>
      <c r="G1313">
        <v>14</v>
      </c>
      <c r="H1313">
        <v>3</v>
      </c>
      <c r="I1313" t="s">
        <v>52</v>
      </c>
      <c r="J1313" t="str">
        <f>WA_Fn_UseC__HR_Employee_Attrition[[#This Row],[EducationField]]&amp;"-"&amp;WA_Fn_UseC__HR_Employee_Attrition[[#This Row],[Department]]</f>
        <v>Medical-Research &amp; Development</v>
      </c>
      <c r="K1313">
        <v>1</v>
      </c>
      <c r="L1313">
        <v>1839</v>
      </c>
      <c r="M1313">
        <v>2</v>
      </c>
      <c r="N1313" t="s">
        <v>40</v>
      </c>
      <c r="O1313">
        <v>33</v>
      </c>
      <c r="P1313">
        <v>3</v>
      </c>
      <c r="Q1313">
        <v>1</v>
      </c>
      <c r="R1313" t="s">
        <v>48</v>
      </c>
      <c r="S1313">
        <v>3</v>
      </c>
      <c r="T1313" t="s">
        <v>42</v>
      </c>
      <c r="U1313">
        <v>1514</v>
      </c>
      <c r="V1313" t="str" cm="1">
        <f t="array" ref="V131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13">
        <v>8018</v>
      </c>
      <c r="X1313">
        <v>1</v>
      </c>
      <c r="Y1313" t="s">
        <v>43</v>
      </c>
      <c r="Z1313" t="s">
        <v>44</v>
      </c>
      <c r="AA1313">
        <v>16</v>
      </c>
      <c r="AB1313">
        <v>3</v>
      </c>
      <c r="AC1313">
        <v>3</v>
      </c>
      <c r="AD1313">
        <v>80</v>
      </c>
      <c r="AE1313">
        <v>0</v>
      </c>
      <c r="AF1313">
        <v>0</v>
      </c>
      <c r="AG1313">
        <v>4</v>
      </c>
      <c r="AH1313">
        <v>1</v>
      </c>
      <c r="AI1313">
        <v>0</v>
      </c>
      <c r="AJ1313">
        <v>0</v>
      </c>
      <c r="AK1313">
        <v>0</v>
      </c>
      <c r="AL1313" t="str" cm="1">
        <f t="array" ref="AL131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13">
        <v>0</v>
      </c>
    </row>
    <row r="1314" spans="1:39" x14ac:dyDescent="0.25">
      <c r="A1314">
        <v>31</v>
      </c>
      <c r="B1314" t="s">
        <v>36</v>
      </c>
      <c r="C1314" t="s">
        <v>37</v>
      </c>
      <c r="D1314">
        <v>359</v>
      </c>
      <c r="E1314" t="s">
        <v>62</v>
      </c>
      <c r="G1314">
        <v>18</v>
      </c>
      <c r="H1314">
        <v>5</v>
      </c>
      <c r="I1314" t="s">
        <v>62</v>
      </c>
      <c r="J1314" t="str">
        <f>WA_Fn_UseC__HR_Employee_Attrition[[#This Row],[EducationField]]&amp;"-"&amp;WA_Fn_UseC__HR_Employee_Attrition[[#This Row],[Department]]</f>
        <v>Human Resources-Human Resources</v>
      </c>
      <c r="K1314">
        <v>1</v>
      </c>
      <c r="L1314">
        <v>1842</v>
      </c>
      <c r="M1314">
        <v>4</v>
      </c>
      <c r="N1314" t="s">
        <v>47</v>
      </c>
      <c r="O1314">
        <v>89</v>
      </c>
      <c r="P1314">
        <v>4</v>
      </c>
      <c r="Q1314">
        <v>1</v>
      </c>
      <c r="R1314" t="s">
        <v>62</v>
      </c>
      <c r="S1314">
        <v>1</v>
      </c>
      <c r="T1314" t="s">
        <v>49</v>
      </c>
      <c r="U1314">
        <v>2956</v>
      </c>
      <c r="V1314" t="str" cm="1">
        <f t="array" ref="V131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14">
        <v>21495</v>
      </c>
      <c r="X1314">
        <v>0</v>
      </c>
      <c r="Y1314" t="s">
        <v>43</v>
      </c>
      <c r="Z1314" t="s">
        <v>44</v>
      </c>
      <c r="AA1314">
        <v>17</v>
      </c>
      <c r="AB1314">
        <v>3</v>
      </c>
      <c r="AC1314">
        <v>3</v>
      </c>
      <c r="AD1314">
        <v>80</v>
      </c>
      <c r="AE1314">
        <v>0</v>
      </c>
      <c r="AF1314">
        <v>2</v>
      </c>
      <c r="AG1314">
        <v>4</v>
      </c>
      <c r="AH1314">
        <v>3</v>
      </c>
      <c r="AI1314">
        <v>1</v>
      </c>
      <c r="AJ1314">
        <v>0</v>
      </c>
      <c r="AK1314">
        <v>0</v>
      </c>
      <c r="AL1314" t="str" cm="1">
        <f t="array" ref="AL131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14">
        <v>0</v>
      </c>
    </row>
    <row r="1315" spans="1:39" x14ac:dyDescent="0.25">
      <c r="A1315">
        <v>29</v>
      </c>
      <c r="B1315" t="s">
        <v>36</v>
      </c>
      <c r="C1315" t="s">
        <v>37</v>
      </c>
      <c r="D1315">
        <v>350</v>
      </c>
      <c r="E1315" t="s">
        <v>62</v>
      </c>
      <c r="G1315">
        <v>13</v>
      </c>
      <c r="H1315">
        <v>3</v>
      </c>
      <c r="I1315" t="s">
        <v>62</v>
      </c>
      <c r="J1315" t="str">
        <f>WA_Fn_UseC__HR_Employee_Attrition[[#This Row],[EducationField]]&amp;"-"&amp;WA_Fn_UseC__HR_Employee_Attrition[[#This Row],[Department]]</f>
        <v>Human Resources-Human Resources</v>
      </c>
      <c r="K1315">
        <v>1</v>
      </c>
      <c r="L1315">
        <v>1844</v>
      </c>
      <c r="M1315">
        <v>1</v>
      </c>
      <c r="N1315" t="s">
        <v>47</v>
      </c>
      <c r="O1315">
        <v>56</v>
      </c>
      <c r="P1315">
        <v>2</v>
      </c>
      <c r="Q1315">
        <v>1</v>
      </c>
      <c r="R1315" t="s">
        <v>62</v>
      </c>
      <c r="S1315">
        <v>1</v>
      </c>
      <c r="T1315" t="s">
        <v>53</v>
      </c>
      <c r="U1315">
        <v>2335</v>
      </c>
      <c r="V1315" t="str" cm="1">
        <f t="array" ref="V131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15">
        <v>3157</v>
      </c>
      <c r="X1315">
        <v>4</v>
      </c>
      <c r="Y1315" t="s">
        <v>43</v>
      </c>
      <c r="Z1315" t="s">
        <v>36</v>
      </c>
      <c r="AA1315">
        <v>15</v>
      </c>
      <c r="AB1315">
        <v>3</v>
      </c>
      <c r="AC1315">
        <v>4</v>
      </c>
      <c r="AD1315">
        <v>80</v>
      </c>
      <c r="AE1315">
        <v>3</v>
      </c>
      <c r="AF1315">
        <v>4</v>
      </c>
      <c r="AG1315">
        <v>3</v>
      </c>
      <c r="AH1315">
        <v>3</v>
      </c>
      <c r="AI1315">
        <v>2</v>
      </c>
      <c r="AJ1315">
        <v>2</v>
      </c>
      <c r="AK1315">
        <v>2</v>
      </c>
      <c r="AL1315" t="str" cm="1">
        <f t="array" ref="AL131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15">
        <v>0</v>
      </c>
    </row>
    <row r="1316" spans="1:39" x14ac:dyDescent="0.25">
      <c r="A1316">
        <v>45</v>
      </c>
      <c r="B1316" t="s">
        <v>44</v>
      </c>
      <c r="C1316" t="s">
        <v>56</v>
      </c>
      <c r="D1316">
        <v>589</v>
      </c>
      <c r="E1316" t="s">
        <v>38</v>
      </c>
      <c r="G1316">
        <v>2</v>
      </c>
      <c r="H1316">
        <v>4</v>
      </c>
      <c r="I1316" t="s">
        <v>39</v>
      </c>
      <c r="J1316" t="str">
        <f>WA_Fn_UseC__HR_Employee_Attrition[[#This Row],[EducationField]]&amp;"-"&amp;WA_Fn_UseC__HR_Employee_Attrition[[#This Row],[Department]]</f>
        <v>Life Sciences-Sales</v>
      </c>
      <c r="K1316">
        <v>1</v>
      </c>
      <c r="L1316">
        <v>1845</v>
      </c>
      <c r="M1316">
        <v>3</v>
      </c>
      <c r="N1316" t="s">
        <v>40</v>
      </c>
      <c r="O1316">
        <v>67</v>
      </c>
      <c r="P1316">
        <v>3</v>
      </c>
      <c r="Q1316">
        <v>2</v>
      </c>
      <c r="R1316" t="s">
        <v>41</v>
      </c>
      <c r="S1316">
        <v>3</v>
      </c>
      <c r="T1316" t="s">
        <v>49</v>
      </c>
      <c r="U1316">
        <v>5154</v>
      </c>
      <c r="V1316" t="str" cm="1">
        <f t="array" ref="V131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16">
        <v>19665</v>
      </c>
      <c r="X1316">
        <v>4</v>
      </c>
      <c r="Y1316" t="s">
        <v>43</v>
      </c>
      <c r="Z1316" t="s">
        <v>44</v>
      </c>
      <c r="AA1316">
        <v>22</v>
      </c>
      <c r="AB1316">
        <v>4</v>
      </c>
      <c r="AC1316">
        <v>2</v>
      </c>
      <c r="AD1316">
        <v>80</v>
      </c>
      <c r="AE1316">
        <v>2</v>
      </c>
      <c r="AF1316">
        <v>10</v>
      </c>
      <c r="AG1316">
        <v>3</v>
      </c>
      <c r="AH1316">
        <v>4</v>
      </c>
      <c r="AI1316">
        <v>8</v>
      </c>
      <c r="AJ1316">
        <v>7</v>
      </c>
      <c r="AK1316">
        <v>5</v>
      </c>
      <c r="AL1316" t="str" cm="1">
        <f t="array" ref="AL131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16">
        <v>7</v>
      </c>
    </row>
    <row r="1317" spans="1:39" x14ac:dyDescent="0.25">
      <c r="A1317">
        <v>36</v>
      </c>
      <c r="B1317" t="s">
        <v>44</v>
      </c>
      <c r="C1317" t="s">
        <v>37</v>
      </c>
      <c r="D1317">
        <v>430</v>
      </c>
      <c r="E1317" t="s">
        <v>46</v>
      </c>
      <c r="G1317">
        <v>2</v>
      </c>
      <c r="H1317">
        <v>4</v>
      </c>
      <c r="I1317" t="s">
        <v>50</v>
      </c>
      <c r="J1317" t="str">
        <f>WA_Fn_UseC__HR_Employee_Attrition[[#This Row],[EducationField]]&amp;"-"&amp;WA_Fn_UseC__HR_Employee_Attrition[[#This Row],[Department]]</f>
        <v>Other-Research &amp; Development</v>
      </c>
      <c r="K1317">
        <v>1</v>
      </c>
      <c r="L1317">
        <v>1847</v>
      </c>
      <c r="M1317">
        <v>4</v>
      </c>
      <c r="N1317" t="s">
        <v>40</v>
      </c>
      <c r="O1317">
        <v>73</v>
      </c>
      <c r="P1317">
        <v>3</v>
      </c>
      <c r="Q1317">
        <v>2</v>
      </c>
      <c r="R1317" t="s">
        <v>48</v>
      </c>
      <c r="S1317">
        <v>2</v>
      </c>
      <c r="T1317" t="s">
        <v>49</v>
      </c>
      <c r="U1317">
        <v>6962</v>
      </c>
      <c r="V1317" t="str" cm="1">
        <f t="array" ref="V131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17">
        <v>19573</v>
      </c>
      <c r="X1317">
        <v>4</v>
      </c>
      <c r="Y1317" t="s">
        <v>43</v>
      </c>
      <c r="Z1317" t="s">
        <v>36</v>
      </c>
      <c r="AA1317">
        <v>22</v>
      </c>
      <c r="AB1317">
        <v>4</v>
      </c>
      <c r="AC1317">
        <v>4</v>
      </c>
      <c r="AD1317">
        <v>80</v>
      </c>
      <c r="AE1317">
        <v>1</v>
      </c>
      <c r="AF1317">
        <v>15</v>
      </c>
      <c r="AG1317">
        <v>2</v>
      </c>
      <c r="AH1317">
        <v>3</v>
      </c>
      <c r="AI1317">
        <v>1</v>
      </c>
      <c r="AJ1317">
        <v>0</v>
      </c>
      <c r="AK1317">
        <v>0</v>
      </c>
      <c r="AL1317" t="str" cm="1">
        <f t="array" ref="AL131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17">
        <v>0</v>
      </c>
    </row>
    <row r="1318" spans="1:39" x14ac:dyDescent="0.25">
      <c r="A1318">
        <v>43</v>
      </c>
      <c r="B1318" t="s">
        <v>44</v>
      </c>
      <c r="C1318" t="s">
        <v>45</v>
      </c>
      <c r="D1318">
        <v>1422</v>
      </c>
      <c r="E1318" t="s">
        <v>38</v>
      </c>
      <c r="G1318">
        <v>2</v>
      </c>
      <c r="H1318">
        <v>4</v>
      </c>
      <c r="I1318" t="s">
        <v>39</v>
      </c>
      <c r="J1318" t="str">
        <f>WA_Fn_UseC__HR_Employee_Attrition[[#This Row],[EducationField]]&amp;"-"&amp;WA_Fn_UseC__HR_Employee_Attrition[[#This Row],[Department]]</f>
        <v>Life Sciences-Sales</v>
      </c>
      <c r="K1318">
        <v>1</v>
      </c>
      <c r="L1318">
        <v>1849</v>
      </c>
      <c r="M1318">
        <v>1</v>
      </c>
      <c r="N1318" t="s">
        <v>47</v>
      </c>
      <c r="O1318">
        <v>92</v>
      </c>
      <c r="P1318">
        <v>3</v>
      </c>
      <c r="Q1318">
        <v>2</v>
      </c>
      <c r="R1318" t="s">
        <v>41</v>
      </c>
      <c r="S1318">
        <v>4</v>
      </c>
      <c r="T1318" t="s">
        <v>49</v>
      </c>
      <c r="U1318">
        <v>5675</v>
      </c>
      <c r="V1318" t="str" cm="1">
        <f t="array" ref="V131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18">
        <v>19246</v>
      </c>
      <c r="X1318">
        <v>1</v>
      </c>
      <c r="Y1318" t="s">
        <v>43</v>
      </c>
      <c r="Z1318" t="s">
        <v>44</v>
      </c>
      <c r="AA1318">
        <v>20</v>
      </c>
      <c r="AB1318">
        <v>4</v>
      </c>
      <c r="AC1318">
        <v>3</v>
      </c>
      <c r="AD1318">
        <v>80</v>
      </c>
      <c r="AE1318">
        <v>1</v>
      </c>
      <c r="AF1318">
        <v>7</v>
      </c>
      <c r="AG1318">
        <v>5</v>
      </c>
      <c r="AH1318">
        <v>3</v>
      </c>
      <c r="AI1318">
        <v>7</v>
      </c>
      <c r="AJ1318">
        <v>7</v>
      </c>
      <c r="AK1318">
        <v>7</v>
      </c>
      <c r="AL1318" t="str" cm="1">
        <f t="array" ref="AL131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18">
        <v>7</v>
      </c>
    </row>
    <row r="1319" spans="1:39" x14ac:dyDescent="0.25">
      <c r="A1319">
        <v>27</v>
      </c>
      <c r="B1319" t="s">
        <v>44</v>
      </c>
      <c r="C1319" t="s">
        <v>45</v>
      </c>
      <c r="D1319">
        <v>1297</v>
      </c>
      <c r="E1319" t="s">
        <v>46</v>
      </c>
      <c r="G1319">
        <v>5</v>
      </c>
      <c r="H1319">
        <v>2</v>
      </c>
      <c r="I1319" t="s">
        <v>39</v>
      </c>
      <c r="J1319" t="str">
        <f>WA_Fn_UseC__HR_Employee_Attrition[[#This Row],[EducationField]]&amp;"-"&amp;WA_Fn_UseC__HR_Employee_Attrition[[#This Row],[Department]]</f>
        <v>Life Sciences-Research &amp; Development</v>
      </c>
      <c r="K1319">
        <v>1</v>
      </c>
      <c r="L1319">
        <v>1850</v>
      </c>
      <c r="M1319">
        <v>4</v>
      </c>
      <c r="N1319" t="s">
        <v>40</v>
      </c>
      <c r="O1319">
        <v>53</v>
      </c>
      <c r="P1319">
        <v>3</v>
      </c>
      <c r="Q1319">
        <v>1</v>
      </c>
      <c r="R1319" t="s">
        <v>51</v>
      </c>
      <c r="S1319">
        <v>4</v>
      </c>
      <c r="T1319" t="s">
        <v>42</v>
      </c>
      <c r="U1319">
        <v>2379</v>
      </c>
      <c r="V1319" t="str" cm="1">
        <f t="array" ref="V131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19">
        <v>19826</v>
      </c>
      <c r="X1319">
        <v>0</v>
      </c>
      <c r="Y1319" t="s">
        <v>43</v>
      </c>
      <c r="Z1319" t="s">
        <v>36</v>
      </c>
      <c r="AA1319">
        <v>14</v>
      </c>
      <c r="AB1319">
        <v>3</v>
      </c>
      <c r="AC1319">
        <v>3</v>
      </c>
      <c r="AD1319">
        <v>80</v>
      </c>
      <c r="AE1319">
        <v>0</v>
      </c>
      <c r="AF1319">
        <v>6</v>
      </c>
      <c r="AG1319">
        <v>3</v>
      </c>
      <c r="AH1319">
        <v>2</v>
      </c>
      <c r="AI1319">
        <v>5</v>
      </c>
      <c r="AJ1319">
        <v>4</v>
      </c>
      <c r="AK1319">
        <v>0</v>
      </c>
      <c r="AL1319" t="str" cm="1">
        <f t="array" ref="AL131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19">
        <v>2</v>
      </c>
    </row>
    <row r="1320" spans="1:39" x14ac:dyDescent="0.25">
      <c r="A1320">
        <v>29</v>
      </c>
      <c r="B1320" t="s">
        <v>44</v>
      </c>
      <c r="C1320" t="s">
        <v>45</v>
      </c>
      <c r="D1320">
        <v>574</v>
      </c>
      <c r="E1320" t="s">
        <v>46</v>
      </c>
      <c r="G1320">
        <v>20</v>
      </c>
      <c r="H1320">
        <v>1</v>
      </c>
      <c r="I1320" t="s">
        <v>52</v>
      </c>
      <c r="J1320" t="str">
        <f>WA_Fn_UseC__HR_Employee_Attrition[[#This Row],[EducationField]]&amp;"-"&amp;WA_Fn_UseC__HR_Employee_Attrition[[#This Row],[Department]]</f>
        <v>Medical-Research &amp; Development</v>
      </c>
      <c r="K1320">
        <v>1</v>
      </c>
      <c r="L1320">
        <v>1852</v>
      </c>
      <c r="M1320">
        <v>4</v>
      </c>
      <c r="N1320" t="s">
        <v>47</v>
      </c>
      <c r="O1320">
        <v>40</v>
      </c>
      <c r="P1320">
        <v>3</v>
      </c>
      <c r="Q1320">
        <v>1</v>
      </c>
      <c r="R1320" t="s">
        <v>51</v>
      </c>
      <c r="S1320">
        <v>4</v>
      </c>
      <c r="T1320" t="s">
        <v>49</v>
      </c>
      <c r="U1320">
        <v>3812</v>
      </c>
      <c r="V1320" t="str" cm="1">
        <f t="array" ref="V132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20">
        <v>7003</v>
      </c>
      <c r="X1320">
        <v>1</v>
      </c>
      <c r="Y1320" t="s">
        <v>43</v>
      </c>
      <c r="Z1320" t="s">
        <v>44</v>
      </c>
      <c r="AA1320">
        <v>13</v>
      </c>
      <c r="AB1320">
        <v>3</v>
      </c>
      <c r="AC1320">
        <v>2</v>
      </c>
      <c r="AD1320">
        <v>80</v>
      </c>
      <c r="AE1320">
        <v>0</v>
      </c>
      <c r="AF1320">
        <v>11</v>
      </c>
      <c r="AG1320">
        <v>3</v>
      </c>
      <c r="AH1320">
        <v>4</v>
      </c>
      <c r="AI1320">
        <v>11</v>
      </c>
      <c r="AJ1320">
        <v>8</v>
      </c>
      <c r="AK1320">
        <v>3</v>
      </c>
      <c r="AL1320" t="str" cm="1">
        <f t="array" ref="AL132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20">
        <v>10</v>
      </c>
    </row>
    <row r="1321" spans="1:39" x14ac:dyDescent="0.25">
      <c r="A1321">
        <v>32</v>
      </c>
      <c r="B1321" t="s">
        <v>44</v>
      </c>
      <c r="C1321" t="s">
        <v>45</v>
      </c>
      <c r="D1321">
        <v>1318</v>
      </c>
      <c r="E1321" t="s">
        <v>38</v>
      </c>
      <c r="G1321">
        <v>10</v>
      </c>
      <c r="H1321">
        <v>4</v>
      </c>
      <c r="I1321" t="s">
        <v>60</v>
      </c>
      <c r="J1321" t="str">
        <f>WA_Fn_UseC__HR_Employee_Attrition[[#This Row],[EducationField]]&amp;"-"&amp;WA_Fn_UseC__HR_Employee_Attrition[[#This Row],[Department]]</f>
        <v>Marketing-Sales</v>
      </c>
      <c r="K1321">
        <v>1</v>
      </c>
      <c r="L1321">
        <v>1853</v>
      </c>
      <c r="M1321">
        <v>4</v>
      </c>
      <c r="N1321" t="s">
        <v>47</v>
      </c>
      <c r="O1321">
        <v>79</v>
      </c>
      <c r="P1321">
        <v>3</v>
      </c>
      <c r="Q1321">
        <v>2</v>
      </c>
      <c r="R1321" t="s">
        <v>41</v>
      </c>
      <c r="S1321">
        <v>4</v>
      </c>
      <c r="T1321" t="s">
        <v>42</v>
      </c>
      <c r="U1321">
        <v>4648</v>
      </c>
      <c r="V1321" t="str" cm="1">
        <f t="array" ref="V132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21">
        <v>26075</v>
      </c>
      <c r="X1321">
        <v>8</v>
      </c>
      <c r="Y1321" t="s">
        <v>43</v>
      </c>
      <c r="Z1321" t="s">
        <v>44</v>
      </c>
      <c r="AA1321">
        <v>13</v>
      </c>
      <c r="AB1321">
        <v>3</v>
      </c>
      <c r="AC1321">
        <v>3</v>
      </c>
      <c r="AD1321">
        <v>80</v>
      </c>
      <c r="AE1321">
        <v>0</v>
      </c>
      <c r="AF1321">
        <v>4</v>
      </c>
      <c r="AG1321">
        <v>2</v>
      </c>
      <c r="AH1321">
        <v>4</v>
      </c>
      <c r="AI1321">
        <v>0</v>
      </c>
      <c r="AJ1321">
        <v>0</v>
      </c>
      <c r="AK1321">
        <v>0</v>
      </c>
      <c r="AL1321" t="str" cm="1">
        <f t="array" ref="AL132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21">
        <v>0</v>
      </c>
    </row>
    <row r="1322" spans="1:39" x14ac:dyDescent="0.25">
      <c r="A1322">
        <v>42</v>
      </c>
      <c r="B1322" t="s">
        <v>44</v>
      </c>
      <c r="C1322" t="s">
        <v>56</v>
      </c>
      <c r="D1322">
        <v>355</v>
      </c>
      <c r="E1322" t="s">
        <v>46</v>
      </c>
      <c r="G1322">
        <v>10</v>
      </c>
      <c r="H1322">
        <v>4</v>
      </c>
      <c r="I1322" t="s">
        <v>61</v>
      </c>
      <c r="J1322" t="str">
        <f>WA_Fn_UseC__HR_Employee_Attrition[[#This Row],[EducationField]]&amp;"-"&amp;WA_Fn_UseC__HR_Employee_Attrition[[#This Row],[Department]]</f>
        <v>Technical Degree-Research &amp; Development</v>
      </c>
      <c r="K1322">
        <v>1</v>
      </c>
      <c r="L1322">
        <v>1854</v>
      </c>
      <c r="M1322">
        <v>3</v>
      </c>
      <c r="N1322" t="s">
        <v>47</v>
      </c>
      <c r="O1322">
        <v>38</v>
      </c>
      <c r="P1322">
        <v>3</v>
      </c>
      <c r="Q1322">
        <v>1</v>
      </c>
      <c r="R1322" t="s">
        <v>48</v>
      </c>
      <c r="S1322">
        <v>3</v>
      </c>
      <c r="T1322" t="s">
        <v>49</v>
      </c>
      <c r="U1322">
        <v>2936</v>
      </c>
      <c r="V1322" t="str" cm="1">
        <f t="array" ref="V132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22">
        <v>6161</v>
      </c>
      <c r="X1322">
        <v>3</v>
      </c>
      <c r="Y1322" t="s">
        <v>43</v>
      </c>
      <c r="Z1322" t="s">
        <v>44</v>
      </c>
      <c r="AA1322">
        <v>22</v>
      </c>
      <c r="AB1322">
        <v>4</v>
      </c>
      <c r="AC1322">
        <v>2</v>
      </c>
      <c r="AD1322">
        <v>80</v>
      </c>
      <c r="AE1322">
        <v>2</v>
      </c>
      <c r="AF1322">
        <v>10</v>
      </c>
      <c r="AG1322">
        <v>1</v>
      </c>
      <c r="AH1322">
        <v>2</v>
      </c>
      <c r="AI1322">
        <v>6</v>
      </c>
      <c r="AJ1322">
        <v>3</v>
      </c>
      <c r="AK1322">
        <v>3</v>
      </c>
      <c r="AL1322" t="str" cm="1">
        <f t="array" ref="AL132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22">
        <v>3</v>
      </c>
    </row>
    <row r="1323" spans="1:39" x14ac:dyDescent="0.25">
      <c r="A1323">
        <v>47</v>
      </c>
      <c r="B1323" t="s">
        <v>44</v>
      </c>
      <c r="C1323" t="s">
        <v>37</v>
      </c>
      <c r="D1323">
        <v>207</v>
      </c>
      <c r="E1323" t="s">
        <v>46</v>
      </c>
      <c r="G1323">
        <v>9</v>
      </c>
      <c r="H1323">
        <v>4</v>
      </c>
      <c r="I1323" t="s">
        <v>39</v>
      </c>
      <c r="J1323" t="str">
        <f>WA_Fn_UseC__HR_Employee_Attrition[[#This Row],[EducationField]]&amp;"-"&amp;WA_Fn_UseC__HR_Employee_Attrition[[#This Row],[Department]]</f>
        <v>Life Sciences-Research &amp; Development</v>
      </c>
      <c r="K1323">
        <v>1</v>
      </c>
      <c r="L1323">
        <v>1856</v>
      </c>
      <c r="M1323">
        <v>2</v>
      </c>
      <c r="N1323" t="s">
        <v>40</v>
      </c>
      <c r="O1323">
        <v>64</v>
      </c>
      <c r="P1323">
        <v>3</v>
      </c>
      <c r="Q1323">
        <v>1</v>
      </c>
      <c r="R1323" t="s">
        <v>51</v>
      </c>
      <c r="S1323">
        <v>3</v>
      </c>
      <c r="T1323" t="s">
        <v>42</v>
      </c>
      <c r="U1323">
        <v>2105</v>
      </c>
      <c r="V1323" t="str" cm="1">
        <f t="array" ref="V132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23">
        <v>5411</v>
      </c>
      <c r="X1323">
        <v>4</v>
      </c>
      <c r="Y1323" t="s">
        <v>43</v>
      </c>
      <c r="Z1323" t="s">
        <v>44</v>
      </c>
      <c r="AA1323">
        <v>12</v>
      </c>
      <c r="AB1323">
        <v>3</v>
      </c>
      <c r="AC1323">
        <v>3</v>
      </c>
      <c r="AD1323">
        <v>80</v>
      </c>
      <c r="AE1323">
        <v>0</v>
      </c>
      <c r="AF1323">
        <v>7</v>
      </c>
      <c r="AG1323">
        <v>2</v>
      </c>
      <c r="AH1323">
        <v>3</v>
      </c>
      <c r="AI1323">
        <v>2</v>
      </c>
      <c r="AJ1323">
        <v>2</v>
      </c>
      <c r="AK1323">
        <v>2</v>
      </c>
      <c r="AL1323" t="str" cm="1">
        <f t="array" ref="AL132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23">
        <v>0</v>
      </c>
    </row>
    <row r="1324" spans="1:39" x14ac:dyDescent="0.25">
      <c r="A1324">
        <v>46</v>
      </c>
      <c r="B1324" t="s">
        <v>44</v>
      </c>
      <c r="C1324" t="s">
        <v>37</v>
      </c>
      <c r="D1324">
        <v>706</v>
      </c>
      <c r="E1324" t="s">
        <v>46</v>
      </c>
      <c r="G1324">
        <v>2</v>
      </c>
      <c r="H1324">
        <v>2</v>
      </c>
      <c r="I1324" t="s">
        <v>39</v>
      </c>
      <c r="J1324" t="str">
        <f>WA_Fn_UseC__HR_Employee_Attrition[[#This Row],[EducationField]]&amp;"-"&amp;WA_Fn_UseC__HR_Employee_Attrition[[#This Row],[Department]]</f>
        <v>Life Sciences-Research &amp; Development</v>
      </c>
      <c r="K1324">
        <v>1</v>
      </c>
      <c r="L1324">
        <v>1857</v>
      </c>
      <c r="M1324">
        <v>4</v>
      </c>
      <c r="N1324" t="s">
        <v>47</v>
      </c>
      <c r="O1324">
        <v>82</v>
      </c>
      <c r="P1324">
        <v>3</v>
      </c>
      <c r="Q1324">
        <v>3</v>
      </c>
      <c r="R1324" t="s">
        <v>54</v>
      </c>
      <c r="S1324">
        <v>4</v>
      </c>
      <c r="T1324" t="s">
        <v>53</v>
      </c>
      <c r="U1324">
        <v>8578</v>
      </c>
      <c r="V1324" t="str" cm="1">
        <f t="array" ref="V132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24">
        <v>19989</v>
      </c>
      <c r="X1324">
        <v>3</v>
      </c>
      <c r="Y1324" t="s">
        <v>43</v>
      </c>
      <c r="Z1324" t="s">
        <v>44</v>
      </c>
      <c r="AA1324">
        <v>14</v>
      </c>
      <c r="AB1324">
        <v>3</v>
      </c>
      <c r="AC1324">
        <v>3</v>
      </c>
      <c r="AD1324">
        <v>80</v>
      </c>
      <c r="AE1324">
        <v>1</v>
      </c>
      <c r="AF1324">
        <v>12</v>
      </c>
      <c r="AG1324">
        <v>4</v>
      </c>
      <c r="AH1324">
        <v>2</v>
      </c>
      <c r="AI1324">
        <v>9</v>
      </c>
      <c r="AJ1324">
        <v>8</v>
      </c>
      <c r="AK1324">
        <v>4</v>
      </c>
      <c r="AL1324" t="str" cm="1">
        <f t="array" ref="AL132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24">
        <v>7</v>
      </c>
    </row>
    <row r="1325" spans="1:39" x14ac:dyDescent="0.25">
      <c r="A1325">
        <v>28</v>
      </c>
      <c r="B1325" t="s">
        <v>44</v>
      </c>
      <c r="C1325" t="s">
        <v>56</v>
      </c>
      <c r="D1325">
        <v>280</v>
      </c>
      <c r="E1325" t="s">
        <v>62</v>
      </c>
      <c r="G1325">
        <v>1</v>
      </c>
      <c r="H1325">
        <v>2</v>
      </c>
      <c r="I1325" t="s">
        <v>39</v>
      </c>
      <c r="J1325" t="str">
        <f>WA_Fn_UseC__HR_Employee_Attrition[[#This Row],[EducationField]]&amp;"-"&amp;WA_Fn_UseC__HR_Employee_Attrition[[#This Row],[Department]]</f>
        <v>Life Sciences-Human Resources</v>
      </c>
      <c r="K1325">
        <v>1</v>
      </c>
      <c r="L1325">
        <v>1858</v>
      </c>
      <c r="M1325">
        <v>3</v>
      </c>
      <c r="N1325" t="s">
        <v>47</v>
      </c>
      <c r="O1325">
        <v>43</v>
      </c>
      <c r="P1325">
        <v>3</v>
      </c>
      <c r="Q1325">
        <v>1</v>
      </c>
      <c r="R1325" t="s">
        <v>62</v>
      </c>
      <c r="S1325">
        <v>4</v>
      </c>
      <c r="T1325" t="s">
        <v>53</v>
      </c>
      <c r="U1325">
        <v>2706</v>
      </c>
      <c r="V1325" t="str" cm="1">
        <f t="array" ref="V132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25">
        <v>10494</v>
      </c>
      <c r="X1325">
        <v>1</v>
      </c>
      <c r="Y1325" t="s">
        <v>43</v>
      </c>
      <c r="Z1325" t="s">
        <v>44</v>
      </c>
      <c r="AA1325">
        <v>15</v>
      </c>
      <c r="AB1325">
        <v>3</v>
      </c>
      <c r="AC1325">
        <v>2</v>
      </c>
      <c r="AD1325">
        <v>80</v>
      </c>
      <c r="AE1325">
        <v>1</v>
      </c>
      <c r="AF1325">
        <v>3</v>
      </c>
      <c r="AG1325">
        <v>2</v>
      </c>
      <c r="AH1325">
        <v>3</v>
      </c>
      <c r="AI1325">
        <v>3</v>
      </c>
      <c r="AJ1325">
        <v>2</v>
      </c>
      <c r="AK1325">
        <v>2</v>
      </c>
      <c r="AL1325" t="str" cm="1">
        <f t="array" ref="AL132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25">
        <v>2</v>
      </c>
    </row>
    <row r="1326" spans="1:39" x14ac:dyDescent="0.25">
      <c r="A1326">
        <v>29</v>
      </c>
      <c r="B1326" t="s">
        <v>44</v>
      </c>
      <c r="C1326" t="s">
        <v>37</v>
      </c>
      <c r="D1326">
        <v>726</v>
      </c>
      <c r="E1326" t="s">
        <v>46</v>
      </c>
      <c r="G1326">
        <v>29</v>
      </c>
      <c r="H1326">
        <v>1</v>
      </c>
      <c r="I1326" t="s">
        <v>39</v>
      </c>
      <c r="J1326" t="str">
        <f>WA_Fn_UseC__HR_Employee_Attrition[[#This Row],[EducationField]]&amp;"-"&amp;WA_Fn_UseC__HR_Employee_Attrition[[#This Row],[Department]]</f>
        <v>Life Sciences-Research &amp; Development</v>
      </c>
      <c r="K1326">
        <v>1</v>
      </c>
      <c r="L1326">
        <v>1859</v>
      </c>
      <c r="M1326">
        <v>4</v>
      </c>
      <c r="N1326" t="s">
        <v>47</v>
      </c>
      <c r="O1326">
        <v>93</v>
      </c>
      <c r="P1326">
        <v>1</v>
      </c>
      <c r="Q1326">
        <v>2</v>
      </c>
      <c r="R1326" t="s">
        <v>55</v>
      </c>
      <c r="S1326">
        <v>3</v>
      </c>
      <c r="T1326" t="s">
        <v>53</v>
      </c>
      <c r="U1326">
        <v>6384</v>
      </c>
      <c r="V1326" t="str" cm="1">
        <f t="array" ref="V132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26">
        <v>21143</v>
      </c>
      <c r="X1326">
        <v>8</v>
      </c>
      <c r="Y1326" t="s">
        <v>43</v>
      </c>
      <c r="Z1326" t="s">
        <v>44</v>
      </c>
      <c r="AA1326">
        <v>17</v>
      </c>
      <c r="AB1326">
        <v>3</v>
      </c>
      <c r="AC1326">
        <v>4</v>
      </c>
      <c r="AD1326">
        <v>80</v>
      </c>
      <c r="AE1326">
        <v>2</v>
      </c>
      <c r="AF1326">
        <v>11</v>
      </c>
      <c r="AG1326">
        <v>3</v>
      </c>
      <c r="AH1326">
        <v>3</v>
      </c>
      <c r="AI1326">
        <v>7</v>
      </c>
      <c r="AJ1326">
        <v>0</v>
      </c>
      <c r="AK1326">
        <v>1</v>
      </c>
      <c r="AL1326" t="str" cm="1">
        <f t="array" ref="AL132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26">
        <v>6</v>
      </c>
    </row>
    <row r="1327" spans="1:39" x14ac:dyDescent="0.25">
      <c r="A1327">
        <v>42</v>
      </c>
      <c r="B1327" t="s">
        <v>44</v>
      </c>
      <c r="C1327" t="s">
        <v>37</v>
      </c>
      <c r="D1327">
        <v>1142</v>
      </c>
      <c r="E1327" t="s">
        <v>46</v>
      </c>
      <c r="G1327">
        <v>8</v>
      </c>
      <c r="H1327">
        <v>3</v>
      </c>
      <c r="I1327" t="s">
        <v>39</v>
      </c>
      <c r="J1327" t="str">
        <f>WA_Fn_UseC__HR_Employee_Attrition[[#This Row],[EducationField]]&amp;"-"&amp;WA_Fn_UseC__HR_Employee_Attrition[[#This Row],[Department]]</f>
        <v>Life Sciences-Research &amp; Development</v>
      </c>
      <c r="K1327">
        <v>1</v>
      </c>
      <c r="L1327">
        <v>1860</v>
      </c>
      <c r="M1327">
        <v>4</v>
      </c>
      <c r="N1327" t="s">
        <v>47</v>
      </c>
      <c r="O1327">
        <v>81</v>
      </c>
      <c r="P1327">
        <v>3</v>
      </c>
      <c r="Q1327">
        <v>1</v>
      </c>
      <c r="R1327" t="s">
        <v>51</v>
      </c>
      <c r="S1327">
        <v>3</v>
      </c>
      <c r="T1327" t="s">
        <v>42</v>
      </c>
      <c r="U1327">
        <v>3968</v>
      </c>
      <c r="V1327" t="str" cm="1">
        <f t="array" ref="V132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27">
        <v>13624</v>
      </c>
      <c r="X1327">
        <v>4</v>
      </c>
      <c r="Y1327" t="s">
        <v>43</v>
      </c>
      <c r="Z1327" t="s">
        <v>44</v>
      </c>
      <c r="AA1327">
        <v>13</v>
      </c>
      <c r="AB1327">
        <v>3</v>
      </c>
      <c r="AC1327">
        <v>4</v>
      </c>
      <c r="AD1327">
        <v>80</v>
      </c>
      <c r="AE1327">
        <v>0</v>
      </c>
      <c r="AF1327">
        <v>8</v>
      </c>
      <c r="AG1327">
        <v>3</v>
      </c>
      <c r="AH1327">
        <v>3</v>
      </c>
      <c r="AI1327">
        <v>0</v>
      </c>
      <c r="AJ1327">
        <v>0</v>
      </c>
      <c r="AK1327">
        <v>0</v>
      </c>
      <c r="AL1327" t="str" cm="1">
        <f t="array" ref="AL132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27">
        <v>0</v>
      </c>
    </row>
    <row r="1328" spans="1:39" x14ac:dyDescent="0.25">
      <c r="A1328">
        <v>32</v>
      </c>
      <c r="B1328" t="s">
        <v>36</v>
      </c>
      <c r="C1328" t="s">
        <v>37</v>
      </c>
      <c r="D1328">
        <v>414</v>
      </c>
      <c r="E1328" t="s">
        <v>38</v>
      </c>
      <c r="G1328">
        <v>2</v>
      </c>
      <c r="H1328">
        <v>4</v>
      </c>
      <c r="I1328" t="s">
        <v>60</v>
      </c>
      <c r="J1328" t="str">
        <f>WA_Fn_UseC__HR_Employee_Attrition[[#This Row],[EducationField]]&amp;"-"&amp;WA_Fn_UseC__HR_Employee_Attrition[[#This Row],[Department]]</f>
        <v>Marketing-Sales</v>
      </c>
      <c r="K1328">
        <v>1</v>
      </c>
      <c r="L1328">
        <v>1862</v>
      </c>
      <c r="M1328">
        <v>3</v>
      </c>
      <c r="N1328" t="s">
        <v>47</v>
      </c>
      <c r="O1328">
        <v>82</v>
      </c>
      <c r="P1328">
        <v>2</v>
      </c>
      <c r="Q1328">
        <v>2</v>
      </c>
      <c r="R1328" t="s">
        <v>41</v>
      </c>
      <c r="S1328">
        <v>2</v>
      </c>
      <c r="T1328" t="s">
        <v>42</v>
      </c>
      <c r="U1328">
        <v>9907</v>
      </c>
      <c r="V1328" t="str" cm="1">
        <f t="array" ref="V132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28">
        <v>26186</v>
      </c>
      <c r="X1328">
        <v>7</v>
      </c>
      <c r="Y1328" t="s">
        <v>43</v>
      </c>
      <c r="Z1328" t="s">
        <v>36</v>
      </c>
      <c r="AA1328">
        <v>12</v>
      </c>
      <c r="AB1328">
        <v>3</v>
      </c>
      <c r="AC1328">
        <v>3</v>
      </c>
      <c r="AD1328">
        <v>80</v>
      </c>
      <c r="AE1328">
        <v>0</v>
      </c>
      <c r="AF1328">
        <v>7</v>
      </c>
      <c r="AG1328">
        <v>3</v>
      </c>
      <c r="AH1328">
        <v>2</v>
      </c>
      <c r="AI1328">
        <v>2</v>
      </c>
      <c r="AJ1328">
        <v>2</v>
      </c>
      <c r="AK1328">
        <v>2</v>
      </c>
      <c r="AL1328" t="str" cm="1">
        <f t="array" ref="AL132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28">
        <v>2</v>
      </c>
    </row>
    <row r="1329" spans="1:39" x14ac:dyDescent="0.25">
      <c r="A1329">
        <v>46</v>
      </c>
      <c r="B1329" t="s">
        <v>44</v>
      </c>
      <c r="C1329" t="s">
        <v>37</v>
      </c>
      <c r="D1329">
        <v>1319</v>
      </c>
      <c r="E1329" t="s">
        <v>38</v>
      </c>
      <c r="G1329">
        <v>3</v>
      </c>
      <c r="H1329">
        <v>3</v>
      </c>
      <c r="I1329" t="s">
        <v>61</v>
      </c>
      <c r="J1329" t="str">
        <f>WA_Fn_UseC__HR_Employee_Attrition[[#This Row],[EducationField]]&amp;"-"&amp;WA_Fn_UseC__HR_Employee_Attrition[[#This Row],[Department]]</f>
        <v>Technical Degree-Sales</v>
      </c>
      <c r="K1329">
        <v>1</v>
      </c>
      <c r="L1329">
        <v>1863</v>
      </c>
      <c r="M1329">
        <v>1</v>
      </c>
      <c r="N1329" t="s">
        <v>40</v>
      </c>
      <c r="O1329">
        <v>45</v>
      </c>
      <c r="P1329">
        <v>4</v>
      </c>
      <c r="Q1329">
        <v>4</v>
      </c>
      <c r="R1329" t="s">
        <v>41</v>
      </c>
      <c r="S1329">
        <v>1</v>
      </c>
      <c r="T1329" t="s">
        <v>53</v>
      </c>
      <c r="U1329">
        <v>13225</v>
      </c>
      <c r="V1329" t="str" cm="1">
        <f t="array" ref="V132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29">
        <v>7739</v>
      </c>
      <c r="X1329">
        <v>2</v>
      </c>
      <c r="Y1329" t="s">
        <v>43</v>
      </c>
      <c r="Z1329" t="s">
        <v>44</v>
      </c>
      <c r="AA1329">
        <v>12</v>
      </c>
      <c r="AB1329">
        <v>3</v>
      </c>
      <c r="AC1329">
        <v>4</v>
      </c>
      <c r="AD1329">
        <v>80</v>
      </c>
      <c r="AE1329">
        <v>1</v>
      </c>
      <c r="AF1329">
        <v>25</v>
      </c>
      <c r="AG1329">
        <v>5</v>
      </c>
      <c r="AH1329">
        <v>3</v>
      </c>
      <c r="AI1329">
        <v>19</v>
      </c>
      <c r="AJ1329">
        <v>17</v>
      </c>
      <c r="AK1329">
        <v>2</v>
      </c>
      <c r="AL1329" t="str" cm="1">
        <f t="array" ref="AL132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29">
        <v>8</v>
      </c>
    </row>
    <row r="1330" spans="1:39" x14ac:dyDescent="0.25">
      <c r="A1330">
        <v>27</v>
      </c>
      <c r="B1330" t="s">
        <v>44</v>
      </c>
      <c r="C1330" t="s">
        <v>37</v>
      </c>
      <c r="D1330">
        <v>728</v>
      </c>
      <c r="E1330" t="s">
        <v>38</v>
      </c>
      <c r="G1330">
        <v>23</v>
      </c>
      <c r="H1330">
        <v>1</v>
      </c>
      <c r="I1330" t="s">
        <v>52</v>
      </c>
      <c r="J1330" t="str">
        <f>WA_Fn_UseC__HR_Employee_Attrition[[#This Row],[EducationField]]&amp;"-"&amp;WA_Fn_UseC__HR_Employee_Attrition[[#This Row],[Department]]</f>
        <v>Medical-Sales</v>
      </c>
      <c r="K1330">
        <v>1</v>
      </c>
      <c r="L1330">
        <v>1864</v>
      </c>
      <c r="M1330">
        <v>2</v>
      </c>
      <c r="N1330" t="s">
        <v>40</v>
      </c>
      <c r="O1330">
        <v>36</v>
      </c>
      <c r="P1330">
        <v>2</v>
      </c>
      <c r="Q1330">
        <v>2</v>
      </c>
      <c r="R1330" t="s">
        <v>58</v>
      </c>
      <c r="S1330">
        <v>3</v>
      </c>
      <c r="T1330" t="s">
        <v>49</v>
      </c>
      <c r="U1330">
        <v>3540</v>
      </c>
      <c r="V1330" t="str" cm="1">
        <f t="array" ref="V133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30">
        <v>7018</v>
      </c>
      <c r="X1330">
        <v>1</v>
      </c>
      <c r="Y1330" t="s">
        <v>43</v>
      </c>
      <c r="Z1330" t="s">
        <v>44</v>
      </c>
      <c r="AA1330">
        <v>21</v>
      </c>
      <c r="AB1330">
        <v>4</v>
      </c>
      <c r="AC1330">
        <v>4</v>
      </c>
      <c r="AD1330">
        <v>80</v>
      </c>
      <c r="AE1330">
        <v>1</v>
      </c>
      <c r="AF1330">
        <v>9</v>
      </c>
      <c r="AG1330">
        <v>5</v>
      </c>
      <c r="AH1330">
        <v>3</v>
      </c>
      <c r="AI1330">
        <v>9</v>
      </c>
      <c r="AJ1330">
        <v>8</v>
      </c>
      <c r="AK1330">
        <v>5</v>
      </c>
      <c r="AL1330" t="str" cm="1">
        <f t="array" ref="AL133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30">
        <v>8</v>
      </c>
    </row>
    <row r="1331" spans="1:39" x14ac:dyDescent="0.25">
      <c r="A1331">
        <v>29</v>
      </c>
      <c r="B1331" t="s">
        <v>44</v>
      </c>
      <c r="C1331" t="s">
        <v>37</v>
      </c>
      <c r="D1331">
        <v>352</v>
      </c>
      <c r="E1331" t="s">
        <v>62</v>
      </c>
      <c r="G1331">
        <v>6</v>
      </c>
      <c r="H1331">
        <v>1</v>
      </c>
      <c r="I1331" t="s">
        <v>52</v>
      </c>
      <c r="J1331" t="str">
        <f>WA_Fn_UseC__HR_Employee_Attrition[[#This Row],[EducationField]]&amp;"-"&amp;WA_Fn_UseC__HR_Employee_Attrition[[#This Row],[Department]]</f>
        <v>Medical-Human Resources</v>
      </c>
      <c r="K1331">
        <v>1</v>
      </c>
      <c r="L1331">
        <v>1865</v>
      </c>
      <c r="M1331">
        <v>4</v>
      </c>
      <c r="N1331" t="s">
        <v>47</v>
      </c>
      <c r="O1331">
        <v>87</v>
      </c>
      <c r="P1331">
        <v>2</v>
      </c>
      <c r="Q1331">
        <v>1</v>
      </c>
      <c r="R1331" t="s">
        <v>62</v>
      </c>
      <c r="S1331">
        <v>2</v>
      </c>
      <c r="T1331" t="s">
        <v>49</v>
      </c>
      <c r="U1331">
        <v>2804</v>
      </c>
      <c r="V1331" t="str" cm="1">
        <f t="array" ref="V133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31">
        <v>15434</v>
      </c>
      <c r="X1331">
        <v>1</v>
      </c>
      <c r="Y1331" t="s">
        <v>43</v>
      </c>
      <c r="Z1331" t="s">
        <v>44</v>
      </c>
      <c r="AA1331">
        <v>11</v>
      </c>
      <c r="AB1331">
        <v>3</v>
      </c>
      <c r="AC1331">
        <v>4</v>
      </c>
      <c r="AD1331">
        <v>80</v>
      </c>
      <c r="AE1331">
        <v>0</v>
      </c>
      <c r="AF1331">
        <v>1</v>
      </c>
      <c r="AG1331">
        <v>3</v>
      </c>
      <c r="AH1331">
        <v>3</v>
      </c>
      <c r="AI1331">
        <v>1</v>
      </c>
      <c r="AJ1331">
        <v>0</v>
      </c>
      <c r="AK1331">
        <v>0</v>
      </c>
      <c r="AL1331" t="str" cm="1">
        <f t="array" ref="AL133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31">
        <v>0</v>
      </c>
    </row>
    <row r="1332" spans="1:39" x14ac:dyDescent="0.25">
      <c r="A1332">
        <v>43</v>
      </c>
      <c r="B1332" t="s">
        <v>44</v>
      </c>
      <c r="C1332" t="s">
        <v>37</v>
      </c>
      <c r="D1332">
        <v>823</v>
      </c>
      <c r="E1332" t="s">
        <v>46</v>
      </c>
      <c r="G1332">
        <v>6</v>
      </c>
      <c r="H1332">
        <v>3</v>
      </c>
      <c r="I1332" t="s">
        <v>52</v>
      </c>
      <c r="J1332" t="str">
        <f>WA_Fn_UseC__HR_Employee_Attrition[[#This Row],[EducationField]]&amp;"-"&amp;WA_Fn_UseC__HR_Employee_Attrition[[#This Row],[Department]]</f>
        <v>Medical-Research &amp; Development</v>
      </c>
      <c r="K1332">
        <v>1</v>
      </c>
      <c r="L1332">
        <v>1866</v>
      </c>
      <c r="M1332">
        <v>1</v>
      </c>
      <c r="N1332" t="s">
        <v>40</v>
      </c>
      <c r="O1332">
        <v>81</v>
      </c>
      <c r="P1332">
        <v>2</v>
      </c>
      <c r="Q1332">
        <v>5</v>
      </c>
      <c r="R1332" t="s">
        <v>57</v>
      </c>
      <c r="S1332">
        <v>3</v>
      </c>
      <c r="T1332" t="s">
        <v>49</v>
      </c>
      <c r="U1332">
        <v>19392</v>
      </c>
      <c r="V1332" t="str" cm="1">
        <f t="array" ref="V133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32">
        <v>22539</v>
      </c>
      <c r="X1332">
        <v>7</v>
      </c>
      <c r="Y1332" t="s">
        <v>43</v>
      </c>
      <c r="Z1332" t="s">
        <v>44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21</v>
      </c>
      <c r="AG1332">
        <v>2</v>
      </c>
      <c r="AH1332">
        <v>3</v>
      </c>
      <c r="AI1332">
        <v>16</v>
      </c>
      <c r="AJ1332">
        <v>12</v>
      </c>
      <c r="AK1332">
        <v>6</v>
      </c>
      <c r="AL1332" t="str" cm="1">
        <f t="array" ref="AL133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32">
        <v>14</v>
      </c>
    </row>
    <row r="1333" spans="1:39" x14ac:dyDescent="0.25">
      <c r="A1333">
        <v>48</v>
      </c>
      <c r="B1333" t="s">
        <v>44</v>
      </c>
      <c r="C1333" t="s">
        <v>37</v>
      </c>
      <c r="D1333">
        <v>1224</v>
      </c>
      <c r="E1333" t="s">
        <v>46</v>
      </c>
      <c r="G1333">
        <v>10</v>
      </c>
      <c r="H1333">
        <v>3</v>
      </c>
      <c r="I1333" t="s">
        <v>39</v>
      </c>
      <c r="J1333" t="str">
        <f>WA_Fn_UseC__HR_Employee_Attrition[[#This Row],[EducationField]]&amp;"-"&amp;WA_Fn_UseC__HR_Employee_Attrition[[#This Row],[Department]]</f>
        <v>Life Sciences-Research &amp; Development</v>
      </c>
      <c r="K1333">
        <v>1</v>
      </c>
      <c r="L1333">
        <v>1867</v>
      </c>
      <c r="M1333">
        <v>4</v>
      </c>
      <c r="N1333" t="s">
        <v>47</v>
      </c>
      <c r="O1333">
        <v>91</v>
      </c>
      <c r="P1333">
        <v>2</v>
      </c>
      <c r="Q1333">
        <v>5</v>
      </c>
      <c r="R1333" t="s">
        <v>59</v>
      </c>
      <c r="S1333">
        <v>2</v>
      </c>
      <c r="T1333" t="s">
        <v>49</v>
      </c>
      <c r="U1333">
        <v>19665</v>
      </c>
      <c r="V1333" t="str" cm="1">
        <f t="array" ref="V133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33">
        <v>13583</v>
      </c>
      <c r="X1333">
        <v>4</v>
      </c>
      <c r="Y1333" t="s">
        <v>43</v>
      </c>
      <c r="Z1333" t="s">
        <v>44</v>
      </c>
      <c r="AA1333">
        <v>12</v>
      </c>
      <c r="AB1333">
        <v>3</v>
      </c>
      <c r="AC1333">
        <v>4</v>
      </c>
      <c r="AD1333">
        <v>80</v>
      </c>
      <c r="AE1333">
        <v>0</v>
      </c>
      <c r="AF1333">
        <v>29</v>
      </c>
      <c r="AG1333">
        <v>3</v>
      </c>
      <c r="AH1333">
        <v>3</v>
      </c>
      <c r="AI1333">
        <v>22</v>
      </c>
      <c r="AJ1333">
        <v>10</v>
      </c>
      <c r="AK1333">
        <v>12</v>
      </c>
      <c r="AL1333" t="str" cm="1">
        <f t="array" ref="AL133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33">
        <v>9</v>
      </c>
    </row>
    <row r="1334" spans="1:39" x14ac:dyDescent="0.25">
      <c r="A1334">
        <v>29</v>
      </c>
      <c r="B1334" t="s">
        <v>36</v>
      </c>
      <c r="C1334" t="s">
        <v>45</v>
      </c>
      <c r="D1334">
        <v>459</v>
      </c>
      <c r="E1334" t="s">
        <v>46</v>
      </c>
      <c r="G1334">
        <v>24</v>
      </c>
      <c r="H1334">
        <v>2</v>
      </c>
      <c r="I1334" t="s">
        <v>39</v>
      </c>
      <c r="J1334" t="str">
        <f>WA_Fn_UseC__HR_Employee_Attrition[[#This Row],[EducationField]]&amp;"-"&amp;WA_Fn_UseC__HR_Employee_Attrition[[#This Row],[Department]]</f>
        <v>Life Sciences-Research &amp; Development</v>
      </c>
      <c r="K1334">
        <v>1</v>
      </c>
      <c r="L1334">
        <v>1868</v>
      </c>
      <c r="M1334">
        <v>4</v>
      </c>
      <c r="N1334" t="s">
        <v>47</v>
      </c>
      <c r="O1334">
        <v>73</v>
      </c>
      <c r="P1334">
        <v>2</v>
      </c>
      <c r="Q1334">
        <v>1</v>
      </c>
      <c r="R1334" t="s">
        <v>48</v>
      </c>
      <c r="S1334">
        <v>4</v>
      </c>
      <c r="T1334" t="s">
        <v>42</v>
      </c>
      <c r="U1334">
        <v>2439</v>
      </c>
      <c r="V1334" t="str" cm="1">
        <f t="array" ref="V133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34">
        <v>14753</v>
      </c>
      <c r="X1334">
        <v>1</v>
      </c>
      <c r="Y1334" t="s">
        <v>43</v>
      </c>
      <c r="Z1334" t="s">
        <v>36</v>
      </c>
      <c r="AA1334">
        <v>24</v>
      </c>
      <c r="AB1334">
        <v>4</v>
      </c>
      <c r="AC1334">
        <v>2</v>
      </c>
      <c r="AD1334">
        <v>80</v>
      </c>
      <c r="AE1334">
        <v>0</v>
      </c>
      <c r="AF1334">
        <v>1</v>
      </c>
      <c r="AG1334">
        <v>3</v>
      </c>
      <c r="AH1334">
        <v>2</v>
      </c>
      <c r="AI1334">
        <v>1</v>
      </c>
      <c r="AJ1334">
        <v>0</v>
      </c>
      <c r="AK1334">
        <v>1</v>
      </c>
      <c r="AL1334" t="str" cm="1">
        <f t="array" ref="AL133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34">
        <v>0</v>
      </c>
    </row>
    <row r="1335" spans="1:39" x14ac:dyDescent="0.25">
      <c r="A1335">
        <v>46</v>
      </c>
      <c r="B1335" t="s">
        <v>36</v>
      </c>
      <c r="C1335" t="s">
        <v>37</v>
      </c>
      <c r="D1335">
        <v>1254</v>
      </c>
      <c r="E1335" t="s">
        <v>38</v>
      </c>
      <c r="G1335">
        <v>10</v>
      </c>
      <c r="H1335">
        <v>3</v>
      </c>
      <c r="I1335" t="s">
        <v>39</v>
      </c>
      <c r="J1335" t="str">
        <f>WA_Fn_UseC__HR_Employee_Attrition[[#This Row],[EducationField]]&amp;"-"&amp;WA_Fn_UseC__HR_Employee_Attrition[[#This Row],[Department]]</f>
        <v>Life Sciences-Sales</v>
      </c>
      <c r="K1335">
        <v>1</v>
      </c>
      <c r="L1335">
        <v>1869</v>
      </c>
      <c r="M1335">
        <v>3</v>
      </c>
      <c r="N1335" t="s">
        <v>40</v>
      </c>
      <c r="O1335">
        <v>64</v>
      </c>
      <c r="P1335">
        <v>3</v>
      </c>
      <c r="Q1335">
        <v>3</v>
      </c>
      <c r="R1335" t="s">
        <v>41</v>
      </c>
      <c r="S1335">
        <v>2</v>
      </c>
      <c r="T1335" t="s">
        <v>49</v>
      </c>
      <c r="U1335">
        <v>7314</v>
      </c>
      <c r="V1335" t="str" cm="1">
        <f t="array" ref="V133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35">
        <v>14011</v>
      </c>
      <c r="X1335">
        <v>5</v>
      </c>
      <c r="Y1335" t="s">
        <v>43</v>
      </c>
      <c r="Z1335" t="s">
        <v>44</v>
      </c>
      <c r="AA1335">
        <v>21</v>
      </c>
      <c r="AB1335">
        <v>4</v>
      </c>
      <c r="AC1335">
        <v>3</v>
      </c>
      <c r="AD1335">
        <v>80</v>
      </c>
      <c r="AE1335">
        <v>3</v>
      </c>
      <c r="AF1335">
        <v>14</v>
      </c>
      <c r="AG1335">
        <v>2</v>
      </c>
      <c r="AH1335">
        <v>3</v>
      </c>
      <c r="AI1335">
        <v>8</v>
      </c>
      <c r="AJ1335">
        <v>7</v>
      </c>
      <c r="AK1335">
        <v>0</v>
      </c>
      <c r="AL1335" t="str" cm="1">
        <f t="array" ref="AL133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35">
        <v>7</v>
      </c>
    </row>
    <row r="1336" spans="1:39" x14ac:dyDescent="0.25">
      <c r="A1336">
        <v>27</v>
      </c>
      <c r="B1336" t="s">
        <v>44</v>
      </c>
      <c r="C1336" t="s">
        <v>45</v>
      </c>
      <c r="D1336">
        <v>1131</v>
      </c>
      <c r="E1336" t="s">
        <v>46</v>
      </c>
      <c r="G1336">
        <v>15</v>
      </c>
      <c r="H1336">
        <v>3</v>
      </c>
      <c r="I1336" t="s">
        <v>39</v>
      </c>
      <c r="J1336" t="str">
        <f>WA_Fn_UseC__HR_Employee_Attrition[[#This Row],[EducationField]]&amp;"-"&amp;WA_Fn_UseC__HR_Employee_Attrition[[#This Row],[Department]]</f>
        <v>Life Sciences-Research &amp; Development</v>
      </c>
      <c r="K1336">
        <v>1</v>
      </c>
      <c r="L1336">
        <v>1870</v>
      </c>
      <c r="M1336">
        <v>4</v>
      </c>
      <c r="N1336" t="s">
        <v>40</v>
      </c>
      <c r="O1336">
        <v>77</v>
      </c>
      <c r="P1336">
        <v>2</v>
      </c>
      <c r="Q1336">
        <v>1</v>
      </c>
      <c r="R1336" t="s">
        <v>48</v>
      </c>
      <c r="S1336">
        <v>1</v>
      </c>
      <c r="T1336" t="s">
        <v>49</v>
      </c>
      <c r="U1336">
        <v>4774</v>
      </c>
      <c r="V1336" t="str" cm="1">
        <f t="array" ref="V133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36">
        <v>23844</v>
      </c>
      <c r="X1336">
        <v>0</v>
      </c>
      <c r="Y1336" t="s">
        <v>43</v>
      </c>
      <c r="Z1336" t="s">
        <v>44</v>
      </c>
      <c r="AA1336">
        <v>19</v>
      </c>
      <c r="AB1336">
        <v>3</v>
      </c>
      <c r="AC1336">
        <v>4</v>
      </c>
      <c r="AD1336">
        <v>80</v>
      </c>
      <c r="AE1336">
        <v>1</v>
      </c>
      <c r="AF1336">
        <v>8</v>
      </c>
      <c r="AG1336">
        <v>2</v>
      </c>
      <c r="AH1336">
        <v>2</v>
      </c>
      <c r="AI1336">
        <v>7</v>
      </c>
      <c r="AJ1336">
        <v>6</v>
      </c>
      <c r="AK1336">
        <v>7</v>
      </c>
      <c r="AL1336" t="str" cm="1">
        <f t="array" ref="AL133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36">
        <v>3</v>
      </c>
    </row>
    <row r="1337" spans="1:39" x14ac:dyDescent="0.25">
      <c r="A1337">
        <v>39</v>
      </c>
      <c r="B1337" t="s">
        <v>44</v>
      </c>
      <c r="C1337" t="s">
        <v>37</v>
      </c>
      <c r="D1337">
        <v>835</v>
      </c>
      <c r="E1337" t="s">
        <v>46</v>
      </c>
      <c r="G1337">
        <v>19</v>
      </c>
      <c r="H1337">
        <v>4</v>
      </c>
      <c r="I1337" t="s">
        <v>50</v>
      </c>
      <c r="J1337" t="str">
        <f>WA_Fn_UseC__HR_Employee_Attrition[[#This Row],[EducationField]]&amp;"-"&amp;WA_Fn_UseC__HR_Employee_Attrition[[#This Row],[Department]]</f>
        <v>Other-Research &amp; Development</v>
      </c>
      <c r="K1337">
        <v>1</v>
      </c>
      <c r="L1337">
        <v>1871</v>
      </c>
      <c r="M1337">
        <v>4</v>
      </c>
      <c r="N1337" t="s">
        <v>47</v>
      </c>
      <c r="O1337">
        <v>41</v>
      </c>
      <c r="P1337">
        <v>3</v>
      </c>
      <c r="Q1337">
        <v>2</v>
      </c>
      <c r="R1337" t="s">
        <v>48</v>
      </c>
      <c r="S1337">
        <v>4</v>
      </c>
      <c r="T1337" t="s">
        <v>53</v>
      </c>
      <c r="U1337">
        <v>3902</v>
      </c>
      <c r="V1337" t="str" cm="1">
        <f t="array" ref="V133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37">
        <v>5141</v>
      </c>
      <c r="X1337">
        <v>8</v>
      </c>
      <c r="Y1337" t="s">
        <v>43</v>
      </c>
      <c r="Z1337" t="s">
        <v>44</v>
      </c>
      <c r="AA1337">
        <v>14</v>
      </c>
      <c r="AB1337">
        <v>3</v>
      </c>
      <c r="AC1337">
        <v>2</v>
      </c>
      <c r="AD1337">
        <v>80</v>
      </c>
      <c r="AE1337">
        <v>3</v>
      </c>
      <c r="AF1337">
        <v>7</v>
      </c>
      <c r="AG1337">
        <v>2</v>
      </c>
      <c r="AH1337">
        <v>3</v>
      </c>
      <c r="AI1337">
        <v>2</v>
      </c>
      <c r="AJ1337">
        <v>2</v>
      </c>
      <c r="AK1337">
        <v>2</v>
      </c>
      <c r="AL1337" t="str" cm="1">
        <f t="array" ref="AL133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37">
        <v>2</v>
      </c>
    </row>
    <row r="1338" spans="1:39" x14ac:dyDescent="0.25">
      <c r="A1338">
        <v>55</v>
      </c>
      <c r="B1338" t="s">
        <v>44</v>
      </c>
      <c r="C1338" t="s">
        <v>37</v>
      </c>
      <c r="D1338">
        <v>836</v>
      </c>
      <c r="E1338" t="s">
        <v>46</v>
      </c>
      <c r="G1338">
        <v>2</v>
      </c>
      <c r="H1338">
        <v>4</v>
      </c>
      <c r="I1338" t="s">
        <v>61</v>
      </c>
      <c r="J1338" t="str">
        <f>WA_Fn_UseC__HR_Employee_Attrition[[#This Row],[EducationField]]&amp;"-"&amp;WA_Fn_UseC__HR_Employee_Attrition[[#This Row],[Department]]</f>
        <v>Technical Degree-Research &amp; Development</v>
      </c>
      <c r="K1338">
        <v>1</v>
      </c>
      <c r="L1338">
        <v>1873</v>
      </c>
      <c r="M1338">
        <v>2</v>
      </c>
      <c r="N1338" t="s">
        <v>47</v>
      </c>
      <c r="O1338">
        <v>98</v>
      </c>
      <c r="P1338">
        <v>2</v>
      </c>
      <c r="Q1338">
        <v>1</v>
      </c>
      <c r="R1338" t="s">
        <v>48</v>
      </c>
      <c r="S1338">
        <v>4</v>
      </c>
      <c r="T1338" t="s">
        <v>49</v>
      </c>
      <c r="U1338">
        <v>2662</v>
      </c>
      <c r="V1338" t="str" cm="1">
        <f t="array" ref="V133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38">
        <v>7975</v>
      </c>
      <c r="X1338">
        <v>8</v>
      </c>
      <c r="Y1338" t="s">
        <v>43</v>
      </c>
      <c r="Z1338" t="s">
        <v>44</v>
      </c>
      <c r="AA1338">
        <v>20</v>
      </c>
      <c r="AB1338">
        <v>4</v>
      </c>
      <c r="AC1338">
        <v>2</v>
      </c>
      <c r="AD1338">
        <v>80</v>
      </c>
      <c r="AE1338">
        <v>1</v>
      </c>
      <c r="AF1338">
        <v>19</v>
      </c>
      <c r="AG1338">
        <v>2</v>
      </c>
      <c r="AH1338">
        <v>4</v>
      </c>
      <c r="AI1338">
        <v>5</v>
      </c>
      <c r="AJ1338">
        <v>2</v>
      </c>
      <c r="AK1338">
        <v>0</v>
      </c>
      <c r="AL1338" t="str" cm="1">
        <f t="array" ref="AL133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38">
        <v>4</v>
      </c>
    </row>
    <row r="1339" spans="1:39" x14ac:dyDescent="0.25">
      <c r="A1339">
        <v>28</v>
      </c>
      <c r="B1339" t="s">
        <v>44</v>
      </c>
      <c r="C1339" t="s">
        <v>37</v>
      </c>
      <c r="D1339">
        <v>1172</v>
      </c>
      <c r="E1339" t="s">
        <v>38</v>
      </c>
      <c r="G1339">
        <v>3</v>
      </c>
      <c r="H1339">
        <v>3</v>
      </c>
      <c r="I1339" t="s">
        <v>52</v>
      </c>
      <c r="J1339" t="str">
        <f>WA_Fn_UseC__HR_Employee_Attrition[[#This Row],[EducationField]]&amp;"-"&amp;WA_Fn_UseC__HR_Employee_Attrition[[#This Row],[Department]]</f>
        <v>Medical-Sales</v>
      </c>
      <c r="K1339">
        <v>1</v>
      </c>
      <c r="L1339">
        <v>1875</v>
      </c>
      <c r="M1339">
        <v>2</v>
      </c>
      <c r="N1339" t="s">
        <v>40</v>
      </c>
      <c r="O1339">
        <v>78</v>
      </c>
      <c r="P1339">
        <v>3</v>
      </c>
      <c r="Q1339">
        <v>1</v>
      </c>
      <c r="R1339" t="s">
        <v>58</v>
      </c>
      <c r="S1339">
        <v>2</v>
      </c>
      <c r="T1339" t="s">
        <v>49</v>
      </c>
      <c r="U1339">
        <v>2856</v>
      </c>
      <c r="V1339" t="str" cm="1">
        <f t="array" ref="V133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39">
        <v>3692</v>
      </c>
      <c r="X1339">
        <v>1</v>
      </c>
      <c r="Y1339" t="s">
        <v>43</v>
      </c>
      <c r="Z1339" t="s">
        <v>44</v>
      </c>
      <c r="AA1339">
        <v>19</v>
      </c>
      <c r="AB1339">
        <v>3</v>
      </c>
      <c r="AC1339">
        <v>4</v>
      </c>
      <c r="AD1339">
        <v>80</v>
      </c>
      <c r="AE1339">
        <v>1</v>
      </c>
      <c r="AF1339">
        <v>1</v>
      </c>
      <c r="AG1339">
        <v>3</v>
      </c>
      <c r="AH1339">
        <v>3</v>
      </c>
      <c r="AI1339">
        <v>1</v>
      </c>
      <c r="AJ1339">
        <v>0</v>
      </c>
      <c r="AK1339">
        <v>0</v>
      </c>
      <c r="AL1339" t="str" cm="1">
        <f t="array" ref="AL133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39">
        <v>0</v>
      </c>
    </row>
    <row r="1340" spans="1:39" x14ac:dyDescent="0.25">
      <c r="A1340">
        <v>30</v>
      </c>
      <c r="B1340" t="s">
        <v>36</v>
      </c>
      <c r="C1340" t="s">
        <v>37</v>
      </c>
      <c r="D1340">
        <v>945</v>
      </c>
      <c r="E1340" t="s">
        <v>38</v>
      </c>
      <c r="G1340">
        <v>9</v>
      </c>
      <c r="H1340">
        <v>3</v>
      </c>
      <c r="I1340" t="s">
        <v>52</v>
      </c>
      <c r="J1340" t="str">
        <f>WA_Fn_UseC__HR_Employee_Attrition[[#This Row],[EducationField]]&amp;"-"&amp;WA_Fn_UseC__HR_Employee_Attrition[[#This Row],[Department]]</f>
        <v>Medical-Sales</v>
      </c>
      <c r="K1340">
        <v>1</v>
      </c>
      <c r="L1340">
        <v>1876</v>
      </c>
      <c r="M1340">
        <v>2</v>
      </c>
      <c r="N1340" t="s">
        <v>47</v>
      </c>
      <c r="O1340">
        <v>89</v>
      </c>
      <c r="P1340">
        <v>3</v>
      </c>
      <c r="Q1340">
        <v>1</v>
      </c>
      <c r="R1340" t="s">
        <v>58</v>
      </c>
      <c r="S1340">
        <v>4</v>
      </c>
      <c r="T1340" t="s">
        <v>42</v>
      </c>
      <c r="U1340">
        <v>1081</v>
      </c>
      <c r="V1340" t="str" cm="1">
        <f t="array" ref="V134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40">
        <v>16019</v>
      </c>
      <c r="X1340">
        <v>1</v>
      </c>
      <c r="Y1340" t="s">
        <v>43</v>
      </c>
      <c r="Z1340" t="s">
        <v>44</v>
      </c>
      <c r="AA1340">
        <v>13</v>
      </c>
      <c r="AB1340">
        <v>3</v>
      </c>
      <c r="AC1340">
        <v>3</v>
      </c>
      <c r="AD1340">
        <v>80</v>
      </c>
      <c r="AE1340">
        <v>0</v>
      </c>
      <c r="AF1340">
        <v>1</v>
      </c>
      <c r="AG1340">
        <v>3</v>
      </c>
      <c r="AH1340">
        <v>2</v>
      </c>
      <c r="AI1340">
        <v>1</v>
      </c>
      <c r="AJ1340">
        <v>0</v>
      </c>
      <c r="AK1340">
        <v>0</v>
      </c>
      <c r="AL1340" t="str" cm="1">
        <f t="array" ref="AL134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40">
        <v>0</v>
      </c>
    </row>
    <row r="1341" spans="1:39" x14ac:dyDescent="0.25">
      <c r="A1341">
        <v>22</v>
      </c>
      <c r="B1341" t="s">
        <v>36</v>
      </c>
      <c r="C1341" t="s">
        <v>37</v>
      </c>
      <c r="D1341">
        <v>391</v>
      </c>
      <c r="E1341" t="s">
        <v>46</v>
      </c>
      <c r="G1341">
        <v>7</v>
      </c>
      <c r="H1341">
        <v>1</v>
      </c>
      <c r="I1341" t="s">
        <v>39</v>
      </c>
      <c r="J1341" t="str">
        <f>WA_Fn_UseC__HR_Employee_Attrition[[#This Row],[EducationField]]&amp;"-"&amp;WA_Fn_UseC__HR_Employee_Attrition[[#This Row],[Department]]</f>
        <v>Life Sciences-Research &amp; Development</v>
      </c>
      <c r="K1341">
        <v>1</v>
      </c>
      <c r="L1341">
        <v>1878</v>
      </c>
      <c r="M1341">
        <v>4</v>
      </c>
      <c r="N1341" t="s">
        <v>47</v>
      </c>
      <c r="O1341">
        <v>75</v>
      </c>
      <c r="P1341">
        <v>3</v>
      </c>
      <c r="Q1341">
        <v>1</v>
      </c>
      <c r="R1341" t="s">
        <v>48</v>
      </c>
      <c r="S1341">
        <v>2</v>
      </c>
      <c r="T1341" t="s">
        <v>42</v>
      </c>
      <c r="U1341">
        <v>2472</v>
      </c>
      <c r="V1341" t="str" cm="1">
        <f t="array" ref="V134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41">
        <v>26092</v>
      </c>
      <c r="X1341">
        <v>1</v>
      </c>
      <c r="Y1341" t="s">
        <v>43</v>
      </c>
      <c r="Z1341" t="s">
        <v>36</v>
      </c>
      <c r="AA1341">
        <v>23</v>
      </c>
      <c r="AB1341">
        <v>4</v>
      </c>
      <c r="AC1341">
        <v>1</v>
      </c>
      <c r="AD1341">
        <v>80</v>
      </c>
      <c r="AE1341">
        <v>0</v>
      </c>
      <c r="AF1341">
        <v>1</v>
      </c>
      <c r="AG1341">
        <v>2</v>
      </c>
      <c r="AH1341">
        <v>3</v>
      </c>
      <c r="AI1341">
        <v>1</v>
      </c>
      <c r="AJ1341">
        <v>0</v>
      </c>
      <c r="AK1341">
        <v>0</v>
      </c>
      <c r="AL1341" t="str" cm="1">
        <f t="array" ref="AL134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41">
        <v>0</v>
      </c>
    </row>
    <row r="1342" spans="1:39" x14ac:dyDescent="0.25">
      <c r="A1342">
        <v>36</v>
      </c>
      <c r="B1342" t="s">
        <v>44</v>
      </c>
      <c r="C1342" t="s">
        <v>37</v>
      </c>
      <c r="D1342">
        <v>1266</v>
      </c>
      <c r="E1342" t="s">
        <v>38</v>
      </c>
      <c r="G1342">
        <v>10</v>
      </c>
      <c r="H1342">
        <v>4</v>
      </c>
      <c r="I1342" t="s">
        <v>61</v>
      </c>
      <c r="J1342" t="str">
        <f>WA_Fn_UseC__HR_Employee_Attrition[[#This Row],[EducationField]]&amp;"-"&amp;WA_Fn_UseC__HR_Employee_Attrition[[#This Row],[Department]]</f>
        <v>Technical Degree-Sales</v>
      </c>
      <c r="K1342">
        <v>1</v>
      </c>
      <c r="L1342">
        <v>1880</v>
      </c>
      <c r="M1342">
        <v>2</v>
      </c>
      <c r="N1342" t="s">
        <v>40</v>
      </c>
      <c r="O1342">
        <v>63</v>
      </c>
      <c r="P1342">
        <v>2</v>
      </c>
      <c r="Q1342">
        <v>2</v>
      </c>
      <c r="R1342" t="s">
        <v>41</v>
      </c>
      <c r="S1342">
        <v>3</v>
      </c>
      <c r="T1342" t="s">
        <v>49</v>
      </c>
      <c r="U1342">
        <v>5673</v>
      </c>
      <c r="V1342" t="str" cm="1">
        <f t="array" ref="V134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42">
        <v>6060</v>
      </c>
      <c r="X1342">
        <v>1</v>
      </c>
      <c r="Y1342" t="s">
        <v>43</v>
      </c>
      <c r="Z1342" t="s">
        <v>36</v>
      </c>
      <c r="AA1342">
        <v>13</v>
      </c>
      <c r="AB1342">
        <v>3</v>
      </c>
      <c r="AC1342">
        <v>1</v>
      </c>
      <c r="AD1342">
        <v>80</v>
      </c>
      <c r="AE1342">
        <v>1</v>
      </c>
      <c r="AF1342">
        <v>10</v>
      </c>
      <c r="AG1342">
        <v>4</v>
      </c>
      <c r="AH1342">
        <v>3</v>
      </c>
      <c r="AI1342">
        <v>10</v>
      </c>
      <c r="AJ1342">
        <v>9</v>
      </c>
      <c r="AK1342">
        <v>1</v>
      </c>
      <c r="AL1342" t="str" cm="1">
        <f t="array" ref="AL134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42">
        <v>7</v>
      </c>
    </row>
    <row r="1343" spans="1:39" x14ac:dyDescent="0.25">
      <c r="A1343">
        <v>31</v>
      </c>
      <c r="B1343" t="s">
        <v>44</v>
      </c>
      <c r="C1343" t="s">
        <v>37</v>
      </c>
      <c r="D1343">
        <v>311</v>
      </c>
      <c r="E1343" t="s">
        <v>46</v>
      </c>
      <c r="G1343">
        <v>20</v>
      </c>
      <c r="H1343">
        <v>3</v>
      </c>
      <c r="I1343" t="s">
        <v>39</v>
      </c>
      <c r="J1343" t="str">
        <f>WA_Fn_UseC__HR_Employee_Attrition[[#This Row],[EducationField]]&amp;"-"&amp;WA_Fn_UseC__HR_Employee_Attrition[[#This Row],[Department]]</f>
        <v>Life Sciences-Research &amp; Development</v>
      </c>
      <c r="K1343">
        <v>1</v>
      </c>
      <c r="L1343">
        <v>1881</v>
      </c>
      <c r="M1343">
        <v>2</v>
      </c>
      <c r="N1343" t="s">
        <v>47</v>
      </c>
      <c r="O1343">
        <v>89</v>
      </c>
      <c r="P1343">
        <v>3</v>
      </c>
      <c r="Q1343">
        <v>2</v>
      </c>
      <c r="R1343" t="s">
        <v>51</v>
      </c>
      <c r="S1343">
        <v>3</v>
      </c>
      <c r="T1343" t="s">
        <v>53</v>
      </c>
      <c r="U1343">
        <v>4197</v>
      </c>
      <c r="V1343" t="str" cm="1">
        <f t="array" ref="V134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43">
        <v>18624</v>
      </c>
      <c r="X1343">
        <v>1</v>
      </c>
      <c r="Y1343" t="s">
        <v>43</v>
      </c>
      <c r="Z1343" t="s">
        <v>44</v>
      </c>
      <c r="AA1343">
        <v>11</v>
      </c>
      <c r="AB1343">
        <v>3</v>
      </c>
      <c r="AC1343">
        <v>1</v>
      </c>
      <c r="AD1343">
        <v>80</v>
      </c>
      <c r="AE1343">
        <v>1</v>
      </c>
      <c r="AF1343">
        <v>10</v>
      </c>
      <c r="AG1343">
        <v>2</v>
      </c>
      <c r="AH1343">
        <v>3</v>
      </c>
      <c r="AI1343">
        <v>10</v>
      </c>
      <c r="AJ1343">
        <v>8</v>
      </c>
      <c r="AK1343">
        <v>0</v>
      </c>
      <c r="AL1343" t="str" cm="1">
        <f t="array" ref="AL134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43">
        <v>2</v>
      </c>
    </row>
    <row r="1344" spans="1:39" x14ac:dyDescent="0.25">
      <c r="A1344">
        <v>34</v>
      </c>
      <c r="B1344" t="s">
        <v>44</v>
      </c>
      <c r="C1344" t="s">
        <v>37</v>
      </c>
      <c r="D1344">
        <v>1480</v>
      </c>
      <c r="E1344" t="s">
        <v>38</v>
      </c>
      <c r="G1344">
        <v>4</v>
      </c>
      <c r="H1344">
        <v>3</v>
      </c>
      <c r="I1344" t="s">
        <v>39</v>
      </c>
      <c r="J1344" t="str">
        <f>WA_Fn_UseC__HR_Employee_Attrition[[#This Row],[EducationField]]&amp;"-"&amp;WA_Fn_UseC__HR_Employee_Attrition[[#This Row],[Department]]</f>
        <v>Life Sciences-Sales</v>
      </c>
      <c r="K1344">
        <v>1</v>
      </c>
      <c r="L1344">
        <v>1882</v>
      </c>
      <c r="M1344">
        <v>3</v>
      </c>
      <c r="N1344" t="s">
        <v>47</v>
      </c>
      <c r="O1344">
        <v>64</v>
      </c>
      <c r="P1344">
        <v>3</v>
      </c>
      <c r="Q1344">
        <v>3</v>
      </c>
      <c r="R1344" t="s">
        <v>41</v>
      </c>
      <c r="S1344">
        <v>4</v>
      </c>
      <c r="T1344" t="s">
        <v>49</v>
      </c>
      <c r="U1344">
        <v>9713</v>
      </c>
      <c r="V1344" t="str" cm="1">
        <f t="array" ref="V134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44">
        <v>24444</v>
      </c>
      <c r="X1344">
        <v>2</v>
      </c>
      <c r="Y1344" t="s">
        <v>43</v>
      </c>
      <c r="Z1344" t="s">
        <v>36</v>
      </c>
      <c r="AA1344">
        <v>13</v>
      </c>
      <c r="AB1344">
        <v>3</v>
      </c>
      <c r="AC1344">
        <v>4</v>
      </c>
      <c r="AD1344">
        <v>80</v>
      </c>
      <c r="AE1344">
        <v>3</v>
      </c>
      <c r="AF1344">
        <v>9</v>
      </c>
      <c r="AG1344">
        <v>3</v>
      </c>
      <c r="AH1344">
        <v>3</v>
      </c>
      <c r="AI1344">
        <v>5</v>
      </c>
      <c r="AJ1344">
        <v>3</v>
      </c>
      <c r="AK1344">
        <v>1</v>
      </c>
      <c r="AL1344" t="str" cm="1">
        <f t="array" ref="AL134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44">
        <v>0</v>
      </c>
    </row>
    <row r="1345" spans="1:39" x14ac:dyDescent="0.25">
      <c r="A1345">
        <v>29</v>
      </c>
      <c r="B1345" t="s">
        <v>44</v>
      </c>
      <c r="C1345" t="s">
        <v>37</v>
      </c>
      <c r="D1345">
        <v>592</v>
      </c>
      <c r="E1345" t="s">
        <v>46</v>
      </c>
      <c r="G1345">
        <v>7</v>
      </c>
      <c r="H1345">
        <v>3</v>
      </c>
      <c r="I1345" t="s">
        <v>39</v>
      </c>
      <c r="J1345" t="str">
        <f>WA_Fn_UseC__HR_Employee_Attrition[[#This Row],[EducationField]]&amp;"-"&amp;WA_Fn_UseC__HR_Employee_Attrition[[#This Row],[Department]]</f>
        <v>Life Sciences-Research &amp; Development</v>
      </c>
      <c r="K1345">
        <v>1</v>
      </c>
      <c r="L1345">
        <v>1883</v>
      </c>
      <c r="M1345">
        <v>4</v>
      </c>
      <c r="N1345" t="s">
        <v>47</v>
      </c>
      <c r="O1345">
        <v>59</v>
      </c>
      <c r="P1345">
        <v>3</v>
      </c>
      <c r="Q1345">
        <v>1</v>
      </c>
      <c r="R1345" t="s">
        <v>51</v>
      </c>
      <c r="S1345">
        <v>1</v>
      </c>
      <c r="T1345" t="s">
        <v>42</v>
      </c>
      <c r="U1345">
        <v>2062</v>
      </c>
      <c r="V1345" t="str" cm="1">
        <f t="array" ref="V134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45">
        <v>19384</v>
      </c>
      <c r="X1345">
        <v>3</v>
      </c>
      <c r="Y1345" t="s">
        <v>43</v>
      </c>
      <c r="Z1345" t="s">
        <v>44</v>
      </c>
      <c r="AA1345">
        <v>14</v>
      </c>
      <c r="AB1345">
        <v>3</v>
      </c>
      <c r="AC1345">
        <v>2</v>
      </c>
      <c r="AD1345">
        <v>80</v>
      </c>
      <c r="AE1345">
        <v>0</v>
      </c>
      <c r="AF1345">
        <v>11</v>
      </c>
      <c r="AG1345">
        <v>2</v>
      </c>
      <c r="AH1345">
        <v>3</v>
      </c>
      <c r="AI1345">
        <v>3</v>
      </c>
      <c r="AJ1345">
        <v>2</v>
      </c>
      <c r="AK1345">
        <v>1</v>
      </c>
      <c r="AL1345" t="str" cm="1">
        <f t="array" ref="AL134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45">
        <v>2</v>
      </c>
    </row>
    <row r="1346" spans="1:39" x14ac:dyDescent="0.25">
      <c r="A1346">
        <v>37</v>
      </c>
      <c r="B1346" t="s">
        <v>44</v>
      </c>
      <c r="C1346" t="s">
        <v>37</v>
      </c>
      <c r="D1346">
        <v>783</v>
      </c>
      <c r="E1346" t="s">
        <v>46</v>
      </c>
      <c r="G1346">
        <v>7</v>
      </c>
      <c r="H1346">
        <v>4</v>
      </c>
      <c r="I1346" t="s">
        <v>52</v>
      </c>
      <c r="J1346" t="str">
        <f>WA_Fn_UseC__HR_Employee_Attrition[[#This Row],[EducationField]]&amp;"-"&amp;WA_Fn_UseC__HR_Employee_Attrition[[#This Row],[Department]]</f>
        <v>Medical-Research &amp; Development</v>
      </c>
      <c r="K1346">
        <v>1</v>
      </c>
      <c r="L1346">
        <v>1885</v>
      </c>
      <c r="M1346">
        <v>4</v>
      </c>
      <c r="N1346" t="s">
        <v>47</v>
      </c>
      <c r="O1346">
        <v>78</v>
      </c>
      <c r="P1346">
        <v>3</v>
      </c>
      <c r="Q1346">
        <v>2</v>
      </c>
      <c r="R1346" t="s">
        <v>48</v>
      </c>
      <c r="S1346">
        <v>1</v>
      </c>
      <c r="T1346" t="s">
        <v>49</v>
      </c>
      <c r="U1346">
        <v>4284</v>
      </c>
      <c r="V1346" t="str" cm="1">
        <f t="array" ref="V134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46">
        <v>13588</v>
      </c>
      <c r="X1346">
        <v>5</v>
      </c>
      <c r="Y1346" t="s">
        <v>43</v>
      </c>
      <c r="Z1346" t="s">
        <v>36</v>
      </c>
      <c r="AA1346">
        <v>22</v>
      </c>
      <c r="AB1346">
        <v>4</v>
      </c>
      <c r="AC1346">
        <v>3</v>
      </c>
      <c r="AD1346">
        <v>80</v>
      </c>
      <c r="AE1346">
        <v>1</v>
      </c>
      <c r="AF1346">
        <v>16</v>
      </c>
      <c r="AG1346">
        <v>2</v>
      </c>
      <c r="AH1346">
        <v>3</v>
      </c>
      <c r="AI1346">
        <v>5</v>
      </c>
      <c r="AJ1346">
        <v>3</v>
      </c>
      <c r="AK1346">
        <v>0</v>
      </c>
      <c r="AL1346" t="str" cm="1">
        <f t="array" ref="AL134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46">
        <v>4</v>
      </c>
    </row>
    <row r="1347" spans="1:39" x14ac:dyDescent="0.25">
      <c r="A1347">
        <v>35</v>
      </c>
      <c r="B1347" t="s">
        <v>44</v>
      </c>
      <c r="C1347" t="s">
        <v>37</v>
      </c>
      <c r="D1347">
        <v>219</v>
      </c>
      <c r="E1347" t="s">
        <v>46</v>
      </c>
      <c r="G1347">
        <v>16</v>
      </c>
      <c r="H1347">
        <v>2</v>
      </c>
      <c r="I1347" t="s">
        <v>50</v>
      </c>
      <c r="J1347" t="str">
        <f>WA_Fn_UseC__HR_Employee_Attrition[[#This Row],[EducationField]]&amp;"-"&amp;WA_Fn_UseC__HR_Employee_Attrition[[#This Row],[Department]]</f>
        <v>Other-Research &amp; Development</v>
      </c>
      <c r="K1347">
        <v>1</v>
      </c>
      <c r="L1347">
        <v>1886</v>
      </c>
      <c r="M1347">
        <v>4</v>
      </c>
      <c r="N1347" t="s">
        <v>40</v>
      </c>
      <c r="O1347">
        <v>44</v>
      </c>
      <c r="P1347">
        <v>2</v>
      </c>
      <c r="Q1347">
        <v>2</v>
      </c>
      <c r="R1347" t="s">
        <v>54</v>
      </c>
      <c r="S1347">
        <v>2</v>
      </c>
      <c r="T1347" t="s">
        <v>49</v>
      </c>
      <c r="U1347">
        <v>4788</v>
      </c>
      <c r="V1347" t="str" cm="1">
        <f t="array" ref="V134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47">
        <v>25388</v>
      </c>
      <c r="X1347">
        <v>0</v>
      </c>
      <c r="Y1347" t="s">
        <v>43</v>
      </c>
      <c r="Z1347" t="s">
        <v>36</v>
      </c>
      <c r="AA1347">
        <v>11</v>
      </c>
      <c r="AB1347">
        <v>3</v>
      </c>
      <c r="AC1347">
        <v>4</v>
      </c>
      <c r="AD1347">
        <v>80</v>
      </c>
      <c r="AE1347">
        <v>0</v>
      </c>
      <c r="AF1347">
        <v>4</v>
      </c>
      <c r="AG1347">
        <v>2</v>
      </c>
      <c r="AH1347">
        <v>3</v>
      </c>
      <c r="AI1347">
        <v>3</v>
      </c>
      <c r="AJ1347">
        <v>2</v>
      </c>
      <c r="AK1347">
        <v>0</v>
      </c>
      <c r="AL1347" t="str" cm="1">
        <f t="array" ref="AL134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47">
        <v>2</v>
      </c>
    </row>
    <row r="1348" spans="1:39" x14ac:dyDescent="0.25">
      <c r="A1348">
        <v>45</v>
      </c>
      <c r="B1348" t="s">
        <v>44</v>
      </c>
      <c r="C1348" t="s">
        <v>37</v>
      </c>
      <c r="D1348">
        <v>556</v>
      </c>
      <c r="E1348" t="s">
        <v>46</v>
      </c>
      <c r="G1348">
        <v>25</v>
      </c>
      <c r="H1348">
        <v>2</v>
      </c>
      <c r="I1348" t="s">
        <v>39</v>
      </c>
      <c r="J1348" t="str">
        <f>WA_Fn_UseC__HR_Employee_Attrition[[#This Row],[EducationField]]&amp;"-"&amp;WA_Fn_UseC__HR_Employee_Attrition[[#This Row],[Department]]</f>
        <v>Life Sciences-Research &amp; Development</v>
      </c>
      <c r="K1348">
        <v>1</v>
      </c>
      <c r="L1348">
        <v>1888</v>
      </c>
      <c r="M1348">
        <v>2</v>
      </c>
      <c r="N1348" t="s">
        <v>40</v>
      </c>
      <c r="O1348">
        <v>93</v>
      </c>
      <c r="P1348">
        <v>2</v>
      </c>
      <c r="Q1348">
        <v>2</v>
      </c>
      <c r="R1348" t="s">
        <v>54</v>
      </c>
      <c r="S1348">
        <v>4</v>
      </c>
      <c r="T1348" t="s">
        <v>49</v>
      </c>
      <c r="U1348">
        <v>5906</v>
      </c>
      <c r="V1348" t="str" cm="1">
        <f t="array" ref="V134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48">
        <v>23888</v>
      </c>
      <c r="X1348">
        <v>0</v>
      </c>
      <c r="Y1348" t="s">
        <v>43</v>
      </c>
      <c r="Z1348" t="s">
        <v>44</v>
      </c>
      <c r="AA1348">
        <v>13</v>
      </c>
      <c r="AB1348">
        <v>3</v>
      </c>
      <c r="AC1348">
        <v>4</v>
      </c>
      <c r="AD1348">
        <v>80</v>
      </c>
      <c r="AE1348">
        <v>2</v>
      </c>
      <c r="AF1348">
        <v>10</v>
      </c>
      <c r="AG1348">
        <v>2</v>
      </c>
      <c r="AH1348">
        <v>2</v>
      </c>
      <c r="AI1348">
        <v>9</v>
      </c>
      <c r="AJ1348">
        <v>8</v>
      </c>
      <c r="AK1348">
        <v>3</v>
      </c>
      <c r="AL1348" t="str" cm="1">
        <f t="array" ref="AL134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48">
        <v>8</v>
      </c>
    </row>
    <row r="1349" spans="1:39" x14ac:dyDescent="0.25">
      <c r="A1349">
        <v>36</v>
      </c>
      <c r="B1349" t="s">
        <v>44</v>
      </c>
      <c r="C1349" t="s">
        <v>45</v>
      </c>
      <c r="D1349">
        <v>1213</v>
      </c>
      <c r="E1349" t="s">
        <v>62</v>
      </c>
      <c r="G1349">
        <v>2</v>
      </c>
      <c r="H1349">
        <v>1</v>
      </c>
      <c r="I1349" t="s">
        <v>62</v>
      </c>
      <c r="J1349" t="str">
        <f>WA_Fn_UseC__HR_Employee_Attrition[[#This Row],[EducationField]]&amp;"-"&amp;WA_Fn_UseC__HR_Employee_Attrition[[#This Row],[Department]]</f>
        <v>Human Resources-Human Resources</v>
      </c>
      <c r="K1349">
        <v>1</v>
      </c>
      <c r="L1349">
        <v>1890</v>
      </c>
      <c r="M1349">
        <v>2</v>
      </c>
      <c r="N1349" t="s">
        <v>47</v>
      </c>
      <c r="O1349">
        <v>94</v>
      </c>
      <c r="P1349">
        <v>2</v>
      </c>
      <c r="Q1349">
        <v>2</v>
      </c>
      <c r="R1349" t="s">
        <v>62</v>
      </c>
      <c r="S1349">
        <v>4</v>
      </c>
      <c r="T1349" t="s">
        <v>42</v>
      </c>
      <c r="U1349">
        <v>3886</v>
      </c>
      <c r="V1349" t="str" cm="1">
        <f t="array" ref="V134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49">
        <v>4223</v>
      </c>
      <c r="X1349">
        <v>1</v>
      </c>
      <c r="Y1349" t="s">
        <v>43</v>
      </c>
      <c r="Z1349" t="s">
        <v>44</v>
      </c>
      <c r="AA1349">
        <v>21</v>
      </c>
      <c r="AB1349">
        <v>4</v>
      </c>
      <c r="AC1349">
        <v>4</v>
      </c>
      <c r="AD1349">
        <v>80</v>
      </c>
      <c r="AE1349">
        <v>0</v>
      </c>
      <c r="AF1349">
        <v>10</v>
      </c>
      <c r="AG1349">
        <v>2</v>
      </c>
      <c r="AH1349">
        <v>2</v>
      </c>
      <c r="AI1349">
        <v>10</v>
      </c>
      <c r="AJ1349">
        <v>1</v>
      </c>
      <c r="AK1349">
        <v>0</v>
      </c>
      <c r="AL1349" t="str" cm="1">
        <f t="array" ref="AL134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49">
        <v>8</v>
      </c>
    </row>
    <row r="1350" spans="1:39" x14ac:dyDescent="0.25">
      <c r="A1350">
        <v>40</v>
      </c>
      <c r="B1350" t="s">
        <v>44</v>
      </c>
      <c r="C1350" t="s">
        <v>37</v>
      </c>
      <c r="D1350">
        <v>1137</v>
      </c>
      <c r="E1350" t="s">
        <v>46</v>
      </c>
      <c r="G1350">
        <v>1</v>
      </c>
      <c r="H1350">
        <v>4</v>
      </c>
      <c r="I1350" t="s">
        <v>39</v>
      </c>
      <c r="J1350" t="str">
        <f>WA_Fn_UseC__HR_Employee_Attrition[[#This Row],[EducationField]]&amp;"-"&amp;WA_Fn_UseC__HR_Employee_Attrition[[#This Row],[Department]]</f>
        <v>Life Sciences-Research &amp; Development</v>
      </c>
      <c r="K1350">
        <v>1</v>
      </c>
      <c r="L1350">
        <v>1892</v>
      </c>
      <c r="M1350">
        <v>1</v>
      </c>
      <c r="N1350" t="s">
        <v>47</v>
      </c>
      <c r="O1350">
        <v>98</v>
      </c>
      <c r="P1350">
        <v>3</v>
      </c>
      <c r="Q1350">
        <v>4</v>
      </c>
      <c r="R1350" t="s">
        <v>57</v>
      </c>
      <c r="S1350">
        <v>1</v>
      </c>
      <c r="T1350" t="s">
        <v>53</v>
      </c>
      <c r="U1350">
        <v>16823</v>
      </c>
      <c r="V1350" t="str" cm="1">
        <f t="array" ref="V135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50">
        <v>18991</v>
      </c>
      <c r="X1350">
        <v>2</v>
      </c>
      <c r="Y1350" t="s">
        <v>43</v>
      </c>
      <c r="Z1350" t="s">
        <v>44</v>
      </c>
      <c r="AA1350">
        <v>11</v>
      </c>
      <c r="AB1350">
        <v>3</v>
      </c>
      <c r="AC1350">
        <v>1</v>
      </c>
      <c r="AD1350">
        <v>80</v>
      </c>
      <c r="AE1350">
        <v>1</v>
      </c>
      <c r="AF1350">
        <v>22</v>
      </c>
      <c r="AG1350">
        <v>3</v>
      </c>
      <c r="AH1350">
        <v>3</v>
      </c>
      <c r="AI1350">
        <v>19</v>
      </c>
      <c r="AJ1350">
        <v>7</v>
      </c>
      <c r="AK1350">
        <v>11</v>
      </c>
      <c r="AL1350" t="str" cm="1">
        <f t="array" ref="AL135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50">
        <v>16</v>
      </c>
    </row>
    <row r="1351" spans="1:39" x14ac:dyDescent="0.25">
      <c r="A1351">
        <v>26</v>
      </c>
      <c r="B1351" t="s">
        <v>44</v>
      </c>
      <c r="C1351" t="s">
        <v>37</v>
      </c>
      <c r="D1351">
        <v>482</v>
      </c>
      <c r="E1351" t="s">
        <v>46</v>
      </c>
      <c r="G1351">
        <v>1</v>
      </c>
      <c r="H1351">
        <v>2</v>
      </c>
      <c r="I1351" t="s">
        <v>39</v>
      </c>
      <c r="J1351" t="str">
        <f>WA_Fn_UseC__HR_Employee_Attrition[[#This Row],[EducationField]]&amp;"-"&amp;WA_Fn_UseC__HR_Employee_Attrition[[#This Row],[Department]]</f>
        <v>Life Sciences-Research &amp; Development</v>
      </c>
      <c r="K1351">
        <v>1</v>
      </c>
      <c r="L1351">
        <v>1893</v>
      </c>
      <c r="M1351">
        <v>2</v>
      </c>
      <c r="N1351" t="s">
        <v>40</v>
      </c>
      <c r="O1351">
        <v>90</v>
      </c>
      <c r="P1351">
        <v>2</v>
      </c>
      <c r="Q1351">
        <v>1</v>
      </c>
      <c r="R1351" t="s">
        <v>48</v>
      </c>
      <c r="S1351">
        <v>3</v>
      </c>
      <c r="T1351" t="s">
        <v>49</v>
      </c>
      <c r="U1351">
        <v>2933</v>
      </c>
      <c r="V1351" t="str" cm="1">
        <f t="array" ref="V135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51">
        <v>14908</v>
      </c>
      <c r="X1351">
        <v>1</v>
      </c>
      <c r="Y1351" t="s">
        <v>43</v>
      </c>
      <c r="Z1351" t="s">
        <v>36</v>
      </c>
      <c r="AA1351">
        <v>13</v>
      </c>
      <c r="AB1351">
        <v>3</v>
      </c>
      <c r="AC1351">
        <v>3</v>
      </c>
      <c r="AD1351">
        <v>80</v>
      </c>
      <c r="AE1351">
        <v>1</v>
      </c>
      <c r="AF1351">
        <v>1</v>
      </c>
      <c r="AG1351">
        <v>3</v>
      </c>
      <c r="AH1351">
        <v>2</v>
      </c>
      <c r="AI1351">
        <v>1</v>
      </c>
      <c r="AJ1351">
        <v>0</v>
      </c>
      <c r="AK1351">
        <v>1</v>
      </c>
      <c r="AL1351" t="str" cm="1">
        <f t="array" ref="AL135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51">
        <v>0</v>
      </c>
    </row>
    <row r="1352" spans="1:39" x14ac:dyDescent="0.25">
      <c r="A1352">
        <v>27</v>
      </c>
      <c r="B1352" t="s">
        <v>44</v>
      </c>
      <c r="C1352" t="s">
        <v>37</v>
      </c>
      <c r="D1352">
        <v>511</v>
      </c>
      <c r="E1352" t="s">
        <v>38</v>
      </c>
      <c r="G1352">
        <v>2</v>
      </c>
      <c r="H1352">
        <v>2</v>
      </c>
      <c r="I1352" t="s">
        <v>52</v>
      </c>
      <c r="J1352" t="str">
        <f>WA_Fn_UseC__HR_Employee_Attrition[[#This Row],[EducationField]]&amp;"-"&amp;WA_Fn_UseC__HR_Employee_Attrition[[#This Row],[Department]]</f>
        <v>Medical-Sales</v>
      </c>
      <c r="K1352">
        <v>1</v>
      </c>
      <c r="L1352">
        <v>1898</v>
      </c>
      <c r="M1352">
        <v>1</v>
      </c>
      <c r="N1352" t="s">
        <v>40</v>
      </c>
      <c r="O1352">
        <v>89</v>
      </c>
      <c r="P1352">
        <v>4</v>
      </c>
      <c r="Q1352">
        <v>2</v>
      </c>
      <c r="R1352" t="s">
        <v>41</v>
      </c>
      <c r="S1352">
        <v>3</v>
      </c>
      <c r="T1352" t="s">
        <v>42</v>
      </c>
      <c r="U1352">
        <v>6500</v>
      </c>
      <c r="V1352" t="str" cm="1">
        <f t="array" ref="V135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52">
        <v>26997</v>
      </c>
      <c r="X1352">
        <v>0</v>
      </c>
      <c r="Y1352" t="s">
        <v>43</v>
      </c>
      <c r="Z1352" t="s">
        <v>44</v>
      </c>
      <c r="AA1352">
        <v>14</v>
      </c>
      <c r="AB1352">
        <v>3</v>
      </c>
      <c r="AC1352">
        <v>2</v>
      </c>
      <c r="AD1352">
        <v>80</v>
      </c>
      <c r="AE1352">
        <v>0</v>
      </c>
      <c r="AF1352">
        <v>9</v>
      </c>
      <c r="AG1352">
        <v>5</v>
      </c>
      <c r="AH1352">
        <v>2</v>
      </c>
      <c r="AI1352">
        <v>8</v>
      </c>
      <c r="AJ1352">
        <v>7</v>
      </c>
      <c r="AK1352">
        <v>0</v>
      </c>
      <c r="AL1352" t="str" cm="1">
        <f t="array" ref="AL135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52">
        <v>7</v>
      </c>
    </row>
    <row r="1353" spans="1:39" x14ac:dyDescent="0.25">
      <c r="A1353">
        <v>48</v>
      </c>
      <c r="B1353" t="s">
        <v>44</v>
      </c>
      <c r="C1353" t="s">
        <v>45</v>
      </c>
      <c r="D1353">
        <v>117</v>
      </c>
      <c r="E1353" t="s">
        <v>46</v>
      </c>
      <c r="G1353">
        <v>22</v>
      </c>
      <c r="H1353">
        <v>3</v>
      </c>
      <c r="I1353" t="s">
        <v>52</v>
      </c>
      <c r="J1353" t="str">
        <f>WA_Fn_UseC__HR_Employee_Attrition[[#This Row],[EducationField]]&amp;"-"&amp;WA_Fn_UseC__HR_Employee_Attrition[[#This Row],[Department]]</f>
        <v>Medical-Research &amp; Development</v>
      </c>
      <c r="K1353">
        <v>1</v>
      </c>
      <c r="L1353">
        <v>1900</v>
      </c>
      <c r="M1353">
        <v>4</v>
      </c>
      <c r="N1353" t="s">
        <v>40</v>
      </c>
      <c r="O1353">
        <v>58</v>
      </c>
      <c r="P1353">
        <v>3</v>
      </c>
      <c r="Q1353">
        <v>4</v>
      </c>
      <c r="R1353" t="s">
        <v>57</v>
      </c>
      <c r="S1353">
        <v>4</v>
      </c>
      <c r="T1353" t="s">
        <v>53</v>
      </c>
      <c r="U1353">
        <v>17174</v>
      </c>
      <c r="V1353" t="str" cm="1">
        <f t="array" ref="V135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53">
        <v>2437</v>
      </c>
      <c r="X1353">
        <v>3</v>
      </c>
      <c r="Y1353" t="s">
        <v>43</v>
      </c>
      <c r="Z1353" t="s">
        <v>44</v>
      </c>
      <c r="AA1353">
        <v>11</v>
      </c>
      <c r="AB1353">
        <v>3</v>
      </c>
      <c r="AC1353">
        <v>2</v>
      </c>
      <c r="AD1353">
        <v>80</v>
      </c>
      <c r="AE1353">
        <v>1</v>
      </c>
      <c r="AF1353">
        <v>24</v>
      </c>
      <c r="AG1353">
        <v>3</v>
      </c>
      <c r="AH1353">
        <v>3</v>
      </c>
      <c r="AI1353">
        <v>22</v>
      </c>
      <c r="AJ1353">
        <v>17</v>
      </c>
      <c r="AK1353">
        <v>4</v>
      </c>
      <c r="AL1353" t="str" cm="1">
        <f t="array" ref="AL135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53">
        <v>7</v>
      </c>
    </row>
    <row r="1354" spans="1:39" x14ac:dyDescent="0.25">
      <c r="A1354">
        <v>44</v>
      </c>
      <c r="B1354" t="s">
        <v>44</v>
      </c>
      <c r="C1354" t="s">
        <v>37</v>
      </c>
      <c r="D1354">
        <v>170</v>
      </c>
      <c r="E1354" t="s">
        <v>46</v>
      </c>
      <c r="G1354">
        <v>1</v>
      </c>
      <c r="H1354">
        <v>4</v>
      </c>
      <c r="I1354" t="s">
        <v>39</v>
      </c>
      <c r="J1354" t="str">
        <f>WA_Fn_UseC__HR_Employee_Attrition[[#This Row],[EducationField]]&amp;"-"&amp;WA_Fn_UseC__HR_Employee_Attrition[[#This Row],[Department]]</f>
        <v>Life Sciences-Research &amp; Development</v>
      </c>
      <c r="K1354">
        <v>1</v>
      </c>
      <c r="L1354">
        <v>1903</v>
      </c>
      <c r="M1354">
        <v>2</v>
      </c>
      <c r="N1354" t="s">
        <v>47</v>
      </c>
      <c r="O1354">
        <v>78</v>
      </c>
      <c r="P1354">
        <v>4</v>
      </c>
      <c r="Q1354">
        <v>2</v>
      </c>
      <c r="R1354" t="s">
        <v>55</v>
      </c>
      <c r="S1354">
        <v>1</v>
      </c>
      <c r="T1354" t="s">
        <v>49</v>
      </c>
      <c r="U1354">
        <v>5033</v>
      </c>
      <c r="V1354" t="str" cm="1">
        <f t="array" ref="V135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54">
        <v>9364</v>
      </c>
      <c r="X1354">
        <v>2</v>
      </c>
      <c r="Y1354" t="s">
        <v>43</v>
      </c>
      <c r="Z1354" t="s">
        <v>44</v>
      </c>
      <c r="AA1354">
        <v>15</v>
      </c>
      <c r="AB1354">
        <v>3</v>
      </c>
      <c r="AC1354">
        <v>4</v>
      </c>
      <c r="AD1354">
        <v>80</v>
      </c>
      <c r="AE1354">
        <v>1</v>
      </c>
      <c r="AF1354">
        <v>10</v>
      </c>
      <c r="AG1354">
        <v>5</v>
      </c>
      <c r="AH1354">
        <v>3</v>
      </c>
      <c r="AI1354">
        <v>2</v>
      </c>
      <c r="AJ1354">
        <v>0</v>
      </c>
      <c r="AK1354">
        <v>2</v>
      </c>
      <c r="AL1354" t="str" cm="1">
        <f t="array" ref="AL135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54">
        <v>2</v>
      </c>
    </row>
    <row r="1355" spans="1:39" x14ac:dyDescent="0.25">
      <c r="A1355">
        <v>34</v>
      </c>
      <c r="B1355" t="s">
        <v>36</v>
      </c>
      <c r="C1355" t="s">
        <v>56</v>
      </c>
      <c r="D1355">
        <v>967</v>
      </c>
      <c r="E1355" t="s">
        <v>46</v>
      </c>
      <c r="G1355">
        <v>16</v>
      </c>
      <c r="H1355">
        <v>4</v>
      </c>
      <c r="I1355" t="s">
        <v>61</v>
      </c>
      <c r="J1355" t="str">
        <f>WA_Fn_UseC__HR_Employee_Attrition[[#This Row],[EducationField]]&amp;"-"&amp;WA_Fn_UseC__HR_Employee_Attrition[[#This Row],[Department]]</f>
        <v>Technical Degree-Research &amp; Development</v>
      </c>
      <c r="K1355">
        <v>1</v>
      </c>
      <c r="L1355">
        <v>1905</v>
      </c>
      <c r="M1355">
        <v>4</v>
      </c>
      <c r="N1355" t="s">
        <v>47</v>
      </c>
      <c r="O1355">
        <v>85</v>
      </c>
      <c r="P1355">
        <v>1</v>
      </c>
      <c r="Q1355">
        <v>1</v>
      </c>
      <c r="R1355" t="s">
        <v>48</v>
      </c>
      <c r="S1355">
        <v>1</v>
      </c>
      <c r="T1355" t="s">
        <v>49</v>
      </c>
      <c r="U1355">
        <v>2307</v>
      </c>
      <c r="V1355" t="str" cm="1">
        <f t="array" ref="V135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55">
        <v>14460</v>
      </c>
      <c r="X1355">
        <v>1</v>
      </c>
      <c r="Y1355" t="s">
        <v>43</v>
      </c>
      <c r="Z1355" t="s">
        <v>36</v>
      </c>
      <c r="AA1355">
        <v>23</v>
      </c>
      <c r="AB1355">
        <v>4</v>
      </c>
      <c r="AC1355">
        <v>2</v>
      </c>
      <c r="AD1355">
        <v>80</v>
      </c>
      <c r="AE1355">
        <v>1</v>
      </c>
      <c r="AF1355">
        <v>5</v>
      </c>
      <c r="AG1355">
        <v>2</v>
      </c>
      <c r="AH1355">
        <v>3</v>
      </c>
      <c r="AI1355">
        <v>5</v>
      </c>
      <c r="AJ1355">
        <v>2</v>
      </c>
      <c r="AK1355">
        <v>3</v>
      </c>
      <c r="AL1355" t="str" cm="1">
        <f t="array" ref="AL135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55">
        <v>0</v>
      </c>
    </row>
    <row r="1356" spans="1:39" x14ac:dyDescent="0.25">
      <c r="A1356">
        <v>56</v>
      </c>
      <c r="B1356" t="s">
        <v>36</v>
      </c>
      <c r="C1356" t="s">
        <v>37</v>
      </c>
      <c r="D1356">
        <v>1162</v>
      </c>
      <c r="E1356" t="s">
        <v>46</v>
      </c>
      <c r="G1356">
        <v>24</v>
      </c>
      <c r="H1356">
        <v>2</v>
      </c>
      <c r="I1356" t="s">
        <v>39</v>
      </c>
      <c r="J1356" t="str">
        <f>WA_Fn_UseC__HR_Employee_Attrition[[#This Row],[EducationField]]&amp;"-"&amp;WA_Fn_UseC__HR_Employee_Attrition[[#This Row],[Department]]</f>
        <v>Life Sciences-Research &amp; Development</v>
      </c>
      <c r="K1356">
        <v>1</v>
      </c>
      <c r="L1356">
        <v>1907</v>
      </c>
      <c r="M1356">
        <v>1</v>
      </c>
      <c r="N1356" t="s">
        <v>47</v>
      </c>
      <c r="O1356">
        <v>97</v>
      </c>
      <c r="P1356">
        <v>3</v>
      </c>
      <c r="Q1356">
        <v>1</v>
      </c>
      <c r="R1356" t="s">
        <v>51</v>
      </c>
      <c r="S1356">
        <v>4</v>
      </c>
      <c r="T1356" t="s">
        <v>42</v>
      </c>
      <c r="U1356">
        <v>2587</v>
      </c>
      <c r="V1356" t="str" cm="1">
        <f t="array" ref="V135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56">
        <v>10261</v>
      </c>
      <c r="X1356">
        <v>1</v>
      </c>
      <c r="Y1356" t="s">
        <v>43</v>
      </c>
      <c r="Z1356" t="s">
        <v>44</v>
      </c>
      <c r="AA1356">
        <v>16</v>
      </c>
      <c r="AB1356">
        <v>3</v>
      </c>
      <c r="AC1356">
        <v>4</v>
      </c>
      <c r="AD1356">
        <v>80</v>
      </c>
      <c r="AE1356">
        <v>0</v>
      </c>
      <c r="AF1356">
        <v>5</v>
      </c>
      <c r="AG1356">
        <v>3</v>
      </c>
      <c r="AH1356">
        <v>3</v>
      </c>
      <c r="AI1356">
        <v>4</v>
      </c>
      <c r="AJ1356">
        <v>2</v>
      </c>
      <c r="AK1356">
        <v>1</v>
      </c>
      <c r="AL1356" t="str" cm="1">
        <f t="array" ref="AL135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56">
        <v>0</v>
      </c>
    </row>
    <row r="1357" spans="1:39" x14ac:dyDescent="0.25">
      <c r="A1357">
        <v>36</v>
      </c>
      <c r="B1357" t="s">
        <v>44</v>
      </c>
      <c r="C1357" t="s">
        <v>37</v>
      </c>
      <c r="D1357">
        <v>335</v>
      </c>
      <c r="E1357" t="s">
        <v>38</v>
      </c>
      <c r="G1357">
        <v>17</v>
      </c>
      <c r="H1357">
        <v>2</v>
      </c>
      <c r="I1357" t="s">
        <v>60</v>
      </c>
      <c r="J1357" t="str">
        <f>WA_Fn_UseC__HR_Employee_Attrition[[#This Row],[EducationField]]&amp;"-"&amp;WA_Fn_UseC__HR_Employee_Attrition[[#This Row],[Department]]</f>
        <v>Marketing-Sales</v>
      </c>
      <c r="K1357">
        <v>1</v>
      </c>
      <c r="L1357">
        <v>1908</v>
      </c>
      <c r="M1357">
        <v>3</v>
      </c>
      <c r="N1357" t="s">
        <v>47</v>
      </c>
      <c r="O1357">
        <v>33</v>
      </c>
      <c r="P1357">
        <v>2</v>
      </c>
      <c r="Q1357">
        <v>2</v>
      </c>
      <c r="R1357" t="s">
        <v>41</v>
      </c>
      <c r="S1357">
        <v>2</v>
      </c>
      <c r="T1357" t="s">
        <v>49</v>
      </c>
      <c r="U1357">
        <v>5507</v>
      </c>
      <c r="V1357" t="str" cm="1">
        <f t="array" ref="V135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57">
        <v>16822</v>
      </c>
      <c r="X1357">
        <v>2</v>
      </c>
      <c r="Y1357" t="s">
        <v>43</v>
      </c>
      <c r="Z1357" t="s">
        <v>44</v>
      </c>
      <c r="AA1357">
        <v>16</v>
      </c>
      <c r="AB1357">
        <v>3</v>
      </c>
      <c r="AC1357">
        <v>3</v>
      </c>
      <c r="AD1357">
        <v>80</v>
      </c>
      <c r="AE1357">
        <v>2</v>
      </c>
      <c r="AF1357">
        <v>12</v>
      </c>
      <c r="AG1357">
        <v>1</v>
      </c>
      <c r="AH1357">
        <v>1</v>
      </c>
      <c r="AI1357">
        <v>4</v>
      </c>
      <c r="AJ1357">
        <v>2</v>
      </c>
      <c r="AK1357">
        <v>1</v>
      </c>
      <c r="AL1357" t="str" cm="1">
        <f t="array" ref="AL135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57">
        <v>3</v>
      </c>
    </row>
    <row r="1358" spans="1:39" x14ac:dyDescent="0.25">
      <c r="A1358">
        <v>41</v>
      </c>
      <c r="B1358" t="s">
        <v>44</v>
      </c>
      <c r="C1358" t="s">
        <v>37</v>
      </c>
      <c r="D1358">
        <v>337</v>
      </c>
      <c r="E1358" t="s">
        <v>38</v>
      </c>
      <c r="G1358">
        <v>8</v>
      </c>
      <c r="H1358">
        <v>3</v>
      </c>
      <c r="I1358" t="s">
        <v>60</v>
      </c>
      <c r="J1358" t="str">
        <f>WA_Fn_UseC__HR_Employee_Attrition[[#This Row],[EducationField]]&amp;"-"&amp;WA_Fn_UseC__HR_Employee_Attrition[[#This Row],[Department]]</f>
        <v>Marketing-Sales</v>
      </c>
      <c r="K1358">
        <v>1</v>
      </c>
      <c r="L1358">
        <v>1909</v>
      </c>
      <c r="M1358">
        <v>3</v>
      </c>
      <c r="N1358" t="s">
        <v>40</v>
      </c>
      <c r="O1358">
        <v>54</v>
      </c>
      <c r="P1358">
        <v>3</v>
      </c>
      <c r="Q1358">
        <v>2</v>
      </c>
      <c r="R1358" t="s">
        <v>41</v>
      </c>
      <c r="S1358">
        <v>2</v>
      </c>
      <c r="T1358" t="s">
        <v>49</v>
      </c>
      <c r="U1358">
        <v>4393</v>
      </c>
      <c r="V1358" t="str" cm="1">
        <f t="array" ref="V135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58">
        <v>26841</v>
      </c>
      <c r="X1358">
        <v>5</v>
      </c>
      <c r="Y1358" t="s">
        <v>43</v>
      </c>
      <c r="Z1358" t="s">
        <v>44</v>
      </c>
      <c r="AA1358">
        <v>21</v>
      </c>
      <c r="AB1358">
        <v>4</v>
      </c>
      <c r="AC1358">
        <v>3</v>
      </c>
      <c r="AD1358">
        <v>80</v>
      </c>
      <c r="AE1358">
        <v>1</v>
      </c>
      <c r="AF1358">
        <v>14</v>
      </c>
      <c r="AG1358">
        <v>3</v>
      </c>
      <c r="AH1358">
        <v>3</v>
      </c>
      <c r="AI1358">
        <v>5</v>
      </c>
      <c r="AJ1358">
        <v>4</v>
      </c>
      <c r="AK1358">
        <v>1</v>
      </c>
      <c r="AL1358" t="str" cm="1">
        <f t="array" ref="AL135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58">
        <v>4</v>
      </c>
    </row>
    <row r="1359" spans="1:39" x14ac:dyDescent="0.25">
      <c r="A1359">
        <v>42</v>
      </c>
      <c r="B1359" t="s">
        <v>44</v>
      </c>
      <c r="C1359" t="s">
        <v>37</v>
      </c>
      <c r="D1359">
        <v>1396</v>
      </c>
      <c r="E1359" t="s">
        <v>46</v>
      </c>
      <c r="G1359">
        <v>6</v>
      </c>
      <c r="H1359">
        <v>3</v>
      </c>
      <c r="I1359" t="s">
        <v>52</v>
      </c>
      <c r="J1359" t="str">
        <f>WA_Fn_UseC__HR_Employee_Attrition[[#This Row],[EducationField]]&amp;"-"&amp;WA_Fn_UseC__HR_Employee_Attrition[[#This Row],[Department]]</f>
        <v>Medical-Research &amp; Development</v>
      </c>
      <c r="K1359">
        <v>1</v>
      </c>
      <c r="L1359">
        <v>1911</v>
      </c>
      <c r="M1359">
        <v>3</v>
      </c>
      <c r="N1359" t="s">
        <v>47</v>
      </c>
      <c r="O1359">
        <v>83</v>
      </c>
      <c r="P1359">
        <v>3</v>
      </c>
      <c r="Q1359">
        <v>3</v>
      </c>
      <c r="R1359" t="s">
        <v>59</v>
      </c>
      <c r="S1359">
        <v>1</v>
      </c>
      <c r="T1359" t="s">
        <v>49</v>
      </c>
      <c r="U1359">
        <v>13348</v>
      </c>
      <c r="V1359" t="str" cm="1">
        <f t="array" ref="V135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59">
        <v>14842</v>
      </c>
      <c r="X1359">
        <v>9</v>
      </c>
      <c r="Y1359" t="s">
        <v>43</v>
      </c>
      <c r="Z1359" t="s">
        <v>44</v>
      </c>
      <c r="AA1359">
        <v>13</v>
      </c>
      <c r="AB1359">
        <v>3</v>
      </c>
      <c r="AC1359">
        <v>2</v>
      </c>
      <c r="AD1359">
        <v>80</v>
      </c>
      <c r="AE1359">
        <v>1</v>
      </c>
      <c r="AF1359">
        <v>18</v>
      </c>
      <c r="AG1359">
        <v>3</v>
      </c>
      <c r="AH1359">
        <v>4</v>
      </c>
      <c r="AI1359">
        <v>13</v>
      </c>
      <c r="AJ1359">
        <v>7</v>
      </c>
      <c r="AK1359">
        <v>5</v>
      </c>
      <c r="AL1359" t="str" cm="1">
        <f t="array" ref="AL135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59">
        <v>7</v>
      </c>
    </row>
    <row r="1360" spans="1:39" x14ac:dyDescent="0.25">
      <c r="A1360">
        <v>31</v>
      </c>
      <c r="B1360" t="s">
        <v>44</v>
      </c>
      <c r="C1360" t="s">
        <v>37</v>
      </c>
      <c r="D1360">
        <v>1079</v>
      </c>
      <c r="E1360" t="s">
        <v>38</v>
      </c>
      <c r="G1360">
        <v>10</v>
      </c>
      <c r="H1360">
        <v>2</v>
      </c>
      <c r="I1360" t="s">
        <v>52</v>
      </c>
      <c r="J1360" t="str">
        <f>WA_Fn_UseC__HR_Employee_Attrition[[#This Row],[EducationField]]&amp;"-"&amp;WA_Fn_UseC__HR_Employee_Attrition[[#This Row],[Department]]</f>
        <v>Medical-Sales</v>
      </c>
      <c r="K1360">
        <v>1</v>
      </c>
      <c r="L1360">
        <v>1912</v>
      </c>
      <c r="M1360">
        <v>3</v>
      </c>
      <c r="N1360" t="s">
        <v>40</v>
      </c>
      <c r="O1360">
        <v>86</v>
      </c>
      <c r="P1360">
        <v>3</v>
      </c>
      <c r="Q1360">
        <v>2</v>
      </c>
      <c r="R1360" t="s">
        <v>41</v>
      </c>
      <c r="S1360">
        <v>4</v>
      </c>
      <c r="T1360" t="s">
        <v>53</v>
      </c>
      <c r="U1360">
        <v>6583</v>
      </c>
      <c r="V1360" t="str" cm="1">
        <f t="array" ref="V136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60">
        <v>20115</v>
      </c>
      <c r="X1360">
        <v>2</v>
      </c>
      <c r="Y1360" t="s">
        <v>43</v>
      </c>
      <c r="Z1360" t="s">
        <v>36</v>
      </c>
      <c r="AA1360">
        <v>11</v>
      </c>
      <c r="AB1360">
        <v>3</v>
      </c>
      <c r="AC1360">
        <v>4</v>
      </c>
      <c r="AD1360">
        <v>80</v>
      </c>
      <c r="AE1360">
        <v>1</v>
      </c>
      <c r="AF1360">
        <v>8</v>
      </c>
      <c r="AG1360">
        <v>2</v>
      </c>
      <c r="AH1360">
        <v>3</v>
      </c>
      <c r="AI1360">
        <v>5</v>
      </c>
      <c r="AJ1360">
        <v>2</v>
      </c>
      <c r="AK1360">
        <v>1</v>
      </c>
      <c r="AL1360" t="str" cm="1">
        <f t="array" ref="AL136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60">
        <v>4</v>
      </c>
    </row>
    <row r="1361" spans="1:39" x14ac:dyDescent="0.25">
      <c r="A1361">
        <v>34</v>
      </c>
      <c r="B1361" t="s">
        <v>44</v>
      </c>
      <c r="C1361" t="s">
        <v>37</v>
      </c>
      <c r="D1361">
        <v>735</v>
      </c>
      <c r="E1361" t="s">
        <v>38</v>
      </c>
      <c r="G1361">
        <v>3</v>
      </c>
      <c r="H1361">
        <v>1</v>
      </c>
      <c r="I1361" t="s">
        <v>52</v>
      </c>
      <c r="J1361" t="str">
        <f>WA_Fn_UseC__HR_Employee_Attrition[[#This Row],[EducationField]]&amp;"-"&amp;WA_Fn_UseC__HR_Employee_Attrition[[#This Row],[Department]]</f>
        <v>Medical-Sales</v>
      </c>
      <c r="K1361">
        <v>1</v>
      </c>
      <c r="L1361">
        <v>1915</v>
      </c>
      <c r="M1361">
        <v>4</v>
      </c>
      <c r="N1361" t="s">
        <v>40</v>
      </c>
      <c r="O1361">
        <v>75</v>
      </c>
      <c r="P1361">
        <v>2</v>
      </c>
      <c r="Q1361">
        <v>2</v>
      </c>
      <c r="R1361" t="s">
        <v>41</v>
      </c>
      <c r="S1361">
        <v>4</v>
      </c>
      <c r="T1361" t="s">
        <v>49</v>
      </c>
      <c r="U1361">
        <v>8103</v>
      </c>
      <c r="V1361" t="str" cm="1">
        <f t="array" ref="V136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61">
        <v>16495</v>
      </c>
      <c r="X1361">
        <v>3</v>
      </c>
      <c r="Y1361" t="s">
        <v>43</v>
      </c>
      <c r="Z1361" t="s">
        <v>36</v>
      </c>
      <c r="AA1361">
        <v>12</v>
      </c>
      <c r="AB1361">
        <v>3</v>
      </c>
      <c r="AC1361">
        <v>3</v>
      </c>
      <c r="AD1361">
        <v>80</v>
      </c>
      <c r="AE1361">
        <v>0</v>
      </c>
      <c r="AF1361">
        <v>9</v>
      </c>
      <c r="AG1361">
        <v>3</v>
      </c>
      <c r="AH1361">
        <v>2</v>
      </c>
      <c r="AI1361">
        <v>4</v>
      </c>
      <c r="AJ1361">
        <v>2</v>
      </c>
      <c r="AK1361">
        <v>0</v>
      </c>
      <c r="AL1361" t="str" cm="1">
        <f t="array" ref="AL136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61">
        <v>1</v>
      </c>
    </row>
    <row r="1362" spans="1:39" x14ac:dyDescent="0.25">
      <c r="A1362">
        <v>31</v>
      </c>
      <c r="B1362" t="s">
        <v>44</v>
      </c>
      <c r="C1362" t="s">
        <v>37</v>
      </c>
      <c r="D1362">
        <v>471</v>
      </c>
      <c r="E1362" t="s">
        <v>46</v>
      </c>
      <c r="G1362">
        <v>4</v>
      </c>
      <c r="H1362">
        <v>3</v>
      </c>
      <c r="I1362" t="s">
        <v>52</v>
      </c>
      <c r="J1362" t="str">
        <f>WA_Fn_UseC__HR_Employee_Attrition[[#This Row],[EducationField]]&amp;"-"&amp;WA_Fn_UseC__HR_Employee_Attrition[[#This Row],[Department]]</f>
        <v>Medical-Research &amp; Development</v>
      </c>
      <c r="K1362">
        <v>1</v>
      </c>
      <c r="L1362">
        <v>1916</v>
      </c>
      <c r="M1362">
        <v>1</v>
      </c>
      <c r="N1362" t="s">
        <v>40</v>
      </c>
      <c r="O1362">
        <v>62</v>
      </c>
      <c r="P1362">
        <v>4</v>
      </c>
      <c r="Q1362">
        <v>1</v>
      </c>
      <c r="R1362" t="s">
        <v>51</v>
      </c>
      <c r="S1362">
        <v>3</v>
      </c>
      <c r="T1362" t="s">
        <v>53</v>
      </c>
      <c r="U1362">
        <v>3978</v>
      </c>
      <c r="V1362" t="str" cm="1">
        <f t="array" ref="V136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62">
        <v>16031</v>
      </c>
      <c r="X1362">
        <v>8</v>
      </c>
      <c r="Y1362" t="s">
        <v>43</v>
      </c>
      <c r="Z1362" t="s">
        <v>44</v>
      </c>
      <c r="AA1362">
        <v>12</v>
      </c>
      <c r="AB1362">
        <v>3</v>
      </c>
      <c r="AC1362">
        <v>2</v>
      </c>
      <c r="AD1362">
        <v>80</v>
      </c>
      <c r="AE1362">
        <v>1</v>
      </c>
      <c r="AF1362">
        <v>4</v>
      </c>
      <c r="AG1362">
        <v>0</v>
      </c>
      <c r="AH1362">
        <v>2</v>
      </c>
      <c r="AI1362">
        <v>2</v>
      </c>
      <c r="AJ1362">
        <v>2</v>
      </c>
      <c r="AK1362">
        <v>2</v>
      </c>
      <c r="AL1362" t="str" cm="1">
        <f t="array" ref="AL136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62">
        <v>2</v>
      </c>
    </row>
    <row r="1363" spans="1:39" x14ac:dyDescent="0.25">
      <c r="A1363">
        <v>26</v>
      </c>
      <c r="B1363" t="s">
        <v>44</v>
      </c>
      <c r="C1363" t="s">
        <v>45</v>
      </c>
      <c r="D1363">
        <v>1096</v>
      </c>
      <c r="E1363" t="s">
        <v>46</v>
      </c>
      <c r="G1363">
        <v>6</v>
      </c>
      <c r="H1363">
        <v>3</v>
      </c>
      <c r="I1363" t="s">
        <v>50</v>
      </c>
      <c r="J1363" t="str">
        <f>WA_Fn_UseC__HR_Employee_Attrition[[#This Row],[EducationField]]&amp;"-"&amp;WA_Fn_UseC__HR_Employee_Attrition[[#This Row],[Department]]</f>
        <v>Other-Research &amp; Development</v>
      </c>
      <c r="K1363">
        <v>1</v>
      </c>
      <c r="L1363">
        <v>1918</v>
      </c>
      <c r="M1363">
        <v>3</v>
      </c>
      <c r="N1363" t="s">
        <v>47</v>
      </c>
      <c r="O1363">
        <v>61</v>
      </c>
      <c r="P1363">
        <v>4</v>
      </c>
      <c r="Q1363">
        <v>1</v>
      </c>
      <c r="R1363" t="s">
        <v>51</v>
      </c>
      <c r="S1363">
        <v>4</v>
      </c>
      <c r="T1363" t="s">
        <v>49</v>
      </c>
      <c r="U1363">
        <v>2544</v>
      </c>
      <c r="V1363" t="str" cm="1">
        <f t="array" ref="V136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63">
        <v>7102</v>
      </c>
      <c r="X1363">
        <v>0</v>
      </c>
      <c r="Y1363" t="s">
        <v>43</v>
      </c>
      <c r="Z1363" t="s">
        <v>44</v>
      </c>
      <c r="AA1363">
        <v>18</v>
      </c>
      <c r="AB1363">
        <v>3</v>
      </c>
      <c r="AC1363">
        <v>1</v>
      </c>
      <c r="AD1363">
        <v>80</v>
      </c>
      <c r="AE1363">
        <v>1</v>
      </c>
      <c r="AF1363">
        <v>8</v>
      </c>
      <c r="AG1363">
        <v>3</v>
      </c>
      <c r="AH1363">
        <v>3</v>
      </c>
      <c r="AI1363">
        <v>7</v>
      </c>
      <c r="AJ1363">
        <v>7</v>
      </c>
      <c r="AK1363">
        <v>7</v>
      </c>
      <c r="AL1363" t="str" cm="1">
        <f t="array" ref="AL136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63">
        <v>7</v>
      </c>
    </row>
    <row r="1364" spans="1:39" x14ac:dyDescent="0.25">
      <c r="A1364">
        <v>45</v>
      </c>
      <c r="B1364" t="s">
        <v>44</v>
      </c>
      <c r="C1364" t="s">
        <v>45</v>
      </c>
      <c r="D1364">
        <v>1297</v>
      </c>
      <c r="E1364" t="s">
        <v>46</v>
      </c>
      <c r="G1364">
        <v>1</v>
      </c>
      <c r="H1364">
        <v>4</v>
      </c>
      <c r="I1364" t="s">
        <v>52</v>
      </c>
      <c r="J1364" t="str">
        <f>WA_Fn_UseC__HR_Employee_Attrition[[#This Row],[EducationField]]&amp;"-"&amp;WA_Fn_UseC__HR_Employee_Attrition[[#This Row],[Department]]</f>
        <v>Medical-Research &amp; Development</v>
      </c>
      <c r="K1364">
        <v>1</v>
      </c>
      <c r="L1364">
        <v>1922</v>
      </c>
      <c r="M1364">
        <v>2</v>
      </c>
      <c r="N1364" t="s">
        <v>47</v>
      </c>
      <c r="O1364">
        <v>44</v>
      </c>
      <c r="P1364">
        <v>3</v>
      </c>
      <c r="Q1364">
        <v>2</v>
      </c>
      <c r="R1364" t="s">
        <v>55</v>
      </c>
      <c r="S1364">
        <v>3</v>
      </c>
      <c r="T1364" t="s">
        <v>42</v>
      </c>
      <c r="U1364">
        <v>5399</v>
      </c>
      <c r="V1364" t="str" cm="1">
        <f t="array" ref="V136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64">
        <v>14511</v>
      </c>
      <c r="X1364">
        <v>4</v>
      </c>
      <c r="Y1364" t="s">
        <v>43</v>
      </c>
      <c r="Z1364" t="s">
        <v>44</v>
      </c>
      <c r="AA1364">
        <v>12</v>
      </c>
      <c r="AB1364">
        <v>3</v>
      </c>
      <c r="AC1364">
        <v>3</v>
      </c>
      <c r="AD1364">
        <v>80</v>
      </c>
      <c r="AE1364">
        <v>0</v>
      </c>
      <c r="AF1364">
        <v>12</v>
      </c>
      <c r="AG1364">
        <v>3</v>
      </c>
      <c r="AH1364">
        <v>3</v>
      </c>
      <c r="AI1364">
        <v>4</v>
      </c>
      <c r="AJ1364">
        <v>2</v>
      </c>
      <c r="AK1364">
        <v>0</v>
      </c>
      <c r="AL1364" t="str" cm="1">
        <f t="array" ref="AL136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64">
        <v>3</v>
      </c>
    </row>
    <row r="1365" spans="1:39" x14ac:dyDescent="0.25">
      <c r="A1365">
        <v>33</v>
      </c>
      <c r="B1365" t="s">
        <v>44</v>
      </c>
      <c r="C1365" t="s">
        <v>37</v>
      </c>
      <c r="D1365">
        <v>217</v>
      </c>
      <c r="E1365" t="s">
        <v>38</v>
      </c>
      <c r="G1365">
        <v>10</v>
      </c>
      <c r="H1365">
        <v>4</v>
      </c>
      <c r="I1365" t="s">
        <v>60</v>
      </c>
      <c r="J1365" t="str">
        <f>WA_Fn_UseC__HR_Employee_Attrition[[#This Row],[EducationField]]&amp;"-"&amp;WA_Fn_UseC__HR_Employee_Attrition[[#This Row],[Department]]</f>
        <v>Marketing-Sales</v>
      </c>
      <c r="K1365">
        <v>1</v>
      </c>
      <c r="L1365">
        <v>1924</v>
      </c>
      <c r="M1365">
        <v>2</v>
      </c>
      <c r="N1365" t="s">
        <v>47</v>
      </c>
      <c r="O1365">
        <v>43</v>
      </c>
      <c r="P1365">
        <v>3</v>
      </c>
      <c r="Q1365">
        <v>2</v>
      </c>
      <c r="R1365" t="s">
        <v>41</v>
      </c>
      <c r="S1365">
        <v>3</v>
      </c>
      <c r="T1365" t="s">
        <v>42</v>
      </c>
      <c r="U1365">
        <v>5487</v>
      </c>
      <c r="V1365" t="str" cm="1">
        <f t="array" ref="V136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65">
        <v>10410</v>
      </c>
      <c r="X1365">
        <v>1</v>
      </c>
      <c r="Y1365" t="s">
        <v>43</v>
      </c>
      <c r="Z1365" t="s">
        <v>44</v>
      </c>
      <c r="AA1365">
        <v>14</v>
      </c>
      <c r="AB1365">
        <v>3</v>
      </c>
      <c r="AC1365">
        <v>2</v>
      </c>
      <c r="AD1365">
        <v>80</v>
      </c>
      <c r="AE1365">
        <v>0</v>
      </c>
      <c r="AF1365">
        <v>10</v>
      </c>
      <c r="AG1365">
        <v>2</v>
      </c>
      <c r="AH1365">
        <v>2</v>
      </c>
      <c r="AI1365">
        <v>10</v>
      </c>
      <c r="AJ1365">
        <v>4</v>
      </c>
      <c r="AK1365">
        <v>0</v>
      </c>
      <c r="AL1365" t="str" cm="1">
        <f t="array" ref="AL136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65">
        <v>9</v>
      </c>
    </row>
    <row r="1366" spans="1:39" x14ac:dyDescent="0.25">
      <c r="A1366">
        <v>28</v>
      </c>
      <c r="B1366" t="s">
        <v>44</v>
      </c>
      <c r="C1366" t="s">
        <v>45</v>
      </c>
      <c r="D1366">
        <v>783</v>
      </c>
      <c r="E1366" t="s">
        <v>38</v>
      </c>
      <c r="G1366">
        <v>1</v>
      </c>
      <c r="H1366">
        <v>2</v>
      </c>
      <c r="I1366" t="s">
        <v>39</v>
      </c>
      <c r="J1366" t="str">
        <f>WA_Fn_UseC__HR_Employee_Attrition[[#This Row],[EducationField]]&amp;"-"&amp;WA_Fn_UseC__HR_Employee_Attrition[[#This Row],[Department]]</f>
        <v>Life Sciences-Sales</v>
      </c>
      <c r="K1366">
        <v>1</v>
      </c>
      <c r="L1366">
        <v>1927</v>
      </c>
      <c r="M1366">
        <v>3</v>
      </c>
      <c r="N1366" t="s">
        <v>47</v>
      </c>
      <c r="O1366">
        <v>42</v>
      </c>
      <c r="P1366">
        <v>2</v>
      </c>
      <c r="Q1366">
        <v>2</v>
      </c>
      <c r="R1366" t="s">
        <v>41</v>
      </c>
      <c r="S1366">
        <v>4</v>
      </c>
      <c r="T1366" t="s">
        <v>49</v>
      </c>
      <c r="U1366">
        <v>6834</v>
      </c>
      <c r="V1366" t="str" cm="1">
        <f t="array" ref="V136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66">
        <v>19255</v>
      </c>
      <c r="X1366">
        <v>1</v>
      </c>
      <c r="Y1366" t="s">
        <v>43</v>
      </c>
      <c r="Z1366" t="s">
        <v>36</v>
      </c>
      <c r="AA1366">
        <v>12</v>
      </c>
      <c r="AB1366">
        <v>3</v>
      </c>
      <c r="AC1366">
        <v>3</v>
      </c>
      <c r="AD1366">
        <v>80</v>
      </c>
      <c r="AE1366">
        <v>1</v>
      </c>
      <c r="AF1366">
        <v>7</v>
      </c>
      <c r="AG1366">
        <v>2</v>
      </c>
      <c r="AH1366">
        <v>3</v>
      </c>
      <c r="AI1366">
        <v>7</v>
      </c>
      <c r="AJ1366">
        <v>7</v>
      </c>
      <c r="AK1366">
        <v>0</v>
      </c>
      <c r="AL1366" t="str" cm="1">
        <f t="array" ref="AL136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66">
        <v>7</v>
      </c>
    </row>
    <row r="1367" spans="1:39" x14ac:dyDescent="0.25">
      <c r="A1367">
        <v>29</v>
      </c>
      <c r="B1367" t="s">
        <v>36</v>
      </c>
      <c r="C1367" t="s">
        <v>45</v>
      </c>
      <c r="D1367">
        <v>746</v>
      </c>
      <c r="E1367" t="s">
        <v>38</v>
      </c>
      <c r="G1367">
        <v>24</v>
      </c>
      <c r="H1367">
        <v>3</v>
      </c>
      <c r="I1367" t="s">
        <v>61</v>
      </c>
      <c r="J1367" t="str">
        <f>WA_Fn_UseC__HR_Employee_Attrition[[#This Row],[EducationField]]&amp;"-"&amp;WA_Fn_UseC__HR_Employee_Attrition[[#This Row],[Department]]</f>
        <v>Technical Degree-Sales</v>
      </c>
      <c r="K1367">
        <v>1</v>
      </c>
      <c r="L1367">
        <v>1928</v>
      </c>
      <c r="M1367">
        <v>3</v>
      </c>
      <c r="N1367" t="s">
        <v>47</v>
      </c>
      <c r="O1367">
        <v>45</v>
      </c>
      <c r="P1367">
        <v>4</v>
      </c>
      <c r="Q1367">
        <v>1</v>
      </c>
      <c r="R1367" t="s">
        <v>58</v>
      </c>
      <c r="S1367">
        <v>1</v>
      </c>
      <c r="T1367" t="s">
        <v>42</v>
      </c>
      <c r="U1367">
        <v>1091</v>
      </c>
      <c r="V1367" t="str" cm="1">
        <f t="array" ref="V136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67">
        <v>10642</v>
      </c>
      <c r="X1367">
        <v>1</v>
      </c>
      <c r="Y1367" t="s">
        <v>43</v>
      </c>
      <c r="Z1367" t="s">
        <v>44</v>
      </c>
      <c r="AA1367">
        <v>17</v>
      </c>
      <c r="AB1367">
        <v>3</v>
      </c>
      <c r="AC1367">
        <v>4</v>
      </c>
      <c r="AD1367">
        <v>80</v>
      </c>
      <c r="AE1367">
        <v>0</v>
      </c>
      <c r="AF1367">
        <v>1</v>
      </c>
      <c r="AG1367">
        <v>3</v>
      </c>
      <c r="AH1367">
        <v>3</v>
      </c>
      <c r="AI1367">
        <v>1</v>
      </c>
      <c r="AJ1367">
        <v>0</v>
      </c>
      <c r="AK1367">
        <v>0</v>
      </c>
      <c r="AL1367" t="str" cm="1">
        <f t="array" ref="AL136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67">
        <v>0</v>
      </c>
    </row>
    <row r="1368" spans="1:39" x14ac:dyDescent="0.25">
      <c r="A1368">
        <v>39</v>
      </c>
      <c r="B1368" t="s">
        <v>44</v>
      </c>
      <c r="C1368" t="s">
        <v>56</v>
      </c>
      <c r="D1368">
        <v>1251</v>
      </c>
      <c r="E1368" t="s">
        <v>38</v>
      </c>
      <c r="G1368">
        <v>21</v>
      </c>
      <c r="H1368">
        <v>4</v>
      </c>
      <c r="I1368" t="s">
        <v>39</v>
      </c>
      <c r="J1368" t="str">
        <f>WA_Fn_UseC__HR_Employee_Attrition[[#This Row],[EducationField]]&amp;"-"&amp;WA_Fn_UseC__HR_Employee_Attrition[[#This Row],[Department]]</f>
        <v>Life Sciences-Sales</v>
      </c>
      <c r="K1368">
        <v>1</v>
      </c>
      <c r="L1368">
        <v>1929</v>
      </c>
      <c r="M1368">
        <v>1</v>
      </c>
      <c r="N1368" t="s">
        <v>40</v>
      </c>
      <c r="O1368">
        <v>32</v>
      </c>
      <c r="P1368">
        <v>1</v>
      </c>
      <c r="Q1368">
        <v>2</v>
      </c>
      <c r="R1368" t="s">
        <v>41</v>
      </c>
      <c r="S1368">
        <v>3</v>
      </c>
      <c r="T1368" t="s">
        <v>49</v>
      </c>
      <c r="U1368">
        <v>5736</v>
      </c>
      <c r="V1368" t="str" cm="1">
        <f t="array" ref="V136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68">
        <v>3987</v>
      </c>
      <c r="X1368">
        <v>6</v>
      </c>
      <c r="Y1368" t="s">
        <v>43</v>
      </c>
      <c r="Z1368" t="s">
        <v>44</v>
      </c>
      <c r="AA1368">
        <v>19</v>
      </c>
      <c r="AB1368">
        <v>3</v>
      </c>
      <c r="AC1368">
        <v>3</v>
      </c>
      <c r="AD1368">
        <v>80</v>
      </c>
      <c r="AE1368">
        <v>1</v>
      </c>
      <c r="AF1368">
        <v>10</v>
      </c>
      <c r="AG1368">
        <v>1</v>
      </c>
      <c r="AH1368">
        <v>3</v>
      </c>
      <c r="AI1368">
        <v>3</v>
      </c>
      <c r="AJ1368">
        <v>2</v>
      </c>
      <c r="AK1368">
        <v>1</v>
      </c>
      <c r="AL1368" t="str" cm="1">
        <f t="array" ref="AL136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68">
        <v>2</v>
      </c>
    </row>
    <row r="1369" spans="1:39" x14ac:dyDescent="0.25">
      <c r="A1369">
        <v>27</v>
      </c>
      <c r="B1369" t="s">
        <v>44</v>
      </c>
      <c r="C1369" t="s">
        <v>37</v>
      </c>
      <c r="D1369">
        <v>1354</v>
      </c>
      <c r="E1369" t="s">
        <v>46</v>
      </c>
      <c r="G1369">
        <v>2</v>
      </c>
      <c r="H1369">
        <v>4</v>
      </c>
      <c r="I1369" t="s">
        <v>61</v>
      </c>
      <c r="J1369" t="str">
        <f>WA_Fn_UseC__HR_Employee_Attrition[[#This Row],[EducationField]]&amp;"-"&amp;WA_Fn_UseC__HR_Employee_Attrition[[#This Row],[Department]]</f>
        <v>Technical Degree-Research &amp; Development</v>
      </c>
      <c r="K1369">
        <v>1</v>
      </c>
      <c r="L1369">
        <v>1931</v>
      </c>
      <c r="M1369">
        <v>2</v>
      </c>
      <c r="N1369" t="s">
        <v>47</v>
      </c>
      <c r="O1369">
        <v>41</v>
      </c>
      <c r="P1369">
        <v>3</v>
      </c>
      <c r="Q1369">
        <v>1</v>
      </c>
      <c r="R1369" t="s">
        <v>48</v>
      </c>
      <c r="S1369">
        <v>2</v>
      </c>
      <c r="T1369" t="s">
        <v>49</v>
      </c>
      <c r="U1369">
        <v>2226</v>
      </c>
      <c r="V1369" t="str" cm="1">
        <f t="array" ref="V136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69">
        <v>6073</v>
      </c>
      <c r="X1369">
        <v>1</v>
      </c>
      <c r="Y1369" t="s">
        <v>43</v>
      </c>
      <c r="Z1369" t="s">
        <v>44</v>
      </c>
      <c r="AA1369">
        <v>11</v>
      </c>
      <c r="AB1369">
        <v>3</v>
      </c>
      <c r="AC1369">
        <v>3</v>
      </c>
      <c r="AD1369">
        <v>80</v>
      </c>
      <c r="AE1369">
        <v>1</v>
      </c>
      <c r="AF1369">
        <v>6</v>
      </c>
      <c r="AG1369">
        <v>3</v>
      </c>
      <c r="AH1369">
        <v>2</v>
      </c>
      <c r="AI1369">
        <v>5</v>
      </c>
      <c r="AJ1369">
        <v>3</v>
      </c>
      <c r="AK1369">
        <v>1</v>
      </c>
      <c r="AL1369" t="str" cm="1">
        <f t="array" ref="AL136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69">
        <v>2</v>
      </c>
    </row>
    <row r="1370" spans="1:39" x14ac:dyDescent="0.25">
      <c r="A1370">
        <v>34</v>
      </c>
      <c r="B1370" t="s">
        <v>44</v>
      </c>
      <c r="C1370" t="s">
        <v>45</v>
      </c>
      <c r="D1370">
        <v>735</v>
      </c>
      <c r="E1370" t="s">
        <v>46</v>
      </c>
      <c r="G1370">
        <v>22</v>
      </c>
      <c r="H1370">
        <v>4</v>
      </c>
      <c r="I1370" t="s">
        <v>50</v>
      </c>
      <c r="J1370" t="str">
        <f>WA_Fn_UseC__HR_Employee_Attrition[[#This Row],[EducationField]]&amp;"-"&amp;WA_Fn_UseC__HR_Employee_Attrition[[#This Row],[Department]]</f>
        <v>Other-Research &amp; Development</v>
      </c>
      <c r="K1370">
        <v>1</v>
      </c>
      <c r="L1370">
        <v>1932</v>
      </c>
      <c r="M1370">
        <v>3</v>
      </c>
      <c r="N1370" t="s">
        <v>47</v>
      </c>
      <c r="O1370">
        <v>86</v>
      </c>
      <c r="P1370">
        <v>2</v>
      </c>
      <c r="Q1370">
        <v>2</v>
      </c>
      <c r="R1370" t="s">
        <v>48</v>
      </c>
      <c r="S1370">
        <v>4</v>
      </c>
      <c r="T1370" t="s">
        <v>49</v>
      </c>
      <c r="U1370">
        <v>5747</v>
      </c>
      <c r="V1370" t="str" cm="1">
        <f t="array" ref="V137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70">
        <v>26496</v>
      </c>
      <c r="X1370">
        <v>1</v>
      </c>
      <c r="Y1370" t="s">
        <v>43</v>
      </c>
      <c r="Z1370" t="s">
        <v>36</v>
      </c>
      <c r="AA1370">
        <v>15</v>
      </c>
      <c r="AB1370">
        <v>3</v>
      </c>
      <c r="AC1370">
        <v>2</v>
      </c>
      <c r="AD1370">
        <v>80</v>
      </c>
      <c r="AE1370">
        <v>0</v>
      </c>
      <c r="AF1370">
        <v>16</v>
      </c>
      <c r="AG1370">
        <v>3</v>
      </c>
      <c r="AH1370">
        <v>3</v>
      </c>
      <c r="AI1370">
        <v>15</v>
      </c>
      <c r="AJ1370">
        <v>10</v>
      </c>
      <c r="AK1370">
        <v>6</v>
      </c>
      <c r="AL1370" t="str" cm="1">
        <f t="array" ref="AL137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70">
        <v>11</v>
      </c>
    </row>
    <row r="1371" spans="1:39" x14ac:dyDescent="0.25">
      <c r="A1371">
        <v>28</v>
      </c>
      <c r="B1371" t="s">
        <v>36</v>
      </c>
      <c r="C1371" t="s">
        <v>37</v>
      </c>
      <c r="D1371">
        <v>1475</v>
      </c>
      <c r="E1371" t="s">
        <v>38</v>
      </c>
      <c r="G1371">
        <v>13</v>
      </c>
      <c r="H1371">
        <v>2</v>
      </c>
      <c r="I1371" t="s">
        <v>60</v>
      </c>
      <c r="J1371" t="str">
        <f>WA_Fn_UseC__HR_Employee_Attrition[[#This Row],[EducationField]]&amp;"-"&amp;WA_Fn_UseC__HR_Employee_Attrition[[#This Row],[Department]]</f>
        <v>Marketing-Sales</v>
      </c>
      <c r="K1371">
        <v>1</v>
      </c>
      <c r="L1371">
        <v>1933</v>
      </c>
      <c r="M1371">
        <v>4</v>
      </c>
      <c r="N1371" t="s">
        <v>40</v>
      </c>
      <c r="O1371">
        <v>84</v>
      </c>
      <c r="P1371">
        <v>3</v>
      </c>
      <c r="Q1371">
        <v>2</v>
      </c>
      <c r="R1371" t="s">
        <v>41</v>
      </c>
      <c r="S1371">
        <v>3</v>
      </c>
      <c r="T1371" t="s">
        <v>42</v>
      </c>
      <c r="U1371">
        <v>9854</v>
      </c>
      <c r="V1371" t="str" cm="1">
        <f t="array" ref="V137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71">
        <v>23352</v>
      </c>
      <c r="X1371">
        <v>3</v>
      </c>
      <c r="Y1371" t="s">
        <v>43</v>
      </c>
      <c r="Z1371" t="s">
        <v>36</v>
      </c>
      <c r="AA1371">
        <v>11</v>
      </c>
      <c r="AB1371">
        <v>3</v>
      </c>
      <c r="AC1371">
        <v>4</v>
      </c>
      <c r="AD1371">
        <v>80</v>
      </c>
      <c r="AE1371">
        <v>0</v>
      </c>
      <c r="AF1371">
        <v>6</v>
      </c>
      <c r="AG1371">
        <v>0</v>
      </c>
      <c r="AH1371">
        <v>3</v>
      </c>
      <c r="AI1371">
        <v>2</v>
      </c>
      <c r="AJ1371">
        <v>0</v>
      </c>
      <c r="AK1371">
        <v>2</v>
      </c>
      <c r="AL1371" t="str" cm="1">
        <f t="array" ref="AL137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71">
        <v>2</v>
      </c>
    </row>
    <row r="1372" spans="1:39" x14ac:dyDescent="0.25">
      <c r="A1372">
        <v>47</v>
      </c>
      <c r="B1372" t="s">
        <v>44</v>
      </c>
      <c r="C1372" t="s">
        <v>56</v>
      </c>
      <c r="D1372">
        <v>1169</v>
      </c>
      <c r="E1372" t="s">
        <v>46</v>
      </c>
      <c r="G1372">
        <v>14</v>
      </c>
      <c r="H1372">
        <v>4</v>
      </c>
      <c r="I1372" t="s">
        <v>61</v>
      </c>
      <c r="J1372" t="str">
        <f>WA_Fn_UseC__HR_Employee_Attrition[[#This Row],[EducationField]]&amp;"-"&amp;WA_Fn_UseC__HR_Employee_Attrition[[#This Row],[Department]]</f>
        <v>Technical Degree-Research &amp; Development</v>
      </c>
      <c r="K1372">
        <v>1</v>
      </c>
      <c r="L1372">
        <v>1934</v>
      </c>
      <c r="M1372">
        <v>3</v>
      </c>
      <c r="N1372" t="s">
        <v>47</v>
      </c>
      <c r="O1372">
        <v>64</v>
      </c>
      <c r="P1372">
        <v>3</v>
      </c>
      <c r="Q1372">
        <v>2</v>
      </c>
      <c r="R1372" t="s">
        <v>48</v>
      </c>
      <c r="S1372">
        <v>2</v>
      </c>
      <c r="T1372" t="s">
        <v>49</v>
      </c>
      <c r="U1372">
        <v>5467</v>
      </c>
      <c r="V1372" t="str" cm="1">
        <f t="array" ref="V137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72">
        <v>2125</v>
      </c>
      <c r="X1372">
        <v>8</v>
      </c>
      <c r="Y1372" t="s">
        <v>43</v>
      </c>
      <c r="Z1372" t="s">
        <v>44</v>
      </c>
      <c r="AA1372">
        <v>18</v>
      </c>
      <c r="AB1372">
        <v>3</v>
      </c>
      <c r="AC1372">
        <v>3</v>
      </c>
      <c r="AD1372">
        <v>80</v>
      </c>
      <c r="AE1372">
        <v>1</v>
      </c>
      <c r="AF1372">
        <v>16</v>
      </c>
      <c r="AG1372">
        <v>4</v>
      </c>
      <c r="AH1372">
        <v>4</v>
      </c>
      <c r="AI1372">
        <v>8</v>
      </c>
      <c r="AJ1372">
        <v>7</v>
      </c>
      <c r="AK1372">
        <v>1</v>
      </c>
      <c r="AL1372" t="str" cm="1">
        <f t="array" ref="AL137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72">
        <v>7</v>
      </c>
    </row>
    <row r="1373" spans="1:39" x14ac:dyDescent="0.25">
      <c r="A1373">
        <v>56</v>
      </c>
      <c r="B1373" t="s">
        <v>44</v>
      </c>
      <c r="C1373" t="s">
        <v>37</v>
      </c>
      <c r="D1373">
        <v>1443</v>
      </c>
      <c r="E1373" t="s">
        <v>38</v>
      </c>
      <c r="G1373">
        <v>11</v>
      </c>
      <c r="H1373">
        <v>5</v>
      </c>
      <c r="I1373" t="s">
        <v>60</v>
      </c>
      <c r="J1373" t="str">
        <f>WA_Fn_UseC__HR_Employee_Attrition[[#This Row],[EducationField]]&amp;"-"&amp;WA_Fn_UseC__HR_Employee_Attrition[[#This Row],[Department]]</f>
        <v>Marketing-Sales</v>
      </c>
      <c r="K1373">
        <v>1</v>
      </c>
      <c r="L1373">
        <v>1935</v>
      </c>
      <c r="M1373">
        <v>4</v>
      </c>
      <c r="N1373" t="s">
        <v>40</v>
      </c>
      <c r="O1373">
        <v>89</v>
      </c>
      <c r="P1373">
        <v>2</v>
      </c>
      <c r="Q1373">
        <v>2</v>
      </c>
      <c r="R1373" t="s">
        <v>41</v>
      </c>
      <c r="S1373">
        <v>1</v>
      </c>
      <c r="T1373" t="s">
        <v>49</v>
      </c>
      <c r="U1373">
        <v>5380</v>
      </c>
      <c r="V1373" t="str" cm="1">
        <f t="array" ref="V137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73">
        <v>20328</v>
      </c>
      <c r="X1373">
        <v>4</v>
      </c>
      <c r="Y1373" t="s">
        <v>43</v>
      </c>
      <c r="Z1373" t="s">
        <v>44</v>
      </c>
      <c r="AA1373">
        <v>16</v>
      </c>
      <c r="AB1373">
        <v>3</v>
      </c>
      <c r="AC1373">
        <v>3</v>
      </c>
      <c r="AD1373">
        <v>80</v>
      </c>
      <c r="AE1373">
        <v>1</v>
      </c>
      <c r="AF1373">
        <v>6</v>
      </c>
      <c r="AG1373">
        <v>3</v>
      </c>
      <c r="AH1373">
        <v>3</v>
      </c>
      <c r="AI1373">
        <v>0</v>
      </c>
      <c r="AJ1373">
        <v>0</v>
      </c>
      <c r="AK1373">
        <v>0</v>
      </c>
      <c r="AL1373" t="str" cm="1">
        <f t="array" ref="AL137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73">
        <v>0</v>
      </c>
    </row>
    <row r="1374" spans="1:39" x14ac:dyDescent="0.25">
      <c r="A1374">
        <v>39</v>
      </c>
      <c r="B1374" t="s">
        <v>44</v>
      </c>
      <c r="C1374" t="s">
        <v>37</v>
      </c>
      <c r="D1374">
        <v>867</v>
      </c>
      <c r="E1374" t="s">
        <v>46</v>
      </c>
      <c r="G1374">
        <v>9</v>
      </c>
      <c r="H1374">
        <v>2</v>
      </c>
      <c r="I1374" t="s">
        <v>52</v>
      </c>
      <c r="J1374" t="str">
        <f>WA_Fn_UseC__HR_Employee_Attrition[[#This Row],[EducationField]]&amp;"-"&amp;WA_Fn_UseC__HR_Employee_Attrition[[#This Row],[Department]]</f>
        <v>Medical-Research &amp; Development</v>
      </c>
      <c r="K1374">
        <v>1</v>
      </c>
      <c r="L1374">
        <v>1936</v>
      </c>
      <c r="M1374">
        <v>1</v>
      </c>
      <c r="N1374" t="s">
        <v>47</v>
      </c>
      <c r="O1374">
        <v>87</v>
      </c>
      <c r="P1374">
        <v>3</v>
      </c>
      <c r="Q1374">
        <v>2</v>
      </c>
      <c r="R1374" t="s">
        <v>54</v>
      </c>
      <c r="S1374">
        <v>1</v>
      </c>
      <c r="T1374" t="s">
        <v>49</v>
      </c>
      <c r="U1374">
        <v>5151</v>
      </c>
      <c r="V1374" t="str" cm="1">
        <f t="array" ref="V137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74">
        <v>12315</v>
      </c>
      <c r="X1374">
        <v>1</v>
      </c>
      <c r="Y1374" t="s">
        <v>43</v>
      </c>
      <c r="Z1374" t="s">
        <v>44</v>
      </c>
      <c r="AA1374">
        <v>25</v>
      </c>
      <c r="AB1374">
        <v>4</v>
      </c>
      <c r="AC1374">
        <v>4</v>
      </c>
      <c r="AD1374">
        <v>80</v>
      </c>
      <c r="AE1374">
        <v>1</v>
      </c>
      <c r="AF1374">
        <v>10</v>
      </c>
      <c r="AG1374">
        <v>3</v>
      </c>
      <c r="AH1374">
        <v>3</v>
      </c>
      <c r="AI1374">
        <v>10</v>
      </c>
      <c r="AJ1374">
        <v>0</v>
      </c>
      <c r="AK1374">
        <v>7</v>
      </c>
      <c r="AL1374" t="str" cm="1">
        <f t="array" ref="AL137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74">
        <v>9</v>
      </c>
    </row>
    <row r="1375" spans="1:39" x14ac:dyDescent="0.25">
      <c r="A1375">
        <v>38</v>
      </c>
      <c r="B1375" t="s">
        <v>44</v>
      </c>
      <c r="C1375" t="s">
        <v>45</v>
      </c>
      <c r="D1375">
        <v>1394</v>
      </c>
      <c r="E1375" t="s">
        <v>46</v>
      </c>
      <c r="G1375">
        <v>8</v>
      </c>
      <c r="H1375">
        <v>3</v>
      </c>
      <c r="I1375" t="s">
        <v>52</v>
      </c>
      <c r="J1375" t="str">
        <f>WA_Fn_UseC__HR_Employee_Attrition[[#This Row],[EducationField]]&amp;"-"&amp;WA_Fn_UseC__HR_Employee_Attrition[[#This Row],[Department]]</f>
        <v>Medical-Research &amp; Development</v>
      </c>
      <c r="K1375">
        <v>1</v>
      </c>
      <c r="L1375">
        <v>1937</v>
      </c>
      <c r="M1375">
        <v>4</v>
      </c>
      <c r="N1375" t="s">
        <v>40</v>
      </c>
      <c r="O1375">
        <v>58</v>
      </c>
      <c r="P1375">
        <v>2</v>
      </c>
      <c r="Q1375">
        <v>2</v>
      </c>
      <c r="R1375" t="s">
        <v>48</v>
      </c>
      <c r="S1375">
        <v>2</v>
      </c>
      <c r="T1375" t="s">
        <v>53</v>
      </c>
      <c r="U1375">
        <v>2133</v>
      </c>
      <c r="V1375" t="str" cm="1">
        <f t="array" ref="V137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75">
        <v>18115</v>
      </c>
      <c r="X1375">
        <v>1</v>
      </c>
      <c r="Y1375" t="s">
        <v>43</v>
      </c>
      <c r="Z1375" t="s">
        <v>36</v>
      </c>
      <c r="AA1375">
        <v>16</v>
      </c>
      <c r="AB1375">
        <v>3</v>
      </c>
      <c r="AC1375">
        <v>3</v>
      </c>
      <c r="AD1375">
        <v>80</v>
      </c>
      <c r="AE1375">
        <v>1</v>
      </c>
      <c r="AF1375">
        <v>20</v>
      </c>
      <c r="AG1375">
        <v>3</v>
      </c>
      <c r="AH1375">
        <v>3</v>
      </c>
      <c r="AI1375">
        <v>20</v>
      </c>
      <c r="AJ1375">
        <v>11</v>
      </c>
      <c r="AK1375">
        <v>0</v>
      </c>
      <c r="AL1375" t="str" cm="1">
        <f t="array" ref="AL137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75">
        <v>7</v>
      </c>
    </row>
    <row r="1376" spans="1:39" x14ac:dyDescent="0.25">
      <c r="A1376">
        <v>58</v>
      </c>
      <c r="B1376" t="s">
        <v>44</v>
      </c>
      <c r="C1376" t="s">
        <v>37</v>
      </c>
      <c r="D1376">
        <v>605</v>
      </c>
      <c r="E1376" t="s">
        <v>38</v>
      </c>
      <c r="G1376">
        <v>21</v>
      </c>
      <c r="H1376">
        <v>3</v>
      </c>
      <c r="I1376" t="s">
        <v>39</v>
      </c>
      <c r="J1376" t="str">
        <f>WA_Fn_UseC__HR_Employee_Attrition[[#This Row],[EducationField]]&amp;"-"&amp;WA_Fn_UseC__HR_Employee_Attrition[[#This Row],[Department]]</f>
        <v>Life Sciences-Sales</v>
      </c>
      <c r="K1376">
        <v>1</v>
      </c>
      <c r="L1376">
        <v>1938</v>
      </c>
      <c r="M1376">
        <v>4</v>
      </c>
      <c r="N1376" t="s">
        <v>40</v>
      </c>
      <c r="O1376">
        <v>72</v>
      </c>
      <c r="P1376">
        <v>3</v>
      </c>
      <c r="Q1376">
        <v>4</v>
      </c>
      <c r="R1376" t="s">
        <v>57</v>
      </c>
      <c r="S1376">
        <v>4</v>
      </c>
      <c r="T1376" t="s">
        <v>49</v>
      </c>
      <c r="U1376">
        <v>17875</v>
      </c>
      <c r="V1376" t="str" cm="1">
        <f t="array" ref="V137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76">
        <v>11761</v>
      </c>
      <c r="X1376">
        <v>4</v>
      </c>
      <c r="Y1376" t="s">
        <v>43</v>
      </c>
      <c r="Z1376" t="s">
        <v>36</v>
      </c>
      <c r="AA1376">
        <v>13</v>
      </c>
      <c r="AB1376">
        <v>3</v>
      </c>
      <c r="AC1376">
        <v>3</v>
      </c>
      <c r="AD1376">
        <v>80</v>
      </c>
      <c r="AE1376">
        <v>1</v>
      </c>
      <c r="AF1376">
        <v>29</v>
      </c>
      <c r="AG1376">
        <v>2</v>
      </c>
      <c r="AH1376">
        <v>2</v>
      </c>
      <c r="AI1376">
        <v>1</v>
      </c>
      <c r="AJ1376">
        <v>0</v>
      </c>
      <c r="AK1376">
        <v>0</v>
      </c>
      <c r="AL1376" t="str" cm="1">
        <f t="array" ref="AL137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76">
        <v>0</v>
      </c>
    </row>
    <row r="1377" spans="1:39" x14ac:dyDescent="0.25">
      <c r="A1377">
        <v>32</v>
      </c>
      <c r="B1377" t="s">
        <v>36</v>
      </c>
      <c r="C1377" t="s">
        <v>45</v>
      </c>
      <c r="D1377">
        <v>238</v>
      </c>
      <c r="E1377" t="s">
        <v>46</v>
      </c>
      <c r="G1377">
        <v>5</v>
      </c>
      <c r="H1377">
        <v>2</v>
      </c>
      <c r="I1377" t="s">
        <v>39</v>
      </c>
      <c r="J1377" t="str">
        <f>WA_Fn_UseC__HR_Employee_Attrition[[#This Row],[EducationField]]&amp;"-"&amp;WA_Fn_UseC__HR_Employee_Attrition[[#This Row],[Department]]</f>
        <v>Life Sciences-Research &amp; Development</v>
      </c>
      <c r="K1377">
        <v>1</v>
      </c>
      <c r="L1377">
        <v>1939</v>
      </c>
      <c r="M1377">
        <v>1</v>
      </c>
      <c r="N1377" t="s">
        <v>40</v>
      </c>
      <c r="O1377">
        <v>47</v>
      </c>
      <c r="P1377">
        <v>4</v>
      </c>
      <c r="Q1377">
        <v>1</v>
      </c>
      <c r="R1377" t="s">
        <v>48</v>
      </c>
      <c r="S1377">
        <v>3</v>
      </c>
      <c r="T1377" t="s">
        <v>42</v>
      </c>
      <c r="U1377">
        <v>2432</v>
      </c>
      <c r="V1377" t="str" cm="1">
        <f t="array" ref="V137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77">
        <v>15318</v>
      </c>
      <c r="X1377">
        <v>3</v>
      </c>
      <c r="Y1377" t="s">
        <v>43</v>
      </c>
      <c r="Z1377" t="s">
        <v>36</v>
      </c>
      <c r="AA1377">
        <v>14</v>
      </c>
      <c r="AB1377">
        <v>3</v>
      </c>
      <c r="AC1377">
        <v>1</v>
      </c>
      <c r="AD1377">
        <v>80</v>
      </c>
      <c r="AE1377">
        <v>0</v>
      </c>
      <c r="AF1377">
        <v>8</v>
      </c>
      <c r="AG1377">
        <v>2</v>
      </c>
      <c r="AH1377">
        <v>3</v>
      </c>
      <c r="AI1377">
        <v>4</v>
      </c>
      <c r="AJ1377">
        <v>1</v>
      </c>
      <c r="AK1377">
        <v>0</v>
      </c>
      <c r="AL1377" t="str" cm="1">
        <f t="array" ref="AL137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77">
        <v>3</v>
      </c>
    </row>
    <row r="1378" spans="1:39" x14ac:dyDescent="0.25">
      <c r="A1378">
        <v>38</v>
      </c>
      <c r="B1378" t="s">
        <v>44</v>
      </c>
      <c r="C1378" t="s">
        <v>37</v>
      </c>
      <c r="D1378">
        <v>1206</v>
      </c>
      <c r="E1378" t="s">
        <v>46</v>
      </c>
      <c r="G1378">
        <v>9</v>
      </c>
      <c r="H1378">
        <v>2</v>
      </c>
      <c r="I1378" t="s">
        <v>39</v>
      </c>
      <c r="J1378" t="str">
        <f>WA_Fn_UseC__HR_Employee_Attrition[[#This Row],[EducationField]]&amp;"-"&amp;WA_Fn_UseC__HR_Employee_Attrition[[#This Row],[Department]]</f>
        <v>Life Sciences-Research &amp; Development</v>
      </c>
      <c r="K1378">
        <v>1</v>
      </c>
      <c r="L1378">
        <v>1940</v>
      </c>
      <c r="M1378">
        <v>2</v>
      </c>
      <c r="N1378" t="s">
        <v>47</v>
      </c>
      <c r="O1378">
        <v>71</v>
      </c>
      <c r="P1378">
        <v>3</v>
      </c>
      <c r="Q1378">
        <v>1</v>
      </c>
      <c r="R1378" t="s">
        <v>48</v>
      </c>
      <c r="S1378">
        <v>4</v>
      </c>
      <c r="T1378" t="s">
        <v>53</v>
      </c>
      <c r="U1378">
        <v>4771</v>
      </c>
      <c r="V1378" t="str" cm="1">
        <f t="array" ref="V137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78">
        <v>14293</v>
      </c>
      <c r="X1378">
        <v>2</v>
      </c>
      <c r="Y1378" t="s">
        <v>43</v>
      </c>
      <c r="Z1378" t="s">
        <v>44</v>
      </c>
      <c r="AA1378">
        <v>19</v>
      </c>
      <c r="AB1378">
        <v>3</v>
      </c>
      <c r="AC1378">
        <v>4</v>
      </c>
      <c r="AD1378">
        <v>80</v>
      </c>
      <c r="AE1378">
        <v>2</v>
      </c>
      <c r="AF1378">
        <v>10</v>
      </c>
      <c r="AG1378">
        <v>0</v>
      </c>
      <c r="AH1378">
        <v>4</v>
      </c>
      <c r="AI1378">
        <v>5</v>
      </c>
      <c r="AJ1378">
        <v>2</v>
      </c>
      <c r="AK1378">
        <v>0</v>
      </c>
      <c r="AL1378" t="str" cm="1">
        <f t="array" ref="AL137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78">
        <v>3</v>
      </c>
    </row>
    <row r="1379" spans="1:39" x14ac:dyDescent="0.25">
      <c r="A1379">
        <v>49</v>
      </c>
      <c r="B1379" t="s">
        <v>44</v>
      </c>
      <c r="C1379" t="s">
        <v>45</v>
      </c>
      <c r="D1379">
        <v>1064</v>
      </c>
      <c r="E1379" t="s">
        <v>46</v>
      </c>
      <c r="G1379">
        <v>2</v>
      </c>
      <c r="H1379">
        <v>1</v>
      </c>
      <c r="I1379" t="s">
        <v>39</v>
      </c>
      <c r="J1379" t="str">
        <f>WA_Fn_UseC__HR_Employee_Attrition[[#This Row],[EducationField]]&amp;"-"&amp;WA_Fn_UseC__HR_Employee_Attrition[[#This Row],[Department]]</f>
        <v>Life Sciences-Research &amp; Development</v>
      </c>
      <c r="K1379">
        <v>1</v>
      </c>
      <c r="L1379">
        <v>1941</v>
      </c>
      <c r="M1379">
        <v>2</v>
      </c>
      <c r="N1379" t="s">
        <v>47</v>
      </c>
      <c r="O1379">
        <v>42</v>
      </c>
      <c r="P1379">
        <v>3</v>
      </c>
      <c r="Q1379">
        <v>5</v>
      </c>
      <c r="R1379" t="s">
        <v>59</v>
      </c>
      <c r="S1379">
        <v>4</v>
      </c>
      <c r="T1379" t="s">
        <v>49</v>
      </c>
      <c r="U1379">
        <v>19161</v>
      </c>
      <c r="V1379" t="str" cm="1">
        <f t="array" ref="V137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79">
        <v>13738</v>
      </c>
      <c r="X1379">
        <v>3</v>
      </c>
      <c r="Y1379" t="s">
        <v>43</v>
      </c>
      <c r="Z1379" t="s">
        <v>44</v>
      </c>
      <c r="AA1379">
        <v>15</v>
      </c>
      <c r="AB1379">
        <v>3</v>
      </c>
      <c r="AC1379">
        <v>4</v>
      </c>
      <c r="AD1379">
        <v>80</v>
      </c>
      <c r="AE1379">
        <v>0</v>
      </c>
      <c r="AF1379">
        <v>28</v>
      </c>
      <c r="AG1379">
        <v>3</v>
      </c>
      <c r="AH1379">
        <v>3</v>
      </c>
      <c r="AI1379">
        <v>5</v>
      </c>
      <c r="AJ1379">
        <v>4</v>
      </c>
      <c r="AK1379">
        <v>4</v>
      </c>
      <c r="AL1379" t="str" cm="1">
        <f t="array" ref="AL137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79">
        <v>3</v>
      </c>
    </row>
    <row r="1380" spans="1:39" x14ac:dyDescent="0.25">
      <c r="A1380">
        <v>42</v>
      </c>
      <c r="B1380" t="s">
        <v>44</v>
      </c>
      <c r="C1380" t="s">
        <v>37</v>
      </c>
      <c r="D1380">
        <v>419</v>
      </c>
      <c r="E1380" t="s">
        <v>38</v>
      </c>
      <c r="G1380">
        <v>12</v>
      </c>
      <c r="H1380">
        <v>4</v>
      </c>
      <c r="I1380" t="s">
        <v>60</v>
      </c>
      <c r="J1380" t="str">
        <f>WA_Fn_UseC__HR_Employee_Attrition[[#This Row],[EducationField]]&amp;"-"&amp;WA_Fn_UseC__HR_Employee_Attrition[[#This Row],[Department]]</f>
        <v>Marketing-Sales</v>
      </c>
      <c r="K1380">
        <v>1</v>
      </c>
      <c r="L1380">
        <v>1943</v>
      </c>
      <c r="M1380">
        <v>2</v>
      </c>
      <c r="N1380" t="s">
        <v>47</v>
      </c>
      <c r="O1380">
        <v>77</v>
      </c>
      <c r="P1380">
        <v>3</v>
      </c>
      <c r="Q1380">
        <v>2</v>
      </c>
      <c r="R1380" t="s">
        <v>41</v>
      </c>
      <c r="S1380">
        <v>4</v>
      </c>
      <c r="T1380" t="s">
        <v>53</v>
      </c>
      <c r="U1380">
        <v>5087</v>
      </c>
      <c r="V1380" t="str" cm="1">
        <f t="array" ref="V138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80">
        <v>2900</v>
      </c>
      <c r="X1380">
        <v>3</v>
      </c>
      <c r="Y1380" t="s">
        <v>43</v>
      </c>
      <c r="Z1380" t="s">
        <v>36</v>
      </c>
      <c r="AA1380">
        <v>12</v>
      </c>
      <c r="AB1380">
        <v>3</v>
      </c>
      <c r="AC1380">
        <v>3</v>
      </c>
      <c r="AD1380">
        <v>80</v>
      </c>
      <c r="AE1380">
        <v>2</v>
      </c>
      <c r="AF1380">
        <v>14</v>
      </c>
      <c r="AG1380">
        <v>4</v>
      </c>
      <c r="AH1380">
        <v>3</v>
      </c>
      <c r="AI1380">
        <v>0</v>
      </c>
      <c r="AJ1380">
        <v>0</v>
      </c>
      <c r="AK1380">
        <v>0</v>
      </c>
      <c r="AL1380" t="str" cm="1">
        <f t="array" ref="AL138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80">
        <v>0</v>
      </c>
    </row>
    <row r="1381" spans="1:39" x14ac:dyDescent="0.25">
      <c r="A1381">
        <v>27</v>
      </c>
      <c r="B1381" t="s">
        <v>36</v>
      </c>
      <c r="C1381" t="s">
        <v>45</v>
      </c>
      <c r="D1381">
        <v>1337</v>
      </c>
      <c r="E1381" t="s">
        <v>62</v>
      </c>
      <c r="G1381">
        <v>22</v>
      </c>
      <c r="H1381">
        <v>3</v>
      </c>
      <c r="I1381" t="s">
        <v>62</v>
      </c>
      <c r="J1381" t="str">
        <f>WA_Fn_UseC__HR_Employee_Attrition[[#This Row],[EducationField]]&amp;"-"&amp;WA_Fn_UseC__HR_Employee_Attrition[[#This Row],[Department]]</f>
        <v>Human Resources-Human Resources</v>
      </c>
      <c r="K1381">
        <v>1</v>
      </c>
      <c r="L1381">
        <v>1944</v>
      </c>
      <c r="M1381">
        <v>1</v>
      </c>
      <c r="N1381" t="s">
        <v>40</v>
      </c>
      <c r="O1381">
        <v>58</v>
      </c>
      <c r="P1381">
        <v>2</v>
      </c>
      <c r="Q1381">
        <v>1</v>
      </c>
      <c r="R1381" t="s">
        <v>62</v>
      </c>
      <c r="S1381">
        <v>2</v>
      </c>
      <c r="T1381" t="s">
        <v>49</v>
      </c>
      <c r="U1381">
        <v>2863</v>
      </c>
      <c r="V1381" t="str" cm="1">
        <f t="array" ref="V138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81">
        <v>19555</v>
      </c>
      <c r="X1381">
        <v>1</v>
      </c>
      <c r="Y1381" t="s">
        <v>43</v>
      </c>
      <c r="Z1381" t="s">
        <v>44</v>
      </c>
      <c r="AA1381">
        <v>12</v>
      </c>
      <c r="AB1381">
        <v>3</v>
      </c>
      <c r="AC1381">
        <v>1</v>
      </c>
      <c r="AD1381">
        <v>80</v>
      </c>
      <c r="AE1381">
        <v>0</v>
      </c>
      <c r="AF1381">
        <v>1</v>
      </c>
      <c r="AG1381">
        <v>2</v>
      </c>
      <c r="AH1381">
        <v>3</v>
      </c>
      <c r="AI1381">
        <v>1</v>
      </c>
      <c r="AJ1381">
        <v>0</v>
      </c>
      <c r="AK1381">
        <v>0</v>
      </c>
      <c r="AL1381" t="str" cm="1">
        <f t="array" ref="AL138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81">
        <v>0</v>
      </c>
    </row>
    <row r="1382" spans="1:39" x14ac:dyDescent="0.25">
      <c r="A1382">
        <v>35</v>
      </c>
      <c r="B1382" t="s">
        <v>44</v>
      </c>
      <c r="C1382" t="s">
        <v>37</v>
      </c>
      <c r="D1382">
        <v>682</v>
      </c>
      <c r="E1382" t="s">
        <v>38</v>
      </c>
      <c r="G1382">
        <v>18</v>
      </c>
      <c r="H1382">
        <v>4</v>
      </c>
      <c r="I1382" t="s">
        <v>52</v>
      </c>
      <c r="J1382" t="str">
        <f>WA_Fn_UseC__HR_Employee_Attrition[[#This Row],[EducationField]]&amp;"-"&amp;WA_Fn_UseC__HR_Employee_Attrition[[#This Row],[Department]]</f>
        <v>Medical-Sales</v>
      </c>
      <c r="K1382">
        <v>1</v>
      </c>
      <c r="L1382">
        <v>1945</v>
      </c>
      <c r="M1382">
        <v>2</v>
      </c>
      <c r="N1382" t="s">
        <v>47</v>
      </c>
      <c r="O1382">
        <v>71</v>
      </c>
      <c r="P1382">
        <v>3</v>
      </c>
      <c r="Q1382">
        <v>2</v>
      </c>
      <c r="R1382" t="s">
        <v>41</v>
      </c>
      <c r="S1382">
        <v>1</v>
      </c>
      <c r="T1382" t="s">
        <v>49</v>
      </c>
      <c r="U1382">
        <v>5561</v>
      </c>
      <c r="V1382" t="str" cm="1">
        <f t="array" ref="V138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82">
        <v>15975</v>
      </c>
      <c r="X1382">
        <v>0</v>
      </c>
      <c r="Y1382" t="s">
        <v>43</v>
      </c>
      <c r="Z1382" t="s">
        <v>44</v>
      </c>
      <c r="AA1382">
        <v>16</v>
      </c>
      <c r="AB1382">
        <v>3</v>
      </c>
      <c r="AC1382">
        <v>4</v>
      </c>
      <c r="AD1382">
        <v>80</v>
      </c>
      <c r="AE1382">
        <v>1</v>
      </c>
      <c r="AF1382">
        <v>6</v>
      </c>
      <c r="AG1382">
        <v>2</v>
      </c>
      <c r="AH1382">
        <v>1</v>
      </c>
      <c r="AI1382">
        <v>5</v>
      </c>
      <c r="AJ1382">
        <v>3</v>
      </c>
      <c r="AK1382">
        <v>0</v>
      </c>
      <c r="AL1382" t="str" cm="1">
        <f t="array" ref="AL138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82">
        <v>4</v>
      </c>
    </row>
    <row r="1383" spans="1:39" x14ac:dyDescent="0.25">
      <c r="A1383">
        <v>28</v>
      </c>
      <c r="B1383" t="s">
        <v>44</v>
      </c>
      <c r="C1383" t="s">
        <v>56</v>
      </c>
      <c r="D1383">
        <v>1103</v>
      </c>
      <c r="E1383" t="s">
        <v>46</v>
      </c>
      <c r="G1383">
        <v>16</v>
      </c>
      <c r="H1383">
        <v>3</v>
      </c>
      <c r="I1383" t="s">
        <v>52</v>
      </c>
      <c r="J1383" t="str">
        <f>WA_Fn_UseC__HR_Employee_Attrition[[#This Row],[EducationField]]&amp;"-"&amp;WA_Fn_UseC__HR_Employee_Attrition[[#This Row],[Department]]</f>
        <v>Medical-Research &amp; Development</v>
      </c>
      <c r="K1383">
        <v>1</v>
      </c>
      <c r="L1383">
        <v>1947</v>
      </c>
      <c r="M1383">
        <v>3</v>
      </c>
      <c r="N1383" t="s">
        <v>47</v>
      </c>
      <c r="O1383">
        <v>49</v>
      </c>
      <c r="P1383">
        <v>3</v>
      </c>
      <c r="Q1383">
        <v>1</v>
      </c>
      <c r="R1383" t="s">
        <v>48</v>
      </c>
      <c r="S1383">
        <v>3</v>
      </c>
      <c r="T1383" t="s">
        <v>42</v>
      </c>
      <c r="U1383">
        <v>2144</v>
      </c>
      <c r="V1383" t="str" cm="1">
        <f t="array" ref="V138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83">
        <v>2122</v>
      </c>
      <c r="X1383">
        <v>1</v>
      </c>
      <c r="Y1383" t="s">
        <v>43</v>
      </c>
      <c r="Z1383" t="s">
        <v>44</v>
      </c>
      <c r="AA1383">
        <v>14</v>
      </c>
      <c r="AB1383">
        <v>3</v>
      </c>
      <c r="AC1383">
        <v>3</v>
      </c>
      <c r="AD1383">
        <v>80</v>
      </c>
      <c r="AE1383">
        <v>0</v>
      </c>
      <c r="AF1383">
        <v>5</v>
      </c>
      <c r="AG1383">
        <v>3</v>
      </c>
      <c r="AH1383">
        <v>2</v>
      </c>
      <c r="AI1383">
        <v>5</v>
      </c>
      <c r="AJ1383">
        <v>3</v>
      </c>
      <c r="AK1383">
        <v>1</v>
      </c>
      <c r="AL1383" t="str" cm="1">
        <f t="array" ref="AL138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83">
        <v>4</v>
      </c>
    </row>
    <row r="1384" spans="1:39" x14ac:dyDescent="0.25">
      <c r="A1384">
        <v>31</v>
      </c>
      <c r="B1384" t="s">
        <v>44</v>
      </c>
      <c r="C1384" t="s">
        <v>56</v>
      </c>
      <c r="D1384">
        <v>976</v>
      </c>
      <c r="E1384" t="s">
        <v>46</v>
      </c>
      <c r="G1384">
        <v>3</v>
      </c>
      <c r="H1384">
        <v>2</v>
      </c>
      <c r="I1384" t="s">
        <v>52</v>
      </c>
      <c r="J1384" t="str">
        <f>WA_Fn_UseC__HR_Employee_Attrition[[#This Row],[EducationField]]&amp;"-"&amp;WA_Fn_UseC__HR_Employee_Attrition[[#This Row],[Department]]</f>
        <v>Medical-Research &amp; Development</v>
      </c>
      <c r="K1384">
        <v>1</v>
      </c>
      <c r="L1384">
        <v>1948</v>
      </c>
      <c r="M1384">
        <v>3</v>
      </c>
      <c r="N1384" t="s">
        <v>47</v>
      </c>
      <c r="O1384">
        <v>48</v>
      </c>
      <c r="P1384">
        <v>3</v>
      </c>
      <c r="Q1384">
        <v>1</v>
      </c>
      <c r="R1384" t="s">
        <v>48</v>
      </c>
      <c r="S1384">
        <v>1</v>
      </c>
      <c r="T1384" t="s">
        <v>53</v>
      </c>
      <c r="U1384">
        <v>3065</v>
      </c>
      <c r="V1384" t="str" cm="1">
        <f t="array" ref="V138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84">
        <v>3995</v>
      </c>
      <c r="X1384">
        <v>1</v>
      </c>
      <c r="Y1384" t="s">
        <v>43</v>
      </c>
      <c r="Z1384" t="s">
        <v>36</v>
      </c>
      <c r="AA1384">
        <v>13</v>
      </c>
      <c r="AB1384">
        <v>3</v>
      </c>
      <c r="AC1384">
        <v>4</v>
      </c>
      <c r="AD1384">
        <v>80</v>
      </c>
      <c r="AE1384">
        <v>1</v>
      </c>
      <c r="AF1384">
        <v>4</v>
      </c>
      <c r="AG1384">
        <v>3</v>
      </c>
      <c r="AH1384">
        <v>4</v>
      </c>
      <c r="AI1384">
        <v>4</v>
      </c>
      <c r="AJ1384">
        <v>2</v>
      </c>
      <c r="AK1384">
        <v>2</v>
      </c>
      <c r="AL1384" t="str" cm="1">
        <f t="array" ref="AL138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84">
        <v>3</v>
      </c>
    </row>
    <row r="1385" spans="1:39" x14ac:dyDescent="0.25">
      <c r="A1385">
        <v>36</v>
      </c>
      <c r="B1385" t="s">
        <v>44</v>
      </c>
      <c r="C1385" t="s">
        <v>56</v>
      </c>
      <c r="D1385">
        <v>1351</v>
      </c>
      <c r="E1385" t="s">
        <v>46</v>
      </c>
      <c r="G1385">
        <v>9</v>
      </c>
      <c r="H1385">
        <v>4</v>
      </c>
      <c r="I1385" t="s">
        <v>39</v>
      </c>
      <c r="J1385" t="str">
        <f>WA_Fn_UseC__HR_Employee_Attrition[[#This Row],[EducationField]]&amp;"-"&amp;WA_Fn_UseC__HR_Employee_Attrition[[#This Row],[Department]]</f>
        <v>Life Sciences-Research &amp; Development</v>
      </c>
      <c r="K1385">
        <v>1</v>
      </c>
      <c r="L1385">
        <v>1949</v>
      </c>
      <c r="M1385">
        <v>1</v>
      </c>
      <c r="N1385" t="s">
        <v>47</v>
      </c>
      <c r="O1385">
        <v>66</v>
      </c>
      <c r="P1385">
        <v>4</v>
      </c>
      <c r="Q1385">
        <v>1</v>
      </c>
      <c r="R1385" t="s">
        <v>51</v>
      </c>
      <c r="S1385">
        <v>2</v>
      </c>
      <c r="T1385" t="s">
        <v>49</v>
      </c>
      <c r="U1385">
        <v>2810</v>
      </c>
      <c r="V1385" t="str" cm="1">
        <f t="array" ref="V138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85">
        <v>9238</v>
      </c>
      <c r="X1385">
        <v>1</v>
      </c>
      <c r="Y1385" t="s">
        <v>43</v>
      </c>
      <c r="Z1385" t="s">
        <v>44</v>
      </c>
      <c r="AA1385">
        <v>22</v>
      </c>
      <c r="AB1385">
        <v>4</v>
      </c>
      <c r="AC1385">
        <v>2</v>
      </c>
      <c r="AD1385">
        <v>80</v>
      </c>
      <c r="AE1385">
        <v>0</v>
      </c>
      <c r="AF1385">
        <v>5</v>
      </c>
      <c r="AG1385">
        <v>3</v>
      </c>
      <c r="AH1385">
        <v>3</v>
      </c>
      <c r="AI1385">
        <v>5</v>
      </c>
      <c r="AJ1385">
        <v>4</v>
      </c>
      <c r="AK1385">
        <v>0</v>
      </c>
      <c r="AL1385" t="str" cm="1">
        <f t="array" ref="AL1385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85">
        <v>2</v>
      </c>
    </row>
    <row r="1386" spans="1:39" x14ac:dyDescent="0.25">
      <c r="A1386">
        <v>34</v>
      </c>
      <c r="B1386" t="s">
        <v>44</v>
      </c>
      <c r="C1386" t="s">
        <v>37</v>
      </c>
      <c r="D1386">
        <v>937</v>
      </c>
      <c r="E1386" t="s">
        <v>38</v>
      </c>
      <c r="G1386">
        <v>1</v>
      </c>
      <c r="H1386">
        <v>3</v>
      </c>
      <c r="I1386" t="s">
        <v>60</v>
      </c>
      <c r="J1386" t="str">
        <f>WA_Fn_UseC__HR_Employee_Attrition[[#This Row],[EducationField]]&amp;"-"&amp;WA_Fn_UseC__HR_Employee_Attrition[[#This Row],[Department]]</f>
        <v>Marketing-Sales</v>
      </c>
      <c r="K1386">
        <v>1</v>
      </c>
      <c r="L1386">
        <v>1950</v>
      </c>
      <c r="M1386">
        <v>1</v>
      </c>
      <c r="N1386" t="s">
        <v>47</v>
      </c>
      <c r="O1386">
        <v>32</v>
      </c>
      <c r="P1386">
        <v>3</v>
      </c>
      <c r="Q1386">
        <v>3</v>
      </c>
      <c r="R1386" t="s">
        <v>41</v>
      </c>
      <c r="S1386">
        <v>4</v>
      </c>
      <c r="T1386" t="s">
        <v>42</v>
      </c>
      <c r="U1386">
        <v>9888</v>
      </c>
      <c r="V1386" t="str" cm="1">
        <f t="array" ref="V138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86">
        <v>6770</v>
      </c>
      <c r="X1386">
        <v>1</v>
      </c>
      <c r="Y1386" t="s">
        <v>43</v>
      </c>
      <c r="Z1386" t="s">
        <v>44</v>
      </c>
      <c r="AA1386">
        <v>21</v>
      </c>
      <c r="AB1386">
        <v>4</v>
      </c>
      <c r="AC1386">
        <v>1</v>
      </c>
      <c r="AD1386">
        <v>80</v>
      </c>
      <c r="AE1386">
        <v>0</v>
      </c>
      <c r="AF1386">
        <v>14</v>
      </c>
      <c r="AG1386">
        <v>3</v>
      </c>
      <c r="AH1386">
        <v>2</v>
      </c>
      <c r="AI1386">
        <v>14</v>
      </c>
      <c r="AJ1386">
        <v>8</v>
      </c>
      <c r="AK1386">
        <v>2</v>
      </c>
      <c r="AL1386" t="str" cm="1">
        <f t="array" ref="AL138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86">
        <v>1</v>
      </c>
    </row>
    <row r="1387" spans="1:39" x14ac:dyDescent="0.25">
      <c r="A1387">
        <v>34</v>
      </c>
      <c r="B1387" t="s">
        <v>44</v>
      </c>
      <c r="C1387" t="s">
        <v>37</v>
      </c>
      <c r="D1387">
        <v>1239</v>
      </c>
      <c r="E1387" t="s">
        <v>38</v>
      </c>
      <c r="G1387">
        <v>13</v>
      </c>
      <c r="H1387">
        <v>4</v>
      </c>
      <c r="I1387" t="s">
        <v>52</v>
      </c>
      <c r="J1387" t="str">
        <f>WA_Fn_UseC__HR_Employee_Attrition[[#This Row],[EducationField]]&amp;"-"&amp;WA_Fn_UseC__HR_Employee_Attrition[[#This Row],[Department]]</f>
        <v>Medical-Sales</v>
      </c>
      <c r="K1387">
        <v>1</v>
      </c>
      <c r="L1387">
        <v>1951</v>
      </c>
      <c r="M1387">
        <v>4</v>
      </c>
      <c r="N1387" t="s">
        <v>47</v>
      </c>
      <c r="O1387">
        <v>39</v>
      </c>
      <c r="P1387">
        <v>3</v>
      </c>
      <c r="Q1387">
        <v>3</v>
      </c>
      <c r="R1387" t="s">
        <v>41</v>
      </c>
      <c r="S1387">
        <v>3</v>
      </c>
      <c r="T1387" t="s">
        <v>53</v>
      </c>
      <c r="U1387">
        <v>8628</v>
      </c>
      <c r="V1387" t="str" cm="1">
        <f t="array" ref="V138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87">
        <v>22914</v>
      </c>
      <c r="X1387">
        <v>1</v>
      </c>
      <c r="Y1387" t="s">
        <v>43</v>
      </c>
      <c r="Z1387" t="s">
        <v>44</v>
      </c>
      <c r="AA1387">
        <v>18</v>
      </c>
      <c r="AB1387">
        <v>3</v>
      </c>
      <c r="AC1387">
        <v>3</v>
      </c>
      <c r="AD1387">
        <v>80</v>
      </c>
      <c r="AE1387">
        <v>1</v>
      </c>
      <c r="AF1387">
        <v>9</v>
      </c>
      <c r="AG1387">
        <v>2</v>
      </c>
      <c r="AH1387">
        <v>2</v>
      </c>
      <c r="AI1387">
        <v>8</v>
      </c>
      <c r="AJ1387">
        <v>7</v>
      </c>
      <c r="AK1387">
        <v>1</v>
      </c>
      <c r="AL1387" t="str" cm="1">
        <f t="array" ref="AL138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87">
        <v>1</v>
      </c>
    </row>
    <row r="1388" spans="1:39" x14ac:dyDescent="0.25">
      <c r="A1388">
        <v>26</v>
      </c>
      <c r="B1388" t="s">
        <v>44</v>
      </c>
      <c r="C1388" t="s">
        <v>37</v>
      </c>
      <c r="D1388">
        <v>157</v>
      </c>
      <c r="E1388" t="s">
        <v>46</v>
      </c>
      <c r="G1388">
        <v>1</v>
      </c>
      <c r="H1388">
        <v>3</v>
      </c>
      <c r="I1388" t="s">
        <v>52</v>
      </c>
      <c r="J1388" t="str">
        <f>WA_Fn_UseC__HR_Employee_Attrition[[#This Row],[EducationField]]&amp;"-"&amp;WA_Fn_UseC__HR_Employee_Attrition[[#This Row],[Department]]</f>
        <v>Medical-Research &amp; Development</v>
      </c>
      <c r="K1388">
        <v>1</v>
      </c>
      <c r="L1388">
        <v>1952</v>
      </c>
      <c r="M1388">
        <v>3</v>
      </c>
      <c r="N1388" t="s">
        <v>47</v>
      </c>
      <c r="O1388">
        <v>95</v>
      </c>
      <c r="P1388">
        <v>3</v>
      </c>
      <c r="Q1388">
        <v>1</v>
      </c>
      <c r="R1388" t="s">
        <v>51</v>
      </c>
      <c r="S1388">
        <v>1</v>
      </c>
      <c r="T1388" t="s">
        <v>42</v>
      </c>
      <c r="U1388">
        <v>2867</v>
      </c>
      <c r="V1388" t="str" cm="1">
        <f t="array" ref="V138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88">
        <v>20006</v>
      </c>
      <c r="X1388">
        <v>0</v>
      </c>
      <c r="Y1388" t="s">
        <v>43</v>
      </c>
      <c r="Z1388" t="s">
        <v>44</v>
      </c>
      <c r="AA1388">
        <v>13</v>
      </c>
      <c r="AB1388">
        <v>3</v>
      </c>
      <c r="AC1388">
        <v>4</v>
      </c>
      <c r="AD1388">
        <v>80</v>
      </c>
      <c r="AE1388">
        <v>0</v>
      </c>
      <c r="AF1388">
        <v>8</v>
      </c>
      <c r="AG1388">
        <v>6</v>
      </c>
      <c r="AH1388">
        <v>2</v>
      </c>
      <c r="AI1388">
        <v>7</v>
      </c>
      <c r="AJ1388">
        <v>7</v>
      </c>
      <c r="AK1388">
        <v>7</v>
      </c>
      <c r="AL1388" t="str" cm="1">
        <f t="array" ref="AL138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88">
        <v>6</v>
      </c>
    </row>
    <row r="1389" spans="1:39" x14ac:dyDescent="0.25">
      <c r="A1389">
        <v>29</v>
      </c>
      <c r="B1389" t="s">
        <v>44</v>
      </c>
      <c r="C1389" t="s">
        <v>37</v>
      </c>
      <c r="D1389">
        <v>136</v>
      </c>
      <c r="E1389" t="s">
        <v>46</v>
      </c>
      <c r="G1389">
        <v>1</v>
      </c>
      <c r="H1389">
        <v>3</v>
      </c>
      <c r="I1389" t="s">
        <v>39</v>
      </c>
      <c r="J1389" t="str">
        <f>WA_Fn_UseC__HR_Employee_Attrition[[#This Row],[EducationField]]&amp;"-"&amp;WA_Fn_UseC__HR_Employee_Attrition[[#This Row],[Department]]</f>
        <v>Life Sciences-Research &amp; Development</v>
      </c>
      <c r="K1389">
        <v>1</v>
      </c>
      <c r="L1389">
        <v>1954</v>
      </c>
      <c r="M1389">
        <v>1</v>
      </c>
      <c r="N1389" t="s">
        <v>47</v>
      </c>
      <c r="O1389">
        <v>89</v>
      </c>
      <c r="P1389">
        <v>3</v>
      </c>
      <c r="Q1389">
        <v>2</v>
      </c>
      <c r="R1389" t="s">
        <v>55</v>
      </c>
      <c r="S1389">
        <v>1</v>
      </c>
      <c r="T1389" t="s">
        <v>49</v>
      </c>
      <c r="U1389">
        <v>5373</v>
      </c>
      <c r="V1389" t="str" cm="1">
        <f t="array" ref="V138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89">
        <v>6225</v>
      </c>
      <c r="X1389">
        <v>0</v>
      </c>
      <c r="Y1389" t="s">
        <v>43</v>
      </c>
      <c r="Z1389" t="s">
        <v>44</v>
      </c>
      <c r="AA1389">
        <v>12</v>
      </c>
      <c r="AB1389">
        <v>3</v>
      </c>
      <c r="AC1389">
        <v>1</v>
      </c>
      <c r="AD1389">
        <v>80</v>
      </c>
      <c r="AE1389">
        <v>1</v>
      </c>
      <c r="AF1389">
        <v>6</v>
      </c>
      <c r="AG1389">
        <v>5</v>
      </c>
      <c r="AH1389">
        <v>2</v>
      </c>
      <c r="AI1389">
        <v>5</v>
      </c>
      <c r="AJ1389">
        <v>3</v>
      </c>
      <c r="AK1389">
        <v>0</v>
      </c>
      <c r="AL1389" t="str" cm="1">
        <f t="array" ref="AL138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89">
        <v>2</v>
      </c>
    </row>
    <row r="1390" spans="1:39" x14ac:dyDescent="0.25">
      <c r="A1390">
        <v>32</v>
      </c>
      <c r="B1390" t="s">
        <v>44</v>
      </c>
      <c r="C1390" t="s">
        <v>56</v>
      </c>
      <c r="D1390">
        <v>1146</v>
      </c>
      <c r="E1390" t="s">
        <v>46</v>
      </c>
      <c r="G1390">
        <v>15</v>
      </c>
      <c r="H1390">
        <v>4</v>
      </c>
      <c r="I1390" t="s">
        <v>52</v>
      </c>
      <c r="J1390" t="str">
        <f>WA_Fn_UseC__HR_Employee_Attrition[[#This Row],[EducationField]]&amp;"-"&amp;WA_Fn_UseC__HR_Employee_Attrition[[#This Row],[Department]]</f>
        <v>Medical-Research &amp; Development</v>
      </c>
      <c r="K1390">
        <v>1</v>
      </c>
      <c r="L1390">
        <v>1955</v>
      </c>
      <c r="M1390">
        <v>3</v>
      </c>
      <c r="N1390" t="s">
        <v>40</v>
      </c>
      <c r="O1390">
        <v>34</v>
      </c>
      <c r="P1390">
        <v>3</v>
      </c>
      <c r="Q1390">
        <v>2</v>
      </c>
      <c r="R1390" t="s">
        <v>55</v>
      </c>
      <c r="S1390">
        <v>4</v>
      </c>
      <c r="T1390" t="s">
        <v>53</v>
      </c>
      <c r="U1390">
        <v>6667</v>
      </c>
      <c r="V1390" t="str" cm="1">
        <f t="array" ref="V139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90">
        <v>16542</v>
      </c>
      <c r="X1390">
        <v>5</v>
      </c>
      <c r="Y1390" t="s">
        <v>43</v>
      </c>
      <c r="Z1390" t="s">
        <v>44</v>
      </c>
      <c r="AA1390">
        <v>18</v>
      </c>
      <c r="AB1390">
        <v>3</v>
      </c>
      <c r="AC1390">
        <v>2</v>
      </c>
      <c r="AD1390">
        <v>80</v>
      </c>
      <c r="AE1390">
        <v>1</v>
      </c>
      <c r="AF1390">
        <v>9</v>
      </c>
      <c r="AG1390">
        <v>6</v>
      </c>
      <c r="AH1390">
        <v>3</v>
      </c>
      <c r="AI1390">
        <v>5</v>
      </c>
      <c r="AJ1390">
        <v>1</v>
      </c>
      <c r="AK1390">
        <v>1</v>
      </c>
      <c r="AL1390" t="str" cm="1">
        <f t="array" ref="AL139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90">
        <v>2</v>
      </c>
    </row>
    <row r="1391" spans="1:39" x14ac:dyDescent="0.25">
      <c r="A1391">
        <v>31</v>
      </c>
      <c r="B1391" t="s">
        <v>44</v>
      </c>
      <c r="C1391" t="s">
        <v>45</v>
      </c>
      <c r="D1391">
        <v>1125</v>
      </c>
      <c r="E1391" t="s">
        <v>46</v>
      </c>
      <c r="G1391">
        <v>1</v>
      </c>
      <c r="H1391">
        <v>3</v>
      </c>
      <c r="I1391" t="s">
        <v>39</v>
      </c>
      <c r="J1391" t="str">
        <f>WA_Fn_UseC__HR_Employee_Attrition[[#This Row],[EducationField]]&amp;"-"&amp;WA_Fn_UseC__HR_Employee_Attrition[[#This Row],[Department]]</f>
        <v>Life Sciences-Research &amp; Development</v>
      </c>
      <c r="K1391">
        <v>1</v>
      </c>
      <c r="L1391">
        <v>1956</v>
      </c>
      <c r="M1391">
        <v>4</v>
      </c>
      <c r="N1391" t="s">
        <v>47</v>
      </c>
      <c r="O1391">
        <v>48</v>
      </c>
      <c r="P1391">
        <v>1</v>
      </c>
      <c r="Q1391">
        <v>2</v>
      </c>
      <c r="R1391" t="s">
        <v>48</v>
      </c>
      <c r="S1391">
        <v>1</v>
      </c>
      <c r="T1391" t="s">
        <v>49</v>
      </c>
      <c r="U1391">
        <v>5003</v>
      </c>
      <c r="V1391" t="str" cm="1">
        <f t="array" ref="V139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91">
        <v>5771</v>
      </c>
      <c r="X1391">
        <v>1</v>
      </c>
      <c r="Y1391" t="s">
        <v>43</v>
      </c>
      <c r="Z1391" t="s">
        <v>44</v>
      </c>
      <c r="AA1391">
        <v>21</v>
      </c>
      <c r="AB1391">
        <v>4</v>
      </c>
      <c r="AC1391">
        <v>2</v>
      </c>
      <c r="AD1391">
        <v>80</v>
      </c>
      <c r="AE1391">
        <v>0</v>
      </c>
      <c r="AF1391">
        <v>10</v>
      </c>
      <c r="AG1391">
        <v>6</v>
      </c>
      <c r="AH1391">
        <v>3</v>
      </c>
      <c r="AI1391">
        <v>10</v>
      </c>
      <c r="AJ1391">
        <v>8</v>
      </c>
      <c r="AK1391">
        <v>8</v>
      </c>
      <c r="AL1391" t="str" cm="1">
        <f t="array" ref="AL139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91">
        <v>7</v>
      </c>
    </row>
    <row r="1392" spans="1:39" x14ac:dyDescent="0.25">
      <c r="A1392">
        <v>28</v>
      </c>
      <c r="B1392" t="s">
        <v>36</v>
      </c>
      <c r="C1392" t="s">
        <v>37</v>
      </c>
      <c r="D1392">
        <v>1404</v>
      </c>
      <c r="E1392" t="s">
        <v>46</v>
      </c>
      <c r="G1392">
        <v>17</v>
      </c>
      <c r="H1392">
        <v>3</v>
      </c>
      <c r="I1392" t="s">
        <v>61</v>
      </c>
      <c r="J1392" t="str">
        <f>WA_Fn_UseC__HR_Employee_Attrition[[#This Row],[EducationField]]&amp;"-"&amp;WA_Fn_UseC__HR_Employee_Attrition[[#This Row],[Department]]</f>
        <v>Technical Degree-Research &amp; Development</v>
      </c>
      <c r="K1392">
        <v>1</v>
      </c>
      <c r="L1392">
        <v>1960</v>
      </c>
      <c r="M1392">
        <v>3</v>
      </c>
      <c r="N1392" t="s">
        <v>47</v>
      </c>
      <c r="O1392">
        <v>32</v>
      </c>
      <c r="P1392">
        <v>2</v>
      </c>
      <c r="Q1392">
        <v>1</v>
      </c>
      <c r="R1392" t="s">
        <v>51</v>
      </c>
      <c r="S1392">
        <v>4</v>
      </c>
      <c r="T1392" t="s">
        <v>53</v>
      </c>
      <c r="U1392">
        <v>2367</v>
      </c>
      <c r="V1392" t="str" cm="1">
        <f t="array" ref="V139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92">
        <v>18779</v>
      </c>
      <c r="X1392">
        <v>5</v>
      </c>
      <c r="Y1392" t="s">
        <v>43</v>
      </c>
      <c r="Z1392" t="s">
        <v>44</v>
      </c>
      <c r="AA1392">
        <v>12</v>
      </c>
      <c r="AB1392">
        <v>3</v>
      </c>
      <c r="AC1392">
        <v>1</v>
      </c>
      <c r="AD1392">
        <v>80</v>
      </c>
      <c r="AE1392">
        <v>1</v>
      </c>
      <c r="AF1392">
        <v>6</v>
      </c>
      <c r="AG1392">
        <v>2</v>
      </c>
      <c r="AH1392">
        <v>2</v>
      </c>
      <c r="AI1392">
        <v>4</v>
      </c>
      <c r="AJ1392">
        <v>1</v>
      </c>
      <c r="AK1392">
        <v>0</v>
      </c>
      <c r="AL1392" t="str" cm="1">
        <f t="array" ref="AL139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92">
        <v>3</v>
      </c>
    </row>
    <row r="1393" spans="1:39" x14ac:dyDescent="0.25">
      <c r="A1393">
        <v>38</v>
      </c>
      <c r="B1393" t="s">
        <v>44</v>
      </c>
      <c r="C1393" t="s">
        <v>37</v>
      </c>
      <c r="D1393">
        <v>1404</v>
      </c>
      <c r="E1393" t="s">
        <v>38</v>
      </c>
      <c r="G1393">
        <v>1</v>
      </c>
      <c r="H1393">
        <v>3</v>
      </c>
      <c r="I1393" t="s">
        <v>39</v>
      </c>
      <c r="J1393" t="str">
        <f>WA_Fn_UseC__HR_Employee_Attrition[[#This Row],[EducationField]]&amp;"-"&amp;WA_Fn_UseC__HR_Employee_Attrition[[#This Row],[Department]]</f>
        <v>Life Sciences-Sales</v>
      </c>
      <c r="K1393">
        <v>1</v>
      </c>
      <c r="L1393">
        <v>1961</v>
      </c>
      <c r="M1393">
        <v>1</v>
      </c>
      <c r="N1393" t="s">
        <v>47</v>
      </c>
      <c r="O1393">
        <v>59</v>
      </c>
      <c r="P1393">
        <v>2</v>
      </c>
      <c r="Q1393">
        <v>1</v>
      </c>
      <c r="R1393" t="s">
        <v>58</v>
      </c>
      <c r="S1393">
        <v>1</v>
      </c>
      <c r="T1393" t="s">
        <v>42</v>
      </c>
      <c r="U1393">
        <v>2858</v>
      </c>
      <c r="V1393" t="str" cm="1">
        <f t="array" ref="V139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93">
        <v>11473</v>
      </c>
      <c r="X1393">
        <v>4</v>
      </c>
      <c r="Y1393" t="s">
        <v>43</v>
      </c>
      <c r="Z1393" t="s">
        <v>44</v>
      </c>
      <c r="AA1393">
        <v>14</v>
      </c>
      <c r="AB1393">
        <v>3</v>
      </c>
      <c r="AC1393">
        <v>1</v>
      </c>
      <c r="AD1393">
        <v>80</v>
      </c>
      <c r="AE1393">
        <v>0</v>
      </c>
      <c r="AF1393">
        <v>20</v>
      </c>
      <c r="AG1393">
        <v>3</v>
      </c>
      <c r="AH1393">
        <v>2</v>
      </c>
      <c r="AI1393">
        <v>1</v>
      </c>
      <c r="AJ1393">
        <v>0</v>
      </c>
      <c r="AK1393">
        <v>0</v>
      </c>
      <c r="AL1393" t="str" cm="1">
        <f t="array" ref="AL139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93">
        <v>0</v>
      </c>
    </row>
    <row r="1394" spans="1:39" x14ac:dyDescent="0.25">
      <c r="A1394">
        <v>35</v>
      </c>
      <c r="B1394" t="s">
        <v>44</v>
      </c>
      <c r="C1394" t="s">
        <v>37</v>
      </c>
      <c r="D1394">
        <v>1224</v>
      </c>
      <c r="E1394" t="s">
        <v>38</v>
      </c>
      <c r="G1394">
        <v>7</v>
      </c>
      <c r="H1394">
        <v>4</v>
      </c>
      <c r="I1394" t="s">
        <v>39</v>
      </c>
      <c r="J1394" t="str">
        <f>WA_Fn_UseC__HR_Employee_Attrition[[#This Row],[EducationField]]&amp;"-"&amp;WA_Fn_UseC__HR_Employee_Attrition[[#This Row],[Department]]</f>
        <v>Life Sciences-Sales</v>
      </c>
      <c r="K1394">
        <v>1</v>
      </c>
      <c r="L1394">
        <v>1962</v>
      </c>
      <c r="M1394">
        <v>3</v>
      </c>
      <c r="N1394" t="s">
        <v>40</v>
      </c>
      <c r="O1394">
        <v>55</v>
      </c>
      <c r="P1394">
        <v>3</v>
      </c>
      <c r="Q1394">
        <v>2</v>
      </c>
      <c r="R1394" t="s">
        <v>41</v>
      </c>
      <c r="S1394">
        <v>4</v>
      </c>
      <c r="T1394" t="s">
        <v>49</v>
      </c>
      <c r="U1394">
        <v>5204</v>
      </c>
      <c r="V1394" t="str" cm="1">
        <f t="array" ref="V139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94">
        <v>13586</v>
      </c>
      <c r="X1394">
        <v>1</v>
      </c>
      <c r="Y1394" t="s">
        <v>43</v>
      </c>
      <c r="Z1394" t="s">
        <v>36</v>
      </c>
      <c r="AA1394">
        <v>11</v>
      </c>
      <c r="AB1394">
        <v>3</v>
      </c>
      <c r="AC1394">
        <v>4</v>
      </c>
      <c r="AD1394">
        <v>80</v>
      </c>
      <c r="AE1394">
        <v>0</v>
      </c>
      <c r="AF1394">
        <v>10</v>
      </c>
      <c r="AG1394">
        <v>2</v>
      </c>
      <c r="AH1394">
        <v>3</v>
      </c>
      <c r="AI1394">
        <v>10</v>
      </c>
      <c r="AJ1394">
        <v>8</v>
      </c>
      <c r="AK1394">
        <v>0</v>
      </c>
      <c r="AL1394" t="str" cm="1">
        <f t="array" ref="AL139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94">
        <v>9</v>
      </c>
    </row>
    <row r="1395" spans="1:39" x14ac:dyDescent="0.25">
      <c r="A1395">
        <v>27</v>
      </c>
      <c r="B1395" t="s">
        <v>44</v>
      </c>
      <c r="C1395" t="s">
        <v>37</v>
      </c>
      <c r="D1395">
        <v>954</v>
      </c>
      <c r="E1395" t="s">
        <v>38</v>
      </c>
      <c r="G1395">
        <v>9</v>
      </c>
      <c r="H1395">
        <v>3</v>
      </c>
      <c r="I1395" t="s">
        <v>60</v>
      </c>
      <c r="J1395" t="str">
        <f>WA_Fn_UseC__HR_Employee_Attrition[[#This Row],[EducationField]]&amp;"-"&amp;WA_Fn_UseC__HR_Employee_Attrition[[#This Row],[Department]]</f>
        <v>Marketing-Sales</v>
      </c>
      <c r="K1395">
        <v>1</v>
      </c>
      <c r="L1395">
        <v>1965</v>
      </c>
      <c r="M1395">
        <v>4</v>
      </c>
      <c r="N1395" t="s">
        <v>47</v>
      </c>
      <c r="O1395">
        <v>44</v>
      </c>
      <c r="P1395">
        <v>3</v>
      </c>
      <c r="Q1395">
        <v>2</v>
      </c>
      <c r="R1395" t="s">
        <v>41</v>
      </c>
      <c r="S1395">
        <v>4</v>
      </c>
      <c r="T1395" t="s">
        <v>42</v>
      </c>
      <c r="U1395">
        <v>4105</v>
      </c>
      <c r="V1395" t="str" cm="1">
        <f t="array" ref="V139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95">
        <v>5099</v>
      </c>
      <c r="X1395">
        <v>1</v>
      </c>
      <c r="Y1395" t="s">
        <v>43</v>
      </c>
      <c r="Z1395" t="s">
        <v>44</v>
      </c>
      <c r="AA1395">
        <v>14</v>
      </c>
      <c r="AB1395">
        <v>3</v>
      </c>
      <c r="AC1395">
        <v>1</v>
      </c>
      <c r="AD1395">
        <v>80</v>
      </c>
      <c r="AE1395">
        <v>0</v>
      </c>
      <c r="AF1395">
        <v>7</v>
      </c>
      <c r="AG1395">
        <v>5</v>
      </c>
      <c r="AH1395">
        <v>3</v>
      </c>
      <c r="AI1395">
        <v>7</v>
      </c>
      <c r="AJ1395">
        <v>7</v>
      </c>
      <c r="AK1395">
        <v>0</v>
      </c>
      <c r="AL1395" t="str" cm="1">
        <f t="array" ref="AL139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95">
        <v>7</v>
      </c>
    </row>
    <row r="1396" spans="1:39" x14ac:dyDescent="0.25">
      <c r="A1396">
        <v>32</v>
      </c>
      <c r="B1396" t="s">
        <v>44</v>
      </c>
      <c r="C1396" t="s">
        <v>37</v>
      </c>
      <c r="D1396">
        <v>1373</v>
      </c>
      <c r="E1396" t="s">
        <v>46</v>
      </c>
      <c r="G1396">
        <v>5</v>
      </c>
      <c r="H1396">
        <v>4</v>
      </c>
      <c r="I1396" t="s">
        <v>39</v>
      </c>
      <c r="J1396" t="str">
        <f>WA_Fn_UseC__HR_Employee_Attrition[[#This Row],[EducationField]]&amp;"-"&amp;WA_Fn_UseC__HR_Employee_Attrition[[#This Row],[Department]]</f>
        <v>Life Sciences-Research &amp; Development</v>
      </c>
      <c r="K1396">
        <v>1</v>
      </c>
      <c r="L1396">
        <v>1966</v>
      </c>
      <c r="M1396">
        <v>4</v>
      </c>
      <c r="N1396" t="s">
        <v>47</v>
      </c>
      <c r="O1396">
        <v>56</v>
      </c>
      <c r="P1396">
        <v>2</v>
      </c>
      <c r="Q1396">
        <v>2</v>
      </c>
      <c r="R1396" t="s">
        <v>54</v>
      </c>
      <c r="S1396">
        <v>4</v>
      </c>
      <c r="T1396" t="s">
        <v>42</v>
      </c>
      <c r="U1396">
        <v>9679</v>
      </c>
      <c r="V1396" t="str" cm="1">
        <f t="array" ref="V139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96">
        <v>10138</v>
      </c>
      <c r="X1396">
        <v>8</v>
      </c>
      <c r="Y1396" t="s">
        <v>43</v>
      </c>
      <c r="Z1396" t="s">
        <v>44</v>
      </c>
      <c r="AA1396">
        <v>24</v>
      </c>
      <c r="AB1396">
        <v>4</v>
      </c>
      <c r="AC1396">
        <v>2</v>
      </c>
      <c r="AD1396">
        <v>80</v>
      </c>
      <c r="AE1396">
        <v>0</v>
      </c>
      <c r="AF1396">
        <v>8</v>
      </c>
      <c r="AG1396">
        <v>1</v>
      </c>
      <c r="AH1396">
        <v>3</v>
      </c>
      <c r="AI1396">
        <v>1</v>
      </c>
      <c r="AJ1396">
        <v>0</v>
      </c>
      <c r="AK1396">
        <v>0</v>
      </c>
      <c r="AL1396" t="str" cm="1">
        <f t="array" ref="AL139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96">
        <v>0</v>
      </c>
    </row>
    <row r="1397" spans="1:39" x14ac:dyDescent="0.25">
      <c r="A1397">
        <v>31</v>
      </c>
      <c r="B1397" t="s">
        <v>36</v>
      </c>
      <c r="C1397" t="s">
        <v>45</v>
      </c>
      <c r="D1397">
        <v>754</v>
      </c>
      <c r="E1397" t="s">
        <v>38</v>
      </c>
      <c r="G1397">
        <v>26</v>
      </c>
      <c r="H1397">
        <v>4</v>
      </c>
      <c r="I1397" t="s">
        <v>60</v>
      </c>
      <c r="J1397" t="str">
        <f>WA_Fn_UseC__HR_Employee_Attrition[[#This Row],[EducationField]]&amp;"-"&amp;WA_Fn_UseC__HR_Employee_Attrition[[#This Row],[Department]]</f>
        <v>Marketing-Sales</v>
      </c>
      <c r="K1397">
        <v>1</v>
      </c>
      <c r="L1397">
        <v>1967</v>
      </c>
      <c r="M1397">
        <v>1</v>
      </c>
      <c r="N1397" t="s">
        <v>47</v>
      </c>
      <c r="O1397">
        <v>63</v>
      </c>
      <c r="P1397">
        <v>3</v>
      </c>
      <c r="Q1397">
        <v>2</v>
      </c>
      <c r="R1397" t="s">
        <v>41</v>
      </c>
      <c r="S1397">
        <v>4</v>
      </c>
      <c r="T1397" t="s">
        <v>49</v>
      </c>
      <c r="U1397">
        <v>5617</v>
      </c>
      <c r="V1397" t="str" cm="1">
        <f t="array" ref="V139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397">
        <v>21075</v>
      </c>
      <c r="X1397">
        <v>1</v>
      </c>
      <c r="Y1397" t="s">
        <v>43</v>
      </c>
      <c r="Z1397" t="s">
        <v>36</v>
      </c>
      <c r="AA1397">
        <v>11</v>
      </c>
      <c r="AB1397">
        <v>3</v>
      </c>
      <c r="AC1397">
        <v>3</v>
      </c>
      <c r="AD1397">
        <v>80</v>
      </c>
      <c r="AE1397">
        <v>0</v>
      </c>
      <c r="AF1397">
        <v>10</v>
      </c>
      <c r="AG1397">
        <v>4</v>
      </c>
      <c r="AH1397">
        <v>3</v>
      </c>
      <c r="AI1397">
        <v>10</v>
      </c>
      <c r="AJ1397">
        <v>7</v>
      </c>
      <c r="AK1397">
        <v>0</v>
      </c>
      <c r="AL1397" t="str" cm="1">
        <f t="array" ref="AL139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397">
        <v>8</v>
      </c>
    </row>
    <row r="1398" spans="1:39" x14ac:dyDescent="0.25">
      <c r="A1398">
        <v>53</v>
      </c>
      <c r="B1398" t="s">
        <v>36</v>
      </c>
      <c r="C1398" t="s">
        <v>37</v>
      </c>
      <c r="D1398">
        <v>1168</v>
      </c>
      <c r="E1398" t="s">
        <v>38</v>
      </c>
      <c r="G1398">
        <v>24</v>
      </c>
      <c r="H1398">
        <v>4</v>
      </c>
      <c r="I1398" t="s">
        <v>39</v>
      </c>
      <c r="J1398" t="str">
        <f>WA_Fn_UseC__HR_Employee_Attrition[[#This Row],[EducationField]]&amp;"-"&amp;WA_Fn_UseC__HR_Employee_Attrition[[#This Row],[Department]]</f>
        <v>Life Sciences-Sales</v>
      </c>
      <c r="K1398">
        <v>1</v>
      </c>
      <c r="L1398">
        <v>1968</v>
      </c>
      <c r="M1398">
        <v>1</v>
      </c>
      <c r="N1398" t="s">
        <v>47</v>
      </c>
      <c r="O1398">
        <v>66</v>
      </c>
      <c r="P1398">
        <v>3</v>
      </c>
      <c r="Q1398">
        <v>3</v>
      </c>
      <c r="R1398" t="s">
        <v>41</v>
      </c>
      <c r="S1398">
        <v>1</v>
      </c>
      <c r="T1398" t="s">
        <v>42</v>
      </c>
      <c r="U1398">
        <v>10448</v>
      </c>
      <c r="V1398" t="str" cm="1">
        <f t="array" ref="V139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398">
        <v>5843</v>
      </c>
      <c r="X1398">
        <v>6</v>
      </c>
      <c r="Y1398" t="s">
        <v>43</v>
      </c>
      <c r="Z1398" t="s">
        <v>36</v>
      </c>
      <c r="AA1398">
        <v>13</v>
      </c>
      <c r="AB1398">
        <v>3</v>
      </c>
      <c r="AC1398">
        <v>2</v>
      </c>
      <c r="AD1398">
        <v>80</v>
      </c>
      <c r="AE1398">
        <v>0</v>
      </c>
      <c r="AF1398">
        <v>15</v>
      </c>
      <c r="AG1398">
        <v>2</v>
      </c>
      <c r="AH1398">
        <v>2</v>
      </c>
      <c r="AI1398">
        <v>2</v>
      </c>
      <c r="AJ1398">
        <v>2</v>
      </c>
      <c r="AK1398">
        <v>2</v>
      </c>
      <c r="AL1398" t="str" cm="1">
        <f t="array" ref="AL139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398">
        <v>2</v>
      </c>
    </row>
    <row r="1399" spans="1:39" x14ac:dyDescent="0.25">
      <c r="A1399">
        <v>54</v>
      </c>
      <c r="B1399" t="s">
        <v>44</v>
      </c>
      <c r="C1399" t="s">
        <v>37</v>
      </c>
      <c r="D1399">
        <v>155</v>
      </c>
      <c r="E1399" t="s">
        <v>46</v>
      </c>
      <c r="G1399">
        <v>9</v>
      </c>
      <c r="H1399">
        <v>2</v>
      </c>
      <c r="I1399" t="s">
        <v>39</v>
      </c>
      <c r="J1399" t="str">
        <f>WA_Fn_UseC__HR_Employee_Attrition[[#This Row],[EducationField]]&amp;"-"&amp;WA_Fn_UseC__HR_Employee_Attrition[[#This Row],[Department]]</f>
        <v>Life Sciences-Research &amp; Development</v>
      </c>
      <c r="K1399">
        <v>1</v>
      </c>
      <c r="L1399">
        <v>1969</v>
      </c>
      <c r="M1399">
        <v>1</v>
      </c>
      <c r="N1399" t="s">
        <v>40</v>
      </c>
      <c r="O1399">
        <v>67</v>
      </c>
      <c r="P1399">
        <v>3</v>
      </c>
      <c r="Q1399">
        <v>2</v>
      </c>
      <c r="R1399" t="s">
        <v>48</v>
      </c>
      <c r="S1399">
        <v>3</v>
      </c>
      <c r="T1399" t="s">
        <v>49</v>
      </c>
      <c r="U1399">
        <v>2897</v>
      </c>
      <c r="V1399" t="str" cm="1">
        <f t="array" ref="V139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399">
        <v>22474</v>
      </c>
      <c r="X1399">
        <v>3</v>
      </c>
      <c r="Y1399" t="s">
        <v>43</v>
      </c>
      <c r="Z1399" t="s">
        <v>44</v>
      </c>
      <c r="AA1399">
        <v>11</v>
      </c>
      <c r="AB1399">
        <v>3</v>
      </c>
      <c r="AC1399">
        <v>3</v>
      </c>
      <c r="AD1399">
        <v>80</v>
      </c>
      <c r="AE1399">
        <v>2</v>
      </c>
      <c r="AF1399">
        <v>9</v>
      </c>
      <c r="AG1399">
        <v>6</v>
      </c>
      <c r="AH1399">
        <v>2</v>
      </c>
      <c r="AI1399">
        <v>4</v>
      </c>
      <c r="AJ1399">
        <v>3</v>
      </c>
      <c r="AK1399">
        <v>2</v>
      </c>
      <c r="AL1399" t="str" cm="1">
        <f t="array" ref="AL139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399">
        <v>3</v>
      </c>
    </row>
    <row r="1400" spans="1:39" x14ac:dyDescent="0.25">
      <c r="A1400">
        <v>33</v>
      </c>
      <c r="B1400" t="s">
        <v>44</v>
      </c>
      <c r="C1400" t="s">
        <v>45</v>
      </c>
      <c r="D1400">
        <v>1303</v>
      </c>
      <c r="E1400" t="s">
        <v>46</v>
      </c>
      <c r="G1400">
        <v>7</v>
      </c>
      <c r="H1400">
        <v>2</v>
      </c>
      <c r="I1400" t="s">
        <v>39</v>
      </c>
      <c r="J1400" t="str">
        <f>WA_Fn_UseC__HR_Employee_Attrition[[#This Row],[EducationField]]&amp;"-"&amp;WA_Fn_UseC__HR_Employee_Attrition[[#This Row],[Department]]</f>
        <v>Life Sciences-Research &amp; Development</v>
      </c>
      <c r="K1400">
        <v>1</v>
      </c>
      <c r="L1400">
        <v>1970</v>
      </c>
      <c r="M1400">
        <v>4</v>
      </c>
      <c r="N1400" t="s">
        <v>47</v>
      </c>
      <c r="O1400">
        <v>36</v>
      </c>
      <c r="P1400">
        <v>3</v>
      </c>
      <c r="Q1400">
        <v>2</v>
      </c>
      <c r="R1400" t="s">
        <v>55</v>
      </c>
      <c r="S1400">
        <v>3</v>
      </c>
      <c r="T1400" t="s">
        <v>53</v>
      </c>
      <c r="U1400">
        <v>5968</v>
      </c>
      <c r="V1400" t="str" cm="1">
        <f t="array" ref="V140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00">
        <v>18079</v>
      </c>
      <c r="X1400">
        <v>1</v>
      </c>
      <c r="Y1400" t="s">
        <v>43</v>
      </c>
      <c r="Z1400" t="s">
        <v>44</v>
      </c>
      <c r="AA1400">
        <v>20</v>
      </c>
      <c r="AB1400">
        <v>4</v>
      </c>
      <c r="AC1400">
        <v>3</v>
      </c>
      <c r="AD1400">
        <v>80</v>
      </c>
      <c r="AE1400">
        <v>3</v>
      </c>
      <c r="AF1400">
        <v>9</v>
      </c>
      <c r="AG1400">
        <v>2</v>
      </c>
      <c r="AH1400">
        <v>3</v>
      </c>
      <c r="AI1400">
        <v>9</v>
      </c>
      <c r="AJ1400">
        <v>7</v>
      </c>
      <c r="AK1400">
        <v>2</v>
      </c>
      <c r="AL1400" t="str" cm="1">
        <f t="array" ref="AL140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00">
        <v>8</v>
      </c>
    </row>
    <row r="1401" spans="1:39" x14ac:dyDescent="0.25">
      <c r="A1401">
        <v>43</v>
      </c>
      <c r="B1401" t="s">
        <v>44</v>
      </c>
      <c r="C1401" t="s">
        <v>37</v>
      </c>
      <c r="D1401">
        <v>574</v>
      </c>
      <c r="E1401" t="s">
        <v>46</v>
      </c>
      <c r="G1401">
        <v>11</v>
      </c>
      <c r="H1401">
        <v>3</v>
      </c>
      <c r="I1401" t="s">
        <v>39</v>
      </c>
      <c r="J1401" t="str">
        <f>WA_Fn_UseC__HR_Employee_Attrition[[#This Row],[EducationField]]&amp;"-"&amp;WA_Fn_UseC__HR_Employee_Attrition[[#This Row],[Department]]</f>
        <v>Life Sciences-Research &amp; Development</v>
      </c>
      <c r="K1401">
        <v>1</v>
      </c>
      <c r="L1401">
        <v>1971</v>
      </c>
      <c r="M1401">
        <v>1</v>
      </c>
      <c r="N1401" t="s">
        <v>47</v>
      </c>
      <c r="O1401">
        <v>30</v>
      </c>
      <c r="P1401">
        <v>3</v>
      </c>
      <c r="Q1401">
        <v>3</v>
      </c>
      <c r="R1401" t="s">
        <v>55</v>
      </c>
      <c r="S1401">
        <v>3</v>
      </c>
      <c r="T1401" t="s">
        <v>49</v>
      </c>
      <c r="U1401">
        <v>7510</v>
      </c>
      <c r="V1401" t="str" cm="1">
        <f t="array" ref="V140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01">
        <v>16873</v>
      </c>
      <c r="X1401">
        <v>1</v>
      </c>
      <c r="Y1401" t="s">
        <v>43</v>
      </c>
      <c r="Z1401" t="s">
        <v>44</v>
      </c>
      <c r="AA1401">
        <v>17</v>
      </c>
      <c r="AB1401">
        <v>3</v>
      </c>
      <c r="AC1401">
        <v>2</v>
      </c>
      <c r="AD1401">
        <v>80</v>
      </c>
      <c r="AE1401">
        <v>1</v>
      </c>
      <c r="AF1401">
        <v>10</v>
      </c>
      <c r="AG1401">
        <v>1</v>
      </c>
      <c r="AH1401">
        <v>3</v>
      </c>
      <c r="AI1401">
        <v>10</v>
      </c>
      <c r="AJ1401">
        <v>9</v>
      </c>
      <c r="AK1401">
        <v>0</v>
      </c>
      <c r="AL1401" t="str" cm="1">
        <f t="array" ref="AL140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01">
        <v>9</v>
      </c>
    </row>
    <row r="1402" spans="1:39" x14ac:dyDescent="0.25">
      <c r="A1402">
        <v>38</v>
      </c>
      <c r="B1402" t="s">
        <v>44</v>
      </c>
      <c r="C1402" t="s">
        <v>45</v>
      </c>
      <c r="D1402">
        <v>1444</v>
      </c>
      <c r="E1402" t="s">
        <v>62</v>
      </c>
      <c r="G1402">
        <v>1</v>
      </c>
      <c r="H1402">
        <v>4</v>
      </c>
      <c r="I1402" t="s">
        <v>50</v>
      </c>
      <c r="J1402" t="str">
        <f>WA_Fn_UseC__HR_Employee_Attrition[[#This Row],[EducationField]]&amp;"-"&amp;WA_Fn_UseC__HR_Employee_Attrition[[#This Row],[Department]]</f>
        <v>Other-Human Resources</v>
      </c>
      <c r="K1402">
        <v>1</v>
      </c>
      <c r="L1402">
        <v>1972</v>
      </c>
      <c r="M1402">
        <v>4</v>
      </c>
      <c r="N1402" t="s">
        <v>47</v>
      </c>
      <c r="O1402">
        <v>88</v>
      </c>
      <c r="P1402">
        <v>3</v>
      </c>
      <c r="Q1402">
        <v>1</v>
      </c>
      <c r="R1402" t="s">
        <v>62</v>
      </c>
      <c r="S1402">
        <v>2</v>
      </c>
      <c r="T1402" t="s">
        <v>49</v>
      </c>
      <c r="U1402">
        <v>2991</v>
      </c>
      <c r="V1402" t="str" cm="1">
        <f t="array" ref="V140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02">
        <v>5224</v>
      </c>
      <c r="X1402">
        <v>0</v>
      </c>
      <c r="Y1402" t="s">
        <v>43</v>
      </c>
      <c r="Z1402" t="s">
        <v>36</v>
      </c>
      <c r="AA1402">
        <v>11</v>
      </c>
      <c r="AB1402">
        <v>3</v>
      </c>
      <c r="AC1402">
        <v>2</v>
      </c>
      <c r="AD1402">
        <v>80</v>
      </c>
      <c r="AE1402">
        <v>1</v>
      </c>
      <c r="AF1402">
        <v>7</v>
      </c>
      <c r="AG1402">
        <v>2</v>
      </c>
      <c r="AH1402">
        <v>3</v>
      </c>
      <c r="AI1402">
        <v>6</v>
      </c>
      <c r="AJ1402">
        <v>2</v>
      </c>
      <c r="AK1402">
        <v>1</v>
      </c>
      <c r="AL1402" t="str" cm="1">
        <f t="array" ref="AL140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02">
        <v>2</v>
      </c>
    </row>
    <row r="1403" spans="1:39" x14ac:dyDescent="0.25">
      <c r="A1403">
        <v>55</v>
      </c>
      <c r="B1403" t="s">
        <v>44</v>
      </c>
      <c r="C1403" t="s">
        <v>37</v>
      </c>
      <c r="D1403">
        <v>189</v>
      </c>
      <c r="E1403" t="s">
        <v>62</v>
      </c>
      <c r="G1403">
        <v>26</v>
      </c>
      <c r="H1403">
        <v>4</v>
      </c>
      <c r="I1403" t="s">
        <v>62</v>
      </c>
      <c r="J1403" t="str">
        <f>WA_Fn_UseC__HR_Employee_Attrition[[#This Row],[EducationField]]&amp;"-"&amp;WA_Fn_UseC__HR_Employee_Attrition[[#This Row],[Department]]</f>
        <v>Human Resources-Human Resources</v>
      </c>
      <c r="K1403">
        <v>1</v>
      </c>
      <c r="L1403">
        <v>1973</v>
      </c>
      <c r="M1403">
        <v>3</v>
      </c>
      <c r="N1403" t="s">
        <v>47</v>
      </c>
      <c r="O1403">
        <v>71</v>
      </c>
      <c r="P1403">
        <v>4</v>
      </c>
      <c r="Q1403">
        <v>5</v>
      </c>
      <c r="R1403" t="s">
        <v>57</v>
      </c>
      <c r="S1403">
        <v>2</v>
      </c>
      <c r="T1403" t="s">
        <v>49</v>
      </c>
      <c r="U1403">
        <v>19636</v>
      </c>
      <c r="V1403" t="str" cm="1">
        <f t="array" ref="V140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03">
        <v>25811</v>
      </c>
      <c r="X1403">
        <v>4</v>
      </c>
      <c r="Y1403" t="s">
        <v>43</v>
      </c>
      <c r="Z1403" t="s">
        <v>36</v>
      </c>
      <c r="AA1403">
        <v>18</v>
      </c>
      <c r="AB1403">
        <v>3</v>
      </c>
      <c r="AC1403">
        <v>1</v>
      </c>
      <c r="AD1403">
        <v>80</v>
      </c>
      <c r="AE1403">
        <v>1</v>
      </c>
      <c r="AF1403">
        <v>35</v>
      </c>
      <c r="AG1403">
        <v>0</v>
      </c>
      <c r="AH1403">
        <v>3</v>
      </c>
      <c r="AI1403">
        <v>10</v>
      </c>
      <c r="AJ1403">
        <v>9</v>
      </c>
      <c r="AK1403">
        <v>1</v>
      </c>
      <c r="AL1403" t="str" cm="1">
        <f t="array" ref="AL140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03">
        <v>4</v>
      </c>
    </row>
    <row r="1404" spans="1:39" x14ac:dyDescent="0.25">
      <c r="A1404">
        <v>31</v>
      </c>
      <c r="B1404" t="s">
        <v>44</v>
      </c>
      <c r="C1404" t="s">
        <v>37</v>
      </c>
      <c r="D1404">
        <v>1276</v>
      </c>
      <c r="E1404" t="s">
        <v>46</v>
      </c>
      <c r="G1404">
        <v>2</v>
      </c>
      <c r="H1404">
        <v>1</v>
      </c>
      <c r="I1404" t="s">
        <v>52</v>
      </c>
      <c r="J1404" t="str">
        <f>WA_Fn_UseC__HR_Employee_Attrition[[#This Row],[EducationField]]&amp;"-"&amp;WA_Fn_UseC__HR_Employee_Attrition[[#This Row],[Department]]</f>
        <v>Medical-Research &amp; Development</v>
      </c>
      <c r="K1404">
        <v>1</v>
      </c>
      <c r="L1404">
        <v>1974</v>
      </c>
      <c r="M1404">
        <v>4</v>
      </c>
      <c r="N1404" t="s">
        <v>40</v>
      </c>
      <c r="O1404">
        <v>59</v>
      </c>
      <c r="P1404">
        <v>1</v>
      </c>
      <c r="Q1404">
        <v>1</v>
      </c>
      <c r="R1404" t="s">
        <v>51</v>
      </c>
      <c r="S1404">
        <v>4</v>
      </c>
      <c r="T1404" t="s">
        <v>53</v>
      </c>
      <c r="U1404">
        <v>1129</v>
      </c>
      <c r="V1404" t="str" cm="1">
        <f t="array" ref="V140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04">
        <v>17536</v>
      </c>
      <c r="X1404">
        <v>1</v>
      </c>
      <c r="Y1404" t="s">
        <v>43</v>
      </c>
      <c r="Z1404" t="s">
        <v>36</v>
      </c>
      <c r="AA1404">
        <v>11</v>
      </c>
      <c r="AB1404">
        <v>3</v>
      </c>
      <c r="AC1404">
        <v>3</v>
      </c>
      <c r="AD1404">
        <v>80</v>
      </c>
      <c r="AE1404">
        <v>3</v>
      </c>
      <c r="AF1404">
        <v>1</v>
      </c>
      <c r="AG1404">
        <v>4</v>
      </c>
      <c r="AH1404">
        <v>3</v>
      </c>
      <c r="AI1404">
        <v>1</v>
      </c>
      <c r="AJ1404">
        <v>0</v>
      </c>
      <c r="AK1404">
        <v>0</v>
      </c>
      <c r="AL1404" t="str" cm="1">
        <f t="array" ref="AL140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04">
        <v>0</v>
      </c>
    </row>
    <row r="1405" spans="1:39" x14ac:dyDescent="0.25">
      <c r="A1405">
        <v>39</v>
      </c>
      <c r="B1405" t="s">
        <v>44</v>
      </c>
      <c r="C1405" t="s">
        <v>37</v>
      </c>
      <c r="D1405">
        <v>119</v>
      </c>
      <c r="E1405" t="s">
        <v>38</v>
      </c>
      <c r="G1405">
        <v>15</v>
      </c>
      <c r="H1405">
        <v>4</v>
      </c>
      <c r="I1405" t="s">
        <v>60</v>
      </c>
      <c r="J1405" t="str">
        <f>WA_Fn_UseC__HR_Employee_Attrition[[#This Row],[EducationField]]&amp;"-"&amp;WA_Fn_UseC__HR_Employee_Attrition[[#This Row],[Department]]</f>
        <v>Marketing-Sales</v>
      </c>
      <c r="K1405">
        <v>1</v>
      </c>
      <c r="L1405">
        <v>1975</v>
      </c>
      <c r="M1405">
        <v>2</v>
      </c>
      <c r="N1405" t="s">
        <v>47</v>
      </c>
      <c r="O1405">
        <v>77</v>
      </c>
      <c r="P1405">
        <v>3</v>
      </c>
      <c r="Q1405">
        <v>4</v>
      </c>
      <c r="R1405" t="s">
        <v>41</v>
      </c>
      <c r="S1405">
        <v>1</v>
      </c>
      <c r="T1405" t="s">
        <v>42</v>
      </c>
      <c r="U1405">
        <v>13341</v>
      </c>
      <c r="V1405" t="str" cm="1">
        <f t="array" ref="V140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05">
        <v>25098</v>
      </c>
      <c r="X1405">
        <v>0</v>
      </c>
      <c r="Y1405" t="s">
        <v>43</v>
      </c>
      <c r="Z1405" t="s">
        <v>44</v>
      </c>
      <c r="AA1405">
        <v>12</v>
      </c>
      <c r="AB1405">
        <v>3</v>
      </c>
      <c r="AC1405">
        <v>1</v>
      </c>
      <c r="AD1405">
        <v>80</v>
      </c>
      <c r="AE1405">
        <v>0</v>
      </c>
      <c r="AF1405">
        <v>21</v>
      </c>
      <c r="AG1405">
        <v>3</v>
      </c>
      <c r="AH1405">
        <v>3</v>
      </c>
      <c r="AI1405">
        <v>20</v>
      </c>
      <c r="AJ1405">
        <v>8</v>
      </c>
      <c r="AK1405">
        <v>11</v>
      </c>
      <c r="AL1405" t="str" cm="1">
        <f t="array" ref="AL140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05">
        <v>10</v>
      </c>
    </row>
    <row r="1406" spans="1:39" x14ac:dyDescent="0.25">
      <c r="A1406">
        <v>42</v>
      </c>
      <c r="B1406" t="s">
        <v>44</v>
      </c>
      <c r="C1406" t="s">
        <v>56</v>
      </c>
      <c r="D1406">
        <v>335</v>
      </c>
      <c r="E1406" t="s">
        <v>46</v>
      </c>
      <c r="G1406">
        <v>23</v>
      </c>
      <c r="H1406">
        <v>2</v>
      </c>
      <c r="I1406" t="s">
        <v>39</v>
      </c>
      <c r="J1406" t="str">
        <f>WA_Fn_UseC__HR_Employee_Attrition[[#This Row],[EducationField]]&amp;"-"&amp;WA_Fn_UseC__HR_Employee_Attrition[[#This Row],[Department]]</f>
        <v>Life Sciences-Research &amp; Development</v>
      </c>
      <c r="K1406">
        <v>1</v>
      </c>
      <c r="L1406">
        <v>1976</v>
      </c>
      <c r="M1406">
        <v>4</v>
      </c>
      <c r="N1406" t="s">
        <v>47</v>
      </c>
      <c r="O1406">
        <v>37</v>
      </c>
      <c r="P1406">
        <v>2</v>
      </c>
      <c r="Q1406">
        <v>2</v>
      </c>
      <c r="R1406" t="s">
        <v>48</v>
      </c>
      <c r="S1406">
        <v>3</v>
      </c>
      <c r="T1406" t="s">
        <v>42</v>
      </c>
      <c r="U1406">
        <v>4332</v>
      </c>
      <c r="V1406" t="str" cm="1">
        <f t="array" ref="V140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06">
        <v>14811</v>
      </c>
      <c r="X1406">
        <v>1</v>
      </c>
      <c r="Y1406" t="s">
        <v>43</v>
      </c>
      <c r="Z1406" t="s">
        <v>44</v>
      </c>
      <c r="AA1406">
        <v>12</v>
      </c>
      <c r="AB1406">
        <v>3</v>
      </c>
      <c r="AC1406">
        <v>4</v>
      </c>
      <c r="AD1406">
        <v>80</v>
      </c>
      <c r="AE1406">
        <v>0</v>
      </c>
      <c r="AF1406">
        <v>20</v>
      </c>
      <c r="AG1406">
        <v>2</v>
      </c>
      <c r="AH1406">
        <v>3</v>
      </c>
      <c r="AI1406">
        <v>20</v>
      </c>
      <c r="AJ1406">
        <v>9</v>
      </c>
      <c r="AK1406">
        <v>3</v>
      </c>
      <c r="AL1406" t="str" cm="1">
        <f t="array" ref="AL140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06">
        <v>7</v>
      </c>
    </row>
    <row r="1407" spans="1:39" x14ac:dyDescent="0.25">
      <c r="A1407">
        <v>31</v>
      </c>
      <c r="B1407" t="s">
        <v>44</v>
      </c>
      <c r="C1407" t="s">
        <v>56</v>
      </c>
      <c r="D1407">
        <v>697</v>
      </c>
      <c r="E1407" t="s">
        <v>46</v>
      </c>
      <c r="G1407">
        <v>10</v>
      </c>
      <c r="H1407">
        <v>3</v>
      </c>
      <c r="I1407" t="s">
        <v>52</v>
      </c>
      <c r="J1407" t="str">
        <f>WA_Fn_UseC__HR_Employee_Attrition[[#This Row],[EducationField]]&amp;"-"&amp;WA_Fn_UseC__HR_Employee_Attrition[[#This Row],[Department]]</f>
        <v>Medical-Research &amp; Development</v>
      </c>
      <c r="K1407">
        <v>1</v>
      </c>
      <c r="L1407">
        <v>1979</v>
      </c>
      <c r="M1407">
        <v>3</v>
      </c>
      <c r="N1407" t="s">
        <v>40</v>
      </c>
      <c r="O1407">
        <v>40</v>
      </c>
      <c r="P1407">
        <v>3</v>
      </c>
      <c r="Q1407">
        <v>3</v>
      </c>
      <c r="R1407" t="s">
        <v>59</v>
      </c>
      <c r="S1407">
        <v>3</v>
      </c>
      <c r="T1407" t="s">
        <v>49</v>
      </c>
      <c r="U1407">
        <v>11031</v>
      </c>
      <c r="V1407" t="str" cm="1">
        <f t="array" ref="V140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07">
        <v>26862</v>
      </c>
      <c r="X1407">
        <v>4</v>
      </c>
      <c r="Y1407" t="s">
        <v>43</v>
      </c>
      <c r="Z1407" t="s">
        <v>44</v>
      </c>
      <c r="AA1407">
        <v>20</v>
      </c>
      <c r="AB1407">
        <v>4</v>
      </c>
      <c r="AC1407">
        <v>3</v>
      </c>
      <c r="AD1407">
        <v>80</v>
      </c>
      <c r="AE1407">
        <v>1</v>
      </c>
      <c r="AF1407">
        <v>13</v>
      </c>
      <c r="AG1407">
        <v>2</v>
      </c>
      <c r="AH1407">
        <v>4</v>
      </c>
      <c r="AI1407">
        <v>11</v>
      </c>
      <c r="AJ1407">
        <v>7</v>
      </c>
      <c r="AK1407">
        <v>4</v>
      </c>
      <c r="AL1407" t="str" cm="1">
        <f t="array" ref="AL140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07">
        <v>8</v>
      </c>
    </row>
    <row r="1408" spans="1:39" x14ac:dyDescent="0.25">
      <c r="A1408">
        <v>54</v>
      </c>
      <c r="B1408" t="s">
        <v>44</v>
      </c>
      <c r="C1408" t="s">
        <v>37</v>
      </c>
      <c r="D1408">
        <v>157</v>
      </c>
      <c r="E1408" t="s">
        <v>46</v>
      </c>
      <c r="G1408">
        <v>10</v>
      </c>
      <c r="H1408">
        <v>3</v>
      </c>
      <c r="I1408" t="s">
        <v>52</v>
      </c>
      <c r="J1408" t="str">
        <f>WA_Fn_UseC__HR_Employee_Attrition[[#This Row],[EducationField]]&amp;"-"&amp;WA_Fn_UseC__HR_Employee_Attrition[[#This Row],[Department]]</f>
        <v>Medical-Research &amp; Development</v>
      </c>
      <c r="K1408">
        <v>1</v>
      </c>
      <c r="L1408">
        <v>1980</v>
      </c>
      <c r="M1408">
        <v>3</v>
      </c>
      <c r="N1408" t="s">
        <v>40</v>
      </c>
      <c r="O1408">
        <v>77</v>
      </c>
      <c r="P1408">
        <v>3</v>
      </c>
      <c r="Q1408">
        <v>2</v>
      </c>
      <c r="R1408" t="s">
        <v>54</v>
      </c>
      <c r="S1408">
        <v>1</v>
      </c>
      <c r="T1408" t="s">
        <v>42</v>
      </c>
      <c r="U1408">
        <v>4440</v>
      </c>
      <c r="V1408" t="str" cm="1">
        <f t="array" ref="V140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08">
        <v>25198</v>
      </c>
      <c r="X1408">
        <v>6</v>
      </c>
      <c r="Y1408" t="s">
        <v>43</v>
      </c>
      <c r="Z1408" t="s">
        <v>36</v>
      </c>
      <c r="AA1408">
        <v>19</v>
      </c>
      <c r="AB1408">
        <v>3</v>
      </c>
      <c r="AC1408">
        <v>4</v>
      </c>
      <c r="AD1408">
        <v>80</v>
      </c>
      <c r="AE1408">
        <v>0</v>
      </c>
      <c r="AF1408">
        <v>9</v>
      </c>
      <c r="AG1408">
        <v>3</v>
      </c>
      <c r="AH1408">
        <v>3</v>
      </c>
      <c r="AI1408">
        <v>5</v>
      </c>
      <c r="AJ1408">
        <v>2</v>
      </c>
      <c r="AK1408">
        <v>1</v>
      </c>
      <c r="AL1408" t="str" cm="1">
        <f t="array" ref="AL140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08">
        <v>4</v>
      </c>
    </row>
    <row r="1409" spans="1:39" x14ac:dyDescent="0.25">
      <c r="A1409">
        <v>24</v>
      </c>
      <c r="B1409" t="s">
        <v>44</v>
      </c>
      <c r="C1409" t="s">
        <v>37</v>
      </c>
      <c r="D1409">
        <v>771</v>
      </c>
      <c r="E1409" t="s">
        <v>46</v>
      </c>
      <c r="G1409">
        <v>1</v>
      </c>
      <c r="H1409">
        <v>2</v>
      </c>
      <c r="I1409" t="s">
        <v>39</v>
      </c>
      <c r="J1409" t="str">
        <f>WA_Fn_UseC__HR_Employee_Attrition[[#This Row],[EducationField]]&amp;"-"&amp;WA_Fn_UseC__HR_Employee_Attrition[[#This Row],[Department]]</f>
        <v>Life Sciences-Research &amp; Development</v>
      </c>
      <c r="K1409">
        <v>1</v>
      </c>
      <c r="L1409">
        <v>1981</v>
      </c>
      <c r="M1409">
        <v>2</v>
      </c>
      <c r="N1409" t="s">
        <v>47</v>
      </c>
      <c r="O1409">
        <v>45</v>
      </c>
      <c r="P1409">
        <v>2</v>
      </c>
      <c r="Q1409">
        <v>2</v>
      </c>
      <c r="R1409" t="s">
        <v>55</v>
      </c>
      <c r="S1409">
        <v>3</v>
      </c>
      <c r="T1409" t="s">
        <v>42</v>
      </c>
      <c r="U1409">
        <v>4617</v>
      </c>
      <c r="V1409" t="str" cm="1">
        <f t="array" ref="V140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09">
        <v>14120</v>
      </c>
      <c r="X1409">
        <v>1</v>
      </c>
      <c r="Y1409" t="s">
        <v>43</v>
      </c>
      <c r="Z1409" t="s">
        <v>44</v>
      </c>
      <c r="AA1409">
        <v>12</v>
      </c>
      <c r="AB1409">
        <v>3</v>
      </c>
      <c r="AC1409">
        <v>2</v>
      </c>
      <c r="AD1409">
        <v>80</v>
      </c>
      <c r="AE1409">
        <v>0</v>
      </c>
      <c r="AF1409">
        <v>4</v>
      </c>
      <c r="AG1409">
        <v>2</v>
      </c>
      <c r="AH1409">
        <v>2</v>
      </c>
      <c r="AI1409">
        <v>4</v>
      </c>
      <c r="AJ1409">
        <v>3</v>
      </c>
      <c r="AK1409">
        <v>1</v>
      </c>
      <c r="AL1409" t="str" cm="1">
        <f t="array" ref="AL140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09">
        <v>2</v>
      </c>
    </row>
    <row r="1410" spans="1:39" x14ac:dyDescent="0.25">
      <c r="A1410">
        <v>23</v>
      </c>
      <c r="B1410" t="s">
        <v>44</v>
      </c>
      <c r="C1410" t="s">
        <v>37</v>
      </c>
      <c r="D1410">
        <v>571</v>
      </c>
      <c r="E1410" t="s">
        <v>46</v>
      </c>
      <c r="G1410">
        <v>12</v>
      </c>
      <c r="H1410">
        <v>2</v>
      </c>
      <c r="I1410" t="s">
        <v>50</v>
      </c>
      <c r="J1410" t="str">
        <f>WA_Fn_UseC__HR_Employee_Attrition[[#This Row],[EducationField]]&amp;"-"&amp;WA_Fn_UseC__HR_Employee_Attrition[[#This Row],[Department]]</f>
        <v>Other-Research &amp; Development</v>
      </c>
      <c r="K1410">
        <v>1</v>
      </c>
      <c r="L1410">
        <v>1982</v>
      </c>
      <c r="M1410">
        <v>4</v>
      </c>
      <c r="N1410" t="s">
        <v>47</v>
      </c>
      <c r="O1410">
        <v>78</v>
      </c>
      <c r="P1410">
        <v>3</v>
      </c>
      <c r="Q1410">
        <v>1</v>
      </c>
      <c r="R1410" t="s">
        <v>51</v>
      </c>
      <c r="S1410">
        <v>4</v>
      </c>
      <c r="T1410" t="s">
        <v>42</v>
      </c>
      <c r="U1410">
        <v>2647</v>
      </c>
      <c r="V1410" t="str" cm="1">
        <f t="array" ref="V141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10">
        <v>13672</v>
      </c>
      <c r="X1410">
        <v>1</v>
      </c>
      <c r="Y1410" t="s">
        <v>43</v>
      </c>
      <c r="Z1410" t="s">
        <v>44</v>
      </c>
      <c r="AA1410">
        <v>13</v>
      </c>
      <c r="AB1410">
        <v>3</v>
      </c>
      <c r="AC1410">
        <v>3</v>
      </c>
      <c r="AD1410">
        <v>80</v>
      </c>
      <c r="AE1410">
        <v>0</v>
      </c>
      <c r="AF1410">
        <v>5</v>
      </c>
      <c r="AG1410">
        <v>6</v>
      </c>
      <c r="AH1410">
        <v>4</v>
      </c>
      <c r="AI1410">
        <v>5</v>
      </c>
      <c r="AJ1410">
        <v>2</v>
      </c>
      <c r="AK1410">
        <v>1</v>
      </c>
      <c r="AL1410" t="str" cm="1">
        <f t="array" ref="AL141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10">
        <v>4</v>
      </c>
    </row>
    <row r="1411" spans="1:39" x14ac:dyDescent="0.25">
      <c r="A1411">
        <v>40</v>
      </c>
      <c r="B1411" t="s">
        <v>44</v>
      </c>
      <c r="C1411" t="s">
        <v>45</v>
      </c>
      <c r="D1411">
        <v>692</v>
      </c>
      <c r="E1411" t="s">
        <v>46</v>
      </c>
      <c r="G1411">
        <v>11</v>
      </c>
      <c r="H1411">
        <v>3</v>
      </c>
      <c r="I1411" t="s">
        <v>61</v>
      </c>
      <c r="J1411" t="str">
        <f>WA_Fn_UseC__HR_Employee_Attrition[[#This Row],[EducationField]]&amp;"-"&amp;WA_Fn_UseC__HR_Employee_Attrition[[#This Row],[Department]]</f>
        <v>Technical Degree-Research &amp; Development</v>
      </c>
      <c r="K1411">
        <v>1</v>
      </c>
      <c r="L1411">
        <v>1985</v>
      </c>
      <c r="M1411">
        <v>4</v>
      </c>
      <c r="N1411" t="s">
        <v>40</v>
      </c>
      <c r="O1411">
        <v>73</v>
      </c>
      <c r="P1411">
        <v>3</v>
      </c>
      <c r="Q1411">
        <v>2</v>
      </c>
      <c r="R1411" t="s">
        <v>51</v>
      </c>
      <c r="S1411">
        <v>3</v>
      </c>
      <c r="T1411" t="s">
        <v>49</v>
      </c>
      <c r="U1411">
        <v>6323</v>
      </c>
      <c r="V1411" t="str" cm="1">
        <f t="array" ref="V141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11">
        <v>26849</v>
      </c>
      <c r="X1411">
        <v>1</v>
      </c>
      <c r="Y1411" t="s">
        <v>43</v>
      </c>
      <c r="Z1411" t="s">
        <v>44</v>
      </c>
      <c r="AA1411">
        <v>11</v>
      </c>
      <c r="AB1411">
        <v>3</v>
      </c>
      <c r="AC1411">
        <v>1</v>
      </c>
      <c r="AD1411">
        <v>80</v>
      </c>
      <c r="AE1411">
        <v>1</v>
      </c>
      <c r="AF1411">
        <v>10</v>
      </c>
      <c r="AG1411">
        <v>2</v>
      </c>
      <c r="AH1411">
        <v>4</v>
      </c>
      <c r="AI1411">
        <v>10</v>
      </c>
      <c r="AJ1411">
        <v>9</v>
      </c>
      <c r="AK1411">
        <v>9</v>
      </c>
      <c r="AL1411" t="str" cm="1">
        <f t="array" ref="AL141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11">
        <v>4</v>
      </c>
    </row>
    <row r="1412" spans="1:39" x14ac:dyDescent="0.25">
      <c r="A1412">
        <v>40</v>
      </c>
      <c r="B1412" t="s">
        <v>44</v>
      </c>
      <c r="C1412" t="s">
        <v>37</v>
      </c>
      <c r="D1412">
        <v>444</v>
      </c>
      <c r="E1412" t="s">
        <v>38</v>
      </c>
      <c r="G1412">
        <v>2</v>
      </c>
      <c r="H1412">
        <v>2</v>
      </c>
      <c r="I1412" t="s">
        <v>60</v>
      </c>
      <c r="J1412" t="str">
        <f>WA_Fn_UseC__HR_Employee_Attrition[[#This Row],[EducationField]]&amp;"-"&amp;WA_Fn_UseC__HR_Employee_Attrition[[#This Row],[Department]]</f>
        <v>Marketing-Sales</v>
      </c>
      <c r="K1412">
        <v>1</v>
      </c>
      <c r="L1412">
        <v>1986</v>
      </c>
      <c r="M1412">
        <v>2</v>
      </c>
      <c r="N1412" t="s">
        <v>40</v>
      </c>
      <c r="O1412">
        <v>92</v>
      </c>
      <c r="P1412">
        <v>3</v>
      </c>
      <c r="Q1412">
        <v>2</v>
      </c>
      <c r="R1412" t="s">
        <v>41</v>
      </c>
      <c r="S1412">
        <v>2</v>
      </c>
      <c r="T1412" t="s">
        <v>49</v>
      </c>
      <c r="U1412">
        <v>5677</v>
      </c>
      <c r="V1412" t="str" cm="1">
        <f t="array" ref="V141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12">
        <v>4258</v>
      </c>
      <c r="X1412">
        <v>3</v>
      </c>
      <c r="Y1412" t="s">
        <v>43</v>
      </c>
      <c r="Z1412" t="s">
        <v>44</v>
      </c>
      <c r="AA1412">
        <v>14</v>
      </c>
      <c r="AB1412">
        <v>3</v>
      </c>
      <c r="AC1412">
        <v>3</v>
      </c>
      <c r="AD1412">
        <v>80</v>
      </c>
      <c r="AE1412">
        <v>1</v>
      </c>
      <c r="AF1412">
        <v>15</v>
      </c>
      <c r="AG1412">
        <v>4</v>
      </c>
      <c r="AH1412">
        <v>3</v>
      </c>
      <c r="AI1412">
        <v>11</v>
      </c>
      <c r="AJ1412">
        <v>8</v>
      </c>
      <c r="AK1412">
        <v>5</v>
      </c>
      <c r="AL1412" t="str" cm="1">
        <f t="array" ref="AL141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12">
        <v>10</v>
      </c>
    </row>
    <row r="1413" spans="1:39" x14ac:dyDescent="0.25">
      <c r="A1413">
        <v>25</v>
      </c>
      <c r="B1413" t="s">
        <v>44</v>
      </c>
      <c r="C1413" t="s">
        <v>37</v>
      </c>
      <c r="D1413">
        <v>309</v>
      </c>
      <c r="E1413" t="s">
        <v>62</v>
      </c>
      <c r="G1413">
        <v>2</v>
      </c>
      <c r="H1413">
        <v>3</v>
      </c>
      <c r="I1413" t="s">
        <v>62</v>
      </c>
      <c r="J1413" t="str">
        <f>WA_Fn_UseC__HR_Employee_Attrition[[#This Row],[EducationField]]&amp;"-"&amp;WA_Fn_UseC__HR_Employee_Attrition[[#This Row],[Department]]</f>
        <v>Human Resources-Human Resources</v>
      </c>
      <c r="K1413">
        <v>1</v>
      </c>
      <c r="L1413">
        <v>1987</v>
      </c>
      <c r="M1413">
        <v>3</v>
      </c>
      <c r="N1413" t="s">
        <v>40</v>
      </c>
      <c r="O1413">
        <v>82</v>
      </c>
      <c r="P1413">
        <v>3</v>
      </c>
      <c r="Q1413">
        <v>1</v>
      </c>
      <c r="R1413" t="s">
        <v>62</v>
      </c>
      <c r="S1413">
        <v>2</v>
      </c>
      <c r="T1413" t="s">
        <v>49</v>
      </c>
      <c r="U1413">
        <v>2187</v>
      </c>
      <c r="V1413" t="str" cm="1">
        <f t="array" ref="V141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13">
        <v>19655</v>
      </c>
      <c r="X1413">
        <v>4</v>
      </c>
      <c r="Y1413" t="s">
        <v>43</v>
      </c>
      <c r="Z1413" t="s">
        <v>44</v>
      </c>
      <c r="AA1413">
        <v>14</v>
      </c>
      <c r="AB1413">
        <v>3</v>
      </c>
      <c r="AC1413">
        <v>3</v>
      </c>
      <c r="AD1413">
        <v>80</v>
      </c>
      <c r="AE1413">
        <v>0</v>
      </c>
      <c r="AF1413">
        <v>6</v>
      </c>
      <c r="AG1413">
        <v>3</v>
      </c>
      <c r="AH1413">
        <v>3</v>
      </c>
      <c r="AI1413">
        <v>2</v>
      </c>
      <c r="AJ1413">
        <v>0</v>
      </c>
      <c r="AK1413">
        <v>1</v>
      </c>
      <c r="AL1413" t="str" cm="1">
        <f t="array" ref="AL1413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13">
        <v>2</v>
      </c>
    </row>
    <row r="1414" spans="1:39" x14ac:dyDescent="0.25">
      <c r="A1414">
        <v>30</v>
      </c>
      <c r="B1414" t="s">
        <v>44</v>
      </c>
      <c r="C1414" t="s">
        <v>37</v>
      </c>
      <c r="D1414">
        <v>911</v>
      </c>
      <c r="E1414" t="s">
        <v>46</v>
      </c>
      <c r="G1414">
        <v>1</v>
      </c>
      <c r="H1414">
        <v>2</v>
      </c>
      <c r="I1414" t="s">
        <v>52</v>
      </c>
      <c r="J1414" t="str">
        <f>WA_Fn_UseC__HR_Employee_Attrition[[#This Row],[EducationField]]&amp;"-"&amp;WA_Fn_UseC__HR_Employee_Attrition[[#This Row],[Department]]</f>
        <v>Medical-Research &amp; Development</v>
      </c>
      <c r="K1414">
        <v>1</v>
      </c>
      <c r="L1414">
        <v>1989</v>
      </c>
      <c r="M1414">
        <v>4</v>
      </c>
      <c r="N1414" t="s">
        <v>47</v>
      </c>
      <c r="O1414">
        <v>76</v>
      </c>
      <c r="P1414">
        <v>3</v>
      </c>
      <c r="Q1414">
        <v>1</v>
      </c>
      <c r="R1414" t="s">
        <v>51</v>
      </c>
      <c r="S1414">
        <v>2</v>
      </c>
      <c r="T1414" t="s">
        <v>49</v>
      </c>
      <c r="U1414">
        <v>3748</v>
      </c>
      <c r="V1414" t="str" cm="1">
        <f t="array" ref="V141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14">
        <v>4077</v>
      </c>
      <c r="X1414">
        <v>1</v>
      </c>
      <c r="Y1414" t="s">
        <v>43</v>
      </c>
      <c r="Z1414" t="s">
        <v>44</v>
      </c>
      <c r="AA1414">
        <v>13</v>
      </c>
      <c r="AB1414">
        <v>3</v>
      </c>
      <c r="AC1414">
        <v>3</v>
      </c>
      <c r="AD1414">
        <v>80</v>
      </c>
      <c r="AE1414">
        <v>0</v>
      </c>
      <c r="AF1414">
        <v>12</v>
      </c>
      <c r="AG1414">
        <v>6</v>
      </c>
      <c r="AH1414">
        <v>2</v>
      </c>
      <c r="AI1414">
        <v>12</v>
      </c>
      <c r="AJ1414">
        <v>8</v>
      </c>
      <c r="AK1414">
        <v>1</v>
      </c>
      <c r="AL1414" t="str" cm="1">
        <f t="array" ref="AL141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14">
        <v>7</v>
      </c>
    </row>
    <row r="1415" spans="1:39" x14ac:dyDescent="0.25">
      <c r="A1415">
        <v>25</v>
      </c>
      <c r="B1415" t="s">
        <v>44</v>
      </c>
      <c r="C1415" t="s">
        <v>37</v>
      </c>
      <c r="D1415">
        <v>977</v>
      </c>
      <c r="E1415" t="s">
        <v>46</v>
      </c>
      <c r="G1415">
        <v>2</v>
      </c>
      <c r="H1415">
        <v>1</v>
      </c>
      <c r="I1415" t="s">
        <v>50</v>
      </c>
      <c r="J1415" t="str">
        <f>WA_Fn_UseC__HR_Employee_Attrition[[#This Row],[EducationField]]&amp;"-"&amp;WA_Fn_UseC__HR_Employee_Attrition[[#This Row],[Department]]</f>
        <v>Other-Research &amp; Development</v>
      </c>
      <c r="K1415">
        <v>1</v>
      </c>
      <c r="L1415">
        <v>1992</v>
      </c>
      <c r="M1415">
        <v>4</v>
      </c>
      <c r="N1415" t="s">
        <v>47</v>
      </c>
      <c r="O1415">
        <v>57</v>
      </c>
      <c r="P1415">
        <v>3</v>
      </c>
      <c r="Q1415">
        <v>1</v>
      </c>
      <c r="R1415" t="s">
        <v>51</v>
      </c>
      <c r="S1415">
        <v>3</v>
      </c>
      <c r="T1415" t="s">
        <v>53</v>
      </c>
      <c r="U1415">
        <v>3977</v>
      </c>
      <c r="V1415" t="str" cm="1">
        <f t="array" ref="V141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15">
        <v>7298</v>
      </c>
      <c r="X1415">
        <v>6</v>
      </c>
      <c r="Y1415" t="s">
        <v>43</v>
      </c>
      <c r="Z1415" t="s">
        <v>36</v>
      </c>
      <c r="AA1415">
        <v>19</v>
      </c>
      <c r="AB1415">
        <v>3</v>
      </c>
      <c r="AC1415">
        <v>3</v>
      </c>
      <c r="AD1415">
        <v>80</v>
      </c>
      <c r="AE1415">
        <v>1</v>
      </c>
      <c r="AF1415">
        <v>7</v>
      </c>
      <c r="AG1415">
        <v>2</v>
      </c>
      <c r="AH1415">
        <v>2</v>
      </c>
      <c r="AI1415">
        <v>2</v>
      </c>
      <c r="AJ1415">
        <v>2</v>
      </c>
      <c r="AK1415">
        <v>0</v>
      </c>
      <c r="AL1415" t="str" cm="1">
        <f t="array" ref="AL141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15">
        <v>2</v>
      </c>
    </row>
    <row r="1416" spans="1:39" x14ac:dyDescent="0.25">
      <c r="A1416">
        <v>47</v>
      </c>
      <c r="B1416" t="s">
        <v>44</v>
      </c>
      <c r="C1416" t="s">
        <v>37</v>
      </c>
      <c r="D1416">
        <v>1180</v>
      </c>
      <c r="E1416" t="s">
        <v>46</v>
      </c>
      <c r="G1416">
        <v>25</v>
      </c>
      <c r="H1416">
        <v>3</v>
      </c>
      <c r="I1416" t="s">
        <v>52</v>
      </c>
      <c r="J1416" t="str">
        <f>WA_Fn_UseC__HR_Employee_Attrition[[#This Row],[EducationField]]&amp;"-"&amp;WA_Fn_UseC__HR_Employee_Attrition[[#This Row],[Department]]</f>
        <v>Medical-Research &amp; Development</v>
      </c>
      <c r="K1416">
        <v>1</v>
      </c>
      <c r="L1416">
        <v>1993</v>
      </c>
      <c r="M1416">
        <v>1</v>
      </c>
      <c r="N1416" t="s">
        <v>47</v>
      </c>
      <c r="O1416">
        <v>84</v>
      </c>
      <c r="P1416">
        <v>3</v>
      </c>
      <c r="Q1416">
        <v>3</v>
      </c>
      <c r="R1416" t="s">
        <v>55</v>
      </c>
      <c r="S1416">
        <v>3</v>
      </c>
      <c r="T1416" t="s">
        <v>42</v>
      </c>
      <c r="U1416">
        <v>8633</v>
      </c>
      <c r="V1416" t="str" cm="1">
        <f t="array" ref="V141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16">
        <v>13084</v>
      </c>
      <c r="X1416">
        <v>2</v>
      </c>
      <c r="Y1416" t="s">
        <v>43</v>
      </c>
      <c r="Z1416" t="s">
        <v>44</v>
      </c>
      <c r="AA1416">
        <v>23</v>
      </c>
      <c r="AB1416">
        <v>4</v>
      </c>
      <c r="AC1416">
        <v>2</v>
      </c>
      <c r="AD1416">
        <v>80</v>
      </c>
      <c r="AE1416">
        <v>0</v>
      </c>
      <c r="AF1416">
        <v>25</v>
      </c>
      <c r="AG1416">
        <v>3</v>
      </c>
      <c r="AH1416">
        <v>3</v>
      </c>
      <c r="AI1416">
        <v>17</v>
      </c>
      <c r="AJ1416">
        <v>14</v>
      </c>
      <c r="AK1416">
        <v>12</v>
      </c>
      <c r="AL1416" t="str" cm="1">
        <f t="array" ref="AL1416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16">
        <v>11</v>
      </c>
    </row>
    <row r="1417" spans="1:39" x14ac:dyDescent="0.25">
      <c r="A1417">
        <v>33</v>
      </c>
      <c r="B1417" t="s">
        <v>44</v>
      </c>
      <c r="C1417" t="s">
        <v>56</v>
      </c>
      <c r="D1417">
        <v>1313</v>
      </c>
      <c r="E1417" t="s">
        <v>46</v>
      </c>
      <c r="G1417">
        <v>1</v>
      </c>
      <c r="H1417">
        <v>2</v>
      </c>
      <c r="I1417" t="s">
        <v>52</v>
      </c>
      <c r="J1417" t="str">
        <f>WA_Fn_UseC__HR_Employee_Attrition[[#This Row],[EducationField]]&amp;"-"&amp;WA_Fn_UseC__HR_Employee_Attrition[[#This Row],[Department]]</f>
        <v>Medical-Research &amp; Development</v>
      </c>
      <c r="K1417">
        <v>1</v>
      </c>
      <c r="L1417">
        <v>1994</v>
      </c>
      <c r="M1417">
        <v>2</v>
      </c>
      <c r="N1417" t="s">
        <v>47</v>
      </c>
      <c r="O1417">
        <v>59</v>
      </c>
      <c r="P1417">
        <v>2</v>
      </c>
      <c r="Q1417">
        <v>1</v>
      </c>
      <c r="R1417" t="s">
        <v>51</v>
      </c>
      <c r="S1417">
        <v>3</v>
      </c>
      <c r="T1417" t="s">
        <v>53</v>
      </c>
      <c r="U1417">
        <v>2008</v>
      </c>
      <c r="V1417" t="str" cm="1">
        <f t="array" ref="V141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17">
        <v>20439</v>
      </c>
      <c r="X1417">
        <v>1</v>
      </c>
      <c r="Y1417" t="s">
        <v>43</v>
      </c>
      <c r="Z1417" t="s">
        <v>44</v>
      </c>
      <c r="AA1417">
        <v>12</v>
      </c>
      <c r="AB1417">
        <v>3</v>
      </c>
      <c r="AC1417">
        <v>3</v>
      </c>
      <c r="AD1417">
        <v>80</v>
      </c>
      <c r="AE1417">
        <v>3</v>
      </c>
      <c r="AF1417">
        <v>1</v>
      </c>
      <c r="AG1417">
        <v>2</v>
      </c>
      <c r="AH1417">
        <v>2</v>
      </c>
      <c r="AI1417">
        <v>1</v>
      </c>
      <c r="AJ1417">
        <v>1</v>
      </c>
      <c r="AK1417">
        <v>0</v>
      </c>
      <c r="AL1417" t="str" cm="1">
        <f t="array" ref="AL141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17">
        <v>0</v>
      </c>
    </row>
    <row r="1418" spans="1:39" x14ac:dyDescent="0.25">
      <c r="A1418">
        <v>38</v>
      </c>
      <c r="B1418" t="s">
        <v>44</v>
      </c>
      <c r="C1418" t="s">
        <v>37</v>
      </c>
      <c r="D1418">
        <v>1321</v>
      </c>
      <c r="E1418" t="s">
        <v>38</v>
      </c>
      <c r="G1418">
        <v>1</v>
      </c>
      <c r="H1418">
        <v>4</v>
      </c>
      <c r="I1418" t="s">
        <v>39</v>
      </c>
      <c r="J1418" t="str">
        <f>WA_Fn_UseC__HR_Employee_Attrition[[#This Row],[EducationField]]&amp;"-"&amp;WA_Fn_UseC__HR_Employee_Attrition[[#This Row],[Department]]</f>
        <v>Life Sciences-Sales</v>
      </c>
      <c r="K1418">
        <v>1</v>
      </c>
      <c r="L1418">
        <v>1995</v>
      </c>
      <c r="M1418">
        <v>4</v>
      </c>
      <c r="N1418" t="s">
        <v>47</v>
      </c>
      <c r="O1418">
        <v>86</v>
      </c>
      <c r="P1418">
        <v>3</v>
      </c>
      <c r="Q1418">
        <v>2</v>
      </c>
      <c r="R1418" t="s">
        <v>41</v>
      </c>
      <c r="S1418">
        <v>2</v>
      </c>
      <c r="T1418" t="s">
        <v>49</v>
      </c>
      <c r="U1418">
        <v>4440</v>
      </c>
      <c r="V1418" t="str" cm="1">
        <f t="array" ref="V141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18">
        <v>7636</v>
      </c>
      <c r="X1418">
        <v>0</v>
      </c>
      <c r="Y1418" t="s">
        <v>43</v>
      </c>
      <c r="Z1418" t="s">
        <v>44</v>
      </c>
      <c r="AA1418">
        <v>15</v>
      </c>
      <c r="AB1418">
        <v>3</v>
      </c>
      <c r="AC1418">
        <v>1</v>
      </c>
      <c r="AD1418">
        <v>80</v>
      </c>
      <c r="AE1418">
        <v>2</v>
      </c>
      <c r="AF1418">
        <v>16</v>
      </c>
      <c r="AG1418">
        <v>3</v>
      </c>
      <c r="AH1418">
        <v>3</v>
      </c>
      <c r="AI1418">
        <v>15</v>
      </c>
      <c r="AJ1418">
        <v>13</v>
      </c>
      <c r="AK1418">
        <v>5</v>
      </c>
      <c r="AL1418" t="str" cm="1">
        <f t="array" ref="AL141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18">
        <v>8</v>
      </c>
    </row>
    <row r="1419" spans="1:39" x14ac:dyDescent="0.25">
      <c r="A1419">
        <v>31</v>
      </c>
      <c r="B1419" t="s">
        <v>44</v>
      </c>
      <c r="C1419" t="s">
        <v>37</v>
      </c>
      <c r="D1419">
        <v>1154</v>
      </c>
      <c r="E1419" t="s">
        <v>38</v>
      </c>
      <c r="G1419">
        <v>2</v>
      </c>
      <c r="H1419">
        <v>2</v>
      </c>
      <c r="I1419" t="s">
        <v>39</v>
      </c>
      <c r="J1419" t="str">
        <f>WA_Fn_UseC__HR_Employee_Attrition[[#This Row],[EducationField]]&amp;"-"&amp;WA_Fn_UseC__HR_Employee_Attrition[[#This Row],[Department]]</f>
        <v>Life Sciences-Sales</v>
      </c>
      <c r="K1419">
        <v>1</v>
      </c>
      <c r="L1419">
        <v>1996</v>
      </c>
      <c r="M1419">
        <v>1</v>
      </c>
      <c r="N1419" t="s">
        <v>47</v>
      </c>
      <c r="O1419">
        <v>54</v>
      </c>
      <c r="P1419">
        <v>3</v>
      </c>
      <c r="Q1419">
        <v>1</v>
      </c>
      <c r="R1419" t="s">
        <v>58</v>
      </c>
      <c r="S1419">
        <v>3</v>
      </c>
      <c r="T1419" t="s">
        <v>49</v>
      </c>
      <c r="U1419">
        <v>3067</v>
      </c>
      <c r="V1419" t="str" cm="1">
        <f t="array" ref="V141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19">
        <v>6393</v>
      </c>
      <c r="X1419">
        <v>0</v>
      </c>
      <c r="Y1419" t="s">
        <v>43</v>
      </c>
      <c r="Z1419" t="s">
        <v>44</v>
      </c>
      <c r="AA1419">
        <v>19</v>
      </c>
      <c r="AB1419">
        <v>3</v>
      </c>
      <c r="AC1419">
        <v>3</v>
      </c>
      <c r="AD1419">
        <v>80</v>
      </c>
      <c r="AE1419">
        <v>1</v>
      </c>
      <c r="AF1419">
        <v>3</v>
      </c>
      <c r="AG1419">
        <v>1</v>
      </c>
      <c r="AH1419">
        <v>3</v>
      </c>
      <c r="AI1419">
        <v>2</v>
      </c>
      <c r="AJ1419">
        <v>2</v>
      </c>
      <c r="AK1419">
        <v>1</v>
      </c>
      <c r="AL1419" t="str" cm="1">
        <f t="array" ref="AL141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19">
        <v>2</v>
      </c>
    </row>
    <row r="1420" spans="1:39" x14ac:dyDescent="0.25">
      <c r="A1420">
        <v>38</v>
      </c>
      <c r="B1420" t="s">
        <v>44</v>
      </c>
      <c r="C1420" t="s">
        <v>45</v>
      </c>
      <c r="D1420">
        <v>508</v>
      </c>
      <c r="E1420" t="s">
        <v>46</v>
      </c>
      <c r="G1420">
        <v>6</v>
      </c>
      <c r="H1420">
        <v>4</v>
      </c>
      <c r="I1420" t="s">
        <v>39</v>
      </c>
      <c r="J1420" t="str">
        <f>WA_Fn_UseC__HR_Employee_Attrition[[#This Row],[EducationField]]&amp;"-"&amp;WA_Fn_UseC__HR_Employee_Attrition[[#This Row],[Department]]</f>
        <v>Life Sciences-Research &amp; Development</v>
      </c>
      <c r="K1420">
        <v>1</v>
      </c>
      <c r="L1420">
        <v>1997</v>
      </c>
      <c r="M1420">
        <v>1</v>
      </c>
      <c r="N1420" t="s">
        <v>47</v>
      </c>
      <c r="O1420">
        <v>72</v>
      </c>
      <c r="P1420">
        <v>2</v>
      </c>
      <c r="Q1420">
        <v>2</v>
      </c>
      <c r="R1420" t="s">
        <v>54</v>
      </c>
      <c r="S1420">
        <v>3</v>
      </c>
      <c r="T1420" t="s">
        <v>49</v>
      </c>
      <c r="U1420">
        <v>5321</v>
      </c>
      <c r="V1420" t="str" cm="1">
        <f t="array" ref="V142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20">
        <v>14284</v>
      </c>
      <c r="X1420">
        <v>2</v>
      </c>
      <c r="Y1420" t="s">
        <v>43</v>
      </c>
      <c r="Z1420" t="s">
        <v>44</v>
      </c>
      <c r="AA1420">
        <v>11</v>
      </c>
      <c r="AB1420">
        <v>3</v>
      </c>
      <c r="AC1420">
        <v>4</v>
      </c>
      <c r="AD1420">
        <v>80</v>
      </c>
      <c r="AE1420">
        <v>1</v>
      </c>
      <c r="AF1420">
        <v>10</v>
      </c>
      <c r="AG1420">
        <v>1</v>
      </c>
      <c r="AH1420">
        <v>3</v>
      </c>
      <c r="AI1420">
        <v>8</v>
      </c>
      <c r="AJ1420">
        <v>3</v>
      </c>
      <c r="AK1420">
        <v>7</v>
      </c>
      <c r="AL1420" t="str" cm="1">
        <f t="array" ref="AL142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20">
        <v>7</v>
      </c>
    </row>
    <row r="1421" spans="1:39" x14ac:dyDescent="0.25">
      <c r="A1421">
        <v>42</v>
      </c>
      <c r="B1421" t="s">
        <v>44</v>
      </c>
      <c r="C1421" t="s">
        <v>37</v>
      </c>
      <c r="D1421">
        <v>557</v>
      </c>
      <c r="E1421" t="s">
        <v>46</v>
      </c>
      <c r="G1421">
        <v>18</v>
      </c>
      <c r="H1421">
        <v>4</v>
      </c>
      <c r="I1421" t="s">
        <v>39</v>
      </c>
      <c r="J1421" t="str">
        <f>WA_Fn_UseC__HR_Employee_Attrition[[#This Row],[EducationField]]&amp;"-"&amp;WA_Fn_UseC__HR_Employee_Attrition[[#This Row],[Department]]</f>
        <v>Life Sciences-Research &amp; Development</v>
      </c>
      <c r="K1421">
        <v>1</v>
      </c>
      <c r="L1421">
        <v>1998</v>
      </c>
      <c r="M1421">
        <v>4</v>
      </c>
      <c r="N1421" t="s">
        <v>47</v>
      </c>
      <c r="O1421">
        <v>35</v>
      </c>
      <c r="P1421">
        <v>3</v>
      </c>
      <c r="Q1421">
        <v>2</v>
      </c>
      <c r="R1421" t="s">
        <v>48</v>
      </c>
      <c r="S1421">
        <v>1</v>
      </c>
      <c r="T1421" t="s">
        <v>53</v>
      </c>
      <c r="U1421">
        <v>5410</v>
      </c>
      <c r="V1421" t="str" cm="1">
        <f t="array" ref="V142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21">
        <v>11189</v>
      </c>
      <c r="X1421">
        <v>6</v>
      </c>
      <c r="Y1421" t="s">
        <v>43</v>
      </c>
      <c r="Z1421" t="s">
        <v>36</v>
      </c>
      <c r="AA1421">
        <v>17</v>
      </c>
      <c r="AB1421">
        <v>3</v>
      </c>
      <c r="AC1421">
        <v>3</v>
      </c>
      <c r="AD1421">
        <v>80</v>
      </c>
      <c r="AE1421">
        <v>1</v>
      </c>
      <c r="AF1421">
        <v>9</v>
      </c>
      <c r="AG1421">
        <v>3</v>
      </c>
      <c r="AH1421">
        <v>2</v>
      </c>
      <c r="AI1421">
        <v>4</v>
      </c>
      <c r="AJ1421">
        <v>3</v>
      </c>
      <c r="AK1421">
        <v>1</v>
      </c>
      <c r="AL1421" t="str" cm="1">
        <f t="array" ref="AL142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21">
        <v>2</v>
      </c>
    </row>
    <row r="1422" spans="1:39" x14ac:dyDescent="0.25">
      <c r="A1422">
        <v>41</v>
      </c>
      <c r="B1422" t="s">
        <v>44</v>
      </c>
      <c r="C1422" t="s">
        <v>37</v>
      </c>
      <c r="D1422">
        <v>642</v>
      </c>
      <c r="E1422" t="s">
        <v>46</v>
      </c>
      <c r="G1422">
        <v>1</v>
      </c>
      <c r="H1422">
        <v>3</v>
      </c>
      <c r="I1422" t="s">
        <v>39</v>
      </c>
      <c r="J1422" t="str">
        <f>WA_Fn_UseC__HR_Employee_Attrition[[#This Row],[EducationField]]&amp;"-"&amp;WA_Fn_UseC__HR_Employee_Attrition[[#This Row],[Department]]</f>
        <v>Life Sciences-Research &amp; Development</v>
      </c>
      <c r="K1422">
        <v>1</v>
      </c>
      <c r="L1422">
        <v>1999</v>
      </c>
      <c r="M1422">
        <v>4</v>
      </c>
      <c r="N1422" t="s">
        <v>47</v>
      </c>
      <c r="O1422">
        <v>76</v>
      </c>
      <c r="P1422">
        <v>3</v>
      </c>
      <c r="Q1422">
        <v>1</v>
      </c>
      <c r="R1422" t="s">
        <v>48</v>
      </c>
      <c r="S1422">
        <v>4</v>
      </c>
      <c r="T1422" t="s">
        <v>49</v>
      </c>
      <c r="U1422">
        <v>2782</v>
      </c>
      <c r="V1422" t="str" cm="1">
        <f t="array" ref="V142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22">
        <v>21412</v>
      </c>
      <c r="X1422">
        <v>3</v>
      </c>
      <c r="Y1422" t="s">
        <v>43</v>
      </c>
      <c r="Z1422" t="s">
        <v>44</v>
      </c>
      <c r="AA1422">
        <v>22</v>
      </c>
      <c r="AB1422">
        <v>4</v>
      </c>
      <c r="AC1422">
        <v>1</v>
      </c>
      <c r="AD1422">
        <v>80</v>
      </c>
      <c r="AE1422">
        <v>1</v>
      </c>
      <c r="AF1422">
        <v>12</v>
      </c>
      <c r="AG1422">
        <v>3</v>
      </c>
      <c r="AH1422">
        <v>3</v>
      </c>
      <c r="AI1422">
        <v>5</v>
      </c>
      <c r="AJ1422">
        <v>3</v>
      </c>
      <c r="AK1422">
        <v>1</v>
      </c>
      <c r="AL1422" t="str" cm="1">
        <f t="array" ref="AL1422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22">
        <v>0</v>
      </c>
    </row>
    <row r="1423" spans="1:39" x14ac:dyDescent="0.25">
      <c r="A1423">
        <v>47</v>
      </c>
      <c r="B1423" t="s">
        <v>44</v>
      </c>
      <c r="C1423" t="s">
        <v>56</v>
      </c>
      <c r="D1423">
        <v>1162</v>
      </c>
      <c r="E1423" t="s">
        <v>46</v>
      </c>
      <c r="G1423">
        <v>1</v>
      </c>
      <c r="H1423">
        <v>1</v>
      </c>
      <c r="I1423" t="s">
        <v>52</v>
      </c>
      <c r="J1423" t="str">
        <f>WA_Fn_UseC__HR_Employee_Attrition[[#This Row],[EducationField]]&amp;"-"&amp;WA_Fn_UseC__HR_Employee_Attrition[[#This Row],[Department]]</f>
        <v>Medical-Research &amp; Development</v>
      </c>
      <c r="K1423">
        <v>1</v>
      </c>
      <c r="L1423">
        <v>2000</v>
      </c>
      <c r="M1423">
        <v>3</v>
      </c>
      <c r="N1423" t="s">
        <v>40</v>
      </c>
      <c r="O1423">
        <v>98</v>
      </c>
      <c r="P1423">
        <v>3</v>
      </c>
      <c r="Q1423">
        <v>3</v>
      </c>
      <c r="R1423" t="s">
        <v>59</v>
      </c>
      <c r="S1423">
        <v>2</v>
      </c>
      <c r="T1423" t="s">
        <v>49</v>
      </c>
      <c r="U1423">
        <v>11957</v>
      </c>
      <c r="V1423" t="str" cm="1">
        <f t="array" ref="V142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23">
        <v>17231</v>
      </c>
      <c r="X1423">
        <v>0</v>
      </c>
      <c r="Y1423" t="s">
        <v>43</v>
      </c>
      <c r="Z1423" t="s">
        <v>44</v>
      </c>
      <c r="AA1423">
        <v>18</v>
      </c>
      <c r="AB1423">
        <v>3</v>
      </c>
      <c r="AC1423">
        <v>1</v>
      </c>
      <c r="AD1423">
        <v>80</v>
      </c>
      <c r="AE1423">
        <v>2</v>
      </c>
      <c r="AF1423">
        <v>14</v>
      </c>
      <c r="AG1423">
        <v>3</v>
      </c>
      <c r="AH1423">
        <v>1</v>
      </c>
      <c r="AI1423">
        <v>13</v>
      </c>
      <c r="AJ1423">
        <v>8</v>
      </c>
      <c r="AK1423">
        <v>5</v>
      </c>
      <c r="AL1423" t="str" cm="1">
        <f t="array" ref="AL142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23">
        <v>12</v>
      </c>
    </row>
    <row r="1424" spans="1:39" x14ac:dyDescent="0.25">
      <c r="A1424">
        <v>35</v>
      </c>
      <c r="B1424" t="s">
        <v>44</v>
      </c>
      <c r="C1424" t="s">
        <v>37</v>
      </c>
      <c r="D1424">
        <v>1490</v>
      </c>
      <c r="E1424" t="s">
        <v>46</v>
      </c>
      <c r="G1424">
        <v>11</v>
      </c>
      <c r="H1424">
        <v>4</v>
      </c>
      <c r="I1424" t="s">
        <v>52</v>
      </c>
      <c r="J1424" t="str">
        <f>WA_Fn_UseC__HR_Employee_Attrition[[#This Row],[EducationField]]&amp;"-"&amp;WA_Fn_UseC__HR_Employee_Attrition[[#This Row],[Department]]</f>
        <v>Medical-Research &amp; Development</v>
      </c>
      <c r="K1424">
        <v>1</v>
      </c>
      <c r="L1424">
        <v>2003</v>
      </c>
      <c r="M1424">
        <v>4</v>
      </c>
      <c r="N1424" t="s">
        <v>47</v>
      </c>
      <c r="O1424">
        <v>43</v>
      </c>
      <c r="P1424">
        <v>3</v>
      </c>
      <c r="Q1424">
        <v>1</v>
      </c>
      <c r="R1424" t="s">
        <v>51</v>
      </c>
      <c r="S1424">
        <v>3</v>
      </c>
      <c r="T1424" t="s">
        <v>49</v>
      </c>
      <c r="U1424">
        <v>2660</v>
      </c>
      <c r="V1424" t="str" cm="1">
        <f t="array" ref="V142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24">
        <v>20232</v>
      </c>
      <c r="X1424">
        <v>7</v>
      </c>
      <c r="Y1424" t="s">
        <v>43</v>
      </c>
      <c r="Z1424" t="s">
        <v>36</v>
      </c>
      <c r="AA1424">
        <v>11</v>
      </c>
      <c r="AB1424">
        <v>3</v>
      </c>
      <c r="AC1424">
        <v>3</v>
      </c>
      <c r="AD1424">
        <v>80</v>
      </c>
      <c r="AE1424">
        <v>1</v>
      </c>
      <c r="AF1424">
        <v>5</v>
      </c>
      <c r="AG1424">
        <v>3</v>
      </c>
      <c r="AH1424">
        <v>3</v>
      </c>
      <c r="AI1424">
        <v>2</v>
      </c>
      <c r="AJ1424">
        <v>2</v>
      </c>
      <c r="AK1424">
        <v>2</v>
      </c>
      <c r="AL1424" t="str" cm="1">
        <f t="array" ref="AL1424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24">
        <v>2</v>
      </c>
    </row>
    <row r="1425" spans="1:39" x14ac:dyDescent="0.25">
      <c r="A1425">
        <v>22</v>
      </c>
      <c r="B1425" t="s">
        <v>44</v>
      </c>
      <c r="C1425" t="s">
        <v>37</v>
      </c>
      <c r="D1425">
        <v>581</v>
      </c>
      <c r="E1425" t="s">
        <v>46</v>
      </c>
      <c r="G1425">
        <v>1</v>
      </c>
      <c r="H1425">
        <v>2</v>
      </c>
      <c r="I1425" t="s">
        <v>39</v>
      </c>
      <c r="J1425" t="str">
        <f>WA_Fn_UseC__HR_Employee_Attrition[[#This Row],[EducationField]]&amp;"-"&amp;WA_Fn_UseC__HR_Employee_Attrition[[#This Row],[Department]]</f>
        <v>Life Sciences-Research &amp; Development</v>
      </c>
      <c r="K1425">
        <v>1</v>
      </c>
      <c r="L1425">
        <v>2007</v>
      </c>
      <c r="M1425">
        <v>4</v>
      </c>
      <c r="N1425" t="s">
        <v>47</v>
      </c>
      <c r="O1425">
        <v>63</v>
      </c>
      <c r="P1425">
        <v>3</v>
      </c>
      <c r="Q1425">
        <v>1</v>
      </c>
      <c r="R1425" t="s">
        <v>48</v>
      </c>
      <c r="S1425">
        <v>3</v>
      </c>
      <c r="T1425" t="s">
        <v>42</v>
      </c>
      <c r="U1425">
        <v>3375</v>
      </c>
      <c r="V1425" t="str" cm="1">
        <f t="array" ref="V142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25">
        <v>17624</v>
      </c>
      <c r="X1425">
        <v>0</v>
      </c>
      <c r="Y1425" t="s">
        <v>43</v>
      </c>
      <c r="Z1425" t="s">
        <v>44</v>
      </c>
      <c r="AA1425">
        <v>12</v>
      </c>
      <c r="AB1425">
        <v>3</v>
      </c>
      <c r="AC1425">
        <v>4</v>
      </c>
      <c r="AD1425">
        <v>80</v>
      </c>
      <c r="AE1425">
        <v>0</v>
      </c>
      <c r="AF1425">
        <v>4</v>
      </c>
      <c r="AG1425">
        <v>2</v>
      </c>
      <c r="AH1425">
        <v>4</v>
      </c>
      <c r="AI1425">
        <v>3</v>
      </c>
      <c r="AJ1425">
        <v>2</v>
      </c>
      <c r="AK1425">
        <v>1</v>
      </c>
      <c r="AL1425" t="str" cm="1">
        <f t="array" ref="AL142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25">
        <v>2</v>
      </c>
    </row>
    <row r="1426" spans="1:39" x14ac:dyDescent="0.25">
      <c r="A1426">
        <v>35</v>
      </c>
      <c r="B1426" t="s">
        <v>44</v>
      </c>
      <c r="C1426" t="s">
        <v>37</v>
      </c>
      <c r="D1426">
        <v>1395</v>
      </c>
      <c r="E1426" t="s">
        <v>46</v>
      </c>
      <c r="G1426">
        <v>9</v>
      </c>
      <c r="H1426">
        <v>4</v>
      </c>
      <c r="I1426" t="s">
        <v>52</v>
      </c>
      <c r="J1426" t="str">
        <f>WA_Fn_UseC__HR_Employee_Attrition[[#This Row],[EducationField]]&amp;"-"&amp;WA_Fn_UseC__HR_Employee_Attrition[[#This Row],[Department]]</f>
        <v>Medical-Research &amp; Development</v>
      </c>
      <c r="K1426">
        <v>1</v>
      </c>
      <c r="L1426">
        <v>2008</v>
      </c>
      <c r="M1426">
        <v>2</v>
      </c>
      <c r="N1426" t="s">
        <v>47</v>
      </c>
      <c r="O1426">
        <v>48</v>
      </c>
      <c r="P1426">
        <v>3</v>
      </c>
      <c r="Q1426">
        <v>2</v>
      </c>
      <c r="R1426" t="s">
        <v>48</v>
      </c>
      <c r="S1426">
        <v>3</v>
      </c>
      <c r="T1426" t="s">
        <v>42</v>
      </c>
      <c r="U1426">
        <v>5098</v>
      </c>
      <c r="V1426" t="str" cm="1">
        <f t="array" ref="V142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26">
        <v>18698</v>
      </c>
      <c r="X1426">
        <v>1</v>
      </c>
      <c r="Y1426" t="s">
        <v>43</v>
      </c>
      <c r="Z1426" t="s">
        <v>44</v>
      </c>
      <c r="AA1426">
        <v>19</v>
      </c>
      <c r="AB1426">
        <v>3</v>
      </c>
      <c r="AC1426">
        <v>2</v>
      </c>
      <c r="AD1426">
        <v>80</v>
      </c>
      <c r="AE1426">
        <v>0</v>
      </c>
      <c r="AF1426">
        <v>10</v>
      </c>
      <c r="AG1426">
        <v>5</v>
      </c>
      <c r="AH1426">
        <v>3</v>
      </c>
      <c r="AI1426">
        <v>10</v>
      </c>
      <c r="AJ1426">
        <v>7</v>
      </c>
      <c r="AK1426">
        <v>0</v>
      </c>
      <c r="AL1426" t="str" cm="1">
        <f t="array" ref="AL142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26">
        <v>8</v>
      </c>
    </row>
    <row r="1427" spans="1:39" x14ac:dyDescent="0.25">
      <c r="A1427">
        <v>33</v>
      </c>
      <c r="B1427" t="s">
        <v>44</v>
      </c>
      <c r="C1427" t="s">
        <v>37</v>
      </c>
      <c r="D1427">
        <v>501</v>
      </c>
      <c r="E1427" t="s">
        <v>46</v>
      </c>
      <c r="G1427">
        <v>15</v>
      </c>
      <c r="H1427">
        <v>2</v>
      </c>
      <c r="I1427" t="s">
        <v>52</v>
      </c>
      <c r="J1427" t="str">
        <f>WA_Fn_UseC__HR_Employee_Attrition[[#This Row],[EducationField]]&amp;"-"&amp;WA_Fn_UseC__HR_Employee_Attrition[[#This Row],[Department]]</f>
        <v>Medical-Research &amp; Development</v>
      </c>
      <c r="K1427">
        <v>1</v>
      </c>
      <c r="L1427">
        <v>2009</v>
      </c>
      <c r="M1427">
        <v>2</v>
      </c>
      <c r="N1427" t="s">
        <v>40</v>
      </c>
      <c r="O1427">
        <v>95</v>
      </c>
      <c r="P1427">
        <v>3</v>
      </c>
      <c r="Q1427">
        <v>2</v>
      </c>
      <c r="R1427" t="s">
        <v>55</v>
      </c>
      <c r="S1427">
        <v>4</v>
      </c>
      <c r="T1427" t="s">
        <v>49</v>
      </c>
      <c r="U1427">
        <v>4878</v>
      </c>
      <c r="V1427" t="str" cm="1">
        <f t="array" ref="V142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27">
        <v>21653</v>
      </c>
      <c r="X1427">
        <v>0</v>
      </c>
      <c r="Y1427" t="s">
        <v>43</v>
      </c>
      <c r="Z1427" t="s">
        <v>36</v>
      </c>
      <c r="AA1427">
        <v>13</v>
      </c>
      <c r="AB1427">
        <v>3</v>
      </c>
      <c r="AC1427">
        <v>1</v>
      </c>
      <c r="AD1427">
        <v>80</v>
      </c>
      <c r="AE1427">
        <v>1</v>
      </c>
      <c r="AF1427">
        <v>10</v>
      </c>
      <c r="AG1427">
        <v>6</v>
      </c>
      <c r="AH1427">
        <v>3</v>
      </c>
      <c r="AI1427">
        <v>9</v>
      </c>
      <c r="AJ1427">
        <v>7</v>
      </c>
      <c r="AK1427">
        <v>8</v>
      </c>
      <c r="AL1427" t="str" cm="1">
        <f t="array" ref="AL1427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27">
        <v>1</v>
      </c>
    </row>
    <row r="1428" spans="1:39" x14ac:dyDescent="0.25">
      <c r="A1428">
        <v>32</v>
      </c>
      <c r="B1428" t="s">
        <v>44</v>
      </c>
      <c r="C1428" t="s">
        <v>37</v>
      </c>
      <c r="D1428">
        <v>267</v>
      </c>
      <c r="E1428" t="s">
        <v>46</v>
      </c>
      <c r="G1428">
        <v>29</v>
      </c>
      <c r="H1428">
        <v>4</v>
      </c>
      <c r="I1428" t="s">
        <v>39</v>
      </c>
      <c r="J1428" t="str">
        <f>WA_Fn_UseC__HR_Employee_Attrition[[#This Row],[EducationField]]&amp;"-"&amp;WA_Fn_UseC__HR_Employee_Attrition[[#This Row],[Department]]</f>
        <v>Life Sciences-Research &amp; Development</v>
      </c>
      <c r="K1428">
        <v>1</v>
      </c>
      <c r="L1428">
        <v>2010</v>
      </c>
      <c r="M1428">
        <v>3</v>
      </c>
      <c r="N1428" t="s">
        <v>40</v>
      </c>
      <c r="O1428">
        <v>49</v>
      </c>
      <c r="P1428">
        <v>2</v>
      </c>
      <c r="Q1428">
        <v>1</v>
      </c>
      <c r="R1428" t="s">
        <v>51</v>
      </c>
      <c r="S1428">
        <v>2</v>
      </c>
      <c r="T1428" t="s">
        <v>42</v>
      </c>
      <c r="U1428">
        <v>2837</v>
      </c>
      <c r="V1428" t="str" cm="1">
        <f t="array" ref="V142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28">
        <v>15919</v>
      </c>
      <c r="X1428">
        <v>1</v>
      </c>
      <c r="Y1428" t="s">
        <v>43</v>
      </c>
      <c r="Z1428" t="s">
        <v>44</v>
      </c>
      <c r="AA1428">
        <v>13</v>
      </c>
      <c r="AB1428">
        <v>3</v>
      </c>
      <c r="AC1428">
        <v>3</v>
      </c>
      <c r="AD1428">
        <v>80</v>
      </c>
      <c r="AE1428">
        <v>0</v>
      </c>
      <c r="AF1428">
        <v>6</v>
      </c>
      <c r="AG1428">
        <v>3</v>
      </c>
      <c r="AH1428">
        <v>3</v>
      </c>
      <c r="AI1428">
        <v>6</v>
      </c>
      <c r="AJ1428">
        <v>2</v>
      </c>
      <c r="AK1428">
        <v>4</v>
      </c>
      <c r="AL1428" t="str" cm="1">
        <f t="array" ref="AL142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28">
        <v>1</v>
      </c>
    </row>
    <row r="1429" spans="1:39" x14ac:dyDescent="0.25">
      <c r="A1429">
        <v>40</v>
      </c>
      <c r="B1429" t="s">
        <v>44</v>
      </c>
      <c r="C1429" t="s">
        <v>37</v>
      </c>
      <c r="D1429">
        <v>543</v>
      </c>
      <c r="E1429" t="s">
        <v>46</v>
      </c>
      <c r="G1429">
        <v>1</v>
      </c>
      <c r="H1429">
        <v>4</v>
      </c>
      <c r="I1429" t="s">
        <v>39</v>
      </c>
      <c r="J1429" t="str">
        <f>WA_Fn_UseC__HR_Employee_Attrition[[#This Row],[EducationField]]&amp;"-"&amp;WA_Fn_UseC__HR_Employee_Attrition[[#This Row],[Department]]</f>
        <v>Life Sciences-Research &amp; Development</v>
      </c>
      <c r="K1429">
        <v>1</v>
      </c>
      <c r="L1429">
        <v>2012</v>
      </c>
      <c r="M1429">
        <v>1</v>
      </c>
      <c r="N1429" t="s">
        <v>47</v>
      </c>
      <c r="O1429">
        <v>83</v>
      </c>
      <c r="P1429">
        <v>3</v>
      </c>
      <c r="Q1429">
        <v>1</v>
      </c>
      <c r="R1429" t="s">
        <v>51</v>
      </c>
      <c r="S1429">
        <v>4</v>
      </c>
      <c r="T1429" t="s">
        <v>49</v>
      </c>
      <c r="U1429">
        <v>2406</v>
      </c>
      <c r="V1429" t="str" cm="1">
        <f t="array" ref="V142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29">
        <v>4060</v>
      </c>
      <c r="X1429">
        <v>8</v>
      </c>
      <c r="Y1429" t="s">
        <v>43</v>
      </c>
      <c r="Z1429" t="s">
        <v>44</v>
      </c>
      <c r="AA1429">
        <v>19</v>
      </c>
      <c r="AB1429">
        <v>3</v>
      </c>
      <c r="AC1429">
        <v>3</v>
      </c>
      <c r="AD1429">
        <v>80</v>
      </c>
      <c r="AE1429">
        <v>2</v>
      </c>
      <c r="AF1429">
        <v>8</v>
      </c>
      <c r="AG1429">
        <v>3</v>
      </c>
      <c r="AH1429">
        <v>2</v>
      </c>
      <c r="AI1429">
        <v>1</v>
      </c>
      <c r="AJ1429">
        <v>0</v>
      </c>
      <c r="AK1429">
        <v>0</v>
      </c>
      <c r="AL1429" t="str" cm="1">
        <f t="array" ref="AL142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29">
        <v>0</v>
      </c>
    </row>
    <row r="1430" spans="1:39" x14ac:dyDescent="0.25">
      <c r="A1430">
        <v>32</v>
      </c>
      <c r="B1430" t="s">
        <v>44</v>
      </c>
      <c r="C1430" t="s">
        <v>37</v>
      </c>
      <c r="D1430">
        <v>234</v>
      </c>
      <c r="E1430" t="s">
        <v>38</v>
      </c>
      <c r="G1430">
        <v>1</v>
      </c>
      <c r="H1430">
        <v>4</v>
      </c>
      <c r="I1430" t="s">
        <v>52</v>
      </c>
      <c r="J1430" t="str">
        <f>WA_Fn_UseC__HR_Employee_Attrition[[#This Row],[EducationField]]&amp;"-"&amp;WA_Fn_UseC__HR_Employee_Attrition[[#This Row],[Department]]</f>
        <v>Medical-Sales</v>
      </c>
      <c r="K1430">
        <v>1</v>
      </c>
      <c r="L1430">
        <v>2013</v>
      </c>
      <c r="M1430">
        <v>2</v>
      </c>
      <c r="N1430" t="s">
        <v>47</v>
      </c>
      <c r="O1430">
        <v>68</v>
      </c>
      <c r="P1430">
        <v>2</v>
      </c>
      <c r="Q1430">
        <v>1</v>
      </c>
      <c r="R1430" t="s">
        <v>58</v>
      </c>
      <c r="S1430">
        <v>2</v>
      </c>
      <c r="T1430" t="s">
        <v>49</v>
      </c>
      <c r="U1430">
        <v>2269</v>
      </c>
      <c r="V1430" t="str" cm="1">
        <f t="array" ref="V143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30">
        <v>18024</v>
      </c>
      <c r="X1430">
        <v>0</v>
      </c>
      <c r="Y1430" t="s">
        <v>43</v>
      </c>
      <c r="Z1430" t="s">
        <v>44</v>
      </c>
      <c r="AA1430">
        <v>14</v>
      </c>
      <c r="AB1430">
        <v>3</v>
      </c>
      <c r="AC1430">
        <v>2</v>
      </c>
      <c r="AD1430">
        <v>80</v>
      </c>
      <c r="AE1430">
        <v>1</v>
      </c>
      <c r="AF1430">
        <v>3</v>
      </c>
      <c r="AG1430">
        <v>2</v>
      </c>
      <c r="AH1430">
        <v>3</v>
      </c>
      <c r="AI1430">
        <v>2</v>
      </c>
      <c r="AJ1430">
        <v>2</v>
      </c>
      <c r="AK1430">
        <v>2</v>
      </c>
      <c r="AL1430" t="str" cm="1">
        <f t="array" ref="AL143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30">
        <v>2</v>
      </c>
    </row>
    <row r="1431" spans="1:39" x14ac:dyDescent="0.25">
      <c r="A1431">
        <v>39</v>
      </c>
      <c r="B1431" t="s">
        <v>44</v>
      </c>
      <c r="C1431" t="s">
        <v>37</v>
      </c>
      <c r="D1431">
        <v>116</v>
      </c>
      <c r="E1431" t="s">
        <v>46</v>
      </c>
      <c r="G1431">
        <v>24</v>
      </c>
      <c r="H1431">
        <v>1</v>
      </c>
      <c r="I1431" t="s">
        <v>39</v>
      </c>
      <c r="J1431" t="str">
        <f>WA_Fn_UseC__HR_Employee_Attrition[[#This Row],[EducationField]]&amp;"-"&amp;WA_Fn_UseC__HR_Employee_Attrition[[#This Row],[Department]]</f>
        <v>Life Sciences-Research &amp; Development</v>
      </c>
      <c r="K1431">
        <v>1</v>
      </c>
      <c r="L1431">
        <v>2014</v>
      </c>
      <c r="M1431">
        <v>1</v>
      </c>
      <c r="N1431" t="s">
        <v>47</v>
      </c>
      <c r="O1431">
        <v>52</v>
      </c>
      <c r="P1431">
        <v>3</v>
      </c>
      <c r="Q1431">
        <v>2</v>
      </c>
      <c r="R1431" t="s">
        <v>48</v>
      </c>
      <c r="S1431">
        <v>4</v>
      </c>
      <c r="T1431" t="s">
        <v>42</v>
      </c>
      <c r="U1431">
        <v>4108</v>
      </c>
      <c r="V1431" t="str" cm="1">
        <f t="array" ref="V143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31">
        <v>5340</v>
      </c>
      <c r="X1431">
        <v>7</v>
      </c>
      <c r="Y1431" t="s">
        <v>43</v>
      </c>
      <c r="Z1431" t="s">
        <v>44</v>
      </c>
      <c r="AA1431">
        <v>13</v>
      </c>
      <c r="AB1431">
        <v>3</v>
      </c>
      <c r="AC1431">
        <v>1</v>
      </c>
      <c r="AD1431">
        <v>80</v>
      </c>
      <c r="AE1431">
        <v>0</v>
      </c>
      <c r="AF1431">
        <v>18</v>
      </c>
      <c r="AG1431">
        <v>2</v>
      </c>
      <c r="AH1431">
        <v>3</v>
      </c>
      <c r="AI1431">
        <v>7</v>
      </c>
      <c r="AJ1431">
        <v>7</v>
      </c>
      <c r="AK1431">
        <v>1</v>
      </c>
      <c r="AL1431" t="str" cm="1">
        <f t="array" ref="AL143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31">
        <v>7</v>
      </c>
    </row>
    <row r="1432" spans="1:39" x14ac:dyDescent="0.25">
      <c r="A1432">
        <v>38</v>
      </c>
      <c r="B1432" t="s">
        <v>44</v>
      </c>
      <c r="C1432" t="s">
        <v>37</v>
      </c>
      <c r="D1432">
        <v>201</v>
      </c>
      <c r="E1432" t="s">
        <v>46</v>
      </c>
      <c r="G1432">
        <v>10</v>
      </c>
      <c r="H1432">
        <v>3</v>
      </c>
      <c r="I1432" t="s">
        <v>52</v>
      </c>
      <c r="J1432" t="str">
        <f>WA_Fn_UseC__HR_Employee_Attrition[[#This Row],[EducationField]]&amp;"-"&amp;WA_Fn_UseC__HR_Employee_Attrition[[#This Row],[Department]]</f>
        <v>Medical-Research &amp; Development</v>
      </c>
      <c r="K1432">
        <v>1</v>
      </c>
      <c r="L1432">
        <v>2015</v>
      </c>
      <c r="M1432">
        <v>2</v>
      </c>
      <c r="N1432" t="s">
        <v>40</v>
      </c>
      <c r="O1432">
        <v>99</v>
      </c>
      <c r="P1432">
        <v>1</v>
      </c>
      <c r="Q1432">
        <v>3</v>
      </c>
      <c r="R1432" t="s">
        <v>59</v>
      </c>
      <c r="S1432">
        <v>3</v>
      </c>
      <c r="T1432" t="s">
        <v>49</v>
      </c>
      <c r="U1432">
        <v>13206</v>
      </c>
      <c r="V1432" t="str" cm="1">
        <f t="array" ref="V143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32">
        <v>3376</v>
      </c>
      <c r="X1432">
        <v>3</v>
      </c>
      <c r="Y1432" t="s">
        <v>43</v>
      </c>
      <c r="Z1432" t="s">
        <v>44</v>
      </c>
      <c r="AA1432">
        <v>12</v>
      </c>
      <c r="AB1432">
        <v>3</v>
      </c>
      <c r="AC1432">
        <v>1</v>
      </c>
      <c r="AD1432">
        <v>80</v>
      </c>
      <c r="AE1432">
        <v>1</v>
      </c>
      <c r="AF1432">
        <v>20</v>
      </c>
      <c r="AG1432">
        <v>3</v>
      </c>
      <c r="AH1432">
        <v>3</v>
      </c>
      <c r="AI1432">
        <v>18</v>
      </c>
      <c r="AJ1432">
        <v>16</v>
      </c>
      <c r="AK1432">
        <v>1</v>
      </c>
      <c r="AL1432" t="str" cm="1">
        <f t="array" ref="AL143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32">
        <v>11</v>
      </c>
    </row>
    <row r="1433" spans="1:39" x14ac:dyDescent="0.25">
      <c r="A1433">
        <v>32</v>
      </c>
      <c r="B1433" t="s">
        <v>44</v>
      </c>
      <c r="C1433" t="s">
        <v>37</v>
      </c>
      <c r="D1433">
        <v>801</v>
      </c>
      <c r="E1433" t="s">
        <v>38</v>
      </c>
      <c r="G1433">
        <v>1</v>
      </c>
      <c r="H1433">
        <v>4</v>
      </c>
      <c r="I1433" t="s">
        <v>60</v>
      </c>
      <c r="J1433" t="str">
        <f>WA_Fn_UseC__HR_Employee_Attrition[[#This Row],[EducationField]]&amp;"-"&amp;WA_Fn_UseC__HR_Employee_Attrition[[#This Row],[Department]]</f>
        <v>Marketing-Sales</v>
      </c>
      <c r="K1433">
        <v>1</v>
      </c>
      <c r="L1433">
        <v>2016</v>
      </c>
      <c r="M1433">
        <v>3</v>
      </c>
      <c r="N1433" t="s">
        <v>40</v>
      </c>
      <c r="O1433">
        <v>48</v>
      </c>
      <c r="P1433">
        <v>3</v>
      </c>
      <c r="Q1433">
        <v>3</v>
      </c>
      <c r="R1433" t="s">
        <v>41</v>
      </c>
      <c r="S1433">
        <v>4</v>
      </c>
      <c r="T1433" t="s">
        <v>49</v>
      </c>
      <c r="U1433">
        <v>10422</v>
      </c>
      <c r="V1433" t="str" cm="1">
        <f t="array" ref="V143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33">
        <v>24032</v>
      </c>
      <c r="X1433">
        <v>1</v>
      </c>
      <c r="Y1433" t="s">
        <v>43</v>
      </c>
      <c r="Z1433" t="s">
        <v>44</v>
      </c>
      <c r="AA1433">
        <v>19</v>
      </c>
      <c r="AB1433">
        <v>3</v>
      </c>
      <c r="AC1433">
        <v>3</v>
      </c>
      <c r="AD1433">
        <v>80</v>
      </c>
      <c r="AE1433">
        <v>2</v>
      </c>
      <c r="AF1433">
        <v>14</v>
      </c>
      <c r="AG1433">
        <v>3</v>
      </c>
      <c r="AH1433">
        <v>3</v>
      </c>
      <c r="AI1433">
        <v>14</v>
      </c>
      <c r="AJ1433">
        <v>10</v>
      </c>
      <c r="AK1433">
        <v>5</v>
      </c>
      <c r="AL1433" t="str" cm="1">
        <f t="array" ref="AL143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33">
        <v>7</v>
      </c>
    </row>
    <row r="1434" spans="1:39" x14ac:dyDescent="0.25">
      <c r="A1434">
        <v>37</v>
      </c>
      <c r="B1434" t="s">
        <v>44</v>
      </c>
      <c r="C1434" t="s">
        <v>37</v>
      </c>
      <c r="D1434">
        <v>161</v>
      </c>
      <c r="E1434" t="s">
        <v>46</v>
      </c>
      <c r="G1434">
        <v>10</v>
      </c>
      <c r="H1434">
        <v>3</v>
      </c>
      <c r="I1434" t="s">
        <v>39</v>
      </c>
      <c r="J1434" t="str">
        <f>WA_Fn_UseC__HR_Employee_Attrition[[#This Row],[EducationField]]&amp;"-"&amp;WA_Fn_UseC__HR_Employee_Attrition[[#This Row],[Department]]</f>
        <v>Life Sciences-Research &amp; Development</v>
      </c>
      <c r="K1434">
        <v>1</v>
      </c>
      <c r="L1434">
        <v>2017</v>
      </c>
      <c r="M1434">
        <v>3</v>
      </c>
      <c r="N1434" t="s">
        <v>40</v>
      </c>
      <c r="O1434">
        <v>42</v>
      </c>
      <c r="P1434">
        <v>4</v>
      </c>
      <c r="Q1434">
        <v>3</v>
      </c>
      <c r="R1434" t="s">
        <v>59</v>
      </c>
      <c r="S1434">
        <v>4</v>
      </c>
      <c r="T1434" t="s">
        <v>49</v>
      </c>
      <c r="U1434">
        <v>13744</v>
      </c>
      <c r="V1434" t="str" cm="1">
        <f t="array" ref="V143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34">
        <v>15471</v>
      </c>
      <c r="X1434">
        <v>1</v>
      </c>
      <c r="Y1434" t="s">
        <v>43</v>
      </c>
      <c r="Z1434" t="s">
        <v>36</v>
      </c>
      <c r="AA1434">
        <v>25</v>
      </c>
      <c r="AB1434">
        <v>4</v>
      </c>
      <c r="AC1434">
        <v>1</v>
      </c>
      <c r="AD1434">
        <v>80</v>
      </c>
      <c r="AE1434">
        <v>1</v>
      </c>
      <c r="AF1434">
        <v>16</v>
      </c>
      <c r="AG1434">
        <v>2</v>
      </c>
      <c r="AH1434">
        <v>3</v>
      </c>
      <c r="AI1434">
        <v>16</v>
      </c>
      <c r="AJ1434">
        <v>11</v>
      </c>
      <c r="AK1434">
        <v>6</v>
      </c>
      <c r="AL1434" t="str" cm="1">
        <f t="array" ref="AL143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34">
        <v>8</v>
      </c>
    </row>
    <row r="1435" spans="1:39" x14ac:dyDescent="0.25">
      <c r="A1435">
        <v>25</v>
      </c>
      <c r="B1435" t="s">
        <v>44</v>
      </c>
      <c r="C1435" t="s">
        <v>37</v>
      </c>
      <c r="D1435">
        <v>1382</v>
      </c>
      <c r="E1435" t="s">
        <v>38</v>
      </c>
      <c r="G1435">
        <v>8</v>
      </c>
      <c r="H1435">
        <v>2</v>
      </c>
      <c r="I1435" t="s">
        <v>50</v>
      </c>
      <c r="J1435" t="str">
        <f>WA_Fn_UseC__HR_Employee_Attrition[[#This Row],[EducationField]]&amp;"-"&amp;WA_Fn_UseC__HR_Employee_Attrition[[#This Row],[Department]]</f>
        <v>Other-Sales</v>
      </c>
      <c r="K1435">
        <v>1</v>
      </c>
      <c r="L1435">
        <v>2018</v>
      </c>
      <c r="M1435">
        <v>1</v>
      </c>
      <c r="N1435" t="s">
        <v>40</v>
      </c>
      <c r="O1435">
        <v>85</v>
      </c>
      <c r="P1435">
        <v>3</v>
      </c>
      <c r="Q1435">
        <v>2</v>
      </c>
      <c r="R1435" t="s">
        <v>41</v>
      </c>
      <c r="S1435">
        <v>3</v>
      </c>
      <c r="T1435" t="s">
        <v>53</v>
      </c>
      <c r="U1435">
        <v>4907</v>
      </c>
      <c r="V1435" t="str" cm="1">
        <f t="array" ref="V143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35">
        <v>13684</v>
      </c>
      <c r="X1435">
        <v>0</v>
      </c>
      <c r="Y1435" t="s">
        <v>43</v>
      </c>
      <c r="Z1435" t="s">
        <v>36</v>
      </c>
      <c r="AA1435">
        <v>22</v>
      </c>
      <c r="AB1435">
        <v>4</v>
      </c>
      <c r="AC1435">
        <v>2</v>
      </c>
      <c r="AD1435">
        <v>80</v>
      </c>
      <c r="AE1435">
        <v>1</v>
      </c>
      <c r="AF1435">
        <v>6</v>
      </c>
      <c r="AG1435">
        <v>3</v>
      </c>
      <c r="AH1435">
        <v>2</v>
      </c>
      <c r="AI1435">
        <v>5</v>
      </c>
      <c r="AJ1435">
        <v>3</v>
      </c>
      <c r="AK1435">
        <v>0</v>
      </c>
      <c r="AL1435" t="str" cm="1">
        <f t="array" ref="AL1435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35">
        <v>4</v>
      </c>
    </row>
    <row r="1436" spans="1:39" x14ac:dyDescent="0.25">
      <c r="A1436">
        <v>52</v>
      </c>
      <c r="B1436" t="s">
        <v>44</v>
      </c>
      <c r="C1436" t="s">
        <v>56</v>
      </c>
      <c r="D1436">
        <v>585</v>
      </c>
      <c r="E1436" t="s">
        <v>38</v>
      </c>
      <c r="G1436">
        <v>29</v>
      </c>
      <c r="H1436">
        <v>4</v>
      </c>
      <c r="I1436" t="s">
        <v>39</v>
      </c>
      <c r="J1436" t="str">
        <f>WA_Fn_UseC__HR_Employee_Attrition[[#This Row],[EducationField]]&amp;"-"&amp;WA_Fn_UseC__HR_Employee_Attrition[[#This Row],[Department]]</f>
        <v>Life Sciences-Sales</v>
      </c>
      <c r="K1436">
        <v>1</v>
      </c>
      <c r="L1436">
        <v>2019</v>
      </c>
      <c r="M1436">
        <v>1</v>
      </c>
      <c r="N1436" t="s">
        <v>47</v>
      </c>
      <c r="O1436">
        <v>40</v>
      </c>
      <c r="P1436">
        <v>3</v>
      </c>
      <c r="Q1436">
        <v>1</v>
      </c>
      <c r="R1436" t="s">
        <v>58</v>
      </c>
      <c r="S1436">
        <v>4</v>
      </c>
      <c r="T1436" t="s">
        <v>53</v>
      </c>
      <c r="U1436">
        <v>3482</v>
      </c>
      <c r="V1436" t="str" cm="1">
        <f t="array" ref="V143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36">
        <v>19788</v>
      </c>
      <c r="X1436">
        <v>2</v>
      </c>
      <c r="Y1436" t="s">
        <v>43</v>
      </c>
      <c r="Z1436" t="s">
        <v>44</v>
      </c>
      <c r="AA1436">
        <v>15</v>
      </c>
      <c r="AB1436">
        <v>3</v>
      </c>
      <c r="AC1436">
        <v>2</v>
      </c>
      <c r="AD1436">
        <v>80</v>
      </c>
      <c r="AE1436">
        <v>2</v>
      </c>
      <c r="AF1436">
        <v>16</v>
      </c>
      <c r="AG1436">
        <v>3</v>
      </c>
      <c r="AH1436">
        <v>2</v>
      </c>
      <c r="AI1436">
        <v>9</v>
      </c>
      <c r="AJ1436">
        <v>8</v>
      </c>
      <c r="AK1436">
        <v>0</v>
      </c>
      <c r="AL1436" t="str" cm="1">
        <f t="array" ref="AL143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36">
        <v>0</v>
      </c>
    </row>
    <row r="1437" spans="1:39" x14ac:dyDescent="0.25">
      <c r="A1437">
        <v>44</v>
      </c>
      <c r="B1437" t="s">
        <v>44</v>
      </c>
      <c r="C1437" t="s">
        <v>37</v>
      </c>
      <c r="D1437">
        <v>1037</v>
      </c>
      <c r="E1437" t="s">
        <v>46</v>
      </c>
      <c r="G1437">
        <v>1</v>
      </c>
      <c r="H1437">
        <v>3</v>
      </c>
      <c r="I1437" t="s">
        <v>52</v>
      </c>
      <c r="J1437" t="str">
        <f>WA_Fn_UseC__HR_Employee_Attrition[[#This Row],[EducationField]]&amp;"-"&amp;WA_Fn_UseC__HR_Employee_Attrition[[#This Row],[Department]]</f>
        <v>Medical-Research &amp; Development</v>
      </c>
      <c r="K1437">
        <v>1</v>
      </c>
      <c r="L1437">
        <v>2020</v>
      </c>
      <c r="M1437">
        <v>2</v>
      </c>
      <c r="N1437" t="s">
        <v>47</v>
      </c>
      <c r="O1437">
        <v>42</v>
      </c>
      <c r="P1437">
        <v>3</v>
      </c>
      <c r="Q1437">
        <v>1</v>
      </c>
      <c r="R1437" t="s">
        <v>48</v>
      </c>
      <c r="S1437">
        <v>4</v>
      </c>
      <c r="T1437" t="s">
        <v>42</v>
      </c>
      <c r="U1437">
        <v>2436</v>
      </c>
      <c r="V1437" t="str" cm="1">
        <f t="array" ref="V143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37">
        <v>13422</v>
      </c>
      <c r="X1437">
        <v>6</v>
      </c>
      <c r="Y1437" t="s">
        <v>43</v>
      </c>
      <c r="Z1437" t="s">
        <v>36</v>
      </c>
      <c r="AA1437">
        <v>12</v>
      </c>
      <c r="AB1437">
        <v>3</v>
      </c>
      <c r="AC1437">
        <v>3</v>
      </c>
      <c r="AD1437">
        <v>80</v>
      </c>
      <c r="AE1437">
        <v>0</v>
      </c>
      <c r="AF1437">
        <v>6</v>
      </c>
      <c r="AG1437">
        <v>2</v>
      </c>
      <c r="AH1437">
        <v>3</v>
      </c>
      <c r="AI1437">
        <v>4</v>
      </c>
      <c r="AJ1437">
        <v>3</v>
      </c>
      <c r="AK1437">
        <v>1</v>
      </c>
      <c r="AL1437" t="str" cm="1">
        <f t="array" ref="AL143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37">
        <v>2</v>
      </c>
    </row>
    <row r="1438" spans="1:39" x14ac:dyDescent="0.25">
      <c r="A1438">
        <v>21</v>
      </c>
      <c r="B1438" t="s">
        <v>44</v>
      </c>
      <c r="C1438" t="s">
        <v>37</v>
      </c>
      <c r="D1438">
        <v>501</v>
      </c>
      <c r="E1438" t="s">
        <v>38</v>
      </c>
      <c r="G1438">
        <v>5</v>
      </c>
      <c r="H1438">
        <v>1</v>
      </c>
      <c r="I1438" t="s">
        <v>52</v>
      </c>
      <c r="J1438" t="str">
        <f>WA_Fn_UseC__HR_Employee_Attrition[[#This Row],[EducationField]]&amp;"-"&amp;WA_Fn_UseC__HR_Employee_Attrition[[#This Row],[Department]]</f>
        <v>Medical-Sales</v>
      </c>
      <c r="K1438">
        <v>1</v>
      </c>
      <c r="L1438">
        <v>2021</v>
      </c>
      <c r="M1438">
        <v>3</v>
      </c>
      <c r="N1438" t="s">
        <v>47</v>
      </c>
      <c r="O1438">
        <v>58</v>
      </c>
      <c r="P1438">
        <v>3</v>
      </c>
      <c r="Q1438">
        <v>1</v>
      </c>
      <c r="R1438" t="s">
        <v>58</v>
      </c>
      <c r="S1438">
        <v>1</v>
      </c>
      <c r="T1438" t="s">
        <v>42</v>
      </c>
      <c r="U1438">
        <v>2380</v>
      </c>
      <c r="V1438" t="str" cm="1">
        <f t="array" ref="V143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38">
        <v>25479</v>
      </c>
      <c r="X1438">
        <v>1</v>
      </c>
      <c r="Y1438" t="s">
        <v>43</v>
      </c>
      <c r="Z1438" t="s">
        <v>36</v>
      </c>
      <c r="AA1438">
        <v>11</v>
      </c>
      <c r="AB1438">
        <v>3</v>
      </c>
      <c r="AC1438">
        <v>4</v>
      </c>
      <c r="AD1438">
        <v>80</v>
      </c>
      <c r="AE1438">
        <v>0</v>
      </c>
      <c r="AF1438">
        <v>2</v>
      </c>
      <c r="AG1438">
        <v>6</v>
      </c>
      <c r="AH1438">
        <v>3</v>
      </c>
      <c r="AI1438">
        <v>2</v>
      </c>
      <c r="AJ1438">
        <v>2</v>
      </c>
      <c r="AK1438">
        <v>1</v>
      </c>
      <c r="AL1438" t="str" cm="1">
        <f t="array" ref="AL1438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38">
        <v>2</v>
      </c>
    </row>
    <row r="1439" spans="1:39" x14ac:dyDescent="0.25">
      <c r="A1439">
        <v>39</v>
      </c>
      <c r="B1439" t="s">
        <v>44</v>
      </c>
      <c r="C1439" t="s">
        <v>56</v>
      </c>
      <c r="D1439">
        <v>105</v>
      </c>
      <c r="E1439" t="s">
        <v>46</v>
      </c>
      <c r="G1439">
        <v>9</v>
      </c>
      <c r="H1439">
        <v>3</v>
      </c>
      <c r="I1439" t="s">
        <v>39</v>
      </c>
      <c r="J1439" t="str">
        <f>WA_Fn_UseC__HR_Employee_Attrition[[#This Row],[EducationField]]&amp;"-"&amp;WA_Fn_UseC__HR_Employee_Attrition[[#This Row],[Department]]</f>
        <v>Life Sciences-Research &amp; Development</v>
      </c>
      <c r="K1439">
        <v>1</v>
      </c>
      <c r="L1439">
        <v>2022</v>
      </c>
      <c r="M1439">
        <v>4</v>
      </c>
      <c r="N1439" t="s">
        <v>47</v>
      </c>
      <c r="O1439">
        <v>87</v>
      </c>
      <c r="P1439">
        <v>3</v>
      </c>
      <c r="Q1439">
        <v>5</v>
      </c>
      <c r="R1439" t="s">
        <v>57</v>
      </c>
      <c r="S1439">
        <v>4</v>
      </c>
      <c r="T1439" t="s">
        <v>42</v>
      </c>
      <c r="U1439">
        <v>19431</v>
      </c>
      <c r="V1439" t="str" cm="1">
        <f t="array" ref="V143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39">
        <v>15302</v>
      </c>
      <c r="X1439">
        <v>2</v>
      </c>
      <c r="Y1439" t="s">
        <v>43</v>
      </c>
      <c r="Z1439" t="s">
        <v>44</v>
      </c>
      <c r="AA1439">
        <v>13</v>
      </c>
      <c r="AB1439">
        <v>3</v>
      </c>
      <c r="AC1439">
        <v>3</v>
      </c>
      <c r="AD1439">
        <v>80</v>
      </c>
      <c r="AE1439">
        <v>0</v>
      </c>
      <c r="AF1439">
        <v>21</v>
      </c>
      <c r="AG1439">
        <v>3</v>
      </c>
      <c r="AH1439">
        <v>2</v>
      </c>
      <c r="AI1439">
        <v>6</v>
      </c>
      <c r="AJ1439">
        <v>0</v>
      </c>
      <c r="AK1439">
        <v>1</v>
      </c>
      <c r="AL1439" t="str" cm="1">
        <f t="array" ref="AL143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39">
        <v>3</v>
      </c>
    </row>
    <row r="1440" spans="1:39" x14ac:dyDescent="0.25">
      <c r="A1440">
        <v>23</v>
      </c>
      <c r="B1440" t="s">
        <v>36</v>
      </c>
      <c r="C1440" t="s">
        <v>45</v>
      </c>
      <c r="D1440">
        <v>638</v>
      </c>
      <c r="E1440" t="s">
        <v>38</v>
      </c>
      <c r="G1440">
        <v>9</v>
      </c>
      <c r="H1440">
        <v>3</v>
      </c>
      <c r="I1440" t="s">
        <v>60</v>
      </c>
      <c r="J1440" t="str">
        <f>WA_Fn_UseC__HR_Employee_Attrition[[#This Row],[EducationField]]&amp;"-"&amp;WA_Fn_UseC__HR_Employee_Attrition[[#This Row],[Department]]</f>
        <v>Marketing-Sales</v>
      </c>
      <c r="K1440">
        <v>1</v>
      </c>
      <c r="L1440">
        <v>2023</v>
      </c>
      <c r="M1440">
        <v>4</v>
      </c>
      <c r="N1440" t="s">
        <v>47</v>
      </c>
      <c r="O1440">
        <v>33</v>
      </c>
      <c r="P1440">
        <v>3</v>
      </c>
      <c r="Q1440">
        <v>1</v>
      </c>
      <c r="R1440" t="s">
        <v>58</v>
      </c>
      <c r="S1440">
        <v>1</v>
      </c>
      <c r="T1440" t="s">
        <v>49</v>
      </c>
      <c r="U1440">
        <v>1790</v>
      </c>
      <c r="V1440" t="str" cm="1">
        <f t="array" ref="V144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40">
        <v>26956</v>
      </c>
      <c r="X1440">
        <v>1</v>
      </c>
      <c r="Y1440" t="s">
        <v>43</v>
      </c>
      <c r="Z1440" t="s">
        <v>44</v>
      </c>
      <c r="AA1440">
        <v>19</v>
      </c>
      <c r="AB1440">
        <v>3</v>
      </c>
      <c r="AC1440">
        <v>1</v>
      </c>
      <c r="AD1440">
        <v>80</v>
      </c>
      <c r="AE1440">
        <v>1</v>
      </c>
      <c r="AF1440">
        <v>1</v>
      </c>
      <c r="AG1440">
        <v>3</v>
      </c>
      <c r="AH1440">
        <v>2</v>
      </c>
      <c r="AI1440">
        <v>1</v>
      </c>
      <c r="AJ1440">
        <v>0</v>
      </c>
      <c r="AK1440">
        <v>1</v>
      </c>
      <c r="AL1440" t="str" cm="1">
        <f t="array" ref="AL144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40">
        <v>0</v>
      </c>
    </row>
    <row r="1441" spans="1:39" x14ac:dyDescent="0.25">
      <c r="A1441">
        <v>36</v>
      </c>
      <c r="B1441" t="s">
        <v>44</v>
      </c>
      <c r="C1441" t="s">
        <v>37</v>
      </c>
      <c r="D1441">
        <v>557</v>
      </c>
      <c r="E1441" t="s">
        <v>38</v>
      </c>
      <c r="G1441">
        <v>3</v>
      </c>
      <c r="H1441">
        <v>3</v>
      </c>
      <c r="I1441" t="s">
        <v>52</v>
      </c>
      <c r="J1441" t="str">
        <f>WA_Fn_UseC__HR_Employee_Attrition[[#This Row],[EducationField]]&amp;"-"&amp;WA_Fn_UseC__HR_Employee_Attrition[[#This Row],[Department]]</f>
        <v>Medical-Sales</v>
      </c>
      <c r="K1441">
        <v>1</v>
      </c>
      <c r="L1441">
        <v>2024</v>
      </c>
      <c r="M1441">
        <v>1</v>
      </c>
      <c r="N1441" t="s">
        <v>40</v>
      </c>
      <c r="O1441">
        <v>94</v>
      </c>
      <c r="P1441">
        <v>2</v>
      </c>
      <c r="Q1441">
        <v>3</v>
      </c>
      <c r="R1441" t="s">
        <v>41</v>
      </c>
      <c r="S1441">
        <v>4</v>
      </c>
      <c r="T1441" t="s">
        <v>49</v>
      </c>
      <c r="U1441">
        <v>7644</v>
      </c>
      <c r="V1441" t="str" cm="1">
        <f t="array" ref="V144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41">
        <v>12695</v>
      </c>
      <c r="X1441">
        <v>0</v>
      </c>
      <c r="Y1441" t="s">
        <v>43</v>
      </c>
      <c r="Z1441" t="s">
        <v>44</v>
      </c>
      <c r="AA1441">
        <v>19</v>
      </c>
      <c r="AB1441">
        <v>3</v>
      </c>
      <c r="AC1441">
        <v>3</v>
      </c>
      <c r="AD1441">
        <v>80</v>
      </c>
      <c r="AE1441">
        <v>2</v>
      </c>
      <c r="AF1441">
        <v>10</v>
      </c>
      <c r="AG1441">
        <v>2</v>
      </c>
      <c r="AH1441">
        <v>3</v>
      </c>
      <c r="AI1441">
        <v>9</v>
      </c>
      <c r="AJ1441">
        <v>7</v>
      </c>
      <c r="AK1441">
        <v>3</v>
      </c>
      <c r="AL1441" t="str" cm="1">
        <f t="array" ref="AL1441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41">
        <v>4</v>
      </c>
    </row>
    <row r="1442" spans="1:39" x14ac:dyDescent="0.25">
      <c r="A1442">
        <v>36</v>
      </c>
      <c r="B1442" t="s">
        <v>44</v>
      </c>
      <c r="C1442" t="s">
        <v>45</v>
      </c>
      <c r="D1442">
        <v>688</v>
      </c>
      <c r="E1442" t="s">
        <v>46</v>
      </c>
      <c r="G1442">
        <v>4</v>
      </c>
      <c r="H1442">
        <v>2</v>
      </c>
      <c r="I1442" t="s">
        <v>39</v>
      </c>
      <c r="J1442" t="str">
        <f>WA_Fn_UseC__HR_Employee_Attrition[[#This Row],[EducationField]]&amp;"-"&amp;WA_Fn_UseC__HR_Employee_Attrition[[#This Row],[Department]]</f>
        <v>Life Sciences-Research &amp; Development</v>
      </c>
      <c r="K1442">
        <v>1</v>
      </c>
      <c r="L1442">
        <v>2025</v>
      </c>
      <c r="M1442">
        <v>4</v>
      </c>
      <c r="N1442" t="s">
        <v>40</v>
      </c>
      <c r="O1442">
        <v>97</v>
      </c>
      <c r="P1442">
        <v>3</v>
      </c>
      <c r="Q1442">
        <v>2</v>
      </c>
      <c r="R1442" t="s">
        <v>54</v>
      </c>
      <c r="S1442">
        <v>2</v>
      </c>
      <c r="T1442" t="s">
        <v>53</v>
      </c>
      <c r="U1442">
        <v>5131</v>
      </c>
      <c r="V1442" t="str" cm="1">
        <f t="array" ref="V144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42">
        <v>9192</v>
      </c>
      <c r="X1442">
        <v>7</v>
      </c>
      <c r="Y1442" t="s">
        <v>43</v>
      </c>
      <c r="Z1442" t="s">
        <v>44</v>
      </c>
      <c r="AA1442">
        <v>13</v>
      </c>
      <c r="AB1442">
        <v>3</v>
      </c>
      <c r="AC1442">
        <v>2</v>
      </c>
      <c r="AD1442">
        <v>80</v>
      </c>
      <c r="AE1442">
        <v>3</v>
      </c>
      <c r="AF1442">
        <v>18</v>
      </c>
      <c r="AG1442">
        <v>3</v>
      </c>
      <c r="AH1442">
        <v>3</v>
      </c>
      <c r="AI1442">
        <v>4</v>
      </c>
      <c r="AJ1442">
        <v>2</v>
      </c>
      <c r="AK1442">
        <v>0</v>
      </c>
      <c r="AL1442" t="str" cm="1">
        <f t="array" ref="AL144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42">
        <v>2</v>
      </c>
    </row>
    <row r="1443" spans="1:39" x14ac:dyDescent="0.25">
      <c r="A1443">
        <v>56</v>
      </c>
      <c r="B1443" t="s">
        <v>44</v>
      </c>
      <c r="C1443" t="s">
        <v>56</v>
      </c>
      <c r="D1443">
        <v>667</v>
      </c>
      <c r="E1443" t="s">
        <v>46</v>
      </c>
      <c r="G1443">
        <v>1</v>
      </c>
      <c r="H1443">
        <v>4</v>
      </c>
      <c r="I1443" t="s">
        <v>39</v>
      </c>
      <c r="J1443" t="str">
        <f>WA_Fn_UseC__HR_Employee_Attrition[[#This Row],[EducationField]]&amp;"-"&amp;WA_Fn_UseC__HR_Employee_Attrition[[#This Row],[Department]]</f>
        <v>Life Sciences-Research &amp; Development</v>
      </c>
      <c r="K1443">
        <v>1</v>
      </c>
      <c r="L1443">
        <v>2026</v>
      </c>
      <c r="M1443">
        <v>3</v>
      </c>
      <c r="N1443" t="s">
        <v>47</v>
      </c>
      <c r="O1443">
        <v>57</v>
      </c>
      <c r="P1443">
        <v>3</v>
      </c>
      <c r="Q1443">
        <v>2</v>
      </c>
      <c r="R1443" t="s">
        <v>55</v>
      </c>
      <c r="S1443">
        <v>3</v>
      </c>
      <c r="T1443" t="s">
        <v>53</v>
      </c>
      <c r="U1443">
        <v>6306</v>
      </c>
      <c r="V1443" t="str" cm="1">
        <f t="array" ref="V144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43">
        <v>26236</v>
      </c>
      <c r="X1443">
        <v>1</v>
      </c>
      <c r="Y1443" t="s">
        <v>43</v>
      </c>
      <c r="Z1443" t="s">
        <v>44</v>
      </c>
      <c r="AA1443">
        <v>21</v>
      </c>
      <c r="AB1443">
        <v>4</v>
      </c>
      <c r="AC1443">
        <v>1</v>
      </c>
      <c r="AD1443">
        <v>80</v>
      </c>
      <c r="AE1443">
        <v>1</v>
      </c>
      <c r="AF1443">
        <v>13</v>
      </c>
      <c r="AG1443">
        <v>2</v>
      </c>
      <c r="AH1443">
        <v>2</v>
      </c>
      <c r="AI1443">
        <v>13</v>
      </c>
      <c r="AJ1443">
        <v>12</v>
      </c>
      <c r="AK1443">
        <v>1</v>
      </c>
      <c r="AL1443" t="str" cm="1">
        <f t="array" ref="AL144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43">
        <v>9</v>
      </c>
    </row>
    <row r="1444" spans="1:39" x14ac:dyDescent="0.25">
      <c r="A1444">
        <v>29</v>
      </c>
      <c r="B1444" t="s">
        <v>36</v>
      </c>
      <c r="C1444" t="s">
        <v>37</v>
      </c>
      <c r="D1444">
        <v>1092</v>
      </c>
      <c r="E1444" t="s">
        <v>46</v>
      </c>
      <c r="G1444">
        <v>1</v>
      </c>
      <c r="H1444">
        <v>4</v>
      </c>
      <c r="I1444" t="s">
        <v>52</v>
      </c>
      <c r="J1444" t="str">
        <f>WA_Fn_UseC__HR_Employee_Attrition[[#This Row],[EducationField]]&amp;"-"&amp;WA_Fn_UseC__HR_Employee_Attrition[[#This Row],[Department]]</f>
        <v>Medical-Research &amp; Development</v>
      </c>
      <c r="K1444">
        <v>1</v>
      </c>
      <c r="L1444">
        <v>2027</v>
      </c>
      <c r="M1444">
        <v>1</v>
      </c>
      <c r="N1444" t="s">
        <v>47</v>
      </c>
      <c r="O1444">
        <v>36</v>
      </c>
      <c r="P1444">
        <v>3</v>
      </c>
      <c r="Q1444">
        <v>1</v>
      </c>
      <c r="R1444" t="s">
        <v>48</v>
      </c>
      <c r="S1444">
        <v>4</v>
      </c>
      <c r="T1444" t="s">
        <v>49</v>
      </c>
      <c r="U1444">
        <v>4787</v>
      </c>
      <c r="V1444" t="str" cm="1">
        <f t="array" ref="V144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44">
        <v>26124</v>
      </c>
      <c r="X1444">
        <v>9</v>
      </c>
      <c r="Y1444" t="s">
        <v>43</v>
      </c>
      <c r="Z1444" t="s">
        <v>36</v>
      </c>
      <c r="AA1444">
        <v>14</v>
      </c>
      <c r="AB1444">
        <v>3</v>
      </c>
      <c r="AC1444">
        <v>2</v>
      </c>
      <c r="AD1444">
        <v>80</v>
      </c>
      <c r="AE1444">
        <v>3</v>
      </c>
      <c r="AF1444">
        <v>4</v>
      </c>
      <c r="AG1444">
        <v>3</v>
      </c>
      <c r="AH1444">
        <v>4</v>
      </c>
      <c r="AI1444">
        <v>2</v>
      </c>
      <c r="AJ1444">
        <v>2</v>
      </c>
      <c r="AK1444">
        <v>2</v>
      </c>
      <c r="AL1444" t="str" cm="1">
        <f t="array" ref="AL1444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44">
        <v>2</v>
      </c>
    </row>
    <row r="1445" spans="1:39" x14ac:dyDescent="0.25">
      <c r="A1445">
        <v>42</v>
      </c>
      <c r="B1445" t="s">
        <v>44</v>
      </c>
      <c r="C1445" t="s">
        <v>37</v>
      </c>
      <c r="D1445">
        <v>300</v>
      </c>
      <c r="E1445" t="s">
        <v>46</v>
      </c>
      <c r="G1445">
        <v>2</v>
      </c>
      <c r="H1445">
        <v>3</v>
      </c>
      <c r="I1445" t="s">
        <v>39</v>
      </c>
      <c r="J1445" t="str">
        <f>WA_Fn_UseC__HR_Employee_Attrition[[#This Row],[EducationField]]&amp;"-"&amp;WA_Fn_UseC__HR_Employee_Attrition[[#This Row],[Department]]</f>
        <v>Life Sciences-Research &amp; Development</v>
      </c>
      <c r="K1445">
        <v>1</v>
      </c>
      <c r="L1445">
        <v>2031</v>
      </c>
      <c r="M1445">
        <v>1</v>
      </c>
      <c r="N1445" t="s">
        <v>47</v>
      </c>
      <c r="O1445">
        <v>56</v>
      </c>
      <c r="P1445">
        <v>3</v>
      </c>
      <c r="Q1445">
        <v>5</v>
      </c>
      <c r="R1445" t="s">
        <v>57</v>
      </c>
      <c r="S1445">
        <v>3</v>
      </c>
      <c r="T1445" t="s">
        <v>49</v>
      </c>
      <c r="U1445">
        <v>18880</v>
      </c>
      <c r="V1445" t="str" cm="1">
        <f t="array" ref="V144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45">
        <v>17312</v>
      </c>
      <c r="X1445">
        <v>5</v>
      </c>
      <c r="Y1445" t="s">
        <v>43</v>
      </c>
      <c r="Z1445" t="s">
        <v>44</v>
      </c>
      <c r="AA1445">
        <v>11</v>
      </c>
      <c r="AB1445">
        <v>3</v>
      </c>
      <c r="AC1445">
        <v>1</v>
      </c>
      <c r="AD1445">
        <v>80</v>
      </c>
      <c r="AE1445">
        <v>0</v>
      </c>
      <c r="AF1445">
        <v>24</v>
      </c>
      <c r="AG1445">
        <v>2</v>
      </c>
      <c r="AH1445">
        <v>2</v>
      </c>
      <c r="AI1445">
        <v>22</v>
      </c>
      <c r="AJ1445">
        <v>6</v>
      </c>
      <c r="AK1445">
        <v>4</v>
      </c>
      <c r="AL1445" t="str" cm="1">
        <f t="array" ref="AL144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45">
        <v>14</v>
      </c>
    </row>
    <row r="1446" spans="1:39" x14ac:dyDescent="0.25">
      <c r="A1446">
        <v>56</v>
      </c>
      <c r="B1446" t="s">
        <v>36</v>
      </c>
      <c r="C1446" t="s">
        <v>37</v>
      </c>
      <c r="D1446">
        <v>310</v>
      </c>
      <c r="E1446" t="s">
        <v>46</v>
      </c>
      <c r="G1446">
        <v>7</v>
      </c>
      <c r="H1446">
        <v>2</v>
      </c>
      <c r="I1446" t="s">
        <v>61</v>
      </c>
      <c r="J1446" t="str">
        <f>WA_Fn_UseC__HR_Employee_Attrition[[#This Row],[EducationField]]&amp;"-"&amp;WA_Fn_UseC__HR_Employee_Attrition[[#This Row],[Department]]</f>
        <v>Technical Degree-Research &amp; Development</v>
      </c>
      <c r="K1446">
        <v>1</v>
      </c>
      <c r="L1446">
        <v>2032</v>
      </c>
      <c r="M1446">
        <v>4</v>
      </c>
      <c r="N1446" t="s">
        <v>47</v>
      </c>
      <c r="O1446">
        <v>72</v>
      </c>
      <c r="P1446">
        <v>3</v>
      </c>
      <c r="Q1446">
        <v>1</v>
      </c>
      <c r="R1446" t="s">
        <v>51</v>
      </c>
      <c r="S1446">
        <v>3</v>
      </c>
      <c r="T1446" t="s">
        <v>49</v>
      </c>
      <c r="U1446">
        <v>2339</v>
      </c>
      <c r="V1446" t="str" cm="1">
        <f t="array" ref="V144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46">
        <v>3666</v>
      </c>
      <c r="X1446">
        <v>8</v>
      </c>
      <c r="Y1446" t="s">
        <v>43</v>
      </c>
      <c r="Z1446" t="s">
        <v>44</v>
      </c>
      <c r="AA1446">
        <v>11</v>
      </c>
      <c r="AB1446">
        <v>3</v>
      </c>
      <c r="AC1446">
        <v>4</v>
      </c>
      <c r="AD1446">
        <v>80</v>
      </c>
      <c r="AE1446">
        <v>1</v>
      </c>
      <c r="AF1446">
        <v>14</v>
      </c>
      <c r="AG1446">
        <v>4</v>
      </c>
      <c r="AH1446">
        <v>1</v>
      </c>
      <c r="AI1446">
        <v>10</v>
      </c>
      <c r="AJ1446">
        <v>9</v>
      </c>
      <c r="AK1446">
        <v>9</v>
      </c>
      <c r="AL1446" t="str" cm="1">
        <f t="array" ref="AL144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46">
        <v>8</v>
      </c>
    </row>
    <row r="1447" spans="1:39" x14ac:dyDescent="0.25">
      <c r="A1447">
        <v>41</v>
      </c>
      <c r="B1447" t="s">
        <v>44</v>
      </c>
      <c r="C1447" t="s">
        <v>37</v>
      </c>
      <c r="D1447">
        <v>582</v>
      </c>
      <c r="E1447" t="s">
        <v>46</v>
      </c>
      <c r="G1447">
        <v>28</v>
      </c>
      <c r="H1447">
        <v>4</v>
      </c>
      <c r="I1447" t="s">
        <v>39</v>
      </c>
      <c r="J1447" t="str">
        <f>WA_Fn_UseC__HR_Employee_Attrition[[#This Row],[EducationField]]&amp;"-"&amp;WA_Fn_UseC__HR_Employee_Attrition[[#This Row],[Department]]</f>
        <v>Life Sciences-Research &amp; Development</v>
      </c>
      <c r="K1447">
        <v>1</v>
      </c>
      <c r="L1447">
        <v>2034</v>
      </c>
      <c r="M1447">
        <v>1</v>
      </c>
      <c r="N1447" t="s">
        <v>40</v>
      </c>
      <c r="O1447">
        <v>60</v>
      </c>
      <c r="P1447">
        <v>2</v>
      </c>
      <c r="Q1447">
        <v>4</v>
      </c>
      <c r="R1447" t="s">
        <v>54</v>
      </c>
      <c r="S1447">
        <v>2</v>
      </c>
      <c r="T1447" t="s">
        <v>49</v>
      </c>
      <c r="U1447">
        <v>13570</v>
      </c>
      <c r="V1447" t="str" cm="1">
        <f t="array" ref="V144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47">
        <v>5640</v>
      </c>
      <c r="X1447">
        <v>0</v>
      </c>
      <c r="Y1447" t="s">
        <v>43</v>
      </c>
      <c r="Z1447" t="s">
        <v>44</v>
      </c>
      <c r="AA1447">
        <v>23</v>
      </c>
      <c r="AB1447">
        <v>4</v>
      </c>
      <c r="AC1447">
        <v>3</v>
      </c>
      <c r="AD1447">
        <v>80</v>
      </c>
      <c r="AE1447">
        <v>1</v>
      </c>
      <c r="AF1447">
        <v>21</v>
      </c>
      <c r="AG1447">
        <v>3</v>
      </c>
      <c r="AH1447">
        <v>3</v>
      </c>
      <c r="AI1447">
        <v>20</v>
      </c>
      <c r="AJ1447">
        <v>7</v>
      </c>
      <c r="AK1447">
        <v>0</v>
      </c>
      <c r="AL1447" t="str" cm="1">
        <f t="array" ref="AL1447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47">
        <v>10</v>
      </c>
    </row>
    <row r="1448" spans="1:39" x14ac:dyDescent="0.25">
      <c r="A1448">
        <v>34</v>
      </c>
      <c r="B1448" t="s">
        <v>44</v>
      </c>
      <c r="C1448" t="s">
        <v>37</v>
      </c>
      <c r="D1448">
        <v>704</v>
      </c>
      <c r="E1448" t="s">
        <v>38</v>
      </c>
      <c r="G1448">
        <v>28</v>
      </c>
      <c r="H1448">
        <v>3</v>
      </c>
      <c r="I1448" t="s">
        <v>60</v>
      </c>
      <c r="J1448" t="str">
        <f>WA_Fn_UseC__HR_Employee_Attrition[[#This Row],[EducationField]]&amp;"-"&amp;WA_Fn_UseC__HR_Employee_Attrition[[#This Row],[Department]]</f>
        <v>Marketing-Sales</v>
      </c>
      <c r="K1448">
        <v>1</v>
      </c>
      <c r="L1448">
        <v>2035</v>
      </c>
      <c r="M1448">
        <v>4</v>
      </c>
      <c r="N1448" t="s">
        <v>40</v>
      </c>
      <c r="O1448">
        <v>95</v>
      </c>
      <c r="P1448">
        <v>2</v>
      </c>
      <c r="Q1448">
        <v>2</v>
      </c>
      <c r="R1448" t="s">
        <v>41</v>
      </c>
      <c r="S1448">
        <v>3</v>
      </c>
      <c r="T1448" t="s">
        <v>49</v>
      </c>
      <c r="U1448">
        <v>6712</v>
      </c>
      <c r="V1448" t="str" cm="1">
        <f t="array" ref="V144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48">
        <v>8978</v>
      </c>
      <c r="X1448">
        <v>1</v>
      </c>
      <c r="Y1448" t="s">
        <v>43</v>
      </c>
      <c r="Z1448" t="s">
        <v>44</v>
      </c>
      <c r="AA1448">
        <v>21</v>
      </c>
      <c r="AB1448">
        <v>4</v>
      </c>
      <c r="AC1448">
        <v>4</v>
      </c>
      <c r="AD1448">
        <v>80</v>
      </c>
      <c r="AE1448">
        <v>2</v>
      </c>
      <c r="AF1448">
        <v>8</v>
      </c>
      <c r="AG1448">
        <v>2</v>
      </c>
      <c r="AH1448">
        <v>3</v>
      </c>
      <c r="AI1448">
        <v>8</v>
      </c>
      <c r="AJ1448">
        <v>7</v>
      </c>
      <c r="AK1448">
        <v>1</v>
      </c>
      <c r="AL1448" t="str" cm="1">
        <f t="array" ref="AL144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48">
        <v>7</v>
      </c>
    </row>
    <row r="1449" spans="1:39" x14ac:dyDescent="0.25">
      <c r="A1449">
        <v>36</v>
      </c>
      <c r="B1449" t="s">
        <v>44</v>
      </c>
      <c r="C1449" t="s">
        <v>56</v>
      </c>
      <c r="D1449">
        <v>301</v>
      </c>
      <c r="E1449" t="s">
        <v>38</v>
      </c>
      <c r="G1449">
        <v>15</v>
      </c>
      <c r="H1449">
        <v>4</v>
      </c>
      <c r="I1449" t="s">
        <v>60</v>
      </c>
      <c r="J1449" t="str">
        <f>WA_Fn_UseC__HR_Employee_Attrition[[#This Row],[EducationField]]&amp;"-"&amp;WA_Fn_UseC__HR_Employee_Attrition[[#This Row],[Department]]</f>
        <v>Marketing-Sales</v>
      </c>
      <c r="K1449">
        <v>1</v>
      </c>
      <c r="L1449">
        <v>2036</v>
      </c>
      <c r="M1449">
        <v>4</v>
      </c>
      <c r="N1449" t="s">
        <v>47</v>
      </c>
      <c r="O1449">
        <v>88</v>
      </c>
      <c r="P1449">
        <v>1</v>
      </c>
      <c r="Q1449">
        <v>2</v>
      </c>
      <c r="R1449" t="s">
        <v>41</v>
      </c>
      <c r="S1449">
        <v>4</v>
      </c>
      <c r="T1449" t="s">
        <v>53</v>
      </c>
      <c r="U1449">
        <v>5406</v>
      </c>
      <c r="V1449" t="str" cm="1">
        <f t="array" ref="V144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49">
        <v>10436</v>
      </c>
      <c r="X1449">
        <v>1</v>
      </c>
      <c r="Y1449" t="s">
        <v>43</v>
      </c>
      <c r="Z1449" t="s">
        <v>44</v>
      </c>
      <c r="AA1449">
        <v>24</v>
      </c>
      <c r="AB1449">
        <v>4</v>
      </c>
      <c r="AC1449">
        <v>1</v>
      </c>
      <c r="AD1449">
        <v>80</v>
      </c>
      <c r="AE1449">
        <v>1</v>
      </c>
      <c r="AF1449">
        <v>15</v>
      </c>
      <c r="AG1449">
        <v>4</v>
      </c>
      <c r="AH1449">
        <v>2</v>
      </c>
      <c r="AI1449">
        <v>15</v>
      </c>
      <c r="AJ1449">
        <v>12</v>
      </c>
      <c r="AK1449">
        <v>11</v>
      </c>
      <c r="AL1449" t="str" cm="1">
        <f t="array" ref="AL1449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49">
        <v>11</v>
      </c>
    </row>
    <row r="1450" spans="1:39" x14ac:dyDescent="0.25">
      <c r="A1450">
        <v>41</v>
      </c>
      <c r="B1450" t="s">
        <v>44</v>
      </c>
      <c r="C1450" t="s">
        <v>37</v>
      </c>
      <c r="D1450">
        <v>930</v>
      </c>
      <c r="E1450" t="s">
        <v>38</v>
      </c>
      <c r="G1450">
        <v>3</v>
      </c>
      <c r="H1450">
        <v>3</v>
      </c>
      <c r="I1450" t="s">
        <v>39</v>
      </c>
      <c r="J1450" t="str">
        <f>WA_Fn_UseC__HR_Employee_Attrition[[#This Row],[EducationField]]&amp;"-"&amp;WA_Fn_UseC__HR_Employee_Attrition[[#This Row],[Department]]</f>
        <v>Life Sciences-Sales</v>
      </c>
      <c r="K1450">
        <v>1</v>
      </c>
      <c r="L1450">
        <v>2037</v>
      </c>
      <c r="M1450">
        <v>3</v>
      </c>
      <c r="N1450" t="s">
        <v>47</v>
      </c>
      <c r="O1450">
        <v>57</v>
      </c>
      <c r="P1450">
        <v>2</v>
      </c>
      <c r="Q1450">
        <v>2</v>
      </c>
      <c r="R1450" t="s">
        <v>41</v>
      </c>
      <c r="S1450">
        <v>2</v>
      </c>
      <c r="T1450" t="s">
        <v>53</v>
      </c>
      <c r="U1450">
        <v>8938</v>
      </c>
      <c r="V1450" t="str" cm="1">
        <f t="array" ref="V145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50">
        <v>12227</v>
      </c>
      <c r="X1450">
        <v>2</v>
      </c>
      <c r="Y1450" t="s">
        <v>43</v>
      </c>
      <c r="Z1450" t="s">
        <v>44</v>
      </c>
      <c r="AA1450">
        <v>11</v>
      </c>
      <c r="AB1450">
        <v>3</v>
      </c>
      <c r="AC1450">
        <v>3</v>
      </c>
      <c r="AD1450">
        <v>80</v>
      </c>
      <c r="AE1450">
        <v>1</v>
      </c>
      <c r="AF1450">
        <v>14</v>
      </c>
      <c r="AG1450">
        <v>5</v>
      </c>
      <c r="AH1450">
        <v>3</v>
      </c>
      <c r="AI1450">
        <v>5</v>
      </c>
      <c r="AJ1450">
        <v>4</v>
      </c>
      <c r="AK1450">
        <v>0</v>
      </c>
      <c r="AL1450" t="str" cm="1">
        <f t="array" ref="AL1450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50">
        <v>4</v>
      </c>
    </row>
    <row r="1451" spans="1:39" x14ac:dyDescent="0.25">
      <c r="A1451">
        <v>32</v>
      </c>
      <c r="B1451" t="s">
        <v>44</v>
      </c>
      <c r="C1451" t="s">
        <v>37</v>
      </c>
      <c r="D1451">
        <v>529</v>
      </c>
      <c r="E1451" t="s">
        <v>46</v>
      </c>
      <c r="G1451">
        <v>2</v>
      </c>
      <c r="H1451">
        <v>3</v>
      </c>
      <c r="I1451" t="s">
        <v>61</v>
      </c>
      <c r="J1451" t="str">
        <f>WA_Fn_UseC__HR_Employee_Attrition[[#This Row],[EducationField]]&amp;"-"&amp;WA_Fn_UseC__HR_Employee_Attrition[[#This Row],[Department]]</f>
        <v>Technical Degree-Research &amp; Development</v>
      </c>
      <c r="K1451">
        <v>1</v>
      </c>
      <c r="L1451">
        <v>2038</v>
      </c>
      <c r="M1451">
        <v>4</v>
      </c>
      <c r="N1451" t="s">
        <v>47</v>
      </c>
      <c r="O1451">
        <v>78</v>
      </c>
      <c r="P1451">
        <v>3</v>
      </c>
      <c r="Q1451">
        <v>1</v>
      </c>
      <c r="R1451" t="s">
        <v>48</v>
      </c>
      <c r="S1451">
        <v>1</v>
      </c>
      <c r="T1451" t="s">
        <v>42</v>
      </c>
      <c r="U1451">
        <v>2439</v>
      </c>
      <c r="V1451" t="str" cm="1">
        <f t="array" ref="V145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51">
        <v>11288</v>
      </c>
      <c r="X1451">
        <v>1</v>
      </c>
      <c r="Y1451" t="s">
        <v>43</v>
      </c>
      <c r="Z1451" t="s">
        <v>44</v>
      </c>
      <c r="AA1451">
        <v>14</v>
      </c>
      <c r="AB1451">
        <v>3</v>
      </c>
      <c r="AC1451">
        <v>4</v>
      </c>
      <c r="AD1451">
        <v>80</v>
      </c>
      <c r="AE1451">
        <v>0</v>
      </c>
      <c r="AF1451">
        <v>4</v>
      </c>
      <c r="AG1451">
        <v>4</v>
      </c>
      <c r="AH1451">
        <v>3</v>
      </c>
      <c r="AI1451">
        <v>4</v>
      </c>
      <c r="AJ1451">
        <v>2</v>
      </c>
      <c r="AK1451">
        <v>1</v>
      </c>
      <c r="AL1451" t="str" cm="1">
        <f t="array" ref="AL1451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51">
        <v>2</v>
      </c>
    </row>
    <row r="1452" spans="1:39" x14ac:dyDescent="0.25">
      <c r="A1452">
        <v>35</v>
      </c>
      <c r="B1452" t="s">
        <v>44</v>
      </c>
      <c r="C1452" t="s">
        <v>37</v>
      </c>
      <c r="D1452">
        <v>1146</v>
      </c>
      <c r="E1452" t="s">
        <v>62</v>
      </c>
      <c r="G1452">
        <v>26</v>
      </c>
      <c r="H1452">
        <v>4</v>
      </c>
      <c r="I1452" t="s">
        <v>39</v>
      </c>
      <c r="J1452" t="str">
        <f>WA_Fn_UseC__HR_Employee_Attrition[[#This Row],[EducationField]]&amp;"-"&amp;WA_Fn_UseC__HR_Employee_Attrition[[#This Row],[Department]]</f>
        <v>Life Sciences-Human Resources</v>
      </c>
      <c r="K1452">
        <v>1</v>
      </c>
      <c r="L1452">
        <v>2040</v>
      </c>
      <c r="M1452">
        <v>3</v>
      </c>
      <c r="N1452" t="s">
        <v>40</v>
      </c>
      <c r="O1452">
        <v>31</v>
      </c>
      <c r="P1452">
        <v>3</v>
      </c>
      <c r="Q1452">
        <v>3</v>
      </c>
      <c r="R1452" t="s">
        <v>62</v>
      </c>
      <c r="S1452">
        <v>4</v>
      </c>
      <c r="T1452" t="s">
        <v>42</v>
      </c>
      <c r="U1452">
        <v>8837</v>
      </c>
      <c r="V1452" t="str" cm="1">
        <f t="array" ref="V145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52">
        <v>16642</v>
      </c>
      <c r="X1452">
        <v>1</v>
      </c>
      <c r="Y1452" t="s">
        <v>43</v>
      </c>
      <c r="Z1452" t="s">
        <v>36</v>
      </c>
      <c r="AA1452">
        <v>16</v>
      </c>
      <c r="AB1452">
        <v>3</v>
      </c>
      <c r="AC1452">
        <v>3</v>
      </c>
      <c r="AD1452">
        <v>80</v>
      </c>
      <c r="AE1452">
        <v>0</v>
      </c>
      <c r="AF1452">
        <v>9</v>
      </c>
      <c r="AG1452">
        <v>2</v>
      </c>
      <c r="AH1452">
        <v>3</v>
      </c>
      <c r="AI1452">
        <v>9</v>
      </c>
      <c r="AJ1452">
        <v>0</v>
      </c>
      <c r="AK1452">
        <v>1</v>
      </c>
      <c r="AL1452" t="str" cm="1">
        <f t="array" ref="AL1452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52">
        <v>7</v>
      </c>
    </row>
    <row r="1453" spans="1:39" x14ac:dyDescent="0.25">
      <c r="A1453">
        <v>38</v>
      </c>
      <c r="B1453" t="s">
        <v>44</v>
      </c>
      <c r="C1453" t="s">
        <v>37</v>
      </c>
      <c r="D1453">
        <v>345</v>
      </c>
      <c r="E1453" t="s">
        <v>38</v>
      </c>
      <c r="G1453">
        <v>10</v>
      </c>
      <c r="H1453">
        <v>2</v>
      </c>
      <c r="I1453" t="s">
        <v>39</v>
      </c>
      <c r="J1453" t="str">
        <f>WA_Fn_UseC__HR_Employee_Attrition[[#This Row],[EducationField]]&amp;"-"&amp;WA_Fn_UseC__HR_Employee_Attrition[[#This Row],[Department]]</f>
        <v>Life Sciences-Sales</v>
      </c>
      <c r="K1453">
        <v>1</v>
      </c>
      <c r="L1453">
        <v>2041</v>
      </c>
      <c r="M1453">
        <v>1</v>
      </c>
      <c r="N1453" t="s">
        <v>40</v>
      </c>
      <c r="O1453">
        <v>100</v>
      </c>
      <c r="P1453">
        <v>3</v>
      </c>
      <c r="Q1453">
        <v>2</v>
      </c>
      <c r="R1453" t="s">
        <v>41</v>
      </c>
      <c r="S1453">
        <v>4</v>
      </c>
      <c r="T1453" t="s">
        <v>49</v>
      </c>
      <c r="U1453">
        <v>5343</v>
      </c>
      <c r="V1453" t="str" cm="1">
        <f t="array" ref="V145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53">
        <v>5982</v>
      </c>
      <c r="X1453">
        <v>1</v>
      </c>
      <c r="Y1453" t="s">
        <v>43</v>
      </c>
      <c r="Z1453" t="s">
        <v>44</v>
      </c>
      <c r="AA1453">
        <v>11</v>
      </c>
      <c r="AB1453">
        <v>3</v>
      </c>
      <c r="AC1453">
        <v>3</v>
      </c>
      <c r="AD1453">
        <v>80</v>
      </c>
      <c r="AE1453">
        <v>1</v>
      </c>
      <c r="AF1453">
        <v>10</v>
      </c>
      <c r="AG1453">
        <v>1</v>
      </c>
      <c r="AH1453">
        <v>3</v>
      </c>
      <c r="AI1453">
        <v>10</v>
      </c>
      <c r="AJ1453">
        <v>7</v>
      </c>
      <c r="AK1453">
        <v>1</v>
      </c>
      <c r="AL1453" t="str" cm="1">
        <f t="array" ref="AL1453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53">
        <v>9</v>
      </c>
    </row>
    <row r="1454" spans="1:39" x14ac:dyDescent="0.25">
      <c r="A1454">
        <v>50</v>
      </c>
      <c r="B1454" t="s">
        <v>36</v>
      </c>
      <c r="C1454" t="s">
        <v>45</v>
      </c>
      <c r="D1454">
        <v>878</v>
      </c>
      <c r="E1454" t="s">
        <v>38</v>
      </c>
      <c r="G1454">
        <v>1</v>
      </c>
      <c r="H1454">
        <v>4</v>
      </c>
      <c r="I1454" t="s">
        <v>39</v>
      </c>
      <c r="J1454" t="str">
        <f>WA_Fn_UseC__HR_Employee_Attrition[[#This Row],[EducationField]]&amp;"-"&amp;WA_Fn_UseC__HR_Employee_Attrition[[#This Row],[Department]]</f>
        <v>Life Sciences-Sales</v>
      </c>
      <c r="K1454">
        <v>1</v>
      </c>
      <c r="L1454">
        <v>2044</v>
      </c>
      <c r="M1454">
        <v>2</v>
      </c>
      <c r="N1454" t="s">
        <v>47</v>
      </c>
      <c r="O1454">
        <v>94</v>
      </c>
      <c r="P1454">
        <v>3</v>
      </c>
      <c r="Q1454">
        <v>2</v>
      </c>
      <c r="R1454" t="s">
        <v>41</v>
      </c>
      <c r="S1454">
        <v>3</v>
      </c>
      <c r="T1454" t="s">
        <v>53</v>
      </c>
      <c r="U1454">
        <v>6728</v>
      </c>
      <c r="V1454" t="str" cm="1">
        <f t="array" ref="V145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54">
        <v>14255</v>
      </c>
      <c r="X1454">
        <v>7</v>
      </c>
      <c r="Y1454" t="s">
        <v>43</v>
      </c>
      <c r="Z1454" t="s">
        <v>44</v>
      </c>
      <c r="AA1454">
        <v>12</v>
      </c>
      <c r="AB1454">
        <v>3</v>
      </c>
      <c r="AC1454">
        <v>4</v>
      </c>
      <c r="AD1454">
        <v>80</v>
      </c>
      <c r="AE1454">
        <v>2</v>
      </c>
      <c r="AF1454">
        <v>12</v>
      </c>
      <c r="AG1454">
        <v>3</v>
      </c>
      <c r="AH1454">
        <v>3</v>
      </c>
      <c r="AI1454">
        <v>6</v>
      </c>
      <c r="AJ1454">
        <v>3</v>
      </c>
      <c r="AK1454">
        <v>0</v>
      </c>
      <c r="AL1454" t="str" cm="1">
        <f t="array" ref="AL145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54">
        <v>1</v>
      </c>
    </row>
    <row r="1455" spans="1:39" x14ac:dyDescent="0.25">
      <c r="A1455">
        <v>36</v>
      </c>
      <c r="B1455" t="s">
        <v>44</v>
      </c>
      <c r="C1455" t="s">
        <v>37</v>
      </c>
      <c r="D1455">
        <v>1120</v>
      </c>
      <c r="E1455" t="s">
        <v>38</v>
      </c>
      <c r="G1455">
        <v>11</v>
      </c>
      <c r="H1455">
        <v>4</v>
      </c>
      <c r="I1455" t="s">
        <v>60</v>
      </c>
      <c r="J1455" t="str">
        <f>WA_Fn_UseC__HR_Employee_Attrition[[#This Row],[EducationField]]&amp;"-"&amp;WA_Fn_UseC__HR_Employee_Attrition[[#This Row],[Department]]</f>
        <v>Marketing-Sales</v>
      </c>
      <c r="K1455">
        <v>1</v>
      </c>
      <c r="L1455">
        <v>2045</v>
      </c>
      <c r="M1455">
        <v>2</v>
      </c>
      <c r="N1455" t="s">
        <v>40</v>
      </c>
      <c r="O1455">
        <v>100</v>
      </c>
      <c r="P1455">
        <v>2</v>
      </c>
      <c r="Q1455">
        <v>2</v>
      </c>
      <c r="R1455" t="s">
        <v>41</v>
      </c>
      <c r="S1455">
        <v>4</v>
      </c>
      <c r="T1455" t="s">
        <v>49</v>
      </c>
      <c r="U1455">
        <v>6652</v>
      </c>
      <c r="V1455" t="str" cm="1">
        <f t="array" ref="V145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55">
        <v>14369</v>
      </c>
      <c r="X1455">
        <v>4</v>
      </c>
      <c r="Y1455" t="s">
        <v>43</v>
      </c>
      <c r="Z1455" t="s">
        <v>44</v>
      </c>
      <c r="AA1455">
        <v>13</v>
      </c>
      <c r="AB1455">
        <v>3</v>
      </c>
      <c r="AC1455">
        <v>1</v>
      </c>
      <c r="AD1455">
        <v>80</v>
      </c>
      <c r="AE1455">
        <v>1</v>
      </c>
      <c r="AF1455">
        <v>8</v>
      </c>
      <c r="AG1455">
        <v>2</v>
      </c>
      <c r="AH1455">
        <v>2</v>
      </c>
      <c r="AI1455">
        <v>6</v>
      </c>
      <c r="AJ1455">
        <v>3</v>
      </c>
      <c r="AK1455">
        <v>0</v>
      </c>
      <c r="AL1455" t="str" cm="1">
        <f t="array" ref="AL145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55">
        <v>0</v>
      </c>
    </row>
    <row r="1456" spans="1:39" x14ac:dyDescent="0.25">
      <c r="A1456">
        <v>45</v>
      </c>
      <c r="B1456" t="s">
        <v>44</v>
      </c>
      <c r="C1456" t="s">
        <v>37</v>
      </c>
      <c r="D1456">
        <v>374</v>
      </c>
      <c r="E1456" t="s">
        <v>38</v>
      </c>
      <c r="G1456">
        <v>20</v>
      </c>
      <c r="H1456">
        <v>3</v>
      </c>
      <c r="I1456" t="s">
        <v>39</v>
      </c>
      <c r="J1456" t="str">
        <f>WA_Fn_UseC__HR_Employee_Attrition[[#This Row],[EducationField]]&amp;"-"&amp;WA_Fn_UseC__HR_Employee_Attrition[[#This Row],[Department]]</f>
        <v>Life Sciences-Sales</v>
      </c>
      <c r="K1456">
        <v>1</v>
      </c>
      <c r="L1456">
        <v>2046</v>
      </c>
      <c r="M1456">
        <v>4</v>
      </c>
      <c r="N1456" t="s">
        <v>40</v>
      </c>
      <c r="O1456">
        <v>50</v>
      </c>
      <c r="P1456">
        <v>3</v>
      </c>
      <c r="Q1456">
        <v>2</v>
      </c>
      <c r="R1456" t="s">
        <v>41</v>
      </c>
      <c r="S1456">
        <v>3</v>
      </c>
      <c r="T1456" t="s">
        <v>42</v>
      </c>
      <c r="U1456">
        <v>4850</v>
      </c>
      <c r="V1456" t="str" cm="1">
        <f t="array" ref="V145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56">
        <v>23333</v>
      </c>
      <c r="X1456">
        <v>8</v>
      </c>
      <c r="Y1456" t="s">
        <v>43</v>
      </c>
      <c r="Z1456" t="s">
        <v>44</v>
      </c>
      <c r="AA1456">
        <v>15</v>
      </c>
      <c r="AB1456">
        <v>3</v>
      </c>
      <c r="AC1456">
        <v>3</v>
      </c>
      <c r="AD1456">
        <v>80</v>
      </c>
      <c r="AE1456">
        <v>0</v>
      </c>
      <c r="AF1456">
        <v>8</v>
      </c>
      <c r="AG1456">
        <v>3</v>
      </c>
      <c r="AH1456">
        <v>3</v>
      </c>
      <c r="AI1456">
        <v>5</v>
      </c>
      <c r="AJ1456">
        <v>3</v>
      </c>
      <c r="AK1456">
        <v>0</v>
      </c>
      <c r="AL1456" t="str" cm="1">
        <f t="array" ref="AL1456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56">
        <v>1</v>
      </c>
    </row>
    <row r="1457" spans="1:39" x14ac:dyDescent="0.25">
      <c r="A1457">
        <v>40</v>
      </c>
      <c r="B1457" t="s">
        <v>44</v>
      </c>
      <c r="C1457" t="s">
        <v>37</v>
      </c>
      <c r="D1457">
        <v>1322</v>
      </c>
      <c r="E1457" t="s">
        <v>46</v>
      </c>
      <c r="G1457">
        <v>2</v>
      </c>
      <c r="H1457">
        <v>4</v>
      </c>
      <c r="I1457" t="s">
        <v>39</v>
      </c>
      <c r="J1457" t="str">
        <f>WA_Fn_UseC__HR_Employee_Attrition[[#This Row],[EducationField]]&amp;"-"&amp;WA_Fn_UseC__HR_Employee_Attrition[[#This Row],[Department]]</f>
        <v>Life Sciences-Research &amp; Development</v>
      </c>
      <c r="K1457">
        <v>1</v>
      </c>
      <c r="L1457">
        <v>2048</v>
      </c>
      <c r="M1457">
        <v>3</v>
      </c>
      <c r="N1457" t="s">
        <v>47</v>
      </c>
      <c r="O1457">
        <v>52</v>
      </c>
      <c r="P1457">
        <v>2</v>
      </c>
      <c r="Q1457">
        <v>1</v>
      </c>
      <c r="R1457" t="s">
        <v>48</v>
      </c>
      <c r="S1457">
        <v>3</v>
      </c>
      <c r="T1457" t="s">
        <v>42</v>
      </c>
      <c r="U1457">
        <v>2809</v>
      </c>
      <c r="V1457" t="str" cm="1">
        <f t="array" ref="V145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57">
        <v>2725</v>
      </c>
      <c r="X1457">
        <v>2</v>
      </c>
      <c r="Y1457" t="s">
        <v>43</v>
      </c>
      <c r="Z1457" t="s">
        <v>44</v>
      </c>
      <c r="AA1457">
        <v>14</v>
      </c>
      <c r="AB1457">
        <v>3</v>
      </c>
      <c r="AC1457">
        <v>4</v>
      </c>
      <c r="AD1457">
        <v>80</v>
      </c>
      <c r="AE1457">
        <v>0</v>
      </c>
      <c r="AF1457">
        <v>8</v>
      </c>
      <c r="AG1457">
        <v>2</v>
      </c>
      <c r="AH1457">
        <v>3</v>
      </c>
      <c r="AI1457">
        <v>2</v>
      </c>
      <c r="AJ1457">
        <v>2</v>
      </c>
      <c r="AK1457">
        <v>2</v>
      </c>
      <c r="AL1457" t="str" cm="1">
        <f t="array" ref="AL145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57">
        <v>2</v>
      </c>
    </row>
    <row r="1458" spans="1:39" x14ac:dyDescent="0.25">
      <c r="A1458">
        <v>35</v>
      </c>
      <c r="B1458" t="s">
        <v>44</v>
      </c>
      <c r="C1458" t="s">
        <v>45</v>
      </c>
      <c r="D1458">
        <v>1199</v>
      </c>
      <c r="E1458" t="s">
        <v>46</v>
      </c>
      <c r="G1458">
        <v>18</v>
      </c>
      <c r="H1458">
        <v>4</v>
      </c>
      <c r="I1458" t="s">
        <v>39</v>
      </c>
      <c r="J1458" t="str">
        <f>WA_Fn_UseC__HR_Employee_Attrition[[#This Row],[EducationField]]&amp;"-"&amp;WA_Fn_UseC__HR_Employee_Attrition[[#This Row],[Department]]</f>
        <v>Life Sciences-Research &amp; Development</v>
      </c>
      <c r="K1458">
        <v>1</v>
      </c>
      <c r="L1458">
        <v>2049</v>
      </c>
      <c r="M1458">
        <v>3</v>
      </c>
      <c r="N1458" t="s">
        <v>47</v>
      </c>
      <c r="O1458">
        <v>80</v>
      </c>
      <c r="P1458">
        <v>3</v>
      </c>
      <c r="Q1458">
        <v>2</v>
      </c>
      <c r="R1458" t="s">
        <v>55</v>
      </c>
      <c r="S1458">
        <v>3</v>
      </c>
      <c r="T1458" t="s">
        <v>49</v>
      </c>
      <c r="U1458">
        <v>5689</v>
      </c>
      <c r="V1458" t="str" cm="1">
        <f t="array" ref="V145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58">
        <v>24594</v>
      </c>
      <c r="X1458">
        <v>1</v>
      </c>
      <c r="Y1458" t="s">
        <v>43</v>
      </c>
      <c r="Z1458" t="s">
        <v>36</v>
      </c>
      <c r="AA1458">
        <v>14</v>
      </c>
      <c r="AB1458">
        <v>3</v>
      </c>
      <c r="AC1458">
        <v>4</v>
      </c>
      <c r="AD1458">
        <v>80</v>
      </c>
      <c r="AE1458">
        <v>2</v>
      </c>
      <c r="AF1458">
        <v>10</v>
      </c>
      <c r="AG1458">
        <v>2</v>
      </c>
      <c r="AH1458">
        <v>4</v>
      </c>
      <c r="AI1458">
        <v>10</v>
      </c>
      <c r="AJ1458">
        <v>2</v>
      </c>
      <c r="AK1458">
        <v>0</v>
      </c>
      <c r="AL1458" t="str" cm="1">
        <f t="array" ref="AL1458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58">
        <v>2</v>
      </c>
    </row>
    <row r="1459" spans="1:39" x14ac:dyDescent="0.25">
      <c r="A1459">
        <v>40</v>
      </c>
      <c r="B1459" t="s">
        <v>44</v>
      </c>
      <c r="C1459" t="s">
        <v>37</v>
      </c>
      <c r="D1459">
        <v>1194</v>
      </c>
      <c r="E1459" t="s">
        <v>46</v>
      </c>
      <c r="G1459">
        <v>2</v>
      </c>
      <c r="H1459">
        <v>4</v>
      </c>
      <c r="I1459" t="s">
        <v>52</v>
      </c>
      <c r="J1459" t="str">
        <f>WA_Fn_UseC__HR_Employee_Attrition[[#This Row],[EducationField]]&amp;"-"&amp;WA_Fn_UseC__HR_Employee_Attrition[[#This Row],[Department]]</f>
        <v>Medical-Research &amp; Development</v>
      </c>
      <c r="K1459">
        <v>1</v>
      </c>
      <c r="L1459">
        <v>2051</v>
      </c>
      <c r="M1459">
        <v>3</v>
      </c>
      <c r="N1459" t="s">
        <v>40</v>
      </c>
      <c r="O1459">
        <v>98</v>
      </c>
      <c r="P1459">
        <v>3</v>
      </c>
      <c r="Q1459">
        <v>1</v>
      </c>
      <c r="R1459" t="s">
        <v>48</v>
      </c>
      <c r="S1459">
        <v>3</v>
      </c>
      <c r="T1459" t="s">
        <v>49</v>
      </c>
      <c r="U1459">
        <v>2001</v>
      </c>
      <c r="V1459" t="str" cm="1">
        <f t="array" ref="V145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59">
        <v>12549</v>
      </c>
      <c r="X1459">
        <v>2</v>
      </c>
      <c r="Y1459" t="s">
        <v>43</v>
      </c>
      <c r="Z1459" t="s">
        <v>44</v>
      </c>
      <c r="AA1459">
        <v>14</v>
      </c>
      <c r="AB1459">
        <v>3</v>
      </c>
      <c r="AC1459">
        <v>2</v>
      </c>
      <c r="AD1459">
        <v>80</v>
      </c>
      <c r="AE1459">
        <v>3</v>
      </c>
      <c r="AF1459">
        <v>20</v>
      </c>
      <c r="AG1459">
        <v>2</v>
      </c>
      <c r="AH1459">
        <v>3</v>
      </c>
      <c r="AI1459">
        <v>5</v>
      </c>
      <c r="AJ1459">
        <v>3</v>
      </c>
      <c r="AK1459">
        <v>0</v>
      </c>
      <c r="AL1459" t="str" cm="1">
        <f t="array" ref="AL1459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59">
        <v>2</v>
      </c>
    </row>
    <row r="1460" spans="1:39" x14ac:dyDescent="0.25">
      <c r="A1460">
        <v>35</v>
      </c>
      <c r="B1460" t="s">
        <v>44</v>
      </c>
      <c r="C1460" t="s">
        <v>37</v>
      </c>
      <c r="D1460">
        <v>287</v>
      </c>
      <c r="E1460" t="s">
        <v>46</v>
      </c>
      <c r="G1460">
        <v>1</v>
      </c>
      <c r="H1460">
        <v>4</v>
      </c>
      <c r="I1460" t="s">
        <v>39</v>
      </c>
      <c r="J1460" t="str">
        <f>WA_Fn_UseC__HR_Employee_Attrition[[#This Row],[EducationField]]&amp;"-"&amp;WA_Fn_UseC__HR_Employee_Attrition[[#This Row],[Department]]</f>
        <v>Life Sciences-Research &amp; Development</v>
      </c>
      <c r="K1460">
        <v>1</v>
      </c>
      <c r="L1460">
        <v>2052</v>
      </c>
      <c r="M1460">
        <v>3</v>
      </c>
      <c r="N1460" t="s">
        <v>40</v>
      </c>
      <c r="O1460">
        <v>62</v>
      </c>
      <c r="P1460">
        <v>1</v>
      </c>
      <c r="Q1460">
        <v>1</v>
      </c>
      <c r="R1460" t="s">
        <v>48</v>
      </c>
      <c r="S1460">
        <v>4</v>
      </c>
      <c r="T1460" t="s">
        <v>49</v>
      </c>
      <c r="U1460">
        <v>2977</v>
      </c>
      <c r="V1460" t="str" cm="1">
        <f t="array" ref="V146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60">
        <v>8952</v>
      </c>
      <c r="X1460">
        <v>1</v>
      </c>
      <c r="Y1460" t="s">
        <v>43</v>
      </c>
      <c r="Z1460" t="s">
        <v>44</v>
      </c>
      <c r="AA1460">
        <v>12</v>
      </c>
      <c r="AB1460">
        <v>3</v>
      </c>
      <c r="AC1460">
        <v>4</v>
      </c>
      <c r="AD1460">
        <v>80</v>
      </c>
      <c r="AE1460">
        <v>1</v>
      </c>
      <c r="AF1460">
        <v>4</v>
      </c>
      <c r="AG1460">
        <v>5</v>
      </c>
      <c r="AH1460">
        <v>3</v>
      </c>
      <c r="AI1460">
        <v>4</v>
      </c>
      <c r="AJ1460">
        <v>3</v>
      </c>
      <c r="AK1460">
        <v>1</v>
      </c>
      <c r="AL1460" t="str" cm="1">
        <f t="array" ref="AL1460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60">
        <v>1</v>
      </c>
    </row>
    <row r="1461" spans="1:39" x14ac:dyDescent="0.25">
      <c r="A1461">
        <v>29</v>
      </c>
      <c r="B1461" t="s">
        <v>44</v>
      </c>
      <c r="C1461" t="s">
        <v>37</v>
      </c>
      <c r="D1461">
        <v>1378</v>
      </c>
      <c r="E1461" t="s">
        <v>46</v>
      </c>
      <c r="G1461">
        <v>13</v>
      </c>
      <c r="H1461">
        <v>2</v>
      </c>
      <c r="I1461" t="s">
        <v>50</v>
      </c>
      <c r="J1461" t="str">
        <f>WA_Fn_UseC__HR_Employee_Attrition[[#This Row],[EducationField]]&amp;"-"&amp;WA_Fn_UseC__HR_Employee_Attrition[[#This Row],[Department]]</f>
        <v>Other-Research &amp; Development</v>
      </c>
      <c r="K1461">
        <v>1</v>
      </c>
      <c r="L1461">
        <v>2053</v>
      </c>
      <c r="M1461">
        <v>4</v>
      </c>
      <c r="N1461" t="s">
        <v>47</v>
      </c>
      <c r="O1461">
        <v>46</v>
      </c>
      <c r="P1461">
        <v>2</v>
      </c>
      <c r="Q1461">
        <v>2</v>
      </c>
      <c r="R1461" t="s">
        <v>51</v>
      </c>
      <c r="S1461">
        <v>2</v>
      </c>
      <c r="T1461" t="s">
        <v>49</v>
      </c>
      <c r="U1461">
        <v>4025</v>
      </c>
      <c r="V1461" t="str" cm="1">
        <f t="array" ref="V146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61">
        <v>23679</v>
      </c>
      <c r="X1461">
        <v>4</v>
      </c>
      <c r="Y1461" t="s">
        <v>43</v>
      </c>
      <c r="Z1461" t="s">
        <v>36</v>
      </c>
      <c r="AA1461">
        <v>13</v>
      </c>
      <c r="AB1461">
        <v>3</v>
      </c>
      <c r="AC1461">
        <v>1</v>
      </c>
      <c r="AD1461">
        <v>80</v>
      </c>
      <c r="AE1461">
        <v>1</v>
      </c>
      <c r="AF1461">
        <v>10</v>
      </c>
      <c r="AG1461">
        <v>2</v>
      </c>
      <c r="AH1461">
        <v>3</v>
      </c>
      <c r="AI1461">
        <v>4</v>
      </c>
      <c r="AJ1461">
        <v>3</v>
      </c>
      <c r="AK1461">
        <v>0</v>
      </c>
      <c r="AL1461" t="str" cm="1">
        <f t="array" ref="AL146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61">
        <v>3</v>
      </c>
    </row>
    <row r="1462" spans="1:39" x14ac:dyDescent="0.25">
      <c r="A1462">
        <v>29</v>
      </c>
      <c r="B1462" t="s">
        <v>44</v>
      </c>
      <c r="C1462" t="s">
        <v>37</v>
      </c>
      <c r="D1462">
        <v>468</v>
      </c>
      <c r="E1462" t="s">
        <v>46</v>
      </c>
      <c r="G1462">
        <v>28</v>
      </c>
      <c r="H1462">
        <v>4</v>
      </c>
      <c r="I1462" t="s">
        <v>52</v>
      </c>
      <c r="J1462" t="str">
        <f>WA_Fn_UseC__HR_Employee_Attrition[[#This Row],[EducationField]]&amp;"-"&amp;WA_Fn_UseC__HR_Employee_Attrition[[#This Row],[Department]]</f>
        <v>Medical-Research &amp; Development</v>
      </c>
      <c r="K1462">
        <v>1</v>
      </c>
      <c r="L1462">
        <v>2054</v>
      </c>
      <c r="M1462">
        <v>4</v>
      </c>
      <c r="N1462" t="s">
        <v>40</v>
      </c>
      <c r="O1462">
        <v>73</v>
      </c>
      <c r="P1462">
        <v>2</v>
      </c>
      <c r="Q1462">
        <v>1</v>
      </c>
      <c r="R1462" t="s">
        <v>48</v>
      </c>
      <c r="S1462">
        <v>1</v>
      </c>
      <c r="T1462" t="s">
        <v>42</v>
      </c>
      <c r="U1462">
        <v>3785</v>
      </c>
      <c r="V1462" t="str" cm="1">
        <f t="array" ref="V146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62">
        <v>8489</v>
      </c>
      <c r="X1462">
        <v>1</v>
      </c>
      <c r="Y1462" t="s">
        <v>43</v>
      </c>
      <c r="Z1462" t="s">
        <v>44</v>
      </c>
      <c r="AA1462">
        <v>14</v>
      </c>
      <c r="AB1462">
        <v>3</v>
      </c>
      <c r="AC1462">
        <v>2</v>
      </c>
      <c r="AD1462">
        <v>80</v>
      </c>
      <c r="AE1462">
        <v>0</v>
      </c>
      <c r="AF1462">
        <v>5</v>
      </c>
      <c r="AG1462">
        <v>3</v>
      </c>
      <c r="AH1462">
        <v>1</v>
      </c>
      <c r="AI1462">
        <v>5</v>
      </c>
      <c r="AJ1462">
        <v>4</v>
      </c>
      <c r="AK1462">
        <v>0</v>
      </c>
      <c r="AL1462" t="str" cm="1">
        <f t="array" ref="AL1462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62">
        <v>4</v>
      </c>
    </row>
    <row r="1463" spans="1:39" x14ac:dyDescent="0.25">
      <c r="A1463">
        <v>50</v>
      </c>
      <c r="B1463" t="s">
        <v>36</v>
      </c>
      <c r="C1463" t="s">
        <v>37</v>
      </c>
      <c r="D1463">
        <v>410</v>
      </c>
      <c r="E1463" t="s">
        <v>38</v>
      </c>
      <c r="G1463">
        <v>28</v>
      </c>
      <c r="H1463">
        <v>3</v>
      </c>
      <c r="I1463" t="s">
        <v>60</v>
      </c>
      <c r="J1463" t="str">
        <f>WA_Fn_UseC__HR_Employee_Attrition[[#This Row],[EducationField]]&amp;"-"&amp;WA_Fn_UseC__HR_Employee_Attrition[[#This Row],[Department]]</f>
        <v>Marketing-Sales</v>
      </c>
      <c r="K1463">
        <v>1</v>
      </c>
      <c r="L1463">
        <v>2055</v>
      </c>
      <c r="M1463">
        <v>4</v>
      </c>
      <c r="N1463" t="s">
        <v>47</v>
      </c>
      <c r="O1463">
        <v>39</v>
      </c>
      <c r="P1463">
        <v>2</v>
      </c>
      <c r="Q1463">
        <v>3</v>
      </c>
      <c r="R1463" t="s">
        <v>41</v>
      </c>
      <c r="S1463">
        <v>1</v>
      </c>
      <c r="T1463" t="s">
        <v>53</v>
      </c>
      <c r="U1463">
        <v>10854</v>
      </c>
      <c r="V1463" t="str" cm="1">
        <f t="array" ref="V146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63">
        <v>16586</v>
      </c>
      <c r="X1463">
        <v>4</v>
      </c>
      <c r="Y1463" t="s">
        <v>43</v>
      </c>
      <c r="Z1463" t="s">
        <v>36</v>
      </c>
      <c r="AA1463">
        <v>13</v>
      </c>
      <c r="AB1463">
        <v>3</v>
      </c>
      <c r="AC1463">
        <v>2</v>
      </c>
      <c r="AD1463">
        <v>80</v>
      </c>
      <c r="AE1463">
        <v>1</v>
      </c>
      <c r="AF1463">
        <v>20</v>
      </c>
      <c r="AG1463">
        <v>3</v>
      </c>
      <c r="AH1463">
        <v>3</v>
      </c>
      <c r="AI1463">
        <v>3</v>
      </c>
      <c r="AJ1463">
        <v>2</v>
      </c>
      <c r="AK1463">
        <v>2</v>
      </c>
      <c r="AL1463" t="str" cm="1">
        <f t="array" ref="AL1463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63">
        <v>0</v>
      </c>
    </row>
    <row r="1464" spans="1:39" x14ac:dyDescent="0.25">
      <c r="A1464">
        <v>39</v>
      </c>
      <c r="B1464" t="s">
        <v>44</v>
      </c>
      <c r="C1464" t="s">
        <v>37</v>
      </c>
      <c r="D1464">
        <v>722</v>
      </c>
      <c r="E1464" t="s">
        <v>38</v>
      </c>
      <c r="G1464">
        <v>24</v>
      </c>
      <c r="H1464">
        <v>1</v>
      </c>
      <c r="I1464" t="s">
        <v>60</v>
      </c>
      <c r="J1464" t="str">
        <f>WA_Fn_UseC__HR_Employee_Attrition[[#This Row],[EducationField]]&amp;"-"&amp;WA_Fn_UseC__HR_Employee_Attrition[[#This Row],[Department]]</f>
        <v>Marketing-Sales</v>
      </c>
      <c r="K1464">
        <v>1</v>
      </c>
      <c r="L1464">
        <v>2056</v>
      </c>
      <c r="M1464">
        <v>2</v>
      </c>
      <c r="N1464" t="s">
        <v>40</v>
      </c>
      <c r="O1464">
        <v>60</v>
      </c>
      <c r="P1464">
        <v>2</v>
      </c>
      <c r="Q1464">
        <v>4</v>
      </c>
      <c r="R1464" t="s">
        <v>41</v>
      </c>
      <c r="S1464">
        <v>4</v>
      </c>
      <c r="T1464" t="s">
        <v>49</v>
      </c>
      <c r="U1464">
        <v>12031</v>
      </c>
      <c r="V1464" t="str" cm="1">
        <f t="array" ref="V146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64">
        <v>8828</v>
      </c>
      <c r="X1464">
        <v>0</v>
      </c>
      <c r="Y1464" t="s">
        <v>43</v>
      </c>
      <c r="Z1464" t="s">
        <v>44</v>
      </c>
      <c r="AA1464">
        <v>11</v>
      </c>
      <c r="AB1464">
        <v>3</v>
      </c>
      <c r="AC1464">
        <v>1</v>
      </c>
      <c r="AD1464">
        <v>80</v>
      </c>
      <c r="AE1464">
        <v>1</v>
      </c>
      <c r="AF1464">
        <v>21</v>
      </c>
      <c r="AG1464">
        <v>2</v>
      </c>
      <c r="AH1464">
        <v>2</v>
      </c>
      <c r="AI1464">
        <v>20</v>
      </c>
      <c r="AJ1464">
        <v>9</v>
      </c>
      <c r="AK1464">
        <v>9</v>
      </c>
      <c r="AL1464" t="str" cm="1">
        <f t="array" ref="AL1464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64">
        <v>6</v>
      </c>
    </row>
    <row r="1465" spans="1:39" x14ac:dyDescent="0.25">
      <c r="A1465">
        <v>31</v>
      </c>
      <c r="B1465" t="s">
        <v>44</v>
      </c>
      <c r="C1465" t="s">
        <v>56</v>
      </c>
      <c r="D1465">
        <v>325</v>
      </c>
      <c r="E1465" t="s">
        <v>46</v>
      </c>
      <c r="G1465">
        <v>5</v>
      </c>
      <c r="H1465">
        <v>3</v>
      </c>
      <c r="I1465" t="s">
        <v>52</v>
      </c>
      <c r="J1465" t="str">
        <f>WA_Fn_UseC__HR_Employee_Attrition[[#This Row],[EducationField]]&amp;"-"&amp;WA_Fn_UseC__HR_Employee_Attrition[[#This Row],[Department]]</f>
        <v>Medical-Research &amp; Development</v>
      </c>
      <c r="K1465">
        <v>1</v>
      </c>
      <c r="L1465">
        <v>2057</v>
      </c>
      <c r="M1465">
        <v>2</v>
      </c>
      <c r="N1465" t="s">
        <v>47</v>
      </c>
      <c r="O1465">
        <v>74</v>
      </c>
      <c r="P1465">
        <v>3</v>
      </c>
      <c r="Q1465">
        <v>2</v>
      </c>
      <c r="R1465" t="s">
        <v>54</v>
      </c>
      <c r="S1465">
        <v>1</v>
      </c>
      <c r="T1465" t="s">
        <v>42</v>
      </c>
      <c r="U1465">
        <v>9936</v>
      </c>
      <c r="V1465" t="str" cm="1">
        <f t="array" ref="V146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65">
        <v>3787</v>
      </c>
      <c r="X1465">
        <v>0</v>
      </c>
      <c r="Y1465" t="s">
        <v>43</v>
      </c>
      <c r="Z1465" t="s">
        <v>44</v>
      </c>
      <c r="AA1465">
        <v>19</v>
      </c>
      <c r="AB1465">
        <v>3</v>
      </c>
      <c r="AC1465">
        <v>2</v>
      </c>
      <c r="AD1465">
        <v>80</v>
      </c>
      <c r="AE1465">
        <v>0</v>
      </c>
      <c r="AF1465">
        <v>10</v>
      </c>
      <c r="AG1465">
        <v>2</v>
      </c>
      <c r="AH1465">
        <v>3</v>
      </c>
      <c r="AI1465">
        <v>9</v>
      </c>
      <c r="AJ1465">
        <v>4</v>
      </c>
      <c r="AK1465">
        <v>1</v>
      </c>
      <c r="AL1465" t="str" cm="1">
        <f t="array" ref="AL1465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65">
        <v>7</v>
      </c>
    </row>
    <row r="1466" spans="1:39" x14ac:dyDescent="0.25">
      <c r="A1466">
        <v>26</v>
      </c>
      <c r="B1466" t="s">
        <v>44</v>
      </c>
      <c r="C1466" t="s">
        <v>37</v>
      </c>
      <c r="D1466">
        <v>1167</v>
      </c>
      <c r="E1466" t="s">
        <v>38</v>
      </c>
      <c r="G1466">
        <v>5</v>
      </c>
      <c r="H1466">
        <v>3</v>
      </c>
      <c r="I1466" t="s">
        <v>50</v>
      </c>
      <c r="J1466" t="str">
        <f>WA_Fn_UseC__HR_Employee_Attrition[[#This Row],[EducationField]]&amp;"-"&amp;WA_Fn_UseC__HR_Employee_Attrition[[#This Row],[Department]]</f>
        <v>Other-Sales</v>
      </c>
      <c r="K1466">
        <v>1</v>
      </c>
      <c r="L1466">
        <v>2060</v>
      </c>
      <c r="M1466">
        <v>4</v>
      </c>
      <c r="N1466" t="s">
        <v>40</v>
      </c>
      <c r="O1466">
        <v>30</v>
      </c>
      <c r="P1466">
        <v>2</v>
      </c>
      <c r="Q1466">
        <v>1</v>
      </c>
      <c r="R1466" t="s">
        <v>58</v>
      </c>
      <c r="S1466">
        <v>3</v>
      </c>
      <c r="T1466" t="s">
        <v>42</v>
      </c>
      <c r="U1466">
        <v>2966</v>
      </c>
      <c r="V1466" t="str" cm="1">
        <f t="array" ref="V146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66">
        <v>21378</v>
      </c>
      <c r="X1466">
        <v>0</v>
      </c>
      <c r="Y1466" t="s">
        <v>43</v>
      </c>
      <c r="Z1466" t="s">
        <v>44</v>
      </c>
      <c r="AA1466">
        <v>18</v>
      </c>
      <c r="AB1466">
        <v>3</v>
      </c>
      <c r="AC1466">
        <v>4</v>
      </c>
      <c r="AD1466">
        <v>80</v>
      </c>
      <c r="AE1466">
        <v>0</v>
      </c>
      <c r="AF1466">
        <v>5</v>
      </c>
      <c r="AG1466">
        <v>2</v>
      </c>
      <c r="AH1466">
        <v>3</v>
      </c>
      <c r="AI1466">
        <v>4</v>
      </c>
      <c r="AJ1466">
        <v>2</v>
      </c>
      <c r="AK1466">
        <v>0</v>
      </c>
      <c r="AL1466" t="str" cm="1">
        <f t="array" ref="AL1466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66">
        <v>0</v>
      </c>
    </row>
    <row r="1467" spans="1:39" x14ac:dyDescent="0.25">
      <c r="A1467">
        <v>36</v>
      </c>
      <c r="B1467" t="s">
        <v>44</v>
      </c>
      <c r="C1467" t="s">
        <v>45</v>
      </c>
      <c r="D1467">
        <v>884</v>
      </c>
      <c r="E1467" t="s">
        <v>46</v>
      </c>
      <c r="G1467">
        <v>23</v>
      </c>
      <c r="H1467">
        <v>2</v>
      </c>
      <c r="I1467" t="s">
        <v>52</v>
      </c>
      <c r="J1467" t="str">
        <f>WA_Fn_UseC__HR_Employee_Attrition[[#This Row],[EducationField]]&amp;"-"&amp;WA_Fn_UseC__HR_Employee_Attrition[[#This Row],[Department]]</f>
        <v>Medical-Research &amp; Development</v>
      </c>
      <c r="K1467">
        <v>1</v>
      </c>
      <c r="L1467">
        <v>2061</v>
      </c>
      <c r="M1467">
        <v>3</v>
      </c>
      <c r="N1467" t="s">
        <v>47</v>
      </c>
      <c r="O1467">
        <v>41</v>
      </c>
      <c r="P1467">
        <v>4</v>
      </c>
      <c r="Q1467">
        <v>2</v>
      </c>
      <c r="R1467" t="s">
        <v>51</v>
      </c>
      <c r="S1467">
        <v>4</v>
      </c>
      <c r="T1467" t="s">
        <v>49</v>
      </c>
      <c r="U1467">
        <v>2571</v>
      </c>
      <c r="V1467" t="str" cm="1">
        <f t="array" ref="V146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W1467">
        <v>12290</v>
      </c>
      <c r="X1467">
        <v>4</v>
      </c>
      <c r="Y1467" t="s">
        <v>43</v>
      </c>
      <c r="Z1467" t="s">
        <v>44</v>
      </c>
      <c r="AA1467">
        <v>17</v>
      </c>
      <c r="AB1467">
        <v>3</v>
      </c>
      <c r="AC1467">
        <v>3</v>
      </c>
      <c r="AD1467">
        <v>80</v>
      </c>
      <c r="AE1467">
        <v>1</v>
      </c>
      <c r="AF1467">
        <v>17</v>
      </c>
      <c r="AG1467">
        <v>3</v>
      </c>
      <c r="AH1467">
        <v>3</v>
      </c>
      <c r="AI1467">
        <v>5</v>
      </c>
      <c r="AJ1467">
        <v>2</v>
      </c>
      <c r="AK1467">
        <v>0</v>
      </c>
      <c r="AL1467" t="str" cm="1">
        <f t="array" ref="AL1467">_xlfn.IFS(WA_Fn_UseC__HR_Employee_Attrition[[#This Row],[MonthlyIncome]]&lt;3000,"Low",WA_Fn_UseC__HR_Employee_Attrition[[#This Row],[MonthlyIncome]]&lt;6000,"Medium",WA_Fn_UseC__HR_Employee_Attrition[[#This Row],[MonthlyIncome]]&gt;6000,"High")</f>
        <v>Low</v>
      </c>
      <c r="AM1467">
        <v>3</v>
      </c>
    </row>
    <row r="1468" spans="1:39" x14ac:dyDescent="0.25">
      <c r="A1468">
        <v>39</v>
      </c>
      <c r="B1468" t="s">
        <v>44</v>
      </c>
      <c r="C1468" t="s">
        <v>37</v>
      </c>
      <c r="D1468">
        <v>613</v>
      </c>
      <c r="E1468" t="s">
        <v>46</v>
      </c>
      <c r="G1468">
        <v>6</v>
      </c>
      <c r="H1468">
        <v>1</v>
      </c>
      <c r="I1468" t="s">
        <v>52</v>
      </c>
      <c r="J1468" t="str">
        <f>WA_Fn_UseC__HR_Employee_Attrition[[#This Row],[EducationField]]&amp;"-"&amp;WA_Fn_UseC__HR_Employee_Attrition[[#This Row],[Department]]</f>
        <v>Medical-Research &amp; Development</v>
      </c>
      <c r="K1468">
        <v>1</v>
      </c>
      <c r="L1468">
        <v>2062</v>
      </c>
      <c r="M1468">
        <v>4</v>
      </c>
      <c r="N1468" t="s">
        <v>47</v>
      </c>
      <c r="O1468">
        <v>42</v>
      </c>
      <c r="P1468">
        <v>2</v>
      </c>
      <c r="Q1468">
        <v>3</v>
      </c>
      <c r="R1468" t="s">
        <v>55</v>
      </c>
      <c r="S1468">
        <v>1</v>
      </c>
      <c r="T1468" t="s">
        <v>49</v>
      </c>
      <c r="U1468">
        <v>9991</v>
      </c>
      <c r="V1468" t="str" cm="1">
        <f t="array" ref="V146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68">
        <v>21457</v>
      </c>
      <c r="X1468">
        <v>4</v>
      </c>
      <c r="Y1468" t="s">
        <v>43</v>
      </c>
      <c r="Z1468" t="s">
        <v>44</v>
      </c>
      <c r="AA1468">
        <v>15</v>
      </c>
      <c r="AB1468">
        <v>3</v>
      </c>
      <c r="AC1468">
        <v>1</v>
      </c>
      <c r="AD1468">
        <v>80</v>
      </c>
      <c r="AE1468">
        <v>1</v>
      </c>
      <c r="AF1468">
        <v>9</v>
      </c>
      <c r="AG1468">
        <v>5</v>
      </c>
      <c r="AH1468">
        <v>3</v>
      </c>
      <c r="AI1468">
        <v>7</v>
      </c>
      <c r="AJ1468">
        <v>7</v>
      </c>
      <c r="AK1468">
        <v>1</v>
      </c>
      <c r="AL1468" t="str" cm="1">
        <f t="array" ref="AL1468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68">
        <v>7</v>
      </c>
    </row>
    <row r="1469" spans="1:39" x14ac:dyDescent="0.25">
      <c r="A1469">
        <v>27</v>
      </c>
      <c r="B1469" t="s">
        <v>44</v>
      </c>
      <c r="C1469" t="s">
        <v>37</v>
      </c>
      <c r="D1469">
        <v>155</v>
      </c>
      <c r="E1469" t="s">
        <v>46</v>
      </c>
      <c r="G1469">
        <v>4</v>
      </c>
      <c r="H1469">
        <v>3</v>
      </c>
      <c r="I1469" t="s">
        <v>39</v>
      </c>
      <c r="J1469" t="str">
        <f>WA_Fn_UseC__HR_Employee_Attrition[[#This Row],[EducationField]]&amp;"-"&amp;WA_Fn_UseC__HR_Employee_Attrition[[#This Row],[Department]]</f>
        <v>Life Sciences-Research &amp; Development</v>
      </c>
      <c r="K1469">
        <v>1</v>
      </c>
      <c r="L1469">
        <v>2064</v>
      </c>
      <c r="M1469">
        <v>2</v>
      </c>
      <c r="N1469" t="s">
        <v>47</v>
      </c>
      <c r="O1469">
        <v>87</v>
      </c>
      <c r="P1469">
        <v>4</v>
      </c>
      <c r="Q1469">
        <v>2</v>
      </c>
      <c r="R1469" t="s">
        <v>54</v>
      </c>
      <c r="S1469">
        <v>2</v>
      </c>
      <c r="T1469" t="s">
        <v>49</v>
      </c>
      <c r="U1469">
        <v>6142</v>
      </c>
      <c r="V1469" t="str" cm="1">
        <f t="array" ref="V146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W1469">
        <v>5174</v>
      </c>
      <c r="X1469">
        <v>1</v>
      </c>
      <c r="Y1469" t="s">
        <v>43</v>
      </c>
      <c r="Z1469" t="s">
        <v>36</v>
      </c>
      <c r="AA1469">
        <v>20</v>
      </c>
      <c r="AB1469">
        <v>4</v>
      </c>
      <c r="AC1469">
        <v>2</v>
      </c>
      <c r="AD1469">
        <v>80</v>
      </c>
      <c r="AE1469">
        <v>1</v>
      </c>
      <c r="AF1469">
        <v>6</v>
      </c>
      <c r="AG1469">
        <v>0</v>
      </c>
      <c r="AH1469">
        <v>3</v>
      </c>
      <c r="AI1469">
        <v>6</v>
      </c>
      <c r="AJ1469">
        <v>2</v>
      </c>
      <c r="AK1469">
        <v>0</v>
      </c>
      <c r="AL1469" t="str" cm="1">
        <f t="array" ref="AL1469">_xlfn.IFS(WA_Fn_UseC__HR_Employee_Attrition[[#This Row],[MonthlyIncome]]&lt;3000,"Low",WA_Fn_UseC__HR_Employee_Attrition[[#This Row],[MonthlyIncome]]&lt;6000,"Medium",WA_Fn_UseC__HR_Employee_Attrition[[#This Row],[MonthlyIncome]]&gt;6000,"High")</f>
        <v>High</v>
      </c>
      <c r="AM1469">
        <v>3</v>
      </c>
    </row>
    <row r="1470" spans="1:39" x14ac:dyDescent="0.25">
      <c r="A1470">
        <v>49</v>
      </c>
      <c r="B1470" t="s">
        <v>44</v>
      </c>
      <c r="C1470" t="s">
        <v>45</v>
      </c>
      <c r="D1470">
        <v>1023</v>
      </c>
      <c r="E1470" t="s">
        <v>38</v>
      </c>
      <c r="G1470">
        <v>2</v>
      </c>
      <c r="H1470">
        <v>3</v>
      </c>
      <c r="I1470" t="s">
        <v>52</v>
      </c>
      <c r="J1470" t="str">
        <f>WA_Fn_UseC__HR_Employee_Attrition[[#This Row],[EducationField]]&amp;"-"&amp;WA_Fn_UseC__HR_Employee_Attrition[[#This Row],[Department]]</f>
        <v>Medical-Sales</v>
      </c>
      <c r="K1470">
        <v>1</v>
      </c>
      <c r="L1470">
        <v>2065</v>
      </c>
      <c r="M1470">
        <v>4</v>
      </c>
      <c r="N1470" t="s">
        <v>47</v>
      </c>
      <c r="O1470">
        <v>63</v>
      </c>
      <c r="P1470">
        <v>2</v>
      </c>
      <c r="Q1470">
        <v>2</v>
      </c>
      <c r="R1470" t="s">
        <v>41</v>
      </c>
      <c r="S1470">
        <v>2</v>
      </c>
      <c r="T1470" t="s">
        <v>49</v>
      </c>
      <c r="U1470">
        <v>5390</v>
      </c>
      <c r="V1470" t="str" cm="1">
        <f t="array" ref="V147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70">
        <v>13243</v>
      </c>
      <c r="X1470">
        <v>2</v>
      </c>
      <c r="Y1470" t="s">
        <v>43</v>
      </c>
      <c r="Z1470" t="s">
        <v>44</v>
      </c>
      <c r="AA1470">
        <v>14</v>
      </c>
      <c r="AB1470">
        <v>3</v>
      </c>
      <c r="AC1470">
        <v>4</v>
      </c>
      <c r="AD1470">
        <v>80</v>
      </c>
      <c r="AE1470">
        <v>0</v>
      </c>
      <c r="AF1470">
        <v>17</v>
      </c>
      <c r="AG1470">
        <v>3</v>
      </c>
      <c r="AH1470">
        <v>2</v>
      </c>
      <c r="AI1470">
        <v>9</v>
      </c>
      <c r="AJ1470">
        <v>6</v>
      </c>
      <c r="AK1470">
        <v>0</v>
      </c>
      <c r="AL1470" t="str" cm="1">
        <f t="array" ref="AL1470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70">
        <v>8</v>
      </c>
    </row>
    <row r="1471" spans="1:39" x14ac:dyDescent="0.25">
      <c r="A1471">
        <v>34</v>
      </c>
      <c r="B1471" t="s">
        <v>44</v>
      </c>
      <c r="C1471" t="s">
        <v>37</v>
      </c>
      <c r="D1471">
        <v>628</v>
      </c>
      <c r="E1471" t="s">
        <v>46</v>
      </c>
      <c r="G1471">
        <v>8</v>
      </c>
      <c r="H1471">
        <v>3</v>
      </c>
      <c r="I1471" t="s">
        <v>52</v>
      </c>
      <c r="J1471" t="str">
        <f>WA_Fn_UseC__HR_Employee_Attrition[[#This Row],[EducationField]]&amp;"-"&amp;WA_Fn_UseC__HR_Employee_Attrition[[#This Row],[Department]]</f>
        <v>Medical-Research &amp; Development</v>
      </c>
      <c r="K1471">
        <v>1</v>
      </c>
      <c r="L1471">
        <v>2068</v>
      </c>
      <c r="M1471">
        <v>2</v>
      </c>
      <c r="N1471" t="s">
        <v>47</v>
      </c>
      <c r="O1471">
        <v>82</v>
      </c>
      <c r="P1471">
        <v>4</v>
      </c>
      <c r="Q1471">
        <v>2</v>
      </c>
      <c r="R1471" t="s">
        <v>51</v>
      </c>
      <c r="S1471">
        <v>3</v>
      </c>
      <c r="T1471" t="s">
        <v>49</v>
      </c>
      <c r="U1471">
        <v>4404</v>
      </c>
      <c r="V1471" t="str" cm="1">
        <f t="array" ref="V147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W1471">
        <v>10228</v>
      </c>
      <c r="X1471">
        <v>2</v>
      </c>
      <c r="Y1471" t="s">
        <v>43</v>
      </c>
      <c r="Z1471" t="s">
        <v>44</v>
      </c>
      <c r="AA1471">
        <v>12</v>
      </c>
      <c r="AB1471">
        <v>3</v>
      </c>
      <c r="AC1471">
        <v>1</v>
      </c>
      <c r="AD1471">
        <v>80</v>
      </c>
      <c r="AE1471">
        <v>0</v>
      </c>
      <c r="AF1471">
        <v>6</v>
      </c>
      <c r="AG1471">
        <v>3</v>
      </c>
      <c r="AH1471">
        <v>4</v>
      </c>
      <c r="AI1471">
        <v>4</v>
      </c>
      <c r="AJ1471">
        <v>3</v>
      </c>
      <c r="AK1471">
        <v>1</v>
      </c>
      <c r="AL1471" t="str" cm="1">
        <f t="array" ref="AL1471">_xlfn.IFS(WA_Fn_UseC__HR_Employee_Attrition[[#This Row],[MonthlyIncome]]&lt;3000,"Low",WA_Fn_UseC__HR_Employee_Attrition[[#This Row],[MonthlyIncome]]&lt;6000,"Medium",WA_Fn_UseC__HR_Employee_Attrition[[#This Row],[MonthlyIncome]]&gt;6000,"High")</f>
        <v>Medium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D5D7F-A99F-469B-B202-044F3E254D83}">
  <dimension ref="A1:E23"/>
  <sheetViews>
    <sheetView zoomScale="140" workbookViewId="0">
      <selection activeCell="B10" sqref="B10:B11"/>
    </sheetView>
  </sheetViews>
  <sheetFormatPr defaultRowHeight="15" x14ac:dyDescent="0.25"/>
  <cols>
    <col min="1" max="1" width="108.7109375" bestFit="1" customWidth="1"/>
    <col min="2" max="2" width="30.5703125" customWidth="1"/>
    <col min="5" max="5" width="21.42578125" bestFit="1" customWidth="1"/>
  </cols>
  <sheetData>
    <row r="1" spans="1:2" ht="15.75" thickBot="1" x14ac:dyDescent="0.3"/>
    <row r="2" spans="1:2" ht="18" customHeight="1" x14ac:dyDescent="0.25">
      <c r="A2" s="28" t="s">
        <v>63</v>
      </c>
      <c r="B2" s="30" t="s">
        <v>64</v>
      </c>
    </row>
    <row r="3" spans="1:2" x14ac:dyDescent="0.25">
      <c r="A3" s="29"/>
      <c r="B3" s="31"/>
    </row>
    <row r="4" spans="1:2" ht="18" customHeight="1" x14ac:dyDescent="0.25">
      <c r="A4" s="26" t="s">
        <v>65</v>
      </c>
      <c r="B4" s="24">
        <f>INDEX(WA_Fn_UseC__HR_Employee_Attrition[Age],MATCH(1024,WA_Fn_UseC__HR_Employee_Attrition[EmployeeNumber],0))</f>
        <v>48</v>
      </c>
    </row>
    <row r="5" spans="1:2" x14ac:dyDescent="0.25">
      <c r="A5" s="26"/>
      <c r="B5" s="24"/>
    </row>
    <row r="6" spans="1:2" x14ac:dyDescent="0.25">
      <c r="A6" s="26" t="s">
        <v>66</v>
      </c>
      <c r="B6" s="24" t="str">
        <f>INDEX(WA_Fn_UseC__HR_Employee_Attrition[Department],MATCH(1355,WA_Fn_UseC__HR_Employee_Attrition[EmployeeNumber],0))</f>
        <v>Sales</v>
      </c>
    </row>
    <row r="7" spans="1:2" x14ac:dyDescent="0.25">
      <c r="A7" s="26"/>
      <c r="B7" s="24"/>
    </row>
    <row r="8" spans="1:2" x14ac:dyDescent="0.25">
      <c r="A8" s="26" t="s">
        <v>67</v>
      </c>
      <c r="B8" s="24" t="str">
        <f>INDEX(WA_Fn_UseC__HR_Employee_Attrition[JobRole],MATCH(501,WA_Fn_UseC__HR_Employee_Attrition[EmployeeNumber],0))</f>
        <v>Research Scientist</v>
      </c>
    </row>
    <row r="9" spans="1:2" x14ac:dyDescent="0.25">
      <c r="A9" s="26"/>
      <c r="B9" s="24"/>
    </row>
    <row r="10" spans="1:2" x14ac:dyDescent="0.25">
      <c r="A10" s="26" t="s">
        <v>68</v>
      </c>
      <c r="B10" s="24">
        <f>INDEX(WA_Fn_UseC__HR_Employee_Attrition[MonthlyIncome],MATCH(2040,WA_Fn_UseC__HR_Employee_Attrition[EmployeeNumber],0))</f>
        <v>8837</v>
      </c>
    </row>
    <row r="11" spans="1:2" x14ac:dyDescent="0.25">
      <c r="A11" s="26"/>
      <c r="B11" s="24"/>
    </row>
    <row r="12" spans="1:2" x14ac:dyDescent="0.25">
      <c r="A12" s="26" t="s">
        <v>69</v>
      </c>
      <c r="B12" s="24" t="str">
        <f>INDEX(WA_Fn_UseC__HR_Employee_Attrition[Gender],MATCH(1100,WA_Fn_UseC__HR_Employee_Attrition[EmployeeNumber],0))</f>
        <v>Male</v>
      </c>
    </row>
    <row r="13" spans="1:2" x14ac:dyDescent="0.25">
      <c r="A13" s="26"/>
      <c r="B13" s="24"/>
    </row>
    <row r="14" spans="1:2" x14ac:dyDescent="0.25">
      <c r="A14" s="26" t="s">
        <v>70</v>
      </c>
      <c r="B14" s="24" t="e">
        <f>INDEX(WA_Fn_UseC__HR_Employee_Attrition[EducationField],MATCH(980,WA_Fn_UseC__HR_Employee_Attrition[EmployeeNumber],0))</f>
        <v>#N/A</v>
      </c>
    </row>
    <row r="15" spans="1:2" x14ac:dyDescent="0.25">
      <c r="A15" s="26"/>
      <c r="B15" s="24"/>
    </row>
    <row r="16" spans="1:2" x14ac:dyDescent="0.25">
      <c r="A16" s="26" t="s">
        <v>71</v>
      </c>
      <c r="B16" s="24" t="e">
        <f>INDEX(WA_Fn_UseC__HR_Employee_Attrition[YearsAtCompany],MATCH(1442,WA_Fn_UseC__HR_Employee_Attrition[EmployeeNumber],0))</f>
        <v>#N/A</v>
      </c>
    </row>
    <row r="17" spans="1:5" x14ac:dyDescent="0.25">
      <c r="A17" s="26"/>
      <c r="B17" s="24"/>
    </row>
    <row r="18" spans="1:5" x14ac:dyDescent="0.25">
      <c r="A18" s="26" t="s">
        <v>72</v>
      </c>
      <c r="B18" s="24">
        <f>INDEX(WA_Fn_UseC__HR_Employee_Attrition[PerformanceRating],MATCH(410,WA_Fn_UseC__HR_Employee_Attrition[EmployeeNumber],0))</f>
        <v>3</v>
      </c>
    </row>
    <row r="19" spans="1:5" x14ac:dyDescent="0.25">
      <c r="A19" s="26"/>
      <c r="B19" s="24"/>
    </row>
    <row r="20" spans="1:5" x14ac:dyDescent="0.25">
      <c r="A20" s="26" t="s">
        <v>73</v>
      </c>
      <c r="B20" s="24" t="str">
        <f>INDEX(WA_Fn_UseC__HR_Employee_Attrition[Attrition],MATCH(240,WA_Fn_UseC__HR_Employee_Attrition[EmployeeNumber],0))</f>
        <v>No</v>
      </c>
    </row>
    <row r="21" spans="1:5" x14ac:dyDescent="0.25">
      <c r="A21" s="26"/>
      <c r="B21" s="24"/>
    </row>
    <row r="22" spans="1:5" x14ac:dyDescent="0.25">
      <c r="A22" s="26" t="s">
        <v>74</v>
      </c>
      <c r="B22" s="24">
        <f>AVERAGEIF(WA_Fn_UseC__HR_Employee_Attrition[Department],"Research &amp; development",WA_Fn_UseC__HR_Employee_Attrition[MonthlyIncome])</f>
        <v>6281.2528616024974</v>
      </c>
      <c r="E22" s="2" t="s">
        <v>46</v>
      </c>
    </row>
    <row r="23" spans="1:5" ht="15.75" thickBot="1" x14ac:dyDescent="0.3">
      <c r="A23" s="27"/>
      <c r="B23" s="25"/>
    </row>
  </sheetData>
  <mergeCells count="22">
    <mergeCell ref="A10:A11"/>
    <mergeCell ref="B4:B5"/>
    <mergeCell ref="B6:B7"/>
    <mergeCell ref="B8:B9"/>
    <mergeCell ref="B10:B11"/>
    <mergeCell ref="A2:A3"/>
    <mergeCell ref="B2:B3"/>
    <mergeCell ref="A4:A5"/>
    <mergeCell ref="A6:A7"/>
    <mergeCell ref="A8:A9"/>
    <mergeCell ref="B22:B23"/>
    <mergeCell ref="A12:A13"/>
    <mergeCell ref="A14:A15"/>
    <mergeCell ref="A16:A17"/>
    <mergeCell ref="A18:A19"/>
    <mergeCell ref="A20:A21"/>
    <mergeCell ref="A22:A23"/>
    <mergeCell ref="B12:B13"/>
    <mergeCell ref="B14:B15"/>
    <mergeCell ref="B16:B17"/>
    <mergeCell ref="B18:B19"/>
    <mergeCell ref="B20:B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FCE8-146B-453A-B52C-31AC8F875690}">
  <dimension ref="A2:B44"/>
  <sheetViews>
    <sheetView zoomScale="151" workbookViewId="0">
      <selection activeCell="A17" sqref="A17:A18"/>
    </sheetView>
  </sheetViews>
  <sheetFormatPr defaultRowHeight="15" x14ac:dyDescent="0.25"/>
  <cols>
    <col min="1" max="1" width="125.85546875" bestFit="1" customWidth="1"/>
    <col min="2" max="2" width="44.42578125" customWidth="1"/>
    <col min="7" max="7" width="15.7109375" bestFit="1" customWidth="1"/>
  </cols>
  <sheetData>
    <row r="2" spans="1:2" ht="15.75" thickBot="1" x14ac:dyDescent="0.3"/>
    <row r="3" spans="1:2" x14ac:dyDescent="0.25">
      <c r="A3" s="28" t="s">
        <v>75</v>
      </c>
      <c r="B3" s="30" t="s">
        <v>64</v>
      </c>
    </row>
    <row r="4" spans="1:2" x14ac:dyDescent="0.25">
      <c r="A4" s="29"/>
      <c r="B4" s="31"/>
    </row>
    <row r="5" spans="1:2" x14ac:dyDescent="0.25">
      <c r="A5" s="32" t="s">
        <v>76</v>
      </c>
      <c r="B5" s="24"/>
    </row>
    <row r="6" spans="1:2" x14ac:dyDescent="0.25">
      <c r="A6" s="32"/>
      <c r="B6" s="24"/>
    </row>
    <row r="7" spans="1:2" x14ac:dyDescent="0.25">
      <c r="A7" s="32" t="s">
        <v>77</v>
      </c>
      <c r="B7" s="24"/>
    </row>
    <row r="8" spans="1:2" x14ac:dyDescent="0.25">
      <c r="A8" s="32"/>
      <c r="B8" s="24"/>
    </row>
    <row r="9" spans="1:2" x14ac:dyDescent="0.25">
      <c r="A9" s="26" t="s">
        <v>78</v>
      </c>
      <c r="B9" s="24"/>
    </row>
    <row r="10" spans="1:2" x14ac:dyDescent="0.25">
      <c r="A10" s="26"/>
      <c r="B10" s="24"/>
    </row>
    <row r="11" spans="1:2" x14ac:dyDescent="0.25">
      <c r="A11" s="26" t="s">
        <v>79</v>
      </c>
      <c r="B11" s="24"/>
    </row>
    <row r="12" spans="1:2" x14ac:dyDescent="0.25">
      <c r="A12" s="26"/>
      <c r="B12" s="24"/>
    </row>
    <row r="13" spans="1:2" x14ac:dyDescent="0.25">
      <c r="A13" s="26" t="s">
        <v>80</v>
      </c>
      <c r="B13" s="24"/>
    </row>
    <row r="14" spans="1:2" x14ac:dyDescent="0.25">
      <c r="A14" s="26"/>
      <c r="B14" s="24"/>
    </row>
    <row r="15" spans="1:2" x14ac:dyDescent="0.25">
      <c r="A15" s="26" t="s">
        <v>81</v>
      </c>
      <c r="B15" s="24"/>
    </row>
    <row r="16" spans="1:2" x14ac:dyDescent="0.25">
      <c r="A16" s="26"/>
      <c r="B16" s="24"/>
    </row>
    <row r="17" spans="1:2" x14ac:dyDescent="0.25">
      <c r="A17" s="26" t="s">
        <v>82</v>
      </c>
      <c r="B17" s="24"/>
    </row>
    <row r="18" spans="1:2" x14ac:dyDescent="0.25">
      <c r="A18" s="26"/>
      <c r="B18" s="24"/>
    </row>
    <row r="19" spans="1:2" x14ac:dyDescent="0.25">
      <c r="A19" s="26" t="s">
        <v>83</v>
      </c>
      <c r="B19" s="24"/>
    </row>
    <row r="20" spans="1:2" x14ac:dyDescent="0.25">
      <c r="A20" s="26"/>
      <c r="B20" s="24"/>
    </row>
    <row r="21" spans="1:2" x14ac:dyDescent="0.25">
      <c r="A21" s="32" t="s">
        <v>84</v>
      </c>
      <c r="B21" s="34"/>
    </row>
    <row r="22" spans="1:2" x14ac:dyDescent="0.25">
      <c r="A22" s="32"/>
      <c r="B22" s="34"/>
    </row>
    <row r="23" spans="1:2" x14ac:dyDescent="0.25">
      <c r="A23" s="26" t="s">
        <v>85</v>
      </c>
      <c r="B23" s="34"/>
    </row>
    <row r="24" spans="1:2" x14ac:dyDescent="0.25">
      <c r="A24" s="26"/>
      <c r="B24" s="34"/>
    </row>
    <row r="25" spans="1:2" x14ac:dyDescent="0.25">
      <c r="A25" s="26" t="s">
        <v>86</v>
      </c>
      <c r="B25" s="24"/>
    </row>
    <row r="26" spans="1:2" x14ac:dyDescent="0.25">
      <c r="A26" s="26"/>
      <c r="B26" s="24"/>
    </row>
    <row r="27" spans="1:2" x14ac:dyDescent="0.25">
      <c r="A27" s="32" t="s">
        <v>87</v>
      </c>
      <c r="B27" s="24"/>
    </row>
    <row r="28" spans="1:2" x14ac:dyDescent="0.25">
      <c r="A28" s="32"/>
      <c r="B28" s="24"/>
    </row>
    <row r="29" spans="1:2" x14ac:dyDescent="0.25">
      <c r="A29" s="26" t="s">
        <v>88</v>
      </c>
      <c r="B29" s="24"/>
    </row>
    <row r="30" spans="1:2" x14ac:dyDescent="0.25">
      <c r="A30" s="26"/>
      <c r="B30" s="24"/>
    </row>
    <row r="31" spans="1:2" x14ac:dyDescent="0.25">
      <c r="A31" s="26" t="s">
        <v>89</v>
      </c>
      <c r="B31" s="24"/>
    </row>
    <row r="32" spans="1:2" x14ac:dyDescent="0.25">
      <c r="A32" s="26"/>
      <c r="B32" s="24"/>
    </row>
    <row r="33" spans="1:2" x14ac:dyDescent="0.25">
      <c r="A33" s="26" t="s">
        <v>90</v>
      </c>
      <c r="B33" s="24"/>
    </row>
    <row r="34" spans="1:2" x14ac:dyDescent="0.25">
      <c r="A34" s="26"/>
      <c r="B34" s="24"/>
    </row>
    <row r="35" spans="1:2" x14ac:dyDescent="0.25">
      <c r="A35" s="26" t="s">
        <v>91</v>
      </c>
      <c r="B35" s="24"/>
    </row>
    <row r="36" spans="1:2" x14ac:dyDescent="0.25">
      <c r="A36" s="26"/>
      <c r="B36" s="24"/>
    </row>
    <row r="37" spans="1:2" x14ac:dyDescent="0.25">
      <c r="A37" s="32" t="s">
        <v>92</v>
      </c>
      <c r="B37" s="24"/>
    </row>
    <row r="38" spans="1:2" x14ac:dyDescent="0.25">
      <c r="A38" s="32"/>
      <c r="B38" s="24"/>
    </row>
    <row r="39" spans="1:2" x14ac:dyDescent="0.25">
      <c r="A39" s="26" t="s">
        <v>93</v>
      </c>
      <c r="B39" s="24"/>
    </row>
    <row r="40" spans="1:2" x14ac:dyDescent="0.25">
      <c r="A40" s="26"/>
      <c r="B40" s="24"/>
    </row>
    <row r="41" spans="1:2" x14ac:dyDescent="0.25">
      <c r="A41" s="32" t="s">
        <v>94</v>
      </c>
      <c r="B41" s="24"/>
    </row>
    <row r="42" spans="1:2" ht="15.75" thickBot="1" x14ac:dyDescent="0.3">
      <c r="A42" s="33"/>
      <c r="B42" s="25"/>
    </row>
    <row r="43" spans="1:2" ht="14.45" customHeight="1" x14ac:dyDescent="0.25">
      <c r="A43" s="1"/>
    </row>
    <row r="44" spans="1:2" ht="15" customHeight="1" x14ac:dyDescent="0.25">
      <c r="A44" s="1"/>
    </row>
  </sheetData>
  <mergeCells count="40">
    <mergeCell ref="A3:A4"/>
    <mergeCell ref="B3:B4"/>
    <mergeCell ref="A5:A6"/>
    <mergeCell ref="B5:B6"/>
    <mergeCell ref="A7:A8"/>
    <mergeCell ref="B7:B8"/>
    <mergeCell ref="A9:A10"/>
    <mergeCell ref="B9:B10"/>
    <mergeCell ref="A11:A12"/>
    <mergeCell ref="B11:B12"/>
    <mergeCell ref="A13:A14"/>
    <mergeCell ref="B13:B14"/>
    <mergeCell ref="A15:A16"/>
    <mergeCell ref="B15:B16"/>
    <mergeCell ref="A17:A18"/>
    <mergeCell ref="B17:B18"/>
    <mergeCell ref="A19:A20"/>
    <mergeCell ref="B19:B20"/>
    <mergeCell ref="A21:A22"/>
    <mergeCell ref="B21:B22"/>
    <mergeCell ref="A23:A24"/>
    <mergeCell ref="B23:B24"/>
    <mergeCell ref="A25:A26"/>
    <mergeCell ref="B25:B26"/>
    <mergeCell ref="A27:A28"/>
    <mergeCell ref="B27:B28"/>
    <mergeCell ref="A29:A30"/>
    <mergeCell ref="B29:B30"/>
    <mergeCell ref="A31:A32"/>
    <mergeCell ref="B31:B32"/>
    <mergeCell ref="A39:A40"/>
    <mergeCell ref="B39:B40"/>
    <mergeCell ref="A41:A42"/>
    <mergeCell ref="B41:B42"/>
    <mergeCell ref="A33:A34"/>
    <mergeCell ref="B33:B34"/>
    <mergeCell ref="A35:A36"/>
    <mergeCell ref="B35:B36"/>
    <mergeCell ref="A37:A38"/>
    <mergeCell ref="B37:B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1F0F0-9B53-441D-B884-31E0C41BBAC1}">
  <dimension ref="A2:X1505"/>
  <sheetViews>
    <sheetView tabSelected="1" topLeftCell="A78" zoomScale="140" workbookViewId="0">
      <selection activeCell="C91" sqref="C91"/>
    </sheetView>
  </sheetViews>
  <sheetFormatPr defaultRowHeight="15" x14ac:dyDescent="0.25"/>
  <cols>
    <col min="2" max="2" width="23.28515625" customWidth="1"/>
    <col min="3" max="3" width="30.85546875" customWidth="1"/>
    <col min="7" max="7" width="21.28515625" customWidth="1"/>
    <col min="10" max="10" width="12.85546875" customWidth="1"/>
    <col min="11" max="11" width="13.7109375" customWidth="1"/>
    <col min="12" max="12" width="11.7109375" customWidth="1"/>
    <col min="13" max="13" width="16.140625" customWidth="1"/>
  </cols>
  <sheetData>
    <row r="2" spans="1:10" x14ac:dyDescent="0.25">
      <c r="A2" s="22" t="s">
        <v>95</v>
      </c>
      <c r="B2" s="22"/>
      <c r="C2" s="22"/>
      <c r="D2" s="22"/>
      <c r="E2" s="22"/>
      <c r="F2" s="22"/>
      <c r="G2" s="22"/>
      <c r="H2" s="22"/>
      <c r="I2" s="22"/>
      <c r="J2" s="22"/>
    </row>
    <row r="4" spans="1:10" x14ac:dyDescent="0.25">
      <c r="B4" s="3" t="s">
        <v>115</v>
      </c>
      <c r="C4" s="3" t="s">
        <v>52</v>
      </c>
      <c r="G4" t="str" cm="1">
        <f t="array" ref="G4:G9">_xlfn.UNIQUE(WA_Fn_UseC__HR_Employee_Attrition[EducationField])</f>
        <v>Life Sciences</v>
      </c>
      <c r="H4" t="str" cm="1">
        <f t="array" ref="H4:H6">_xlfn.UNIQUE(WA_Fn_UseC__HR_Employee_Attrition[Department])</f>
        <v>Sales</v>
      </c>
    </row>
    <row r="5" spans="1:10" x14ac:dyDescent="0.25">
      <c r="B5" s="3" t="s">
        <v>116</v>
      </c>
      <c r="C5" s="3" t="s">
        <v>46</v>
      </c>
      <c r="G5" t="str">
        <v>Other</v>
      </c>
      <c r="H5" t="str">
        <v>Research &amp; Development</v>
      </c>
    </row>
    <row r="6" spans="1:10" x14ac:dyDescent="0.25">
      <c r="B6" s="5" t="s">
        <v>117</v>
      </c>
      <c r="C6" s="5" t="str">
        <f>C4&amp;"-"&amp;C5</f>
        <v>Medical-Research &amp; Development</v>
      </c>
      <c r="G6" t="str">
        <v>Medical</v>
      </c>
      <c r="H6" t="str">
        <v>Human Resources</v>
      </c>
    </row>
    <row r="7" spans="1:10" x14ac:dyDescent="0.25">
      <c r="B7" s="9" t="s">
        <v>112</v>
      </c>
      <c r="C7" s="9">
        <f>INDEX(WA_Fn_UseC__HR_Employee_Attrition[MonthlyIncome], MATCH(C6,WA_Fn_UseC__HR_Employee_Attrition[edu + dept],0))</f>
        <v>3468</v>
      </c>
      <c r="G7" t="str">
        <v>Marketing</v>
      </c>
    </row>
    <row r="8" spans="1:10" x14ac:dyDescent="0.25">
      <c r="G8" t="str">
        <v>Technical Degree</v>
      </c>
    </row>
    <row r="9" spans="1:10" x14ac:dyDescent="0.25">
      <c r="G9" t="str">
        <v>Human Resources</v>
      </c>
    </row>
    <row r="21" spans="1:24" x14ac:dyDescent="0.25">
      <c r="A21" s="23" t="s">
        <v>77</v>
      </c>
      <c r="B21" s="23"/>
      <c r="C21" s="23"/>
      <c r="D21" s="23"/>
      <c r="E21" s="23"/>
      <c r="F21" s="23"/>
    </row>
    <row r="22" spans="1:24" x14ac:dyDescent="0.25">
      <c r="X22" cm="1">
        <f t="array" ref="X22:X1491">IF(WA_Fn_UseC__HR_Employee_Attrition[PerformanceRating]=3,WA_Fn_UseC__HR_Employee_Attrition[EmployeeNumber])</f>
        <v>1</v>
      </c>
    </row>
    <row r="23" spans="1:24" x14ac:dyDescent="0.25">
      <c r="B23" s="3" t="s">
        <v>97</v>
      </c>
      <c r="C23" s="3">
        <v>1501</v>
      </c>
      <c r="X23" t="b">
        <v>0</v>
      </c>
    </row>
    <row r="24" spans="1:24" x14ac:dyDescent="0.25">
      <c r="B24" s="5" t="s">
        <v>0</v>
      </c>
      <c r="C24" s="5">
        <f>INDEX(WA_Fn_UseC__HR_Employee_Attrition[Age],MATCH(C23,WA_Fn_UseC__HR_Employee_Attrition[EmployeeNumber],0))</f>
        <v>55</v>
      </c>
      <c r="X24">
        <v>4</v>
      </c>
    </row>
    <row r="25" spans="1:24" x14ac:dyDescent="0.25">
      <c r="B25" s="5" t="s">
        <v>98</v>
      </c>
      <c r="C25" s="5" t="str">
        <f>INDEX(WA_Fn_UseC__HR_Employee_Attrition[Department],MATCH(C23,WA_Fn_UseC__HR_Employee_Attrition[EmployeeNumber],0))</f>
        <v>Research &amp; Development</v>
      </c>
      <c r="X25">
        <v>5</v>
      </c>
    </row>
    <row r="26" spans="1:24" x14ac:dyDescent="0.25">
      <c r="X26">
        <v>7</v>
      </c>
    </row>
    <row r="27" spans="1:24" x14ac:dyDescent="0.25">
      <c r="X27">
        <v>8</v>
      </c>
    </row>
    <row r="28" spans="1:24" x14ac:dyDescent="0.25">
      <c r="X28" t="b">
        <v>0</v>
      </c>
    </row>
    <row r="29" spans="1:24" x14ac:dyDescent="0.25">
      <c r="X29" t="b">
        <v>0</v>
      </c>
    </row>
    <row r="30" spans="1:24" x14ac:dyDescent="0.25">
      <c r="A30" s="23" t="s">
        <v>78</v>
      </c>
      <c r="B30" s="23"/>
      <c r="C30" s="23"/>
      <c r="D30" s="23"/>
      <c r="E30" s="23"/>
      <c r="F30" s="23"/>
      <c r="X30" t="b">
        <v>0</v>
      </c>
    </row>
    <row r="31" spans="1:24" x14ac:dyDescent="0.25">
      <c r="X31">
        <v>13</v>
      </c>
    </row>
    <row r="32" spans="1:24" x14ac:dyDescent="0.25">
      <c r="B32" s="3" t="s">
        <v>99</v>
      </c>
      <c r="C32" s="4">
        <v>19999</v>
      </c>
      <c r="E32" s="3">
        <f>LARGE(WA_Fn_UseC__HR_Employee_Attrition[MonthlyIncome],1)</f>
        <v>19999</v>
      </c>
      <c r="F32" s="3" t="s">
        <v>101</v>
      </c>
      <c r="X32">
        <v>14</v>
      </c>
    </row>
    <row r="33" spans="1:24" x14ac:dyDescent="0.25">
      <c r="B33" s="5" t="s">
        <v>100</v>
      </c>
      <c r="C33" s="6" t="str">
        <f>INDEX(WA_Fn_UseC__HR_Employee_Attrition[JobRole],MATCH(C32,WA_Fn_UseC__HR_Employee_Attrition[MonthlyIncome],0))</f>
        <v>Manager</v>
      </c>
      <c r="E33" s="3">
        <f>LARGE(WA_Fn_UseC__HR_Employee_Attrition[MonthlyIncome],2)</f>
        <v>19973</v>
      </c>
      <c r="F33" s="3" t="s">
        <v>102</v>
      </c>
      <c r="X33">
        <v>15</v>
      </c>
    </row>
    <row r="34" spans="1:24" x14ac:dyDescent="0.25">
      <c r="E34" s="3">
        <f>LARGE(WA_Fn_UseC__HR_Employee_Attrition[MonthlyIncome],3)</f>
        <v>19943</v>
      </c>
      <c r="F34" s="3" t="s">
        <v>103</v>
      </c>
      <c r="X34">
        <v>16</v>
      </c>
    </row>
    <row r="35" spans="1:24" x14ac:dyDescent="0.25">
      <c r="B35" s="3" t="s">
        <v>99</v>
      </c>
      <c r="C35" s="4">
        <v>19973</v>
      </c>
      <c r="X35">
        <v>18</v>
      </c>
    </row>
    <row r="36" spans="1:24" x14ac:dyDescent="0.25">
      <c r="B36" s="5" t="s">
        <v>100</v>
      </c>
      <c r="C36" s="6" t="str">
        <f>INDEX(WA_Fn_UseC__HR_Employee_Attrition[JobRole],MATCH(C35,WA_Fn_UseC__HR_Employee_Attrition[MonthlyIncome],0))</f>
        <v>Research Director</v>
      </c>
      <c r="V36" cm="1">
        <f t="array" ref="V36:V1505">IF(WA_Fn_UseC__HR_Employee_Attrition[PerformanceRating]&lt;4,WA_Fn_UseC__HR_Employee_Attrition[EmployeeNumber])</f>
        <v>1</v>
      </c>
      <c r="X36">
        <v>19</v>
      </c>
    </row>
    <row r="37" spans="1:24" x14ac:dyDescent="0.25">
      <c r="V37" t="b">
        <v>0</v>
      </c>
      <c r="X37">
        <v>20</v>
      </c>
    </row>
    <row r="38" spans="1:24" x14ac:dyDescent="0.25">
      <c r="B38" s="3" t="s">
        <v>99</v>
      </c>
      <c r="C38" s="4">
        <v>19943</v>
      </c>
      <c r="V38">
        <v>4</v>
      </c>
      <c r="X38">
        <v>21</v>
      </c>
    </row>
    <row r="39" spans="1:24" x14ac:dyDescent="0.25">
      <c r="B39" s="5" t="s">
        <v>100</v>
      </c>
      <c r="C39" s="6" t="str">
        <f>INDEX(WA_Fn_UseC__HR_Employee_Attrition[JobRole],MATCH(C38,WA_Fn_UseC__HR_Employee_Attrition[MonthlyIncome],0))</f>
        <v>Manager</v>
      </c>
      <c r="V39">
        <v>5</v>
      </c>
      <c r="X39">
        <v>22</v>
      </c>
    </row>
    <row r="40" spans="1:24" x14ac:dyDescent="0.25">
      <c r="V40">
        <v>7</v>
      </c>
      <c r="X40">
        <v>23</v>
      </c>
    </row>
    <row r="41" spans="1:24" x14ac:dyDescent="0.25">
      <c r="V41">
        <v>8</v>
      </c>
      <c r="X41">
        <v>24</v>
      </c>
    </row>
    <row r="42" spans="1:24" x14ac:dyDescent="0.25">
      <c r="V42" t="b">
        <v>0</v>
      </c>
      <c r="X42">
        <v>26</v>
      </c>
    </row>
    <row r="43" spans="1:24" x14ac:dyDescent="0.25">
      <c r="V43" t="b">
        <v>0</v>
      </c>
      <c r="X43" t="b">
        <v>0</v>
      </c>
    </row>
    <row r="44" spans="1:24" x14ac:dyDescent="0.25">
      <c r="A44" s="21" t="s">
        <v>79</v>
      </c>
      <c r="B44" s="21"/>
      <c r="C44" s="21"/>
      <c r="D44" s="21"/>
      <c r="E44" s="21"/>
      <c r="F44" s="21"/>
      <c r="G44" s="21"/>
      <c r="H44" s="21"/>
      <c r="V44" t="b">
        <v>0</v>
      </c>
      <c r="X44">
        <v>28</v>
      </c>
    </row>
    <row r="45" spans="1:24" x14ac:dyDescent="0.25">
      <c r="V45">
        <v>13</v>
      </c>
      <c r="X45">
        <v>30</v>
      </c>
    </row>
    <row r="46" spans="1:24" x14ac:dyDescent="0.25">
      <c r="B46" s="5" t="s">
        <v>32</v>
      </c>
      <c r="C46" s="3">
        <v>40</v>
      </c>
      <c r="G46" s="7" t="s">
        <v>106</v>
      </c>
      <c r="H46" s="7">
        <f>MAX(WA_Fn_UseC__HR_Employee_Attrition[YearsAtCompany])</f>
        <v>40</v>
      </c>
      <c r="V46">
        <v>14</v>
      </c>
      <c r="X46">
        <v>31</v>
      </c>
    </row>
    <row r="47" spans="1:24" x14ac:dyDescent="0.25">
      <c r="B47" s="5" t="s">
        <v>97</v>
      </c>
      <c r="C47" s="3">
        <f>INDEX(WA_Fn_UseC__HR_Employee_Attrition[EmployeeNumber],MATCH(C46,WA_Fn_UseC__HR_Employee_Attrition[YearsAtCompany],0))</f>
        <v>165</v>
      </c>
      <c r="V47">
        <v>15</v>
      </c>
      <c r="X47">
        <v>32</v>
      </c>
    </row>
    <row r="48" spans="1:24" x14ac:dyDescent="0.25">
      <c r="B48" s="5" t="s">
        <v>104</v>
      </c>
      <c r="C48" s="3" t="str">
        <f>INDEX(WA_Fn_UseC__HR_Employee_Attrition[Department],MATCH(C46,WA_Fn_UseC__HR_Employee_Attrition[YearsAtCompany],0))</f>
        <v>Research &amp; Development</v>
      </c>
      <c r="V48">
        <v>16</v>
      </c>
      <c r="X48" t="b">
        <v>0</v>
      </c>
    </row>
    <row r="49" spans="1:24" x14ac:dyDescent="0.25">
      <c r="B49" s="5" t="s">
        <v>105</v>
      </c>
      <c r="C49" s="3">
        <f>INDEX(WA_Fn_UseC__HR_Employee_Attrition[Age],MATCH(C46,WA_Fn_UseC__HR_Employee_Attrition[YearsAtCompany],0))</f>
        <v>58</v>
      </c>
      <c r="V49">
        <v>18</v>
      </c>
      <c r="X49">
        <v>35</v>
      </c>
    </row>
    <row r="50" spans="1:24" x14ac:dyDescent="0.25">
      <c r="V50">
        <v>19</v>
      </c>
      <c r="X50">
        <v>36</v>
      </c>
    </row>
    <row r="51" spans="1:24" x14ac:dyDescent="0.25">
      <c r="V51">
        <v>20</v>
      </c>
      <c r="X51">
        <v>38</v>
      </c>
    </row>
    <row r="52" spans="1:24" x14ac:dyDescent="0.25">
      <c r="V52">
        <v>21</v>
      </c>
      <c r="X52">
        <v>39</v>
      </c>
    </row>
    <row r="53" spans="1:24" x14ac:dyDescent="0.25">
      <c r="V53">
        <v>22</v>
      </c>
      <c r="X53">
        <v>40</v>
      </c>
    </row>
    <row r="54" spans="1:24" x14ac:dyDescent="0.25">
      <c r="V54">
        <v>23</v>
      </c>
      <c r="X54">
        <v>41</v>
      </c>
    </row>
    <row r="55" spans="1:24" x14ac:dyDescent="0.25">
      <c r="A55" s="21" t="s">
        <v>107</v>
      </c>
      <c r="B55" s="21"/>
      <c r="C55" s="21"/>
      <c r="D55" s="21"/>
      <c r="E55" s="21"/>
      <c r="F55" s="21"/>
      <c r="G55" s="21"/>
      <c r="V55">
        <v>24</v>
      </c>
      <c r="X55">
        <v>42</v>
      </c>
    </row>
    <row r="56" spans="1:24" x14ac:dyDescent="0.25">
      <c r="V56">
        <v>26</v>
      </c>
      <c r="X56">
        <v>45</v>
      </c>
    </row>
    <row r="57" spans="1:24" x14ac:dyDescent="0.25">
      <c r="B57" s="3" t="s">
        <v>109</v>
      </c>
      <c r="C57" s="4">
        <v>1081</v>
      </c>
      <c r="F57" t="s">
        <v>110</v>
      </c>
      <c r="G57" s="3">
        <f>SMALL(WA_Fn_UseC__HR_Employee_Attrition[MonthlyIncome],1)</f>
        <v>1009</v>
      </c>
      <c r="H57">
        <v>1</v>
      </c>
      <c r="J57" s="11" t="s">
        <v>125</v>
      </c>
      <c r="K57" s="11" t="s">
        <v>126</v>
      </c>
      <c r="L57" s="11" t="s">
        <v>97</v>
      </c>
      <c r="M57" s="20" t="s">
        <v>108</v>
      </c>
      <c r="V57" t="b">
        <v>0</v>
      </c>
      <c r="X57">
        <v>46</v>
      </c>
    </row>
    <row r="58" spans="1:24" x14ac:dyDescent="0.25">
      <c r="B58" s="3" t="s">
        <v>97</v>
      </c>
      <c r="C58" s="4">
        <f>INDEX(WA_Fn_UseC__HR_Employee_Attrition[EmployeeNumber],MATCH(C57,WA_Fn_UseC__HR_Employee_Attrition[MonthlyIncome],0))</f>
        <v>1876</v>
      </c>
      <c r="G58" s="3">
        <f>SMALL(WA_Fn_UseC__HR_Employee_Attrition[MonthlyIncome],2)</f>
        <v>1051</v>
      </c>
      <c r="H58">
        <v>4</v>
      </c>
      <c r="J58" s="3">
        <f>MIN(WA_Fn_UseC__HR_Employee_Attrition[PerformanceRating])</f>
        <v>3</v>
      </c>
      <c r="K58" s="3" cm="1">
        <f t="array" ref="K58">SMALL(_xlfn._xlws.FILTER(WA_Fn_UseC__HR_Employee_Attrition[MonthlyIncome],WA_Fn_UseC__HR_Employee_Attrition[PerformanceRating]=J58),1)</f>
        <v>1009</v>
      </c>
      <c r="L58" s="5">
        <f>INDEX(WA_Fn_UseC__HR_Employee_Attrition[EmployeeNumber],MATCH(K58,WA_Fn_UseC__HR_Employee_Attrition[MonthlyIncome],0))</f>
        <v>701</v>
      </c>
      <c r="M58" s="9" t="str">
        <f>INDEX(WA_Fn_UseC__HR_Employee_Attrition[Attrition],MATCH(L58,WA_Fn_UseC__HR_Employee_Attrition[EmployeeNumber],0))</f>
        <v>Yes</v>
      </c>
      <c r="V58">
        <v>28</v>
      </c>
      <c r="X58">
        <v>47</v>
      </c>
    </row>
    <row r="59" spans="1:24" x14ac:dyDescent="0.25">
      <c r="B59" s="5" t="s">
        <v>111</v>
      </c>
      <c r="C59" s="6">
        <f>INDEX(WA_Fn_UseC__HR_Employee_Attrition[PerformanceRating],MATCH(C57,WA_Fn_UseC__HR_Employee_Attrition[MonthlyIncome],0))</f>
        <v>3</v>
      </c>
      <c r="G59" s="13">
        <f>SMALL(WA_Fn_UseC__HR_Employee_Attrition[MonthlyIncome],3)</f>
        <v>1052</v>
      </c>
      <c r="H59">
        <v>5</v>
      </c>
      <c r="J59" s="3">
        <f>MIN(WA_Fn_UseC__HR_Employee_Attrition[PerformanceRating])</f>
        <v>3</v>
      </c>
      <c r="K59" s="3" cm="1">
        <f t="array" ref="K59">SMALL(_xlfn._xlws.FILTER(WA_Fn_UseC__HR_Employee_Attrition[MonthlyIncome],WA_Fn_UseC__HR_Employee_Attrition[PerformanceRating]=J59),2)</f>
        <v>1051</v>
      </c>
      <c r="L59" s="5">
        <f>INDEX(WA_Fn_UseC__HR_Employee_Attrition[EmployeeNumber],MATCH(K59,WA_Fn_UseC__HR_Employee_Attrition[MonthlyIncome],0))</f>
        <v>1012</v>
      </c>
      <c r="M59" s="9" t="str">
        <f>INDEX(WA_Fn_UseC__HR_Employee_Attrition[Attrition],MATCH(L59,WA_Fn_UseC__HR_Employee_Attrition[EmployeeNumber],0))</f>
        <v>No</v>
      </c>
      <c r="V59">
        <v>30</v>
      </c>
      <c r="X59">
        <v>49</v>
      </c>
    </row>
    <row r="60" spans="1:24" x14ac:dyDescent="0.25">
      <c r="B60" s="5" t="s">
        <v>108</v>
      </c>
      <c r="C60" s="6" t="str">
        <f>INDEX(WA_Fn_UseC__HR_Employee_Attrition[Attrition],MATCH(C57,WA_Fn_UseC__HR_Employee_Attrition[MonthlyIncome],0))</f>
        <v>Yes</v>
      </c>
      <c r="G60" s="3">
        <f>SMALL(WA_Fn_UseC__HR_Employee_Attrition[MonthlyIncome],4)</f>
        <v>1081</v>
      </c>
      <c r="H60">
        <v>7</v>
      </c>
      <c r="J60" s="3">
        <f>MIN(WA_Fn_UseC__HR_Employee_Attrition[PerformanceRating])</f>
        <v>3</v>
      </c>
      <c r="K60" s="3" cm="1">
        <f t="array" ref="K60">SMALL(_xlfn._xlws.FILTER(WA_Fn_UseC__HR_Employee_Attrition[MonthlyIncome],WA_Fn_UseC__HR_Employee_Attrition[PerformanceRating]=J60),3)</f>
        <v>1081</v>
      </c>
      <c r="L60" s="5">
        <f>INDEX(WA_Fn_UseC__HR_Employee_Attrition[EmployeeNumber],MATCH(K60,WA_Fn_UseC__HR_Employee_Attrition[MonthlyIncome],0))</f>
        <v>1876</v>
      </c>
      <c r="M60" s="9" t="str">
        <f>INDEX(WA_Fn_UseC__HR_Employee_Attrition[Attrition],MATCH(L60,WA_Fn_UseC__HR_Employee_Attrition[EmployeeNumber],0))</f>
        <v>Yes</v>
      </c>
      <c r="V60">
        <v>31</v>
      </c>
      <c r="X60">
        <v>51</v>
      </c>
    </row>
    <row r="61" spans="1:24" x14ac:dyDescent="0.25">
      <c r="G61" s="3">
        <f>SMALL(WA_Fn_UseC__HR_Employee_Attrition[MonthlyIncome],5)</f>
        <v>1091</v>
      </c>
      <c r="H61">
        <v>8</v>
      </c>
      <c r="J61" s="3">
        <f>MIN(WA_Fn_UseC__HR_Employee_Attrition[PerformanceRating])</f>
        <v>3</v>
      </c>
      <c r="K61" s="3" cm="1">
        <f t="array" ref="K61">SMALL(_xlfn._xlws.FILTER(WA_Fn_UseC__HR_Employee_Attrition[MonthlyIncome],WA_Fn_UseC__HR_Employee_Attrition[PerformanceRating]=J61),4)</f>
        <v>1091</v>
      </c>
      <c r="L61" s="5">
        <f>INDEX(WA_Fn_UseC__HR_Employee_Attrition[EmployeeNumber],MATCH(K61,WA_Fn_UseC__HR_Employee_Attrition[MonthlyIncome],0))</f>
        <v>1928</v>
      </c>
      <c r="M61" s="9" t="str">
        <f>INDEX(WA_Fn_UseC__HR_Employee_Attrition[Attrition],MATCH(L61,WA_Fn_UseC__HR_Employee_Attrition[EmployeeNumber],0))</f>
        <v>Yes</v>
      </c>
      <c r="V61">
        <v>32</v>
      </c>
      <c r="X61">
        <v>52</v>
      </c>
    </row>
    <row r="62" spans="1:24" x14ac:dyDescent="0.25">
      <c r="F62" s="12" t="s">
        <v>111</v>
      </c>
      <c r="G62" s="3">
        <f>SMALL(WA_Fn_UseC__HR_Employee_Attrition[MonthlyIncome],1)</f>
        <v>1009</v>
      </c>
      <c r="J62" s="3">
        <f>MIN(WA_Fn_UseC__HR_Employee_Attrition[PerformanceRating])</f>
        <v>3</v>
      </c>
      <c r="K62" s="3" cm="1">
        <f t="array" ref="K62">SMALL(_xlfn._xlws.FILTER(WA_Fn_UseC__HR_Employee_Attrition[MonthlyIncome],WA_Fn_UseC__HR_Employee_Attrition[PerformanceRating]=J62),5)</f>
        <v>1118</v>
      </c>
      <c r="L62" s="5">
        <f>INDEX(WA_Fn_UseC__HR_Employee_Attrition[EmployeeNumber],MATCH(K62,WA_Fn_UseC__HR_Employee_Attrition[MonthlyIncome],0))</f>
        <v>1273</v>
      </c>
      <c r="M62" s="9" t="str">
        <f>INDEX(WA_Fn_UseC__HR_Employee_Attrition[Attrition],MATCH(L62,WA_Fn_UseC__HR_Employee_Attrition[EmployeeNumber],0))</f>
        <v>Yes</v>
      </c>
      <c r="V62" t="b">
        <v>0</v>
      </c>
      <c r="X62">
        <v>53</v>
      </c>
    </row>
    <row r="63" spans="1:24" x14ac:dyDescent="0.25">
      <c r="F63" s="12" cm="1">
        <f t="array" ref="F63:F64">_xlfn.UNIQUE(WA_Fn_UseC__HR_Employee_Attrition[PerformanceRating])</f>
        <v>3</v>
      </c>
      <c r="G63" s="3">
        <f>SMALL(WA_Fn_UseC__HR_Employee_Attrition[MonthlyIncome],2)</f>
        <v>1051</v>
      </c>
      <c r="L63" s="8"/>
      <c r="V63">
        <v>35</v>
      </c>
      <c r="X63">
        <v>54</v>
      </c>
    </row>
    <row r="64" spans="1:24" x14ac:dyDescent="0.25">
      <c r="F64" s="40">
        <v>4</v>
      </c>
      <c r="V64">
        <v>36</v>
      </c>
      <c r="X64">
        <v>55</v>
      </c>
    </row>
    <row r="65" spans="1:24" x14ac:dyDescent="0.25">
      <c r="V65">
        <v>38</v>
      </c>
      <c r="X65">
        <v>56</v>
      </c>
    </row>
    <row r="66" spans="1:24" x14ac:dyDescent="0.25">
      <c r="V66">
        <v>39</v>
      </c>
      <c r="X66" t="b">
        <v>0</v>
      </c>
    </row>
    <row r="67" spans="1:24" x14ac:dyDescent="0.25">
      <c r="V67">
        <v>40</v>
      </c>
      <c r="X67">
        <v>58</v>
      </c>
    </row>
    <row r="68" spans="1:24" x14ac:dyDescent="0.25">
      <c r="V68">
        <v>41</v>
      </c>
      <c r="X68" t="b">
        <v>0</v>
      </c>
    </row>
    <row r="69" spans="1:24" x14ac:dyDescent="0.25">
      <c r="V69">
        <v>42</v>
      </c>
      <c r="X69" t="b">
        <v>0</v>
      </c>
    </row>
    <row r="70" spans="1:24" x14ac:dyDescent="0.25">
      <c r="A70" s="21" t="s">
        <v>81</v>
      </c>
      <c r="B70" s="21"/>
      <c r="C70" s="21"/>
      <c r="D70" s="21"/>
      <c r="E70" s="21"/>
      <c r="F70" s="21"/>
      <c r="G70" s="21"/>
      <c r="H70" s="21"/>
      <c r="V70">
        <v>45</v>
      </c>
      <c r="X70" t="b">
        <v>0</v>
      </c>
    </row>
    <row r="71" spans="1:24" x14ac:dyDescent="0.25">
      <c r="V71">
        <v>46</v>
      </c>
      <c r="X71">
        <v>63</v>
      </c>
    </row>
    <row r="72" spans="1:24" x14ac:dyDescent="0.25">
      <c r="B72" s="14" t="s">
        <v>119</v>
      </c>
      <c r="C72" s="14" t="s">
        <v>120</v>
      </c>
      <c r="G72" s="16" t="s">
        <v>113</v>
      </c>
      <c r="H72" s="17">
        <f>COUNT(WA_Fn_UseC__HR_Employee_Attrition[MonthlyIncome],"&lt;3000")</f>
        <v>1470</v>
      </c>
      <c r="K72" s="15"/>
      <c r="L72" s="15"/>
      <c r="V72">
        <v>47</v>
      </c>
      <c r="X72">
        <v>64</v>
      </c>
    </row>
    <row r="73" spans="1:24" x14ac:dyDescent="0.25">
      <c r="B73" s="10">
        <v>0</v>
      </c>
      <c r="C73" s="10" t="s">
        <v>121</v>
      </c>
      <c r="E73" s="37"/>
      <c r="G73" s="18" t="s">
        <v>114</v>
      </c>
      <c r="H73" s="19">
        <f>COUNTIFS(WA_Fn_UseC__HR_Employee_Attrition[MonthlyIncome],"&gt;3000",WA_Fn_UseC__HR_Employee_Attrition[MonthlyIncome],"&lt;6000")</f>
        <v>519</v>
      </c>
      <c r="K73" s="15"/>
      <c r="L73" s="15"/>
      <c r="V73">
        <v>49</v>
      </c>
      <c r="X73">
        <v>65</v>
      </c>
    </row>
    <row r="74" spans="1:24" x14ac:dyDescent="0.25">
      <c r="B74" s="10">
        <v>3000</v>
      </c>
      <c r="C74" s="10" t="s">
        <v>122</v>
      </c>
      <c r="K74" s="15"/>
      <c r="L74" s="15"/>
      <c r="V74">
        <v>51</v>
      </c>
      <c r="X74" t="b">
        <v>0</v>
      </c>
    </row>
    <row r="75" spans="1:24" x14ac:dyDescent="0.25">
      <c r="B75" s="10">
        <v>6000</v>
      </c>
      <c r="C75" s="10" t="s">
        <v>123</v>
      </c>
      <c r="E75" s="36" t="s">
        <v>119</v>
      </c>
      <c r="F75" s="39">
        <v>3542</v>
      </c>
      <c r="K75" s="15"/>
      <c r="L75" s="15"/>
      <c r="V75">
        <v>52</v>
      </c>
      <c r="X75">
        <v>70</v>
      </c>
    </row>
    <row r="76" spans="1:24" x14ac:dyDescent="0.25">
      <c r="B76" s="10">
        <v>7000</v>
      </c>
      <c r="C76" s="10" t="s">
        <v>124</v>
      </c>
      <c r="E76" s="36" t="s">
        <v>120</v>
      </c>
      <c r="F76" s="6" t="str">
        <f>VLOOKUP(F75,$B$72:$C$76,2,TRUE)</f>
        <v>Medium</v>
      </c>
      <c r="K76" s="15"/>
      <c r="L76" s="15"/>
      <c r="V76">
        <v>53</v>
      </c>
      <c r="X76">
        <v>72</v>
      </c>
    </row>
    <row r="77" spans="1:24" x14ac:dyDescent="0.25">
      <c r="F77" s="38"/>
      <c r="V77">
        <v>54</v>
      </c>
      <c r="X77">
        <v>73</v>
      </c>
    </row>
    <row r="78" spans="1:24" x14ac:dyDescent="0.25">
      <c r="V78">
        <v>55</v>
      </c>
      <c r="X78" t="b">
        <v>0</v>
      </c>
    </row>
    <row r="79" spans="1:24" x14ac:dyDescent="0.25">
      <c r="V79">
        <v>56</v>
      </c>
      <c r="X79">
        <v>75</v>
      </c>
    </row>
    <row r="80" spans="1:24" x14ac:dyDescent="0.25">
      <c r="A80" s="21" t="s">
        <v>82</v>
      </c>
      <c r="B80" s="21"/>
      <c r="C80" s="21"/>
      <c r="D80" s="21"/>
      <c r="V80" t="b">
        <v>0</v>
      </c>
      <c r="X80" t="b">
        <v>0</v>
      </c>
    </row>
    <row r="81" spans="2:24" x14ac:dyDescent="0.25">
      <c r="V81">
        <v>58</v>
      </c>
      <c r="X81">
        <v>77</v>
      </c>
    </row>
    <row r="82" spans="2:24" x14ac:dyDescent="0.25">
      <c r="B82" s="35" t="s">
        <v>127</v>
      </c>
      <c r="C82" s="35" t="s">
        <v>128</v>
      </c>
      <c r="V82" t="b">
        <v>0</v>
      </c>
      <c r="X82" t="b">
        <v>0</v>
      </c>
    </row>
    <row r="83" spans="2:24" x14ac:dyDescent="0.25">
      <c r="B83" t="str" cm="1">
        <f t="array" ref="B83:B91">_xlfn.UNIQUE(WA_Fn_UseC__HR_Employee_Attrition[JobRole])</f>
        <v>Sales Executive</v>
      </c>
      <c r="V83" t="b">
        <v>0</v>
      </c>
      <c r="X83">
        <v>79</v>
      </c>
    </row>
    <row r="84" spans="2:24" x14ac:dyDescent="0.25">
      <c r="B84" t="str">
        <v>Research Scientist</v>
      </c>
      <c r="V84" t="b">
        <v>0</v>
      </c>
      <c r="X84">
        <v>80</v>
      </c>
    </row>
    <row r="85" spans="2:24" x14ac:dyDescent="0.25">
      <c r="B85" t="str">
        <v>Laboratory Technician</v>
      </c>
      <c r="V85">
        <v>63</v>
      </c>
      <c r="X85">
        <v>81</v>
      </c>
    </row>
    <row r="86" spans="2:24" x14ac:dyDescent="0.25">
      <c r="B86" t="str">
        <v>Manufacturing Director</v>
      </c>
      <c r="V86">
        <v>64</v>
      </c>
      <c r="X86">
        <v>83</v>
      </c>
    </row>
    <row r="87" spans="2:24" x14ac:dyDescent="0.25">
      <c r="B87" t="str">
        <v>Healthcare Representative</v>
      </c>
      <c r="V87">
        <v>65</v>
      </c>
      <c r="X87">
        <v>84</v>
      </c>
    </row>
    <row r="88" spans="2:24" x14ac:dyDescent="0.25">
      <c r="B88" t="str">
        <v>Manager</v>
      </c>
      <c r="V88" t="b">
        <v>0</v>
      </c>
      <c r="X88">
        <v>85</v>
      </c>
    </row>
    <row r="89" spans="2:24" x14ac:dyDescent="0.25">
      <c r="B89" t="str">
        <v>Sales Representative</v>
      </c>
      <c r="V89">
        <v>70</v>
      </c>
      <c r="X89">
        <v>86</v>
      </c>
    </row>
    <row r="90" spans="2:24" x14ac:dyDescent="0.25">
      <c r="B90" t="str">
        <v>Research Director</v>
      </c>
      <c r="V90">
        <v>72</v>
      </c>
      <c r="X90">
        <v>88</v>
      </c>
    </row>
    <row r="91" spans="2:24" x14ac:dyDescent="0.25">
      <c r="B91" t="str">
        <v>Human Resources</v>
      </c>
      <c r="V91">
        <v>73</v>
      </c>
      <c r="X91">
        <v>90</v>
      </c>
    </row>
    <row r="92" spans="2:24" x14ac:dyDescent="0.25">
      <c r="V92" t="b">
        <v>0</v>
      </c>
      <c r="X92">
        <v>91</v>
      </c>
    </row>
    <row r="93" spans="2:24" x14ac:dyDescent="0.25">
      <c r="V93">
        <v>75</v>
      </c>
      <c r="X93" t="b">
        <v>0</v>
      </c>
    </row>
    <row r="94" spans="2:24" x14ac:dyDescent="0.25">
      <c r="V94" t="b">
        <v>0</v>
      </c>
      <c r="X94">
        <v>95</v>
      </c>
    </row>
    <row r="95" spans="2:24" x14ac:dyDescent="0.25">
      <c r="V95">
        <v>77</v>
      </c>
      <c r="X95">
        <v>96</v>
      </c>
    </row>
    <row r="96" spans="2:24" x14ac:dyDescent="0.25">
      <c r="V96" t="b">
        <v>0</v>
      </c>
      <c r="X96">
        <v>97</v>
      </c>
    </row>
    <row r="97" spans="22:24" x14ac:dyDescent="0.25">
      <c r="V97">
        <v>79</v>
      </c>
      <c r="X97" t="b">
        <v>0</v>
      </c>
    </row>
    <row r="98" spans="22:24" x14ac:dyDescent="0.25">
      <c r="V98">
        <v>80</v>
      </c>
      <c r="X98">
        <v>100</v>
      </c>
    </row>
    <row r="99" spans="22:24" x14ac:dyDescent="0.25">
      <c r="V99">
        <v>81</v>
      </c>
      <c r="X99">
        <v>101</v>
      </c>
    </row>
    <row r="100" spans="22:24" x14ac:dyDescent="0.25">
      <c r="V100">
        <v>83</v>
      </c>
      <c r="X100">
        <v>102</v>
      </c>
    </row>
    <row r="101" spans="22:24" x14ac:dyDescent="0.25">
      <c r="V101">
        <v>84</v>
      </c>
      <c r="X101" t="b">
        <v>0</v>
      </c>
    </row>
    <row r="102" spans="22:24" x14ac:dyDescent="0.25">
      <c r="V102">
        <v>85</v>
      </c>
      <c r="X102">
        <v>104</v>
      </c>
    </row>
    <row r="103" spans="22:24" x14ac:dyDescent="0.25">
      <c r="V103">
        <v>86</v>
      </c>
      <c r="X103">
        <v>105</v>
      </c>
    </row>
    <row r="104" spans="22:24" x14ac:dyDescent="0.25">
      <c r="V104">
        <v>88</v>
      </c>
      <c r="X104">
        <v>106</v>
      </c>
    </row>
    <row r="105" spans="22:24" x14ac:dyDescent="0.25">
      <c r="V105">
        <v>90</v>
      </c>
      <c r="X105">
        <v>107</v>
      </c>
    </row>
    <row r="106" spans="22:24" x14ac:dyDescent="0.25">
      <c r="V106">
        <v>91</v>
      </c>
      <c r="X106">
        <v>110</v>
      </c>
    </row>
    <row r="107" spans="22:24" x14ac:dyDescent="0.25">
      <c r="V107" t="b">
        <v>0</v>
      </c>
      <c r="X107">
        <v>112</v>
      </c>
    </row>
    <row r="108" spans="22:24" x14ac:dyDescent="0.25">
      <c r="V108">
        <v>95</v>
      </c>
      <c r="X108">
        <v>113</v>
      </c>
    </row>
    <row r="109" spans="22:24" x14ac:dyDescent="0.25">
      <c r="V109">
        <v>96</v>
      </c>
      <c r="X109" t="b">
        <v>0</v>
      </c>
    </row>
    <row r="110" spans="22:24" x14ac:dyDescent="0.25">
      <c r="V110">
        <v>97</v>
      </c>
      <c r="X110">
        <v>117</v>
      </c>
    </row>
    <row r="111" spans="22:24" x14ac:dyDescent="0.25">
      <c r="V111" t="b">
        <v>0</v>
      </c>
      <c r="X111">
        <v>118</v>
      </c>
    </row>
    <row r="112" spans="22:24" x14ac:dyDescent="0.25">
      <c r="V112">
        <v>100</v>
      </c>
      <c r="X112" t="b">
        <v>0</v>
      </c>
    </row>
    <row r="113" spans="22:24" x14ac:dyDescent="0.25">
      <c r="V113">
        <v>101</v>
      </c>
      <c r="X113" t="b">
        <v>0</v>
      </c>
    </row>
    <row r="114" spans="22:24" x14ac:dyDescent="0.25">
      <c r="V114">
        <v>102</v>
      </c>
      <c r="X114">
        <v>121</v>
      </c>
    </row>
    <row r="115" spans="22:24" x14ac:dyDescent="0.25">
      <c r="V115" t="b">
        <v>0</v>
      </c>
      <c r="X115">
        <v>124</v>
      </c>
    </row>
    <row r="116" spans="22:24" x14ac:dyDescent="0.25">
      <c r="V116">
        <v>104</v>
      </c>
      <c r="X116">
        <v>125</v>
      </c>
    </row>
    <row r="117" spans="22:24" x14ac:dyDescent="0.25">
      <c r="V117">
        <v>105</v>
      </c>
      <c r="X117">
        <v>126</v>
      </c>
    </row>
    <row r="118" spans="22:24" x14ac:dyDescent="0.25">
      <c r="V118">
        <v>106</v>
      </c>
      <c r="X118" t="b">
        <v>0</v>
      </c>
    </row>
    <row r="119" spans="22:24" x14ac:dyDescent="0.25">
      <c r="V119">
        <v>107</v>
      </c>
      <c r="X119">
        <v>129</v>
      </c>
    </row>
    <row r="120" spans="22:24" x14ac:dyDescent="0.25">
      <c r="V120">
        <v>110</v>
      </c>
      <c r="X120">
        <v>131</v>
      </c>
    </row>
    <row r="121" spans="22:24" x14ac:dyDescent="0.25">
      <c r="V121">
        <v>112</v>
      </c>
      <c r="X121">
        <v>132</v>
      </c>
    </row>
    <row r="122" spans="22:24" x14ac:dyDescent="0.25">
      <c r="V122">
        <v>113</v>
      </c>
      <c r="X122" t="b">
        <v>0</v>
      </c>
    </row>
    <row r="123" spans="22:24" x14ac:dyDescent="0.25">
      <c r="V123" t="b">
        <v>0</v>
      </c>
      <c r="X123">
        <v>134</v>
      </c>
    </row>
    <row r="124" spans="22:24" x14ac:dyDescent="0.25">
      <c r="V124">
        <v>117</v>
      </c>
      <c r="X124">
        <v>137</v>
      </c>
    </row>
    <row r="125" spans="22:24" x14ac:dyDescent="0.25">
      <c r="V125">
        <v>118</v>
      </c>
      <c r="X125">
        <v>138</v>
      </c>
    </row>
    <row r="126" spans="22:24" x14ac:dyDescent="0.25">
      <c r="V126" t="b">
        <v>0</v>
      </c>
      <c r="X126">
        <v>139</v>
      </c>
    </row>
    <row r="127" spans="22:24" x14ac:dyDescent="0.25">
      <c r="V127" t="b">
        <v>0</v>
      </c>
      <c r="X127" t="b">
        <v>0</v>
      </c>
    </row>
    <row r="128" spans="22:24" x14ac:dyDescent="0.25">
      <c r="V128">
        <v>121</v>
      </c>
      <c r="X128">
        <v>141</v>
      </c>
    </row>
    <row r="129" spans="22:24" x14ac:dyDescent="0.25">
      <c r="V129">
        <v>124</v>
      </c>
      <c r="X129">
        <v>142</v>
      </c>
    </row>
    <row r="130" spans="22:24" x14ac:dyDescent="0.25">
      <c r="V130">
        <v>125</v>
      </c>
      <c r="X130">
        <v>143</v>
      </c>
    </row>
    <row r="131" spans="22:24" x14ac:dyDescent="0.25">
      <c r="V131">
        <v>126</v>
      </c>
      <c r="X131">
        <v>144</v>
      </c>
    </row>
    <row r="132" spans="22:24" x14ac:dyDescent="0.25">
      <c r="V132" t="b">
        <v>0</v>
      </c>
      <c r="X132" t="b">
        <v>0</v>
      </c>
    </row>
    <row r="133" spans="22:24" x14ac:dyDescent="0.25">
      <c r="V133">
        <v>129</v>
      </c>
      <c r="X133" t="b">
        <v>0</v>
      </c>
    </row>
    <row r="134" spans="22:24" x14ac:dyDescent="0.25">
      <c r="V134">
        <v>131</v>
      </c>
      <c r="X134">
        <v>148</v>
      </c>
    </row>
    <row r="135" spans="22:24" x14ac:dyDescent="0.25">
      <c r="V135">
        <v>132</v>
      </c>
      <c r="X135">
        <v>150</v>
      </c>
    </row>
    <row r="136" spans="22:24" x14ac:dyDescent="0.25">
      <c r="V136" t="b">
        <v>0</v>
      </c>
      <c r="X136">
        <v>151</v>
      </c>
    </row>
    <row r="137" spans="22:24" x14ac:dyDescent="0.25">
      <c r="V137">
        <v>134</v>
      </c>
      <c r="X137">
        <v>152</v>
      </c>
    </row>
    <row r="138" spans="22:24" x14ac:dyDescent="0.25">
      <c r="V138">
        <v>137</v>
      </c>
      <c r="X138">
        <v>153</v>
      </c>
    </row>
    <row r="139" spans="22:24" x14ac:dyDescent="0.25">
      <c r="V139">
        <v>138</v>
      </c>
      <c r="X139">
        <v>154</v>
      </c>
    </row>
    <row r="140" spans="22:24" x14ac:dyDescent="0.25">
      <c r="V140">
        <v>139</v>
      </c>
      <c r="X140" t="b">
        <v>0</v>
      </c>
    </row>
    <row r="141" spans="22:24" x14ac:dyDescent="0.25">
      <c r="V141" t="b">
        <v>0</v>
      </c>
      <c r="X141">
        <v>158</v>
      </c>
    </row>
    <row r="142" spans="22:24" x14ac:dyDescent="0.25">
      <c r="V142">
        <v>141</v>
      </c>
      <c r="X142" t="b">
        <v>0</v>
      </c>
    </row>
    <row r="143" spans="22:24" x14ac:dyDescent="0.25">
      <c r="V143">
        <v>142</v>
      </c>
      <c r="X143">
        <v>160</v>
      </c>
    </row>
    <row r="144" spans="22:24" x14ac:dyDescent="0.25">
      <c r="V144">
        <v>143</v>
      </c>
      <c r="X144">
        <v>161</v>
      </c>
    </row>
    <row r="145" spans="22:24" x14ac:dyDescent="0.25">
      <c r="V145">
        <v>144</v>
      </c>
      <c r="X145">
        <v>162</v>
      </c>
    </row>
    <row r="146" spans="22:24" x14ac:dyDescent="0.25">
      <c r="V146" t="b">
        <v>0</v>
      </c>
      <c r="X146">
        <v>163</v>
      </c>
    </row>
    <row r="147" spans="22:24" x14ac:dyDescent="0.25">
      <c r="V147" t="b">
        <v>0</v>
      </c>
      <c r="X147">
        <v>164</v>
      </c>
    </row>
    <row r="148" spans="22:24" x14ac:dyDescent="0.25">
      <c r="V148">
        <v>148</v>
      </c>
      <c r="X148">
        <v>165</v>
      </c>
    </row>
    <row r="149" spans="22:24" x14ac:dyDescent="0.25">
      <c r="V149">
        <v>150</v>
      </c>
      <c r="X149">
        <v>167</v>
      </c>
    </row>
    <row r="150" spans="22:24" x14ac:dyDescent="0.25">
      <c r="V150">
        <v>151</v>
      </c>
      <c r="X150">
        <v>169</v>
      </c>
    </row>
    <row r="151" spans="22:24" x14ac:dyDescent="0.25">
      <c r="V151">
        <v>152</v>
      </c>
      <c r="X151">
        <v>170</v>
      </c>
    </row>
    <row r="152" spans="22:24" x14ac:dyDescent="0.25">
      <c r="V152">
        <v>153</v>
      </c>
      <c r="X152">
        <v>171</v>
      </c>
    </row>
    <row r="153" spans="22:24" x14ac:dyDescent="0.25">
      <c r="V153">
        <v>154</v>
      </c>
      <c r="X153">
        <v>174</v>
      </c>
    </row>
    <row r="154" spans="22:24" x14ac:dyDescent="0.25">
      <c r="V154" t="b">
        <v>0</v>
      </c>
      <c r="X154">
        <v>175</v>
      </c>
    </row>
    <row r="155" spans="22:24" x14ac:dyDescent="0.25">
      <c r="V155">
        <v>158</v>
      </c>
      <c r="X155">
        <v>176</v>
      </c>
    </row>
    <row r="156" spans="22:24" x14ac:dyDescent="0.25">
      <c r="V156" t="b">
        <v>0</v>
      </c>
      <c r="X156" t="b">
        <v>0</v>
      </c>
    </row>
    <row r="157" spans="22:24" x14ac:dyDescent="0.25">
      <c r="V157">
        <v>160</v>
      </c>
      <c r="X157" t="b">
        <v>0</v>
      </c>
    </row>
    <row r="158" spans="22:24" x14ac:dyDescent="0.25">
      <c r="V158">
        <v>161</v>
      </c>
      <c r="X158">
        <v>179</v>
      </c>
    </row>
    <row r="159" spans="22:24" x14ac:dyDescent="0.25">
      <c r="V159">
        <v>162</v>
      </c>
      <c r="X159">
        <v>182</v>
      </c>
    </row>
    <row r="160" spans="22:24" x14ac:dyDescent="0.25">
      <c r="V160">
        <v>163</v>
      </c>
      <c r="X160">
        <v>183</v>
      </c>
    </row>
    <row r="161" spans="22:24" x14ac:dyDescent="0.25">
      <c r="V161">
        <v>164</v>
      </c>
      <c r="X161">
        <v>184</v>
      </c>
    </row>
    <row r="162" spans="22:24" x14ac:dyDescent="0.25">
      <c r="V162">
        <v>165</v>
      </c>
      <c r="X162" t="b">
        <v>0</v>
      </c>
    </row>
    <row r="163" spans="22:24" x14ac:dyDescent="0.25">
      <c r="V163">
        <v>167</v>
      </c>
      <c r="X163">
        <v>192</v>
      </c>
    </row>
    <row r="164" spans="22:24" x14ac:dyDescent="0.25">
      <c r="V164">
        <v>169</v>
      </c>
      <c r="X164" t="b">
        <v>0</v>
      </c>
    </row>
    <row r="165" spans="22:24" x14ac:dyDescent="0.25">
      <c r="V165">
        <v>170</v>
      </c>
      <c r="X165">
        <v>194</v>
      </c>
    </row>
    <row r="166" spans="22:24" x14ac:dyDescent="0.25">
      <c r="V166">
        <v>171</v>
      </c>
      <c r="X166">
        <v>195</v>
      </c>
    </row>
    <row r="167" spans="22:24" x14ac:dyDescent="0.25">
      <c r="V167">
        <v>174</v>
      </c>
      <c r="X167">
        <v>197</v>
      </c>
    </row>
    <row r="168" spans="22:24" x14ac:dyDescent="0.25">
      <c r="V168">
        <v>175</v>
      </c>
      <c r="X168">
        <v>198</v>
      </c>
    </row>
    <row r="169" spans="22:24" x14ac:dyDescent="0.25">
      <c r="V169">
        <v>176</v>
      </c>
      <c r="X169">
        <v>199</v>
      </c>
    </row>
    <row r="170" spans="22:24" x14ac:dyDescent="0.25">
      <c r="V170" t="b">
        <v>0</v>
      </c>
      <c r="X170" t="b">
        <v>0</v>
      </c>
    </row>
    <row r="171" spans="22:24" x14ac:dyDescent="0.25">
      <c r="V171" t="b">
        <v>0</v>
      </c>
      <c r="X171">
        <v>201</v>
      </c>
    </row>
    <row r="172" spans="22:24" x14ac:dyDescent="0.25">
      <c r="V172">
        <v>179</v>
      </c>
      <c r="X172">
        <v>202</v>
      </c>
    </row>
    <row r="173" spans="22:24" x14ac:dyDescent="0.25">
      <c r="V173">
        <v>182</v>
      </c>
      <c r="X173">
        <v>204</v>
      </c>
    </row>
    <row r="174" spans="22:24" x14ac:dyDescent="0.25">
      <c r="V174">
        <v>183</v>
      </c>
      <c r="X174" t="b">
        <v>0</v>
      </c>
    </row>
    <row r="175" spans="22:24" x14ac:dyDescent="0.25">
      <c r="V175">
        <v>184</v>
      </c>
      <c r="X175">
        <v>206</v>
      </c>
    </row>
    <row r="176" spans="22:24" x14ac:dyDescent="0.25">
      <c r="V176" t="b">
        <v>0</v>
      </c>
      <c r="X176">
        <v>207</v>
      </c>
    </row>
    <row r="177" spans="22:24" x14ac:dyDescent="0.25">
      <c r="V177">
        <v>192</v>
      </c>
      <c r="X177">
        <v>208</v>
      </c>
    </row>
    <row r="178" spans="22:24" x14ac:dyDescent="0.25">
      <c r="V178" t="b">
        <v>0</v>
      </c>
      <c r="X178">
        <v>211</v>
      </c>
    </row>
    <row r="179" spans="22:24" x14ac:dyDescent="0.25">
      <c r="V179">
        <v>194</v>
      </c>
      <c r="X179" t="b">
        <v>0</v>
      </c>
    </row>
    <row r="180" spans="22:24" x14ac:dyDescent="0.25">
      <c r="V180">
        <v>195</v>
      </c>
      <c r="X180">
        <v>215</v>
      </c>
    </row>
    <row r="181" spans="22:24" x14ac:dyDescent="0.25">
      <c r="V181">
        <v>197</v>
      </c>
      <c r="X181">
        <v>216</v>
      </c>
    </row>
    <row r="182" spans="22:24" x14ac:dyDescent="0.25">
      <c r="V182">
        <v>198</v>
      </c>
      <c r="X182" t="b">
        <v>0</v>
      </c>
    </row>
    <row r="183" spans="22:24" x14ac:dyDescent="0.25">
      <c r="V183">
        <v>199</v>
      </c>
      <c r="X183">
        <v>218</v>
      </c>
    </row>
    <row r="184" spans="22:24" x14ac:dyDescent="0.25">
      <c r="V184" t="b">
        <v>0</v>
      </c>
      <c r="X184">
        <v>221</v>
      </c>
    </row>
    <row r="185" spans="22:24" x14ac:dyDescent="0.25">
      <c r="V185">
        <v>201</v>
      </c>
      <c r="X185">
        <v>223</v>
      </c>
    </row>
    <row r="186" spans="22:24" x14ac:dyDescent="0.25">
      <c r="V186">
        <v>202</v>
      </c>
      <c r="X186">
        <v>224</v>
      </c>
    </row>
    <row r="187" spans="22:24" x14ac:dyDescent="0.25">
      <c r="V187">
        <v>204</v>
      </c>
      <c r="X187">
        <v>226</v>
      </c>
    </row>
    <row r="188" spans="22:24" x14ac:dyDescent="0.25">
      <c r="V188" t="b">
        <v>0</v>
      </c>
      <c r="X188">
        <v>227</v>
      </c>
    </row>
    <row r="189" spans="22:24" x14ac:dyDescent="0.25">
      <c r="V189">
        <v>206</v>
      </c>
      <c r="X189">
        <v>228</v>
      </c>
    </row>
    <row r="190" spans="22:24" x14ac:dyDescent="0.25">
      <c r="V190">
        <v>207</v>
      </c>
      <c r="X190" t="b">
        <v>0</v>
      </c>
    </row>
    <row r="191" spans="22:24" x14ac:dyDescent="0.25">
      <c r="V191">
        <v>208</v>
      </c>
      <c r="X191" t="b">
        <v>0</v>
      </c>
    </row>
    <row r="192" spans="22:24" x14ac:dyDescent="0.25">
      <c r="V192">
        <v>211</v>
      </c>
      <c r="X192">
        <v>233</v>
      </c>
    </row>
    <row r="193" spans="22:24" x14ac:dyDescent="0.25">
      <c r="V193" t="b">
        <v>0</v>
      </c>
      <c r="X193" t="b">
        <v>0</v>
      </c>
    </row>
    <row r="194" spans="22:24" x14ac:dyDescent="0.25">
      <c r="V194">
        <v>215</v>
      </c>
      <c r="X194">
        <v>238</v>
      </c>
    </row>
    <row r="195" spans="22:24" x14ac:dyDescent="0.25">
      <c r="V195">
        <v>216</v>
      </c>
      <c r="X195">
        <v>239</v>
      </c>
    </row>
    <row r="196" spans="22:24" x14ac:dyDescent="0.25">
      <c r="V196" t="b">
        <v>0</v>
      </c>
      <c r="X196">
        <v>240</v>
      </c>
    </row>
    <row r="197" spans="22:24" x14ac:dyDescent="0.25">
      <c r="V197">
        <v>218</v>
      </c>
      <c r="X197">
        <v>241</v>
      </c>
    </row>
    <row r="198" spans="22:24" x14ac:dyDescent="0.25">
      <c r="V198">
        <v>221</v>
      </c>
      <c r="X198">
        <v>242</v>
      </c>
    </row>
    <row r="199" spans="22:24" x14ac:dyDescent="0.25">
      <c r="V199">
        <v>223</v>
      </c>
      <c r="X199" t="b">
        <v>0</v>
      </c>
    </row>
    <row r="200" spans="22:24" x14ac:dyDescent="0.25">
      <c r="V200">
        <v>224</v>
      </c>
      <c r="X200" t="b">
        <v>0</v>
      </c>
    </row>
    <row r="201" spans="22:24" x14ac:dyDescent="0.25">
      <c r="V201">
        <v>226</v>
      </c>
      <c r="X201">
        <v>245</v>
      </c>
    </row>
    <row r="202" spans="22:24" x14ac:dyDescent="0.25">
      <c r="V202">
        <v>227</v>
      </c>
      <c r="X202" t="b">
        <v>0</v>
      </c>
    </row>
    <row r="203" spans="22:24" x14ac:dyDescent="0.25">
      <c r="V203">
        <v>228</v>
      </c>
      <c r="X203">
        <v>247</v>
      </c>
    </row>
    <row r="204" spans="22:24" x14ac:dyDescent="0.25">
      <c r="V204" t="b">
        <v>0</v>
      </c>
      <c r="X204" t="b">
        <v>0</v>
      </c>
    </row>
    <row r="205" spans="22:24" x14ac:dyDescent="0.25">
      <c r="V205" t="b">
        <v>0</v>
      </c>
      <c r="X205">
        <v>249</v>
      </c>
    </row>
    <row r="206" spans="22:24" x14ac:dyDescent="0.25">
      <c r="V206">
        <v>233</v>
      </c>
      <c r="X206">
        <v>250</v>
      </c>
    </row>
    <row r="207" spans="22:24" x14ac:dyDescent="0.25">
      <c r="V207" t="b">
        <v>0</v>
      </c>
      <c r="X207">
        <v>252</v>
      </c>
    </row>
    <row r="208" spans="22:24" x14ac:dyDescent="0.25">
      <c r="V208">
        <v>238</v>
      </c>
      <c r="X208">
        <v>253</v>
      </c>
    </row>
    <row r="209" spans="22:24" x14ac:dyDescent="0.25">
      <c r="V209">
        <v>239</v>
      </c>
      <c r="X209">
        <v>254</v>
      </c>
    </row>
    <row r="210" spans="22:24" x14ac:dyDescent="0.25">
      <c r="V210">
        <v>240</v>
      </c>
      <c r="X210">
        <v>256</v>
      </c>
    </row>
    <row r="211" spans="22:24" x14ac:dyDescent="0.25">
      <c r="V211">
        <v>241</v>
      </c>
      <c r="X211">
        <v>258</v>
      </c>
    </row>
    <row r="212" spans="22:24" x14ac:dyDescent="0.25">
      <c r="V212">
        <v>242</v>
      </c>
      <c r="X212">
        <v>259</v>
      </c>
    </row>
    <row r="213" spans="22:24" x14ac:dyDescent="0.25">
      <c r="V213" t="b">
        <v>0</v>
      </c>
      <c r="X213">
        <v>260</v>
      </c>
    </row>
    <row r="214" spans="22:24" x14ac:dyDescent="0.25">
      <c r="V214" t="b">
        <v>0</v>
      </c>
      <c r="X214">
        <v>261</v>
      </c>
    </row>
    <row r="215" spans="22:24" x14ac:dyDescent="0.25">
      <c r="V215">
        <v>245</v>
      </c>
      <c r="X215">
        <v>262</v>
      </c>
    </row>
    <row r="216" spans="22:24" x14ac:dyDescent="0.25">
      <c r="V216" t="b">
        <v>0</v>
      </c>
      <c r="X216" t="b">
        <v>0</v>
      </c>
    </row>
    <row r="217" spans="22:24" x14ac:dyDescent="0.25">
      <c r="V217">
        <v>247</v>
      </c>
      <c r="X217">
        <v>267</v>
      </c>
    </row>
    <row r="218" spans="22:24" x14ac:dyDescent="0.25">
      <c r="V218" t="b">
        <v>0</v>
      </c>
      <c r="X218">
        <v>269</v>
      </c>
    </row>
    <row r="219" spans="22:24" x14ac:dyDescent="0.25">
      <c r="V219">
        <v>249</v>
      </c>
      <c r="X219">
        <v>270</v>
      </c>
    </row>
    <row r="220" spans="22:24" x14ac:dyDescent="0.25">
      <c r="V220">
        <v>250</v>
      </c>
      <c r="X220">
        <v>271</v>
      </c>
    </row>
    <row r="221" spans="22:24" x14ac:dyDescent="0.25">
      <c r="V221">
        <v>252</v>
      </c>
      <c r="X221">
        <v>273</v>
      </c>
    </row>
    <row r="222" spans="22:24" x14ac:dyDescent="0.25">
      <c r="V222">
        <v>253</v>
      </c>
      <c r="X222">
        <v>274</v>
      </c>
    </row>
    <row r="223" spans="22:24" x14ac:dyDescent="0.25">
      <c r="V223">
        <v>254</v>
      </c>
      <c r="X223">
        <v>275</v>
      </c>
    </row>
    <row r="224" spans="22:24" x14ac:dyDescent="0.25">
      <c r="V224">
        <v>256</v>
      </c>
      <c r="X224">
        <v>277</v>
      </c>
    </row>
    <row r="225" spans="22:24" x14ac:dyDescent="0.25">
      <c r="V225">
        <v>258</v>
      </c>
      <c r="X225">
        <v>281</v>
      </c>
    </row>
    <row r="226" spans="22:24" x14ac:dyDescent="0.25">
      <c r="V226">
        <v>259</v>
      </c>
      <c r="X226">
        <v>282</v>
      </c>
    </row>
    <row r="227" spans="22:24" x14ac:dyDescent="0.25">
      <c r="V227">
        <v>260</v>
      </c>
      <c r="X227" t="b">
        <v>0</v>
      </c>
    </row>
    <row r="228" spans="22:24" x14ac:dyDescent="0.25">
      <c r="V228">
        <v>261</v>
      </c>
      <c r="X228">
        <v>284</v>
      </c>
    </row>
    <row r="229" spans="22:24" x14ac:dyDescent="0.25">
      <c r="V229">
        <v>262</v>
      </c>
      <c r="X229">
        <v>286</v>
      </c>
    </row>
    <row r="230" spans="22:24" x14ac:dyDescent="0.25">
      <c r="V230" t="b">
        <v>0</v>
      </c>
      <c r="X230">
        <v>287</v>
      </c>
    </row>
    <row r="231" spans="22:24" x14ac:dyDescent="0.25">
      <c r="V231">
        <v>267</v>
      </c>
      <c r="X231">
        <v>288</v>
      </c>
    </row>
    <row r="232" spans="22:24" x14ac:dyDescent="0.25">
      <c r="V232">
        <v>269</v>
      </c>
      <c r="X232">
        <v>291</v>
      </c>
    </row>
    <row r="233" spans="22:24" x14ac:dyDescent="0.25">
      <c r="V233">
        <v>270</v>
      </c>
      <c r="X233" t="b">
        <v>0</v>
      </c>
    </row>
    <row r="234" spans="22:24" x14ac:dyDescent="0.25">
      <c r="V234">
        <v>271</v>
      </c>
      <c r="X234">
        <v>293</v>
      </c>
    </row>
    <row r="235" spans="22:24" x14ac:dyDescent="0.25">
      <c r="V235">
        <v>273</v>
      </c>
      <c r="X235">
        <v>296</v>
      </c>
    </row>
    <row r="236" spans="22:24" x14ac:dyDescent="0.25">
      <c r="V236">
        <v>274</v>
      </c>
      <c r="X236">
        <v>297</v>
      </c>
    </row>
    <row r="237" spans="22:24" x14ac:dyDescent="0.25">
      <c r="V237">
        <v>275</v>
      </c>
      <c r="X237">
        <v>298</v>
      </c>
    </row>
    <row r="238" spans="22:24" x14ac:dyDescent="0.25">
      <c r="V238">
        <v>277</v>
      </c>
      <c r="X238">
        <v>299</v>
      </c>
    </row>
    <row r="239" spans="22:24" x14ac:dyDescent="0.25">
      <c r="V239">
        <v>281</v>
      </c>
      <c r="X239">
        <v>300</v>
      </c>
    </row>
    <row r="240" spans="22:24" x14ac:dyDescent="0.25">
      <c r="V240">
        <v>282</v>
      </c>
      <c r="X240">
        <v>302</v>
      </c>
    </row>
    <row r="241" spans="22:24" x14ac:dyDescent="0.25">
      <c r="V241" t="b">
        <v>0</v>
      </c>
      <c r="X241">
        <v>303</v>
      </c>
    </row>
    <row r="242" spans="22:24" x14ac:dyDescent="0.25">
      <c r="V242">
        <v>284</v>
      </c>
      <c r="X242">
        <v>304</v>
      </c>
    </row>
    <row r="243" spans="22:24" x14ac:dyDescent="0.25">
      <c r="V243">
        <v>286</v>
      </c>
      <c r="X243" t="b">
        <v>0</v>
      </c>
    </row>
    <row r="244" spans="22:24" x14ac:dyDescent="0.25">
      <c r="V244">
        <v>287</v>
      </c>
      <c r="X244">
        <v>306</v>
      </c>
    </row>
    <row r="245" spans="22:24" x14ac:dyDescent="0.25">
      <c r="V245">
        <v>288</v>
      </c>
      <c r="X245">
        <v>307</v>
      </c>
    </row>
    <row r="246" spans="22:24" x14ac:dyDescent="0.25">
      <c r="V246">
        <v>291</v>
      </c>
      <c r="X246">
        <v>308</v>
      </c>
    </row>
    <row r="247" spans="22:24" x14ac:dyDescent="0.25">
      <c r="V247" t="b">
        <v>0</v>
      </c>
      <c r="X247">
        <v>309</v>
      </c>
    </row>
    <row r="248" spans="22:24" x14ac:dyDescent="0.25">
      <c r="V248">
        <v>293</v>
      </c>
      <c r="X248">
        <v>311</v>
      </c>
    </row>
    <row r="249" spans="22:24" x14ac:dyDescent="0.25">
      <c r="V249">
        <v>296</v>
      </c>
      <c r="X249">
        <v>312</v>
      </c>
    </row>
    <row r="250" spans="22:24" x14ac:dyDescent="0.25">
      <c r="V250">
        <v>297</v>
      </c>
      <c r="X250">
        <v>314</v>
      </c>
    </row>
    <row r="251" spans="22:24" x14ac:dyDescent="0.25">
      <c r="V251">
        <v>298</v>
      </c>
      <c r="X251">
        <v>315</v>
      </c>
    </row>
    <row r="252" spans="22:24" x14ac:dyDescent="0.25">
      <c r="V252">
        <v>299</v>
      </c>
      <c r="X252">
        <v>316</v>
      </c>
    </row>
    <row r="253" spans="22:24" x14ac:dyDescent="0.25">
      <c r="V253">
        <v>300</v>
      </c>
      <c r="X253">
        <v>319</v>
      </c>
    </row>
    <row r="254" spans="22:24" x14ac:dyDescent="0.25">
      <c r="V254">
        <v>302</v>
      </c>
      <c r="X254">
        <v>321</v>
      </c>
    </row>
    <row r="255" spans="22:24" x14ac:dyDescent="0.25">
      <c r="V255">
        <v>303</v>
      </c>
      <c r="X255">
        <v>323</v>
      </c>
    </row>
    <row r="256" spans="22:24" x14ac:dyDescent="0.25">
      <c r="V256">
        <v>304</v>
      </c>
      <c r="X256">
        <v>325</v>
      </c>
    </row>
    <row r="257" spans="22:24" x14ac:dyDescent="0.25">
      <c r="V257" t="b">
        <v>0</v>
      </c>
      <c r="X257" t="b">
        <v>0</v>
      </c>
    </row>
    <row r="258" spans="22:24" x14ac:dyDescent="0.25">
      <c r="V258">
        <v>306</v>
      </c>
      <c r="X258" t="b">
        <v>0</v>
      </c>
    </row>
    <row r="259" spans="22:24" x14ac:dyDescent="0.25">
      <c r="V259">
        <v>307</v>
      </c>
      <c r="X259">
        <v>329</v>
      </c>
    </row>
    <row r="260" spans="22:24" x14ac:dyDescent="0.25">
      <c r="V260">
        <v>308</v>
      </c>
      <c r="X260">
        <v>330</v>
      </c>
    </row>
    <row r="261" spans="22:24" x14ac:dyDescent="0.25">
      <c r="V261">
        <v>309</v>
      </c>
      <c r="X261">
        <v>331</v>
      </c>
    </row>
    <row r="262" spans="22:24" x14ac:dyDescent="0.25">
      <c r="V262">
        <v>311</v>
      </c>
      <c r="X262">
        <v>332</v>
      </c>
    </row>
    <row r="263" spans="22:24" x14ac:dyDescent="0.25">
      <c r="V263">
        <v>312</v>
      </c>
      <c r="X263">
        <v>333</v>
      </c>
    </row>
    <row r="264" spans="22:24" x14ac:dyDescent="0.25">
      <c r="V264">
        <v>314</v>
      </c>
      <c r="X264">
        <v>334</v>
      </c>
    </row>
    <row r="265" spans="22:24" x14ac:dyDescent="0.25">
      <c r="V265">
        <v>315</v>
      </c>
      <c r="X265">
        <v>335</v>
      </c>
    </row>
    <row r="266" spans="22:24" x14ac:dyDescent="0.25">
      <c r="V266">
        <v>316</v>
      </c>
      <c r="X266">
        <v>336</v>
      </c>
    </row>
    <row r="267" spans="22:24" x14ac:dyDescent="0.25">
      <c r="V267">
        <v>319</v>
      </c>
      <c r="X267">
        <v>337</v>
      </c>
    </row>
    <row r="268" spans="22:24" x14ac:dyDescent="0.25">
      <c r="V268">
        <v>321</v>
      </c>
      <c r="X268">
        <v>338</v>
      </c>
    </row>
    <row r="269" spans="22:24" x14ac:dyDescent="0.25">
      <c r="V269">
        <v>323</v>
      </c>
      <c r="X269">
        <v>339</v>
      </c>
    </row>
    <row r="270" spans="22:24" x14ac:dyDescent="0.25">
      <c r="V270">
        <v>325</v>
      </c>
      <c r="X270">
        <v>340</v>
      </c>
    </row>
    <row r="271" spans="22:24" x14ac:dyDescent="0.25">
      <c r="V271" t="b">
        <v>0</v>
      </c>
      <c r="X271">
        <v>341</v>
      </c>
    </row>
    <row r="272" spans="22:24" x14ac:dyDescent="0.25">
      <c r="V272" t="b">
        <v>0</v>
      </c>
      <c r="X272">
        <v>342</v>
      </c>
    </row>
    <row r="273" spans="22:24" x14ac:dyDescent="0.25">
      <c r="V273">
        <v>329</v>
      </c>
      <c r="X273" t="b">
        <v>0</v>
      </c>
    </row>
    <row r="274" spans="22:24" x14ac:dyDescent="0.25">
      <c r="V274">
        <v>330</v>
      </c>
      <c r="X274">
        <v>346</v>
      </c>
    </row>
    <row r="275" spans="22:24" x14ac:dyDescent="0.25">
      <c r="V275">
        <v>331</v>
      </c>
      <c r="X275">
        <v>347</v>
      </c>
    </row>
    <row r="276" spans="22:24" x14ac:dyDescent="0.25">
      <c r="V276">
        <v>332</v>
      </c>
      <c r="X276">
        <v>349</v>
      </c>
    </row>
    <row r="277" spans="22:24" x14ac:dyDescent="0.25">
      <c r="V277">
        <v>333</v>
      </c>
      <c r="X277">
        <v>350</v>
      </c>
    </row>
    <row r="278" spans="22:24" x14ac:dyDescent="0.25">
      <c r="V278">
        <v>334</v>
      </c>
      <c r="X278">
        <v>351</v>
      </c>
    </row>
    <row r="279" spans="22:24" x14ac:dyDescent="0.25">
      <c r="V279">
        <v>335</v>
      </c>
      <c r="X279">
        <v>352</v>
      </c>
    </row>
    <row r="280" spans="22:24" x14ac:dyDescent="0.25">
      <c r="V280">
        <v>336</v>
      </c>
      <c r="X280">
        <v>353</v>
      </c>
    </row>
    <row r="281" spans="22:24" x14ac:dyDescent="0.25">
      <c r="V281">
        <v>337</v>
      </c>
      <c r="X281">
        <v>355</v>
      </c>
    </row>
    <row r="282" spans="22:24" x14ac:dyDescent="0.25">
      <c r="V282">
        <v>338</v>
      </c>
      <c r="X282" t="b">
        <v>0</v>
      </c>
    </row>
    <row r="283" spans="22:24" x14ac:dyDescent="0.25">
      <c r="V283">
        <v>339</v>
      </c>
      <c r="X283">
        <v>361</v>
      </c>
    </row>
    <row r="284" spans="22:24" x14ac:dyDescent="0.25">
      <c r="V284">
        <v>340</v>
      </c>
      <c r="X284">
        <v>362</v>
      </c>
    </row>
    <row r="285" spans="22:24" x14ac:dyDescent="0.25">
      <c r="V285">
        <v>341</v>
      </c>
      <c r="X285">
        <v>363</v>
      </c>
    </row>
    <row r="286" spans="22:24" x14ac:dyDescent="0.25">
      <c r="V286">
        <v>342</v>
      </c>
      <c r="X286">
        <v>364</v>
      </c>
    </row>
    <row r="287" spans="22:24" x14ac:dyDescent="0.25">
      <c r="V287" t="b">
        <v>0</v>
      </c>
      <c r="X287">
        <v>366</v>
      </c>
    </row>
    <row r="288" spans="22:24" x14ac:dyDescent="0.25">
      <c r="V288">
        <v>346</v>
      </c>
      <c r="X288" t="b">
        <v>0</v>
      </c>
    </row>
    <row r="289" spans="22:24" x14ac:dyDescent="0.25">
      <c r="V289">
        <v>347</v>
      </c>
      <c r="X289">
        <v>369</v>
      </c>
    </row>
    <row r="290" spans="22:24" x14ac:dyDescent="0.25">
      <c r="V290">
        <v>349</v>
      </c>
      <c r="X290">
        <v>372</v>
      </c>
    </row>
    <row r="291" spans="22:24" x14ac:dyDescent="0.25">
      <c r="V291">
        <v>350</v>
      </c>
      <c r="X291">
        <v>373</v>
      </c>
    </row>
    <row r="292" spans="22:24" x14ac:dyDescent="0.25">
      <c r="V292">
        <v>351</v>
      </c>
      <c r="X292">
        <v>374</v>
      </c>
    </row>
    <row r="293" spans="22:24" x14ac:dyDescent="0.25">
      <c r="V293">
        <v>352</v>
      </c>
      <c r="X293">
        <v>376</v>
      </c>
    </row>
    <row r="294" spans="22:24" x14ac:dyDescent="0.25">
      <c r="V294">
        <v>353</v>
      </c>
      <c r="X294" t="b">
        <v>0</v>
      </c>
    </row>
    <row r="295" spans="22:24" x14ac:dyDescent="0.25">
      <c r="V295">
        <v>355</v>
      </c>
      <c r="X295">
        <v>378</v>
      </c>
    </row>
    <row r="296" spans="22:24" x14ac:dyDescent="0.25">
      <c r="V296" t="b">
        <v>0</v>
      </c>
      <c r="X296">
        <v>379</v>
      </c>
    </row>
    <row r="297" spans="22:24" x14ac:dyDescent="0.25">
      <c r="V297">
        <v>361</v>
      </c>
      <c r="X297">
        <v>380</v>
      </c>
    </row>
    <row r="298" spans="22:24" x14ac:dyDescent="0.25">
      <c r="V298">
        <v>362</v>
      </c>
      <c r="X298">
        <v>381</v>
      </c>
    </row>
    <row r="299" spans="22:24" x14ac:dyDescent="0.25">
      <c r="V299">
        <v>363</v>
      </c>
      <c r="X299" t="b">
        <v>0</v>
      </c>
    </row>
    <row r="300" spans="22:24" x14ac:dyDescent="0.25">
      <c r="V300">
        <v>364</v>
      </c>
      <c r="X300" t="b">
        <v>0</v>
      </c>
    </row>
    <row r="301" spans="22:24" x14ac:dyDescent="0.25">
      <c r="V301">
        <v>366</v>
      </c>
      <c r="X301">
        <v>385</v>
      </c>
    </row>
    <row r="302" spans="22:24" x14ac:dyDescent="0.25">
      <c r="V302" t="b">
        <v>0</v>
      </c>
      <c r="X302">
        <v>386</v>
      </c>
    </row>
    <row r="303" spans="22:24" x14ac:dyDescent="0.25">
      <c r="V303">
        <v>369</v>
      </c>
      <c r="X303" t="b">
        <v>0</v>
      </c>
    </row>
    <row r="304" spans="22:24" x14ac:dyDescent="0.25">
      <c r="V304">
        <v>372</v>
      </c>
      <c r="X304">
        <v>388</v>
      </c>
    </row>
    <row r="305" spans="22:24" x14ac:dyDescent="0.25">
      <c r="V305">
        <v>373</v>
      </c>
      <c r="X305">
        <v>389</v>
      </c>
    </row>
    <row r="306" spans="22:24" x14ac:dyDescent="0.25">
      <c r="V306">
        <v>374</v>
      </c>
      <c r="X306">
        <v>390</v>
      </c>
    </row>
    <row r="307" spans="22:24" x14ac:dyDescent="0.25">
      <c r="V307">
        <v>376</v>
      </c>
      <c r="X307">
        <v>391</v>
      </c>
    </row>
    <row r="308" spans="22:24" x14ac:dyDescent="0.25">
      <c r="V308" t="b">
        <v>0</v>
      </c>
      <c r="X308" t="b">
        <v>0</v>
      </c>
    </row>
    <row r="309" spans="22:24" x14ac:dyDescent="0.25">
      <c r="V309">
        <v>378</v>
      </c>
      <c r="X309">
        <v>393</v>
      </c>
    </row>
    <row r="310" spans="22:24" x14ac:dyDescent="0.25">
      <c r="V310">
        <v>379</v>
      </c>
      <c r="X310">
        <v>394</v>
      </c>
    </row>
    <row r="311" spans="22:24" x14ac:dyDescent="0.25">
      <c r="V311">
        <v>380</v>
      </c>
      <c r="X311" t="b">
        <v>0</v>
      </c>
    </row>
    <row r="312" spans="22:24" x14ac:dyDescent="0.25">
      <c r="V312">
        <v>381</v>
      </c>
      <c r="X312">
        <v>396</v>
      </c>
    </row>
    <row r="313" spans="22:24" x14ac:dyDescent="0.25">
      <c r="V313" t="b">
        <v>0</v>
      </c>
      <c r="X313">
        <v>397</v>
      </c>
    </row>
    <row r="314" spans="22:24" x14ac:dyDescent="0.25">
      <c r="V314" t="b">
        <v>0</v>
      </c>
      <c r="X314">
        <v>399</v>
      </c>
    </row>
    <row r="315" spans="22:24" x14ac:dyDescent="0.25">
      <c r="V315">
        <v>385</v>
      </c>
      <c r="X315">
        <v>401</v>
      </c>
    </row>
    <row r="316" spans="22:24" x14ac:dyDescent="0.25">
      <c r="V316">
        <v>386</v>
      </c>
      <c r="X316">
        <v>403</v>
      </c>
    </row>
    <row r="317" spans="22:24" x14ac:dyDescent="0.25">
      <c r="V317" t="b">
        <v>0</v>
      </c>
      <c r="X317">
        <v>404</v>
      </c>
    </row>
    <row r="318" spans="22:24" x14ac:dyDescent="0.25">
      <c r="V318">
        <v>388</v>
      </c>
      <c r="X318">
        <v>405</v>
      </c>
    </row>
    <row r="319" spans="22:24" x14ac:dyDescent="0.25">
      <c r="V319">
        <v>389</v>
      </c>
      <c r="X319">
        <v>406</v>
      </c>
    </row>
    <row r="320" spans="22:24" x14ac:dyDescent="0.25">
      <c r="V320">
        <v>390</v>
      </c>
      <c r="X320">
        <v>407</v>
      </c>
    </row>
    <row r="321" spans="22:24" x14ac:dyDescent="0.25">
      <c r="V321">
        <v>391</v>
      </c>
      <c r="X321">
        <v>408</v>
      </c>
    </row>
    <row r="322" spans="22:24" x14ac:dyDescent="0.25">
      <c r="V322" t="b">
        <v>0</v>
      </c>
      <c r="X322">
        <v>410</v>
      </c>
    </row>
    <row r="323" spans="22:24" x14ac:dyDescent="0.25">
      <c r="V323">
        <v>393</v>
      </c>
      <c r="X323">
        <v>411</v>
      </c>
    </row>
    <row r="324" spans="22:24" x14ac:dyDescent="0.25">
      <c r="V324">
        <v>394</v>
      </c>
      <c r="X324">
        <v>412</v>
      </c>
    </row>
    <row r="325" spans="22:24" x14ac:dyDescent="0.25">
      <c r="V325" t="b">
        <v>0</v>
      </c>
      <c r="X325">
        <v>416</v>
      </c>
    </row>
    <row r="326" spans="22:24" x14ac:dyDescent="0.25">
      <c r="V326">
        <v>396</v>
      </c>
      <c r="X326">
        <v>417</v>
      </c>
    </row>
    <row r="327" spans="22:24" x14ac:dyDescent="0.25">
      <c r="V327">
        <v>397</v>
      </c>
      <c r="X327">
        <v>419</v>
      </c>
    </row>
    <row r="328" spans="22:24" x14ac:dyDescent="0.25">
      <c r="V328">
        <v>399</v>
      </c>
      <c r="X328">
        <v>420</v>
      </c>
    </row>
    <row r="329" spans="22:24" x14ac:dyDescent="0.25">
      <c r="V329">
        <v>401</v>
      </c>
      <c r="X329">
        <v>421</v>
      </c>
    </row>
    <row r="330" spans="22:24" x14ac:dyDescent="0.25">
      <c r="V330">
        <v>403</v>
      </c>
      <c r="X330">
        <v>422</v>
      </c>
    </row>
    <row r="331" spans="22:24" x14ac:dyDescent="0.25">
      <c r="V331">
        <v>404</v>
      </c>
      <c r="X331">
        <v>423</v>
      </c>
    </row>
    <row r="332" spans="22:24" x14ac:dyDescent="0.25">
      <c r="V332">
        <v>405</v>
      </c>
      <c r="X332">
        <v>424</v>
      </c>
    </row>
    <row r="333" spans="22:24" x14ac:dyDescent="0.25">
      <c r="V333">
        <v>406</v>
      </c>
      <c r="X333">
        <v>425</v>
      </c>
    </row>
    <row r="334" spans="22:24" x14ac:dyDescent="0.25">
      <c r="V334">
        <v>407</v>
      </c>
      <c r="X334">
        <v>426</v>
      </c>
    </row>
    <row r="335" spans="22:24" x14ac:dyDescent="0.25">
      <c r="V335">
        <v>408</v>
      </c>
      <c r="X335">
        <v>428</v>
      </c>
    </row>
    <row r="336" spans="22:24" x14ac:dyDescent="0.25">
      <c r="V336">
        <v>410</v>
      </c>
      <c r="X336">
        <v>429</v>
      </c>
    </row>
    <row r="337" spans="22:24" x14ac:dyDescent="0.25">
      <c r="V337">
        <v>411</v>
      </c>
      <c r="X337">
        <v>430</v>
      </c>
    </row>
    <row r="338" spans="22:24" x14ac:dyDescent="0.25">
      <c r="V338">
        <v>412</v>
      </c>
      <c r="X338">
        <v>431</v>
      </c>
    </row>
    <row r="339" spans="22:24" x14ac:dyDescent="0.25">
      <c r="V339">
        <v>416</v>
      </c>
      <c r="X339">
        <v>433</v>
      </c>
    </row>
    <row r="340" spans="22:24" x14ac:dyDescent="0.25">
      <c r="V340">
        <v>417</v>
      </c>
      <c r="X340">
        <v>434</v>
      </c>
    </row>
    <row r="341" spans="22:24" x14ac:dyDescent="0.25">
      <c r="V341">
        <v>419</v>
      </c>
      <c r="X341">
        <v>436</v>
      </c>
    </row>
    <row r="342" spans="22:24" x14ac:dyDescent="0.25">
      <c r="V342">
        <v>420</v>
      </c>
      <c r="X342">
        <v>437</v>
      </c>
    </row>
    <row r="343" spans="22:24" x14ac:dyDescent="0.25">
      <c r="V343">
        <v>421</v>
      </c>
      <c r="X343">
        <v>438</v>
      </c>
    </row>
    <row r="344" spans="22:24" x14ac:dyDescent="0.25">
      <c r="V344">
        <v>422</v>
      </c>
      <c r="X344">
        <v>439</v>
      </c>
    </row>
    <row r="345" spans="22:24" x14ac:dyDescent="0.25">
      <c r="V345">
        <v>423</v>
      </c>
      <c r="X345">
        <v>440</v>
      </c>
    </row>
    <row r="346" spans="22:24" x14ac:dyDescent="0.25">
      <c r="V346">
        <v>424</v>
      </c>
      <c r="X346">
        <v>441</v>
      </c>
    </row>
    <row r="347" spans="22:24" x14ac:dyDescent="0.25">
      <c r="V347">
        <v>425</v>
      </c>
      <c r="X347" t="b">
        <v>0</v>
      </c>
    </row>
    <row r="348" spans="22:24" x14ac:dyDescent="0.25">
      <c r="V348">
        <v>426</v>
      </c>
      <c r="X348">
        <v>444</v>
      </c>
    </row>
    <row r="349" spans="22:24" x14ac:dyDescent="0.25">
      <c r="V349">
        <v>428</v>
      </c>
      <c r="X349">
        <v>445</v>
      </c>
    </row>
    <row r="350" spans="22:24" x14ac:dyDescent="0.25">
      <c r="V350">
        <v>429</v>
      </c>
      <c r="X350">
        <v>446</v>
      </c>
    </row>
    <row r="351" spans="22:24" x14ac:dyDescent="0.25">
      <c r="V351">
        <v>430</v>
      </c>
      <c r="X351">
        <v>447</v>
      </c>
    </row>
    <row r="352" spans="22:24" x14ac:dyDescent="0.25">
      <c r="V352">
        <v>431</v>
      </c>
      <c r="X352">
        <v>448</v>
      </c>
    </row>
    <row r="353" spans="22:24" x14ac:dyDescent="0.25">
      <c r="V353">
        <v>433</v>
      </c>
      <c r="X353">
        <v>449</v>
      </c>
    </row>
    <row r="354" spans="22:24" x14ac:dyDescent="0.25">
      <c r="V354">
        <v>434</v>
      </c>
      <c r="X354">
        <v>450</v>
      </c>
    </row>
    <row r="355" spans="22:24" x14ac:dyDescent="0.25">
      <c r="V355">
        <v>436</v>
      </c>
      <c r="X355">
        <v>451</v>
      </c>
    </row>
    <row r="356" spans="22:24" x14ac:dyDescent="0.25">
      <c r="V356">
        <v>437</v>
      </c>
      <c r="X356">
        <v>452</v>
      </c>
    </row>
    <row r="357" spans="22:24" x14ac:dyDescent="0.25">
      <c r="V357">
        <v>438</v>
      </c>
      <c r="X357" t="b">
        <v>0</v>
      </c>
    </row>
    <row r="358" spans="22:24" x14ac:dyDescent="0.25">
      <c r="V358">
        <v>439</v>
      </c>
      <c r="X358">
        <v>454</v>
      </c>
    </row>
    <row r="359" spans="22:24" x14ac:dyDescent="0.25">
      <c r="V359">
        <v>440</v>
      </c>
      <c r="X359">
        <v>455</v>
      </c>
    </row>
    <row r="360" spans="22:24" x14ac:dyDescent="0.25">
      <c r="V360">
        <v>441</v>
      </c>
      <c r="X360">
        <v>456</v>
      </c>
    </row>
    <row r="361" spans="22:24" x14ac:dyDescent="0.25">
      <c r="V361" t="b">
        <v>0</v>
      </c>
      <c r="X361">
        <v>458</v>
      </c>
    </row>
    <row r="362" spans="22:24" x14ac:dyDescent="0.25">
      <c r="V362">
        <v>444</v>
      </c>
      <c r="X362">
        <v>460</v>
      </c>
    </row>
    <row r="363" spans="22:24" x14ac:dyDescent="0.25">
      <c r="V363">
        <v>445</v>
      </c>
      <c r="X363">
        <v>461</v>
      </c>
    </row>
    <row r="364" spans="22:24" x14ac:dyDescent="0.25">
      <c r="V364">
        <v>446</v>
      </c>
      <c r="X364">
        <v>462</v>
      </c>
    </row>
    <row r="365" spans="22:24" x14ac:dyDescent="0.25">
      <c r="V365">
        <v>447</v>
      </c>
      <c r="X365">
        <v>463</v>
      </c>
    </row>
    <row r="366" spans="22:24" x14ac:dyDescent="0.25">
      <c r="V366">
        <v>448</v>
      </c>
      <c r="X366">
        <v>464</v>
      </c>
    </row>
    <row r="367" spans="22:24" x14ac:dyDescent="0.25">
      <c r="V367">
        <v>449</v>
      </c>
      <c r="X367">
        <v>465</v>
      </c>
    </row>
    <row r="368" spans="22:24" x14ac:dyDescent="0.25">
      <c r="V368">
        <v>450</v>
      </c>
      <c r="X368">
        <v>466</v>
      </c>
    </row>
    <row r="369" spans="22:24" x14ac:dyDescent="0.25">
      <c r="V369">
        <v>451</v>
      </c>
      <c r="X369">
        <v>467</v>
      </c>
    </row>
    <row r="370" spans="22:24" x14ac:dyDescent="0.25">
      <c r="V370">
        <v>452</v>
      </c>
      <c r="X370">
        <v>468</v>
      </c>
    </row>
    <row r="371" spans="22:24" x14ac:dyDescent="0.25">
      <c r="V371" t="b">
        <v>0</v>
      </c>
      <c r="X371">
        <v>469</v>
      </c>
    </row>
    <row r="372" spans="22:24" x14ac:dyDescent="0.25">
      <c r="V372">
        <v>454</v>
      </c>
      <c r="X372">
        <v>470</v>
      </c>
    </row>
    <row r="373" spans="22:24" x14ac:dyDescent="0.25">
      <c r="V373">
        <v>455</v>
      </c>
      <c r="X373">
        <v>471</v>
      </c>
    </row>
    <row r="374" spans="22:24" x14ac:dyDescent="0.25">
      <c r="V374">
        <v>456</v>
      </c>
      <c r="X374" t="b">
        <v>0</v>
      </c>
    </row>
    <row r="375" spans="22:24" x14ac:dyDescent="0.25">
      <c r="V375">
        <v>458</v>
      </c>
      <c r="X375">
        <v>474</v>
      </c>
    </row>
    <row r="376" spans="22:24" x14ac:dyDescent="0.25">
      <c r="V376">
        <v>460</v>
      </c>
      <c r="X376">
        <v>475</v>
      </c>
    </row>
    <row r="377" spans="22:24" x14ac:dyDescent="0.25">
      <c r="V377">
        <v>461</v>
      </c>
      <c r="X377">
        <v>476</v>
      </c>
    </row>
    <row r="378" spans="22:24" x14ac:dyDescent="0.25">
      <c r="V378">
        <v>462</v>
      </c>
      <c r="X378" t="b">
        <v>0</v>
      </c>
    </row>
    <row r="379" spans="22:24" x14ac:dyDescent="0.25">
      <c r="V379">
        <v>463</v>
      </c>
      <c r="X379">
        <v>478</v>
      </c>
    </row>
    <row r="380" spans="22:24" x14ac:dyDescent="0.25">
      <c r="V380">
        <v>464</v>
      </c>
      <c r="X380">
        <v>479</v>
      </c>
    </row>
    <row r="381" spans="22:24" x14ac:dyDescent="0.25">
      <c r="V381">
        <v>465</v>
      </c>
      <c r="X381">
        <v>481</v>
      </c>
    </row>
    <row r="382" spans="22:24" x14ac:dyDescent="0.25">
      <c r="V382">
        <v>466</v>
      </c>
      <c r="X382">
        <v>482</v>
      </c>
    </row>
    <row r="383" spans="22:24" x14ac:dyDescent="0.25">
      <c r="V383">
        <v>467</v>
      </c>
      <c r="X383">
        <v>483</v>
      </c>
    </row>
    <row r="384" spans="22:24" x14ac:dyDescent="0.25">
      <c r="V384">
        <v>468</v>
      </c>
      <c r="X384" t="b">
        <v>0</v>
      </c>
    </row>
    <row r="385" spans="22:24" x14ac:dyDescent="0.25">
      <c r="V385">
        <v>469</v>
      </c>
      <c r="X385">
        <v>485</v>
      </c>
    </row>
    <row r="386" spans="22:24" x14ac:dyDescent="0.25">
      <c r="V386">
        <v>470</v>
      </c>
      <c r="X386" t="b">
        <v>0</v>
      </c>
    </row>
    <row r="387" spans="22:24" x14ac:dyDescent="0.25">
      <c r="V387">
        <v>471</v>
      </c>
      <c r="X387">
        <v>487</v>
      </c>
    </row>
    <row r="388" spans="22:24" x14ac:dyDescent="0.25">
      <c r="V388" t="b">
        <v>0</v>
      </c>
      <c r="X388">
        <v>488</v>
      </c>
    </row>
    <row r="389" spans="22:24" x14ac:dyDescent="0.25">
      <c r="V389">
        <v>474</v>
      </c>
      <c r="X389">
        <v>491</v>
      </c>
    </row>
    <row r="390" spans="22:24" x14ac:dyDescent="0.25">
      <c r="V390">
        <v>475</v>
      </c>
      <c r="X390">
        <v>492</v>
      </c>
    </row>
    <row r="391" spans="22:24" x14ac:dyDescent="0.25">
      <c r="V391">
        <v>476</v>
      </c>
      <c r="X391">
        <v>493</v>
      </c>
    </row>
    <row r="392" spans="22:24" x14ac:dyDescent="0.25">
      <c r="V392" t="b">
        <v>0</v>
      </c>
      <c r="X392">
        <v>494</v>
      </c>
    </row>
    <row r="393" spans="22:24" x14ac:dyDescent="0.25">
      <c r="V393">
        <v>478</v>
      </c>
      <c r="X393">
        <v>495</v>
      </c>
    </row>
    <row r="394" spans="22:24" x14ac:dyDescent="0.25">
      <c r="V394">
        <v>479</v>
      </c>
      <c r="X394">
        <v>496</v>
      </c>
    </row>
    <row r="395" spans="22:24" x14ac:dyDescent="0.25">
      <c r="V395">
        <v>481</v>
      </c>
      <c r="X395">
        <v>497</v>
      </c>
    </row>
    <row r="396" spans="22:24" x14ac:dyDescent="0.25">
      <c r="V396">
        <v>482</v>
      </c>
      <c r="X396">
        <v>498</v>
      </c>
    </row>
    <row r="397" spans="22:24" x14ac:dyDescent="0.25">
      <c r="V397">
        <v>483</v>
      </c>
      <c r="X397" t="b">
        <v>0</v>
      </c>
    </row>
    <row r="398" spans="22:24" x14ac:dyDescent="0.25">
      <c r="V398" t="b">
        <v>0</v>
      </c>
      <c r="X398">
        <v>500</v>
      </c>
    </row>
    <row r="399" spans="22:24" x14ac:dyDescent="0.25">
      <c r="V399">
        <v>485</v>
      </c>
      <c r="X399">
        <v>501</v>
      </c>
    </row>
    <row r="400" spans="22:24" x14ac:dyDescent="0.25">
      <c r="V400" t="b">
        <v>0</v>
      </c>
      <c r="X400">
        <v>502</v>
      </c>
    </row>
    <row r="401" spans="22:24" x14ac:dyDescent="0.25">
      <c r="V401">
        <v>487</v>
      </c>
      <c r="X401">
        <v>505</v>
      </c>
    </row>
    <row r="402" spans="22:24" x14ac:dyDescent="0.25">
      <c r="V402">
        <v>488</v>
      </c>
      <c r="X402">
        <v>507</v>
      </c>
    </row>
    <row r="403" spans="22:24" x14ac:dyDescent="0.25">
      <c r="V403">
        <v>491</v>
      </c>
      <c r="X403">
        <v>508</v>
      </c>
    </row>
    <row r="404" spans="22:24" x14ac:dyDescent="0.25">
      <c r="V404">
        <v>492</v>
      </c>
      <c r="X404" t="b">
        <v>0</v>
      </c>
    </row>
    <row r="405" spans="22:24" x14ac:dyDescent="0.25">
      <c r="V405">
        <v>493</v>
      </c>
      <c r="X405">
        <v>511</v>
      </c>
    </row>
    <row r="406" spans="22:24" x14ac:dyDescent="0.25">
      <c r="V406">
        <v>494</v>
      </c>
      <c r="X406">
        <v>513</v>
      </c>
    </row>
    <row r="407" spans="22:24" x14ac:dyDescent="0.25">
      <c r="V407">
        <v>495</v>
      </c>
      <c r="X407" t="b">
        <v>0</v>
      </c>
    </row>
    <row r="408" spans="22:24" x14ac:dyDescent="0.25">
      <c r="V408">
        <v>496</v>
      </c>
      <c r="X408">
        <v>515</v>
      </c>
    </row>
    <row r="409" spans="22:24" x14ac:dyDescent="0.25">
      <c r="V409">
        <v>497</v>
      </c>
      <c r="X409">
        <v>516</v>
      </c>
    </row>
    <row r="410" spans="22:24" x14ac:dyDescent="0.25">
      <c r="V410">
        <v>498</v>
      </c>
      <c r="X410">
        <v>517</v>
      </c>
    </row>
    <row r="411" spans="22:24" x14ac:dyDescent="0.25">
      <c r="V411" t="b">
        <v>0</v>
      </c>
      <c r="X411">
        <v>518</v>
      </c>
    </row>
    <row r="412" spans="22:24" x14ac:dyDescent="0.25">
      <c r="V412">
        <v>500</v>
      </c>
      <c r="X412">
        <v>520</v>
      </c>
    </row>
    <row r="413" spans="22:24" x14ac:dyDescent="0.25">
      <c r="V413">
        <v>501</v>
      </c>
      <c r="X413" t="b">
        <v>0</v>
      </c>
    </row>
    <row r="414" spans="22:24" x14ac:dyDescent="0.25">
      <c r="V414">
        <v>502</v>
      </c>
      <c r="X414">
        <v>522</v>
      </c>
    </row>
    <row r="415" spans="22:24" x14ac:dyDescent="0.25">
      <c r="V415">
        <v>505</v>
      </c>
      <c r="X415">
        <v>523</v>
      </c>
    </row>
    <row r="416" spans="22:24" x14ac:dyDescent="0.25">
      <c r="V416">
        <v>507</v>
      </c>
      <c r="X416">
        <v>524</v>
      </c>
    </row>
    <row r="417" spans="22:24" x14ac:dyDescent="0.25">
      <c r="V417">
        <v>508</v>
      </c>
      <c r="X417" t="b">
        <v>0</v>
      </c>
    </row>
    <row r="418" spans="22:24" x14ac:dyDescent="0.25">
      <c r="V418" t="b">
        <v>0</v>
      </c>
      <c r="X418">
        <v>526</v>
      </c>
    </row>
    <row r="419" spans="22:24" x14ac:dyDescent="0.25">
      <c r="V419">
        <v>511</v>
      </c>
      <c r="X419">
        <v>527</v>
      </c>
    </row>
    <row r="420" spans="22:24" x14ac:dyDescent="0.25">
      <c r="V420">
        <v>513</v>
      </c>
      <c r="X420">
        <v>529</v>
      </c>
    </row>
    <row r="421" spans="22:24" x14ac:dyDescent="0.25">
      <c r="V421" t="b">
        <v>0</v>
      </c>
      <c r="X421">
        <v>530</v>
      </c>
    </row>
    <row r="422" spans="22:24" x14ac:dyDescent="0.25">
      <c r="V422">
        <v>515</v>
      </c>
      <c r="X422">
        <v>531</v>
      </c>
    </row>
    <row r="423" spans="22:24" x14ac:dyDescent="0.25">
      <c r="V423">
        <v>516</v>
      </c>
      <c r="X423">
        <v>532</v>
      </c>
    </row>
    <row r="424" spans="22:24" x14ac:dyDescent="0.25">
      <c r="V424">
        <v>517</v>
      </c>
      <c r="X424">
        <v>533</v>
      </c>
    </row>
    <row r="425" spans="22:24" x14ac:dyDescent="0.25">
      <c r="V425">
        <v>518</v>
      </c>
      <c r="X425">
        <v>534</v>
      </c>
    </row>
    <row r="426" spans="22:24" x14ac:dyDescent="0.25">
      <c r="V426">
        <v>520</v>
      </c>
      <c r="X426">
        <v>536</v>
      </c>
    </row>
    <row r="427" spans="22:24" x14ac:dyDescent="0.25">
      <c r="V427" t="b">
        <v>0</v>
      </c>
      <c r="X427">
        <v>538</v>
      </c>
    </row>
    <row r="428" spans="22:24" x14ac:dyDescent="0.25">
      <c r="V428">
        <v>522</v>
      </c>
      <c r="X428">
        <v>543</v>
      </c>
    </row>
    <row r="429" spans="22:24" x14ac:dyDescent="0.25">
      <c r="V429">
        <v>523</v>
      </c>
      <c r="X429" t="b">
        <v>0</v>
      </c>
    </row>
    <row r="430" spans="22:24" x14ac:dyDescent="0.25">
      <c r="V430">
        <v>524</v>
      </c>
      <c r="X430">
        <v>546</v>
      </c>
    </row>
    <row r="431" spans="22:24" x14ac:dyDescent="0.25">
      <c r="V431" t="b">
        <v>0</v>
      </c>
      <c r="X431">
        <v>547</v>
      </c>
    </row>
    <row r="432" spans="22:24" x14ac:dyDescent="0.25">
      <c r="V432">
        <v>526</v>
      </c>
      <c r="X432" t="b">
        <v>0</v>
      </c>
    </row>
    <row r="433" spans="22:24" x14ac:dyDescent="0.25">
      <c r="V433">
        <v>527</v>
      </c>
      <c r="X433">
        <v>549</v>
      </c>
    </row>
    <row r="434" spans="22:24" x14ac:dyDescent="0.25">
      <c r="V434">
        <v>529</v>
      </c>
      <c r="X434">
        <v>550</v>
      </c>
    </row>
    <row r="435" spans="22:24" x14ac:dyDescent="0.25">
      <c r="V435">
        <v>530</v>
      </c>
      <c r="X435">
        <v>551</v>
      </c>
    </row>
    <row r="436" spans="22:24" x14ac:dyDescent="0.25">
      <c r="V436">
        <v>531</v>
      </c>
      <c r="X436">
        <v>554</v>
      </c>
    </row>
    <row r="437" spans="22:24" x14ac:dyDescent="0.25">
      <c r="V437">
        <v>532</v>
      </c>
      <c r="X437">
        <v>555</v>
      </c>
    </row>
    <row r="438" spans="22:24" x14ac:dyDescent="0.25">
      <c r="V438">
        <v>533</v>
      </c>
      <c r="X438" t="b">
        <v>0</v>
      </c>
    </row>
    <row r="439" spans="22:24" x14ac:dyDescent="0.25">
      <c r="V439">
        <v>534</v>
      </c>
      <c r="X439">
        <v>558</v>
      </c>
    </row>
    <row r="440" spans="22:24" x14ac:dyDescent="0.25">
      <c r="V440">
        <v>536</v>
      </c>
      <c r="X440" t="b">
        <v>0</v>
      </c>
    </row>
    <row r="441" spans="22:24" x14ac:dyDescent="0.25">
      <c r="V441">
        <v>538</v>
      </c>
      <c r="X441">
        <v>562</v>
      </c>
    </row>
    <row r="442" spans="22:24" x14ac:dyDescent="0.25">
      <c r="V442">
        <v>543</v>
      </c>
      <c r="X442">
        <v>564</v>
      </c>
    </row>
    <row r="443" spans="22:24" x14ac:dyDescent="0.25">
      <c r="V443" t="b">
        <v>0</v>
      </c>
      <c r="X443">
        <v>565</v>
      </c>
    </row>
    <row r="444" spans="22:24" x14ac:dyDescent="0.25">
      <c r="V444">
        <v>546</v>
      </c>
      <c r="X444">
        <v>566</v>
      </c>
    </row>
    <row r="445" spans="22:24" x14ac:dyDescent="0.25">
      <c r="V445">
        <v>547</v>
      </c>
      <c r="X445">
        <v>567</v>
      </c>
    </row>
    <row r="446" spans="22:24" x14ac:dyDescent="0.25">
      <c r="V446" t="b">
        <v>0</v>
      </c>
      <c r="X446">
        <v>568</v>
      </c>
    </row>
    <row r="447" spans="22:24" x14ac:dyDescent="0.25">
      <c r="V447">
        <v>549</v>
      </c>
      <c r="X447">
        <v>569</v>
      </c>
    </row>
    <row r="448" spans="22:24" x14ac:dyDescent="0.25">
      <c r="V448">
        <v>550</v>
      </c>
      <c r="X448">
        <v>571</v>
      </c>
    </row>
    <row r="449" spans="22:24" x14ac:dyDescent="0.25">
      <c r="V449">
        <v>551</v>
      </c>
      <c r="X449">
        <v>573</v>
      </c>
    </row>
    <row r="450" spans="22:24" x14ac:dyDescent="0.25">
      <c r="V450">
        <v>554</v>
      </c>
      <c r="X450">
        <v>574</v>
      </c>
    </row>
    <row r="451" spans="22:24" x14ac:dyDescent="0.25">
      <c r="V451">
        <v>555</v>
      </c>
      <c r="X451">
        <v>575</v>
      </c>
    </row>
    <row r="452" spans="22:24" x14ac:dyDescent="0.25">
      <c r="V452" t="b">
        <v>0</v>
      </c>
      <c r="X452">
        <v>577</v>
      </c>
    </row>
    <row r="453" spans="22:24" x14ac:dyDescent="0.25">
      <c r="V453">
        <v>558</v>
      </c>
      <c r="X453">
        <v>578</v>
      </c>
    </row>
    <row r="454" spans="22:24" x14ac:dyDescent="0.25">
      <c r="V454" t="b">
        <v>0</v>
      </c>
      <c r="X454">
        <v>579</v>
      </c>
    </row>
    <row r="455" spans="22:24" x14ac:dyDescent="0.25">
      <c r="V455">
        <v>562</v>
      </c>
      <c r="X455">
        <v>580</v>
      </c>
    </row>
    <row r="456" spans="22:24" x14ac:dyDescent="0.25">
      <c r="V456">
        <v>564</v>
      </c>
      <c r="X456" t="b">
        <v>0</v>
      </c>
    </row>
    <row r="457" spans="22:24" x14ac:dyDescent="0.25">
      <c r="V457">
        <v>565</v>
      </c>
      <c r="X457">
        <v>582</v>
      </c>
    </row>
    <row r="458" spans="22:24" x14ac:dyDescent="0.25">
      <c r="V458">
        <v>566</v>
      </c>
      <c r="X458">
        <v>584</v>
      </c>
    </row>
    <row r="459" spans="22:24" x14ac:dyDescent="0.25">
      <c r="V459">
        <v>567</v>
      </c>
      <c r="X459">
        <v>585</v>
      </c>
    </row>
    <row r="460" spans="22:24" x14ac:dyDescent="0.25">
      <c r="V460">
        <v>568</v>
      </c>
      <c r="X460">
        <v>586</v>
      </c>
    </row>
    <row r="461" spans="22:24" x14ac:dyDescent="0.25">
      <c r="V461">
        <v>569</v>
      </c>
      <c r="X461">
        <v>587</v>
      </c>
    </row>
    <row r="462" spans="22:24" x14ac:dyDescent="0.25">
      <c r="V462">
        <v>571</v>
      </c>
      <c r="X462">
        <v>590</v>
      </c>
    </row>
    <row r="463" spans="22:24" x14ac:dyDescent="0.25">
      <c r="V463">
        <v>573</v>
      </c>
      <c r="X463">
        <v>591</v>
      </c>
    </row>
    <row r="464" spans="22:24" x14ac:dyDescent="0.25">
      <c r="V464">
        <v>574</v>
      </c>
      <c r="X464">
        <v>592</v>
      </c>
    </row>
    <row r="465" spans="22:24" x14ac:dyDescent="0.25">
      <c r="V465">
        <v>575</v>
      </c>
      <c r="X465">
        <v>593</v>
      </c>
    </row>
    <row r="466" spans="22:24" x14ac:dyDescent="0.25">
      <c r="V466">
        <v>577</v>
      </c>
      <c r="X466">
        <v>595</v>
      </c>
    </row>
    <row r="467" spans="22:24" x14ac:dyDescent="0.25">
      <c r="V467">
        <v>578</v>
      </c>
      <c r="X467" t="b">
        <v>0</v>
      </c>
    </row>
    <row r="468" spans="22:24" x14ac:dyDescent="0.25">
      <c r="V468">
        <v>579</v>
      </c>
      <c r="X468">
        <v>599</v>
      </c>
    </row>
    <row r="469" spans="22:24" x14ac:dyDescent="0.25">
      <c r="V469">
        <v>580</v>
      </c>
      <c r="X469">
        <v>600</v>
      </c>
    </row>
    <row r="470" spans="22:24" x14ac:dyDescent="0.25">
      <c r="V470" t="b">
        <v>0</v>
      </c>
      <c r="X470">
        <v>601</v>
      </c>
    </row>
    <row r="471" spans="22:24" x14ac:dyDescent="0.25">
      <c r="V471">
        <v>582</v>
      </c>
      <c r="X471">
        <v>602</v>
      </c>
    </row>
    <row r="472" spans="22:24" x14ac:dyDescent="0.25">
      <c r="V472">
        <v>584</v>
      </c>
      <c r="X472">
        <v>604</v>
      </c>
    </row>
    <row r="473" spans="22:24" x14ac:dyDescent="0.25">
      <c r="V473">
        <v>585</v>
      </c>
      <c r="X473" t="b">
        <v>0</v>
      </c>
    </row>
    <row r="474" spans="22:24" x14ac:dyDescent="0.25">
      <c r="V474">
        <v>586</v>
      </c>
      <c r="X474">
        <v>606</v>
      </c>
    </row>
    <row r="475" spans="22:24" x14ac:dyDescent="0.25">
      <c r="V475">
        <v>587</v>
      </c>
      <c r="X475">
        <v>608</v>
      </c>
    </row>
    <row r="476" spans="22:24" x14ac:dyDescent="0.25">
      <c r="V476">
        <v>590</v>
      </c>
      <c r="X476">
        <v>611</v>
      </c>
    </row>
    <row r="477" spans="22:24" x14ac:dyDescent="0.25">
      <c r="V477">
        <v>591</v>
      </c>
      <c r="X477">
        <v>612</v>
      </c>
    </row>
    <row r="478" spans="22:24" x14ac:dyDescent="0.25">
      <c r="V478">
        <v>592</v>
      </c>
      <c r="X478" t="b">
        <v>0</v>
      </c>
    </row>
    <row r="479" spans="22:24" x14ac:dyDescent="0.25">
      <c r="V479">
        <v>593</v>
      </c>
      <c r="X479">
        <v>614</v>
      </c>
    </row>
    <row r="480" spans="22:24" x14ac:dyDescent="0.25">
      <c r="V480">
        <v>595</v>
      </c>
      <c r="X480">
        <v>615</v>
      </c>
    </row>
    <row r="481" spans="22:24" x14ac:dyDescent="0.25">
      <c r="V481" t="b">
        <v>0</v>
      </c>
      <c r="X481">
        <v>616</v>
      </c>
    </row>
    <row r="482" spans="22:24" x14ac:dyDescent="0.25">
      <c r="V482">
        <v>599</v>
      </c>
      <c r="X482">
        <v>618</v>
      </c>
    </row>
    <row r="483" spans="22:24" x14ac:dyDescent="0.25">
      <c r="V483">
        <v>600</v>
      </c>
      <c r="X483">
        <v>620</v>
      </c>
    </row>
    <row r="484" spans="22:24" x14ac:dyDescent="0.25">
      <c r="V484">
        <v>601</v>
      </c>
      <c r="X484">
        <v>621</v>
      </c>
    </row>
    <row r="485" spans="22:24" x14ac:dyDescent="0.25">
      <c r="V485">
        <v>602</v>
      </c>
      <c r="X485">
        <v>622</v>
      </c>
    </row>
    <row r="486" spans="22:24" x14ac:dyDescent="0.25">
      <c r="V486">
        <v>604</v>
      </c>
      <c r="X486">
        <v>623</v>
      </c>
    </row>
    <row r="487" spans="22:24" x14ac:dyDescent="0.25">
      <c r="V487" t="b">
        <v>0</v>
      </c>
      <c r="X487">
        <v>624</v>
      </c>
    </row>
    <row r="488" spans="22:24" x14ac:dyDescent="0.25">
      <c r="V488">
        <v>606</v>
      </c>
      <c r="X488">
        <v>625</v>
      </c>
    </row>
    <row r="489" spans="22:24" x14ac:dyDescent="0.25">
      <c r="V489">
        <v>608</v>
      </c>
      <c r="X489">
        <v>626</v>
      </c>
    </row>
    <row r="490" spans="22:24" x14ac:dyDescent="0.25">
      <c r="V490">
        <v>611</v>
      </c>
      <c r="X490">
        <v>630</v>
      </c>
    </row>
    <row r="491" spans="22:24" x14ac:dyDescent="0.25">
      <c r="V491">
        <v>612</v>
      </c>
      <c r="X491">
        <v>631</v>
      </c>
    </row>
    <row r="492" spans="22:24" x14ac:dyDescent="0.25">
      <c r="V492" t="b">
        <v>0</v>
      </c>
      <c r="X492">
        <v>632</v>
      </c>
    </row>
    <row r="493" spans="22:24" x14ac:dyDescent="0.25">
      <c r="V493">
        <v>614</v>
      </c>
      <c r="X493">
        <v>634</v>
      </c>
    </row>
    <row r="494" spans="22:24" x14ac:dyDescent="0.25">
      <c r="V494">
        <v>615</v>
      </c>
      <c r="X494">
        <v>635</v>
      </c>
    </row>
    <row r="495" spans="22:24" x14ac:dyDescent="0.25">
      <c r="V495">
        <v>616</v>
      </c>
      <c r="X495">
        <v>638</v>
      </c>
    </row>
    <row r="496" spans="22:24" x14ac:dyDescent="0.25">
      <c r="V496">
        <v>618</v>
      </c>
      <c r="X496">
        <v>639</v>
      </c>
    </row>
    <row r="497" spans="22:24" x14ac:dyDescent="0.25">
      <c r="V497">
        <v>620</v>
      </c>
      <c r="X497" t="b">
        <v>0</v>
      </c>
    </row>
    <row r="498" spans="22:24" x14ac:dyDescent="0.25">
      <c r="V498">
        <v>621</v>
      </c>
      <c r="X498" t="b">
        <v>0</v>
      </c>
    </row>
    <row r="499" spans="22:24" x14ac:dyDescent="0.25">
      <c r="V499">
        <v>622</v>
      </c>
      <c r="X499">
        <v>644</v>
      </c>
    </row>
    <row r="500" spans="22:24" x14ac:dyDescent="0.25">
      <c r="V500">
        <v>623</v>
      </c>
      <c r="X500">
        <v>645</v>
      </c>
    </row>
    <row r="501" spans="22:24" x14ac:dyDescent="0.25">
      <c r="V501">
        <v>624</v>
      </c>
      <c r="X501">
        <v>647</v>
      </c>
    </row>
    <row r="502" spans="22:24" x14ac:dyDescent="0.25">
      <c r="V502">
        <v>625</v>
      </c>
      <c r="X502">
        <v>648</v>
      </c>
    </row>
    <row r="503" spans="22:24" x14ac:dyDescent="0.25">
      <c r="V503">
        <v>626</v>
      </c>
      <c r="X503">
        <v>649</v>
      </c>
    </row>
    <row r="504" spans="22:24" x14ac:dyDescent="0.25">
      <c r="V504">
        <v>630</v>
      </c>
      <c r="X504">
        <v>650</v>
      </c>
    </row>
    <row r="505" spans="22:24" x14ac:dyDescent="0.25">
      <c r="V505">
        <v>631</v>
      </c>
      <c r="X505">
        <v>652</v>
      </c>
    </row>
    <row r="506" spans="22:24" x14ac:dyDescent="0.25">
      <c r="V506">
        <v>632</v>
      </c>
      <c r="X506" t="b">
        <v>0</v>
      </c>
    </row>
    <row r="507" spans="22:24" x14ac:dyDescent="0.25">
      <c r="V507">
        <v>634</v>
      </c>
      <c r="X507">
        <v>655</v>
      </c>
    </row>
    <row r="508" spans="22:24" x14ac:dyDescent="0.25">
      <c r="V508">
        <v>635</v>
      </c>
      <c r="X508">
        <v>656</v>
      </c>
    </row>
    <row r="509" spans="22:24" x14ac:dyDescent="0.25">
      <c r="V509">
        <v>638</v>
      </c>
      <c r="X509">
        <v>657</v>
      </c>
    </row>
    <row r="510" spans="22:24" x14ac:dyDescent="0.25">
      <c r="V510">
        <v>639</v>
      </c>
      <c r="X510">
        <v>659</v>
      </c>
    </row>
    <row r="511" spans="22:24" x14ac:dyDescent="0.25">
      <c r="V511" t="b">
        <v>0</v>
      </c>
      <c r="X511">
        <v>661</v>
      </c>
    </row>
    <row r="512" spans="22:24" x14ac:dyDescent="0.25">
      <c r="V512" t="b">
        <v>0</v>
      </c>
      <c r="X512">
        <v>662</v>
      </c>
    </row>
    <row r="513" spans="22:24" x14ac:dyDescent="0.25">
      <c r="V513">
        <v>644</v>
      </c>
      <c r="X513">
        <v>663</v>
      </c>
    </row>
    <row r="514" spans="22:24" x14ac:dyDescent="0.25">
      <c r="V514">
        <v>645</v>
      </c>
      <c r="X514">
        <v>664</v>
      </c>
    </row>
    <row r="515" spans="22:24" x14ac:dyDescent="0.25">
      <c r="V515">
        <v>647</v>
      </c>
      <c r="X515">
        <v>665</v>
      </c>
    </row>
    <row r="516" spans="22:24" x14ac:dyDescent="0.25">
      <c r="V516">
        <v>648</v>
      </c>
      <c r="X516">
        <v>666</v>
      </c>
    </row>
    <row r="517" spans="22:24" x14ac:dyDescent="0.25">
      <c r="V517">
        <v>649</v>
      </c>
      <c r="X517">
        <v>667</v>
      </c>
    </row>
    <row r="518" spans="22:24" x14ac:dyDescent="0.25">
      <c r="V518">
        <v>650</v>
      </c>
      <c r="X518">
        <v>669</v>
      </c>
    </row>
    <row r="519" spans="22:24" x14ac:dyDescent="0.25">
      <c r="V519">
        <v>652</v>
      </c>
      <c r="X519">
        <v>671</v>
      </c>
    </row>
    <row r="520" spans="22:24" x14ac:dyDescent="0.25">
      <c r="V520" t="b">
        <v>0</v>
      </c>
      <c r="X520" t="b">
        <v>0</v>
      </c>
    </row>
    <row r="521" spans="22:24" x14ac:dyDescent="0.25">
      <c r="V521">
        <v>655</v>
      </c>
      <c r="X521">
        <v>677</v>
      </c>
    </row>
    <row r="522" spans="22:24" x14ac:dyDescent="0.25">
      <c r="V522">
        <v>656</v>
      </c>
      <c r="X522">
        <v>679</v>
      </c>
    </row>
    <row r="523" spans="22:24" x14ac:dyDescent="0.25">
      <c r="V523">
        <v>657</v>
      </c>
      <c r="X523" t="b">
        <v>0</v>
      </c>
    </row>
    <row r="524" spans="22:24" x14ac:dyDescent="0.25">
      <c r="V524">
        <v>659</v>
      </c>
      <c r="X524" t="b">
        <v>0</v>
      </c>
    </row>
    <row r="525" spans="22:24" x14ac:dyDescent="0.25">
      <c r="V525">
        <v>661</v>
      </c>
      <c r="X525">
        <v>683</v>
      </c>
    </row>
    <row r="526" spans="22:24" x14ac:dyDescent="0.25">
      <c r="V526">
        <v>662</v>
      </c>
      <c r="X526">
        <v>684</v>
      </c>
    </row>
    <row r="527" spans="22:24" x14ac:dyDescent="0.25">
      <c r="V527">
        <v>663</v>
      </c>
      <c r="X527">
        <v>686</v>
      </c>
    </row>
    <row r="528" spans="22:24" x14ac:dyDescent="0.25">
      <c r="V528">
        <v>664</v>
      </c>
      <c r="X528">
        <v>689</v>
      </c>
    </row>
    <row r="529" spans="22:24" x14ac:dyDescent="0.25">
      <c r="V529">
        <v>665</v>
      </c>
      <c r="X529">
        <v>690</v>
      </c>
    </row>
    <row r="530" spans="22:24" x14ac:dyDescent="0.25">
      <c r="V530">
        <v>666</v>
      </c>
      <c r="X530">
        <v>691</v>
      </c>
    </row>
    <row r="531" spans="22:24" x14ac:dyDescent="0.25">
      <c r="V531">
        <v>667</v>
      </c>
      <c r="X531" t="b">
        <v>0</v>
      </c>
    </row>
    <row r="532" spans="22:24" x14ac:dyDescent="0.25">
      <c r="V532">
        <v>669</v>
      </c>
      <c r="X532">
        <v>698</v>
      </c>
    </row>
    <row r="533" spans="22:24" x14ac:dyDescent="0.25">
      <c r="V533">
        <v>671</v>
      </c>
      <c r="X533">
        <v>699</v>
      </c>
    </row>
    <row r="534" spans="22:24" x14ac:dyDescent="0.25">
      <c r="V534" t="b">
        <v>0</v>
      </c>
      <c r="X534">
        <v>700</v>
      </c>
    </row>
    <row r="535" spans="22:24" x14ac:dyDescent="0.25">
      <c r="V535">
        <v>677</v>
      </c>
      <c r="X535">
        <v>701</v>
      </c>
    </row>
    <row r="536" spans="22:24" x14ac:dyDescent="0.25">
      <c r="V536">
        <v>679</v>
      </c>
      <c r="X536">
        <v>702</v>
      </c>
    </row>
    <row r="537" spans="22:24" x14ac:dyDescent="0.25">
      <c r="V537" t="b">
        <v>0</v>
      </c>
      <c r="X537">
        <v>704</v>
      </c>
    </row>
    <row r="538" spans="22:24" x14ac:dyDescent="0.25">
      <c r="V538" t="b">
        <v>0</v>
      </c>
      <c r="X538">
        <v>705</v>
      </c>
    </row>
    <row r="539" spans="22:24" x14ac:dyDescent="0.25">
      <c r="V539">
        <v>683</v>
      </c>
      <c r="X539" t="b">
        <v>0</v>
      </c>
    </row>
    <row r="540" spans="22:24" x14ac:dyDescent="0.25">
      <c r="V540">
        <v>684</v>
      </c>
      <c r="X540" t="b">
        <v>0</v>
      </c>
    </row>
    <row r="541" spans="22:24" x14ac:dyDescent="0.25">
      <c r="V541">
        <v>686</v>
      </c>
      <c r="X541">
        <v>710</v>
      </c>
    </row>
    <row r="542" spans="22:24" x14ac:dyDescent="0.25">
      <c r="V542">
        <v>689</v>
      </c>
      <c r="X542">
        <v>712</v>
      </c>
    </row>
    <row r="543" spans="22:24" x14ac:dyDescent="0.25">
      <c r="V543">
        <v>690</v>
      </c>
      <c r="X543" t="b">
        <v>0</v>
      </c>
    </row>
    <row r="544" spans="22:24" x14ac:dyDescent="0.25">
      <c r="V544">
        <v>691</v>
      </c>
      <c r="X544">
        <v>715</v>
      </c>
    </row>
    <row r="545" spans="22:24" x14ac:dyDescent="0.25">
      <c r="V545" t="b">
        <v>0</v>
      </c>
      <c r="X545">
        <v>716</v>
      </c>
    </row>
    <row r="546" spans="22:24" x14ac:dyDescent="0.25">
      <c r="V546">
        <v>698</v>
      </c>
      <c r="X546">
        <v>717</v>
      </c>
    </row>
    <row r="547" spans="22:24" x14ac:dyDescent="0.25">
      <c r="V547">
        <v>699</v>
      </c>
      <c r="X547">
        <v>720</v>
      </c>
    </row>
    <row r="548" spans="22:24" x14ac:dyDescent="0.25">
      <c r="V548">
        <v>700</v>
      </c>
      <c r="X548">
        <v>721</v>
      </c>
    </row>
    <row r="549" spans="22:24" x14ac:dyDescent="0.25">
      <c r="V549">
        <v>701</v>
      </c>
      <c r="X549">
        <v>722</v>
      </c>
    </row>
    <row r="550" spans="22:24" x14ac:dyDescent="0.25">
      <c r="V550">
        <v>702</v>
      </c>
      <c r="X550">
        <v>723</v>
      </c>
    </row>
    <row r="551" spans="22:24" x14ac:dyDescent="0.25">
      <c r="V551">
        <v>704</v>
      </c>
      <c r="X551">
        <v>724</v>
      </c>
    </row>
    <row r="552" spans="22:24" x14ac:dyDescent="0.25">
      <c r="V552">
        <v>705</v>
      </c>
      <c r="X552">
        <v>725</v>
      </c>
    </row>
    <row r="553" spans="22:24" x14ac:dyDescent="0.25">
      <c r="V553" t="b">
        <v>0</v>
      </c>
      <c r="X553">
        <v>727</v>
      </c>
    </row>
    <row r="554" spans="22:24" x14ac:dyDescent="0.25">
      <c r="V554" t="b">
        <v>0</v>
      </c>
      <c r="X554">
        <v>728</v>
      </c>
    </row>
    <row r="555" spans="22:24" x14ac:dyDescent="0.25">
      <c r="V555">
        <v>710</v>
      </c>
      <c r="X555" t="b">
        <v>0</v>
      </c>
    </row>
    <row r="556" spans="22:24" x14ac:dyDescent="0.25">
      <c r="V556">
        <v>712</v>
      </c>
      <c r="X556">
        <v>730</v>
      </c>
    </row>
    <row r="557" spans="22:24" x14ac:dyDescent="0.25">
      <c r="V557" t="b">
        <v>0</v>
      </c>
      <c r="X557">
        <v>731</v>
      </c>
    </row>
    <row r="558" spans="22:24" x14ac:dyDescent="0.25">
      <c r="V558">
        <v>715</v>
      </c>
      <c r="X558">
        <v>732</v>
      </c>
    </row>
    <row r="559" spans="22:24" x14ac:dyDescent="0.25">
      <c r="V559">
        <v>716</v>
      </c>
      <c r="X559" t="b">
        <v>0</v>
      </c>
    </row>
    <row r="560" spans="22:24" x14ac:dyDescent="0.25">
      <c r="V560">
        <v>717</v>
      </c>
      <c r="X560">
        <v>734</v>
      </c>
    </row>
    <row r="561" spans="22:24" x14ac:dyDescent="0.25">
      <c r="V561">
        <v>720</v>
      </c>
      <c r="X561">
        <v>738</v>
      </c>
    </row>
    <row r="562" spans="22:24" x14ac:dyDescent="0.25">
      <c r="V562">
        <v>721</v>
      </c>
      <c r="X562">
        <v>741</v>
      </c>
    </row>
    <row r="563" spans="22:24" x14ac:dyDescent="0.25">
      <c r="V563">
        <v>722</v>
      </c>
      <c r="X563">
        <v>742</v>
      </c>
    </row>
    <row r="564" spans="22:24" x14ac:dyDescent="0.25">
      <c r="V564">
        <v>723</v>
      </c>
      <c r="X564">
        <v>743</v>
      </c>
    </row>
    <row r="565" spans="22:24" x14ac:dyDescent="0.25">
      <c r="V565">
        <v>724</v>
      </c>
      <c r="X565">
        <v>744</v>
      </c>
    </row>
    <row r="566" spans="22:24" x14ac:dyDescent="0.25">
      <c r="V566">
        <v>725</v>
      </c>
      <c r="X566">
        <v>746</v>
      </c>
    </row>
    <row r="567" spans="22:24" x14ac:dyDescent="0.25">
      <c r="V567">
        <v>727</v>
      </c>
      <c r="X567" t="b">
        <v>0</v>
      </c>
    </row>
    <row r="568" spans="22:24" x14ac:dyDescent="0.25">
      <c r="V568">
        <v>728</v>
      </c>
      <c r="X568">
        <v>749</v>
      </c>
    </row>
    <row r="569" spans="22:24" x14ac:dyDescent="0.25">
      <c r="V569" t="b">
        <v>0</v>
      </c>
      <c r="X569">
        <v>752</v>
      </c>
    </row>
    <row r="570" spans="22:24" x14ac:dyDescent="0.25">
      <c r="V570">
        <v>730</v>
      </c>
      <c r="X570">
        <v>754</v>
      </c>
    </row>
    <row r="571" spans="22:24" x14ac:dyDescent="0.25">
      <c r="V571">
        <v>731</v>
      </c>
      <c r="X571">
        <v>757</v>
      </c>
    </row>
    <row r="572" spans="22:24" x14ac:dyDescent="0.25">
      <c r="V572">
        <v>732</v>
      </c>
      <c r="X572">
        <v>758</v>
      </c>
    </row>
    <row r="573" spans="22:24" x14ac:dyDescent="0.25">
      <c r="V573" t="b">
        <v>0</v>
      </c>
      <c r="X573">
        <v>760</v>
      </c>
    </row>
    <row r="574" spans="22:24" x14ac:dyDescent="0.25">
      <c r="V574">
        <v>734</v>
      </c>
      <c r="X574">
        <v>762</v>
      </c>
    </row>
    <row r="575" spans="22:24" x14ac:dyDescent="0.25">
      <c r="V575">
        <v>738</v>
      </c>
      <c r="X575" t="b">
        <v>0</v>
      </c>
    </row>
    <row r="576" spans="22:24" x14ac:dyDescent="0.25">
      <c r="V576">
        <v>741</v>
      </c>
      <c r="X576">
        <v>764</v>
      </c>
    </row>
    <row r="577" spans="22:24" x14ac:dyDescent="0.25">
      <c r="V577">
        <v>742</v>
      </c>
      <c r="X577">
        <v>766</v>
      </c>
    </row>
    <row r="578" spans="22:24" x14ac:dyDescent="0.25">
      <c r="V578">
        <v>743</v>
      </c>
      <c r="X578">
        <v>769</v>
      </c>
    </row>
    <row r="579" spans="22:24" x14ac:dyDescent="0.25">
      <c r="V579">
        <v>744</v>
      </c>
      <c r="X579">
        <v>771</v>
      </c>
    </row>
    <row r="580" spans="22:24" x14ac:dyDescent="0.25">
      <c r="V580">
        <v>746</v>
      </c>
      <c r="X580">
        <v>772</v>
      </c>
    </row>
    <row r="581" spans="22:24" x14ac:dyDescent="0.25">
      <c r="V581" t="b">
        <v>0</v>
      </c>
      <c r="X581">
        <v>773</v>
      </c>
    </row>
    <row r="582" spans="22:24" x14ac:dyDescent="0.25">
      <c r="V582">
        <v>749</v>
      </c>
      <c r="X582">
        <v>775</v>
      </c>
    </row>
    <row r="583" spans="22:24" x14ac:dyDescent="0.25">
      <c r="V583">
        <v>752</v>
      </c>
      <c r="X583">
        <v>776</v>
      </c>
    </row>
    <row r="584" spans="22:24" x14ac:dyDescent="0.25">
      <c r="V584">
        <v>754</v>
      </c>
      <c r="X584">
        <v>780</v>
      </c>
    </row>
    <row r="585" spans="22:24" x14ac:dyDescent="0.25">
      <c r="V585">
        <v>757</v>
      </c>
      <c r="X585" t="b">
        <v>0</v>
      </c>
    </row>
    <row r="586" spans="22:24" x14ac:dyDescent="0.25">
      <c r="V586">
        <v>758</v>
      </c>
      <c r="X586">
        <v>783</v>
      </c>
    </row>
    <row r="587" spans="22:24" x14ac:dyDescent="0.25">
      <c r="V587">
        <v>760</v>
      </c>
      <c r="X587">
        <v>784</v>
      </c>
    </row>
    <row r="588" spans="22:24" x14ac:dyDescent="0.25">
      <c r="V588">
        <v>762</v>
      </c>
      <c r="X588">
        <v>785</v>
      </c>
    </row>
    <row r="589" spans="22:24" x14ac:dyDescent="0.25">
      <c r="V589" t="b">
        <v>0</v>
      </c>
      <c r="X589" t="b">
        <v>0</v>
      </c>
    </row>
    <row r="590" spans="22:24" x14ac:dyDescent="0.25">
      <c r="V590">
        <v>764</v>
      </c>
      <c r="X590">
        <v>787</v>
      </c>
    </row>
    <row r="591" spans="22:24" x14ac:dyDescent="0.25">
      <c r="V591">
        <v>766</v>
      </c>
      <c r="X591">
        <v>789</v>
      </c>
    </row>
    <row r="592" spans="22:24" x14ac:dyDescent="0.25">
      <c r="V592">
        <v>769</v>
      </c>
      <c r="X592">
        <v>791</v>
      </c>
    </row>
    <row r="593" spans="22:24" x14ac:dyDescent="0.25">
      <c r="V593">
        <v>771</v>
      </c>
      <c r="X593">
        <v>792</v>
      </c>
    </row>
    <row r="594" spans="22:24" x14ac:dyDescent="0.25">
      <c r="V594">
        <v>772</v>
      </c>
      <c r="X594">
        <v>793</v>
      </c>
    </row>
    <row r="595" spans="22:24" x14ac:dyDescent="0.25">
      <c r="V595">
        <v>773</v>
      </c>
      <c r="X595">
        <v>796</v>
      </c>
    </row>
    <row r="596" spans="22:24" x14ac:dyDescent="0.25">
      <c r="V596">
        <v>775</v>
      </c>
      <c r="X596">
        <v>797</v>
      </c>
    </row>
    <row r="597" spans="22:24" x14ac:dyDescent="0.25">
      <c r="V597">
        <v>776</v>
      </c>
      <c r="X597">
        <v>799</v>
      </c>
    </row>
    <row r="598" spans="22:24" x14ac:dyDescent="0.25">
      <c r="V598">
        <v>780</v>
      </c>
      <c r="X598">
        <v>800</v>
      </c>
    </row>
    <row r="599" spans="22:24" x14ac:dyDescent="0.25">
      <c r="V599" t="b">
        <v>0</v>
      </c>
      <c r="X599">
        <v>802</v>
      </c>
    </row>
    <row r="600" spans="22:24" x14ac:dyDescent="0.25">
      <c r="V600">
        <v>783</v>
      </c>
      <c r="X600">
        <v>803</v>
      </c>
    </row>
    <row r="601" spans="22:24" x14ac:dyDescent="0.25">
      <c r="V601">
        <v>784</v>
      </c>
      <c r="X601">
        <v>804</v>
      </c>
    </row>
    <row r="602" spans="22:24" x14ac:dyDescent="0.25">
      <c r="V602">
        <v>785</v>
      </c>
      <c r="X602">
        <v>805</v>
      </c>
    </row>
    <row r="603" spans="22:24" x14ac:dyDescent="0.25">
      <c r="V603" t="b">
        <v>0</v>
      </c>
      <c r="X603" t="b">
        <v>0</v>
      </c>
    </row>
    <row r="604" spans="22:24" x14ac:dyDescent="0.25">
      <c r="V604">
        <v>787</v>
      </c>
      <c r="X604" t="b">
        <v>0</v>
      </c>
    </row>
    <row r="605" spans="22:24" x14ac:dyDescent="0.25">
      <c r="V605">
        <v>789</v>
      </c>
      <c r="X605">
        <v>808</v>
      </c>
    </row>
    <row r="606" spans="22:24" x14ac:dyDescent="0.25">
      <c r="V606">
        <v>791</v>
      </c>
      <c r="X606">
        <v>809</v>
      </c>
    </row>
    <row r="607" spans="22:24" x14ac:dyDescent="0.25">
      <c r="V607">
        <v>792</v>
      </c>
      <c r="X607" t="b">
        <v>0</v>
      </c>
    </row>
    <row r="608" spans="22:24" x14ac:dyDescent="0.25">
      <c r="V608">
        <v>793</v>
      </c>
      <c r="X608">
        <v>812</v>
      </c>
    </row>
    <row r="609" spans="22:24" x14ac:dyDescent="0.25">
      <c r="V609">
        <v>796</v>
      </c>
      <c r="X609" t="b">
        <v>0</v>
      </c>
    </row>
    <row r="610" spans="22:24" x14ac:dyDescent="0.25">
      <c r="V610">
        <v>797</v>
      </c>
      <c r="X610">
        <v>815</v>
      </c>
    </row>
    <row r="611" spans="22:24" x14ac:dyDescent="0.25">
      <c r="V611">
        <v>799</v>
      </c>
      <c r="X611">
        <v>816</v>
      </c>
    </row>
    <row r="612" spans="22:24" x14ac:dyDescent="0.25">
      <c r="V612">
        <v>800</v>
      </c>
      <c r="X612">
        <v>817</v>
      </c>
    </row>
    <row r="613" spans="22:24" x14ac:dyDescent="0.25">
      <c r="V613">
        <v>802</v>
      </c>
      <c r="X613">
        <v>819</v>
      </c>
    </row>
    <row r="614" spans="22:24" x14ac:dyDescent="0.25">
      <c r="V614">
        <v>803</v>
      </c>
      <c r="X614">
        <v>820</v>
      </c>
    </row>
    <row r="615" spans="22:24" x14ac:dyDescent="0.25">
      <c r="V615">
        <v>804</v>
      </c>
      <c r="X615">
        <v>823</v>
      </c>
    </row>
    <row r="616" spans="22:24" x14ac:dyDescent="0.25">
      <c r="V616">
        <v>805</v>
      </c>
      <c r="X616" t="b">
        <v>0</v>
      </c>
    </row>
    <row r="617" spans="22:24" x14ac:dyDescent="0.25">
      <c r="V617" t="b">
        <v>0</v>
      </c>
      <c r="X617">
        <v>825</v>
      </c>
    </row>
    <row r="618" spans="22:24" x14ac:dyDescent="0.25">
      <c r="V618" t="b">
        <v>0</v>
      </c>
      <c r="X618">
        <v>826</v>
      </c>
    </row>
    <row r="619" spans="22:24" x14ac:dyDescent="0.25">
      <c r="V619">
        <v>808</v>
      </c>
      <c r="X619">
        <v>827</v>
      </c>
    </row>
    <row r="620" spans="22:24" x14ac:dyDescent="0.25">
      <c r="V620">
        <v>809</v>
      </c>
      <c r="X620">
        <v>828</v>
      </c>
    </row>
    <row r="621" spans="22:24" x14ac:dyDescent="0.25">
      <c r="V621" t="b">
        <v>0</v>
      </c>
      <c r="X621">
        <v>829</v>
      </c>
    </row>
    <row r="622" spans="22:24" x14ac:dyDescent="0.25">
      <c r="V622">
        <v>812</v>
      </c>
      <c r="X622">
        <v>830</v>
      </c>
    </row>
    <row r="623" spans="22:24" x14ac:dyDescent="0.25">
      <c r="V623" t="b">
        <v>0</v>
      </c>
      <c r="X623">
        <v>832</v>
      </c>
    </row>
    <row r="624" spans="22:24" x14ac:dyDescent="0.25">
      <c r="V624">
        <v>815</v>
      </c>
      <c r="X624" t="b">
        <v>0</v>
      </c>
    </row>
    <row r="625" spans="22:24" x14ac:dyDescent="0.25">
      <c r="V625">
        <v>816</v>
      </c>
      <c r="X625">
        <v>834</v>
      </c>
    </row>
    <row r="626" spans="22:24" x14ac:dyDescent="0.25">
      <c r="V626">
        <v>817</v>
      </c>
      <c r="X626">
        <v>836</v>
      </c>
    </row>
    <row r="627" spans="22:24" x14ac:dyDescent="0.25">
      <c r="V627">
        <v>819</v>
      </c>
      <c r="X627">
        <v>837</v>
      </c>
    </row>
    <row r="628" spans="22:24" x14ac:dyDescent="0.25">
      <c r="V628">
        <v>820</v>
      </c>
      <c r="X628">
        <v>838</v>
      </c>
    </row>
    <row r="629" spans="22:24" x14ac:dyDescent="0.25">
      <c r="V629">
        <v>823</v>
      </c>
      <c r="X629">
        <v>840</v>
      </c>
    </row>
    <row r="630" spans="22:24" x14ac:dyDescent="0.25">
      <c r="V630" t="b">
        <v>0</v>
      </c>
      <c r="X630">
        <v>842</v>
      </c>
    </row>
    <row r="631" spans="22:24" x14ac:dyDescent="0.25">
      <c r="V631">
        <v>825</v>
      </c>
      <c r="X631" t="b">
        <v>0</v>
      </c>
    </row>
    <row r="632" spans="22:24" x14ac:dyDescent="0.25">
      <c r="V632">
        <v>826</v>
      </c>
      <c r="X632">
        <v>844</v>
      </c>
    </row>
    <row r="633" spans="22:24" x14ac:dyDescent="0.25">
      <c r="V633">
        <v>827</v>
      </c>
      <c r="X633" t="b">
        <v>0</v>
      </c>
    </row>
    <row r="634" spans="22:24" x14ac:dyDescent="0.25">
      <c r="V634">
        <v>828</v>
      </c>
      <c r="X634" t="b">
        <v>0</v>
      </c>
    </row>
    <row r="635" spans="22:24" x14ac:dyDescent="0.25">
      <c r="V635">
        <v>829</v>
      </c>
      <c r="X635">
        <v>847</v>
      </c>
    </row>
    <row r="636" spans="22:24" x14ac:dyDescent="0.25">
      <c r="V636">
        <v>830</v>
      </c>
      <c r="X636">
        <v>848</v>
      </c>
    </row>
    <row r="637" spans="22:24" x14ac:dyDescent="0.25">
      <c r="V637">
        <v>832</v>
      </c>
      <c r="X637">
        <v>850</v>
      </c>
    </row>
    <row r="638" spans="22:24" x14ac:dyDescent="0.25">
      <c r="V638" t="b">
        <v>0</v>
      </c>
      <c r="X638">
        <v>851</v>
      </c>
    </row>
    <row r="639" spans="22:24" x14ac:dyDescent="0.25">
      <c r="V639">
        <v>834</v>
      </c>
      <c r="X639">
        <v>852</v>
      </c>
    </row>
    <row r="640" spans="22:24" x14ac:dyDescent="0.25">
      <c r="V640">
        <v>836</v>
      </c>
      <c r="X640">
        <v>854</v>
      </c>
    </row>
    <row r="641" spans="22:24" x14ac:dyDescent="0.25">
      <c r="V641">
        <v>837</v>
      </c>
      <c r="X641" t="b">
        <v>0</v>
      </c>
    </row>
    <row r="642" spans="22:24" x14ac:dyDescent="0.25">
      <c r="V642">
        <v>838</v>
      </c>
      <c r="X642">
        <v>856</v>
      </c>
    </row>
    <row r="643" spans="22:24" x14ac:dyDescent="0.25">
      <c r="V643">
        <v>840</v>
      </c>
      <c r="X643">
        <v>857</v>
      </c>
    </row>
    <row r="644" spans="22:24" x14ac:dyDescent="0.25">
      <c r="V644">
        <v>842</v>
      </c>
      <c r="X644">
        <v>859</v>
      </c>
    </row>
    <row r="645" spans="22:24" x14ac:dyDescent="0.25">
      <c r="V645" t="b">
        <v>0</v>
      </c>
      <c r="X645">
        <v>861</v>
      </c>
    </row>
    <row r="646" spans="22:24" x14ac:dyDescent="0.25">
      <c r="V646">
        <v>844</v>
      </c>
      <c r="X646">
        <v>862</v>
      </c>
    </row>
    <row r="647" spans="22:24" x14ac:dyDescent="0.25">
      <c r="V647" t="b">
        <v>0</v>
      </c>
      <c r="X647">
        <v>864</v>
      </c>
    </row>
    <row r="648" spans="22:24" x14ac:dyDescent="0.25">
      <c r="V648" t="b">
        <v>0</v>
      </c>
      <c r="X648">
        <v>865</v>
      </c>
    </row>
    <row r="649" spans="22:24" x14ac:dyDescent="0.25">
      <c r="V649">
        <v>847</v>
      </c>
      <c r="X649" t="b">
        <v>0</v>
      </c>
    </row>
    <row r="650" spans="22:24" x14ac:dyDescent="0.25">
      <c r="V650">
        <v>848</v>
      </c>
      <c r="X650">
        <v>868</v>
      </c>
    </row>
    <row r="651" spans="22:24" x14ac:dyDescent="0.25">
      <c r="V651">
        <v>850</v>
      </c>
      <c r="X651">
        <v>869</v>
      </c>
    </row>
    <row r="652" spans="22:24" x14ac:dyDescent="0.25">
      <c r="V652">
        <v>851</v>
      </c>
      <c r="X652" t="b">
        <v>0</v>
      </c>
    </row>
    <row r="653" spans="22:24" x14ac:dyDescent="0.25">
      <c r="V653">
        <v>852</v>
      </c>
      <c r="X653" t="b">
        <v>0</v>
      </c>
    </row>
    <row r="654" spans="22:24" x14ac:dyDescent="0.25">
      <c r="V654">
        <v>854</v>
      </c>
      <c r="X654">
        <v>875</v>
      </c>
    </row>
    <row r="655" spans="22:24" x14ac:dyDescent="0.25">
      <c r="V655" t="b">
        <v>0</v>
      </c>
      <c r="X655" t="b">
        <v>0</v>
      </c>
    </row>
    <row r="656" spans="22:24" x14ac:dyDescent="0.25">
      <c r="V656">
        <v>856</v>
      </c>
      <c r="X656">
        <v>879</v>
      </c>
    </row>
    <row r="657" spans="22:24" x14ac:dyDescent="0.25">
      <c r="V657">
        <v>857</v>
      </c>
      <c r="X657" t="b">
        <v>0</v>
      </c>
    </row>
    <row r="658" spans="22:24" x14ac:dyDescent="0.25">
      <c r="V658">
        <v>859</v>
      </c>
      <c r="X658">
        <v>881</v>
      </c>
    </row>
    <row r="659" spans="22:24" x14ac:dyDescent="0.25">
      <c r="V659">
        <v>861</v>
      </c>
      <c r="X659">
        <v>882</v>
      </c>
    </row>
    <row r="660" spans="22:24" x14ac:dyDescent="0.25">
      <c r="V660">
        <v>862</v>
      </c>
      <c r="X660">
        <v>885</v>
      </c>
    </row>
    <row r="661" spans="22:24" x14ac:dyDescent="0.25">
      <c r="V661">
        <v>864</v>
      </c>
      <c r="X661">
        <v>887</v>
      </c>
    </row>
    <row r="662" spans="22:24" x14ac:dyDescent="0.25">
      <c r="V662">
        <v>865</v>
      </c>
      <c r="X662">
        <v>888</v>
      </c>
    </row>
    <row r="663" spans="22:24" x14ac:dyDescent="0.25">
      <c r="V663" t="b">
        <v>0</v>
      </c>
      <c r="X663">
        <v>889</v>
      </c>
    </row>
    <row r="664" spans="22:24" x14ac:dyDescent="0.25">
      <c r="V664">
        <v>868</v>
      </c>
      <c r="X664">
        <v>893</v>
      </c>
    </row>
    <row r="665" spans="22:24" x14ac:dyDescent="0.25">
      <c r="V665">
        <v>869</v>
      </c>
      <c r="X665">
        <v>894</v>
      </c>
    </row>
    <row r="666" spans="22:24" x14ac:dyDescent="0.25">
      <c r="V666" t="b">
        <v>0</v>
      </c>
      <c r="X666">
        <v>895</v>
      </c>
    </row>
    <row r="667" spans="22:24" x14ac:dyDescent="0.25">
      <c r="V667" t="b">
        <v>0</v>
      </c>
      <c r="X667">
        <v>896</v>
      </c>
    </row>
    <row r="668" spans="22:24" x14ac:dyDescent="0.25">
      <c r="V668">
        <v>875</v>
      </c>
      <c r="X668">
        <v>897</v>
      </c>
    </row>
    <row r="669" spans="22:24" x14ac:dyDescent="0.25">
      <c r="V669" t="b">
        <v>0</v>
      </c>
      <c r="X669">
        <v>899</v>
      </c>
    </row>
    <row r="670" spans="22:24" x14ac:dyDescent="0.25">
      <c r="V670">
        <v>879</v>
      </c>
      <c r="X670">
        <v>900</v>
      </c>
    </row>
    <row r="671" spans="22:24" x14ac:dyDescent="0.25">
      <c r="V671" t="b">
        <v>0</v>
      </c>
      <c r="X671">
        <v>901</v>
      </c>
    </row>
    <row r="672" spans="22:24" x14ac:dyDescent="0.25">
      <c r="V672">
        <v>881</v>
      </c>
      <c r="X672">
        <v>902</v>
      </c>
    </row>
    <row r="673" spans="22:24" x14ac:dyDescent="0.25">
      <c r="V673">
        <v>882</v>
      </c>
      <c r="X673" t="b">
        <v>0</v>
      </c>
    </row>
    <row r="674" spans="22:24" x14ac:dyDescent="0.25">
      <c r="V674">
        <v>885</v>
      </c>
      <c r="X674">
        <v>904</v>
      </c>
    </row>
    <row r="675" spans="22:24" x14ac:dyDescent="0.25">
      <c r="V675">
        <v>887</v>
      </c>
      <c r="X675">
        <v>905</v>
      </c>
    </row>
    <row r="676" spans="22:24" x14ac:dyDescent="0.25">
      <c r="V676">
        <v>888</v>
      </c>
      <c r="X676">
        <v>909</v>
      </c>
    </row>
    <row r="677" spans="22:24" x14ac:dyDescent="0.25">
      <c r="V677">
        <v>889</v>
      </c>
      <c r="X677">
        <v>910</v>
      </c>
    </row>
    <row r="678" spans="22:24" x14ac:dyDescent="0.25">
      <c r="V678">
        <v>893</v>
      </c>
      <c r="X678" t="b">
        <v>0</v>
      </c>
    </row>
    <row r="679" spans="22:24" x14ac:dyDescent="0.25">
      <c r="V679">
        <v>894</v>
      </c>
      <c r="X679">
        <v>912</v>
      </c>
    </row>
    <row r="680" spans="22:24" x14ac:dyDescent="0.25">
      <c r="V680">
        <v>895</v>
      </c>
      <c r="X680">
        <v>913</v>
      </c>
    </row>
    <row r="681" spans="22:24" x14ac:dyDescent="0.25">
      <c r="V681">
        <v>896</v>
      </c>
      <c r="X681">
        <v>916</v>
      </c>
    </row>
    <row r="682" spans="22:24" x14ac:dyDescent="0.25">
      <c r="V682">
        <v>897</v>
      </c>
      <c r="X682">
        <v>918</v>
      </c>
    </row>
    <row r="683" spans="22:24" x14ac:dyDescent="0.25">
      <c r="V683">
        <v>899</v>
      </c>
      <c r="X683" t="b">
        <v>0</v>
      </c>
    </row>
    <row r="684" spans="22:24" x14ac:dyDescent="0.25">
      <c r="V684">
        <v>900</v>
      </c>
      <c r="X684">
        <v>922</v>
      </c>
    </row>
    <row r="685" spans="22:24" x14ac:dyDescent="0.25">
      <c r="V685">
        <v>901</v>
      </c>
      <c r="X685">
        <v>923</v>
      </c>
    </row>
    <row r="686" spans="22:24" x14ac:dyDescent="0.25">
      <c r="V686">
        <v>902</v>
      </c>
      <c r="X686">
        <v>924</v>
      </c>
    </row>
    <row r="687" spans="22:24" x14ac:dyDescent="0.25">
      <c r="V687" t="b">
        <v>0</v>
      </c>
      <c r="X687">
        <v>925</v>
      </c>
    </row>
    <row r="688" spans="22:24" x14ac:dyDescent="0.25">
      <c r="V688">
        <v>904</v>
      </c>
      <c r="X688">
        <v>926</v>
      </c>
    </row>
    <row r="689" spans="22:24" x14ac:dyDescent="0.25">
      <c r="V689">
        <v>905</v>
      </c>
      <c r="X689">
        <v>927</v>
      </c>
    </row>
    <row r="690" spans="22:24" x14ac:dyDescent="0.25">
      <c r="V690">
        <v>909</v>
      </c>
      <c r="X690">
        <v>930</v>
      </c>
    </row>
    <row r="691" spans="22:24" x14ac:dyDescent="0.25">
      <c r="V691">
        <v>910</v>
      </c>
      <c r="X691" t="b">
        <v>0</v>
      </c>
    </row>
    <row r="692" spans="22:24" x14ac:dyDescent="0.25">
      <c r="V692" t="b">
        <v>0</v>
      </c>
      <c r="X692">
        <v>933</v>
      </c>
    </row>
    <row r="693" spans="22:24" x14ac:dyDescent="0.25">
      <c r="V693">
        <v>912</v>
      </c>
      <c r="X693">
        <v>934</v>
      </c>
    </row>
    <row r="694" spans="22:24" x14ac:dyDescent="0.25">
      <c r="V694">
        <v>913</v>
      </c>
      <c r="X694">
        <v>936</v>
      </c>
    </row>
    <row r="695" spans="22:24" x14ac:dyDescent="0.25">
      <c r="V695">
        <v>916</v>
      </c>
      <c r="X695">
        <v>939</v>
      </c>
    </row>
    <row r="696" spans="22:24" x14ac:dyDescent="0.25">
      <c r="V696">
        <v>918</v>
      </c>
      <c r="X696">
        <v>940</v>
      </c>
    </row>
    <row r="697" spans="22:24" x14ac:dyDescent="0.25">
      <c r="V697" t="b">
        <v>0</v>
      </c>
      <c r="X697">
        <v>941</v>
      </c>
    </row>
    <row r="698" spans="22:24" x14ac:dyDescent="0.25">
      <c r="V698">
        <v>922</v>
      </c>
      <c r="X698" t="b">
        <v>0</v>
      </c>
    </row>
    <row r="699" spans="22:24" x14ac:dyDescent="0.25">
      <c r="V699">
        <v>923</v>
      </c>
      <c r="X699">
        <v>944</v>
      </c>
    </row>
    <row r="700" spans="22:24" x14ac:dyDescent="0.25">
      <c r="V700">
        <v>924</v>
      </c>
      <c r="X700">
        <v>945</v>
      </c>
    </row>
    <row r="701" spans="22:24" x14ac:dyDescent="0.25">
      <c r="V701">
        <v>925</v>
      </c>
      <c r="X701">
        <v>947</v>
      </c>
    </row>
    <row r="702" spans="22:24" x14ac:dyDescent="0.25">
      <c r="V702">
        <v>926</v>
      </c>
      <c r="X702">
        <v>949</v>
      </c>
    </row>
    <row r="703" spans="22:24" x14ac:dyDescent="0.25">
      <c r="V703">
        <v>927</v>
      </c>
      <c r="X703">
        <v>950</v>
      </c>
    </row>
    <row r="704" spans="22:24" x14ac:dyDescent="0.25">
      <c r="V704">
        <v>930</v>
      </c>
      <c r="X704" t="b">
        <v>0</v>
      </c>
    </row>
    <row r="705" spans="22:24" x14ac:dyDescent="0.25">
      <c r="V705" t="b">
        <v>0</v>
      </c>
      <c r="X705">
        <v>952</v>
      </c>
    </row>
    <row r="706" spans="22:24" x14ac:dyDescent="0.25">
      <c r="V706">
        <v>933</v>
      </c>
      <c r="X706">
        <v>954</v>
      </c>
    </row>
    <row r="707" spans="22:24" x14ac:dyDescent="0.25">
      <c r="V707">
        <v>934</v>
      </c>
      <c r="X707">
        <v>956</v>
      </c>
    </row>
    <row r="708" spans="22:24" x14ac:dyDescent="0.25">
      <c r="V708">
        <v>936</v>
      </c>
      <c r="X708">
        <v>957</v>
      </c>
    </row>
    <row r="709" spans="22:24" x14ac:dyDescent="0.25">
      <c r="V709">
        <v>939</v>
      </c>
      <c r="X709" t="b">
        <v>0</v>
      </c>
    </row>
    <row r="710" spans="22:24" x14ac:dyDescent="0.25">
      <c r="V710">
        <v>940</v>
      </c>
      <c r="X710">
        <v>959</v>
      </c>
    </row>
    <row r="711" spans="22:24" x14ac:dyDescent="0.25">
      <c r="V711">
        <v>941</v>
      </c>
      <c r="X711">
        <v>960</v>
      </c>
    </row>
    <row r="712" spans="22:24" x14ac:dyDescent="0.25">
      <c r="V712" t="b">
        <v>0</v>
      </c>
      <c r="X712">
        <v>961</v>
      </c>
    </row>
    <row r="713" spans="22:24" x14ac:dyDescent="0.25">
      <c r="V713">
        <v>944</v>
      </c>
      <c r="X713">
        <v>964</v>
      </c>
    </row>
    <row r="714" spans="22:24" x14ac:dyDescent="0.25">
      <c r="V714">
        <v>945</v>
      </c>
      <c r="X714">
        <v>966</v>
      </c>
    </row>
    <row r="715" spans="22:24" x14ac:dyDescent="0.25">
      <c r="V715">
        <v>947</v>
      </c>
      <c r="X715">
        <v>967</v>
      </c>
    </row>
    <row r="716" spans="22:24" x14ac:dyDescent="0.25">
      <c r="V716">
        <v>949</v>
      </c>
      <c r="X716">
        <v>969</v>
      </c>
    </row>
    <row r="717" spans="22:24" x14ac:dyDescent="0.25">
      <c r="V717">
        <v>950</v>
      </c>
      <c r="X717">
        <v>970</v>
      </c>
    </row>
    <row r="718" spans="22:24" x14ac:dyDescent="0.25">
      <c r="V718" t="b">
        <v>0</v>
      </c>
      <c r="X718">
        <v>972</v>
      </c>
    </row>
    <row r="719" spans="22:24" x14ac:dyDescent="0.25">
      <c r="V719">
        <v>952</v>
      </c>
      <c r="X719">
        <v>974</v>
      </c>
    </row>
    <row r="720" spans="22:24" x14ac:dyDescent="0.25">
      <c r="V720">
        <v>954</v>
      </c>
      <c r="X720">
        <v>975</v>
      </c>
    </row>
    <row r="721" spans="22:24" x14ac:dyDescent="0.25">
      <c r="V721">
        <v>956</v>
      </c>
      <c r="X721">
        <v>976</v>
      </c>
    </row>
    <row r="722" spans="22:24" x14ac:dyDescent="0.25">
      <c r="V722">
        <v>957</v>
      </c>
      <c r="X722" t="b">
        <v>0</v>
      </c>
    </row>
    <row r="723" spans="22:24" x14ac:dyDescent="0.25">
      <c r="V723" t="b">
        <v>0</v>
      </c>
      <c r="X723">
        <v>981</v>
      </c>
    </row>
    <row r="724" spans="22:24" x14ac:dyDescent="0.25">
      <c r="V724">
        <v>959</v>
      </c>
      <c r="X724">
        <v>982</v>
      </c>
    </row>
    <row r="725" spans="22:24" x14ac:dyDescent="0.25">
      <c r="V725">
        <v>960</v>
      </c>
      <c r="X725">
        <v>983</v>
      </c>
    </row>
    <row r="726" spans="22:24" x14ac:dyDescent="0.25">
      <c r="V726">
        <v>961</v>
      </c>
      <c r="X726">
        <v>984</v>
      </c>
    </row>
    <row r="727" spans="22:24" x14ac:dyDescent="0.25">
      <c r="V727">
        <v>964</v>
      </c>
      <c r="X727">
        <v>985</v>
      </c>
    </row>
    <row r="728" spans="22:24" x14ac:dyDescent="0.25">
      <c r="V728">
        <v>966</v>
      </c>
      <c r="X728">
        <v>986</v>
      </c>
    </row>
    <row r="729" spans="22:24" x14ac:dyDescent="0.25">
      <c r="V729">
        <v>967</v>
      </c>
      <c r="X729">
        <v>987</v>
      </c>
    </row>
    <row r="730" spans="22:24" x14ac:dyDescent="0.25">
      <c r="V730">
        <v>969</v>
      </c>
      <c r="X730">
        <v>990</v>
      </c>
    </row>
    <row r="731" spans="22:24" x14ac:dyDescent="0.25">
      <c r="V731">
        <v>970</v>
      </c>
      <c r="X731" t="b">
        <v>0</v>
      </c>
    </row>
    <row r="732" spans="22:24" x14ac:dyDescent="0.25">
      <c r="V732">
        <v>972</v>
      </c>
      <c r="X732">
        <v>992</v>
      </c>
    </row>
    <row r="733" spans="22:24" x14ac:dyDescent="0.25">
      <c r="V733">
        <v>974</v>
      </c>
      <c r="X733" t="b">
        <v>0</v>
      </c>
    </row>
    <row r="734" spans="22:24" x14ac:dyDescent="0.25">
      <c r="V734">
        <v>975</v>
      </c>
      <c r="X734">
        <v>995</v>
      </c>
    </row>
    <row r="735" spans="22:24" x14ac:dyDescent="0.25">
      <c r="V735">
        <v>976</v>
      </c>
      <c r="X735">
        <v>996</v>
      </c>
    </row>
    <row r="736" spans="22:24" x14ac:dyDescent="0.25">
      <c r="V736" t="b">
        <v>0</v>
      </c>
      <c r="X736" t="b">
        <v>0</v>
      </c>
    </row>
    <row r="737" spans="22:24" x14ac:dyDescent="0.25">
      <c r="V737">
        <v>981</v>
      </c>
      <c r="X737">
        <v>998</v>
      </c>
    </row>
    <row r="738" spans="22:24" x14ac:dyDescent="0.25">
      <c r="V738">
        <v>982</v>
      </c>
      <c r="X738">
        <v>999</v>
      </c>
    </row>
    <row r="739" spans="22:24" x14ac:dyDescent="0.25">
      <c r="V739">
        <v>983</v>
      </c>
      <c r="X739">
        <v>1001</v>
      </c>
    </row>
    <row r="740" spans="22:24" x14ac:dyDescent="0.25">
      <c r="V740">
        <v>984</v>
      </c>
      <c r="X740">
        <v>1002</v>
      </c>
    </row>
    <row r="741" spans="22:24" x14ac:dyDescent="0.25">
      <c r="V741">
        <v>985</v>
      </c>
      <c r="X741">
        <v>1003</v>
      </c>
    </row>
    <row r="742" spans="22:24" x14ac:dyDescent="0.25">
      <c r="V742">
        <v>986</v>
      </c>
      <c r="X742">
        <v>1004</v>
      </c>
    </row>
    <row r="743" spans="22:24" x14ac:dyDescent="0.25">
      <c r="V743">
        <v>987</v>
      </c>
      <c r="X743">
        <v>1005</v>
      </c>
    </row>
    <row r="744" spans="22:24" x14ac:dyDescent="0.25">
      <c r="V744">
        <v>990</v>
      </c>
      <c r="X744">
        <v>1006</v>
      </c>
    </row>
    <row r="745" spans="22:24" x14ac:dyDescent="0.25">
      <c r="V745" t="b">
        <v>0</v>
      </c>
      <c r="X745">
        <v>1007</v>
      </c>
    </row>
    <row r="746" spans="22:24" x14ac:dyDescent="0.25">
      <c r="V746">
        <v>992</v>
      </c>
      <c r="X746">
        <v>1009</v>
      </c>
    </row>
    <row r="747" spans="22:24" x14ac:dyDescent="0.25">
      <c r="V747" t="b">
        <v>0</v>
      </c>
      <c r="X747" t="b">
        <v>0</v>
      </c>
    </row>
    <row r="748" spans="22:24" x14ac:dyDescent="0.25">
      <c r="V748">
        <v>995</v>
      </c>
      <c r="X748">
        <v>1011</v>
      </c>
    </row>
    <row r="749" spans="22:24" x14ac:dyDescent="0.25">
      <c r="V749">
        <v>996</v>
      </c>
      <c r="X749">
        <v>1012</v>
      </c>
    </row>
    <row r="750" spans="22:24" x14ac:dyDescent="0.25">
      <c r="V750" t="b">
        <v>0</v>
      </c>
      <c r="X750">
        <v>1013</v>
      </c>
    </row>
    <row r="751" spans="22:24" x14ac:dyDescent="0.25">
      <c r="V751">
        <v>998</v>
      </c>
      <c r="X751">
        <v>1014</v>
      </c>
    </row>
    <row r="752" spans="22:24" x14ac:dyDescent="0.25">
      <c r="V752">
        <v>999</v>
      </c>
      <c r="X752">
        <v>1015</v>
      </c>
    </row>
    <row r="753" spans="22:24" x14ac:dyDescent="0.25">
      <c r="V753">
        <v>1001</v>
      </c>
      <c r="X753">
        <v>1016</v>
      </c>
    </row>
    <row r="754" spans="22:24" x14ac:dyDescent="0.25">
      <c r="V754">
        <v>1002</v>
      </c>
      <c r="X754">
        <v>1017</v>
      </c>
    </row>
    <row r="755" spans="22:24" x14ac:dyDescent="0.25">
      <c r="V755">
        <v>1003</v>
      </c>
      <c r="X755">
        <v>1018</v>
      </c>
    </row>
    <row r="756" spans="22:24" x14ac:dyDescent="0.25">
      <c r="V756">
        <v>1004</v>
      </c>
      <c r="X756">
        <v>1019</v>
      </c>
    </row>
    <row r="757" spans="22:24" x14ac:dyDescent="0.25">
      <c r="V757">
        <v>1005</v>
      </c>
      <c r="X757">
        <v>1022</v>
      </c>
    </row>
    <row r="758" spans="22:24" x14ac:dyDescent="0.25">
      <c r="V758">
        <v>1006</v>
      </c>
      <c r="X758">
        <v>1024</v>
      </c>
    </row>
    <row r="759" spans="22:24" x14ac:dyDescent="0.25">
      <c r="V759">
        <v>1007</v>
      </c>
      <c r="X759">
        <v>1025</v>
      </c>
    </row>
    <row r="760" spans="22:24" x14ac:dyDescent="0.25">
      <c r="V760">
        <v>1009</v>
      </c>
      <c r="X760">
        <v>1026</v>
      </c>
    </row>
    <row r="761" spans="22:24" x14ac:dyDescent="0.25">
      <c r="V761" t="b">
        <v>0</v>
      </c>
      <c r="X761">
        <v>1027</v>
      </c>
    </row>
    <row r="762" spans="22:24" x14ac:dyDescent="0.25">
      <c r="V762">
        <v>1011</v>
      </c>
      <c r="X762" t="b">
        <v>0</v>
      </c>
    </row>
    <row r="763" spans="22:24" x14ac:dyDescent="0.25">
      <c r="V763">
        <v>1012</v>
      </c>
      <c r="X763">
        <v>1029</v>
      </c>
    </row>
    <row r="764" spans="22:24" x14ac:dyDescent="0.25">
      <c r="V764">
        <v>1013</v>
      </c>
      <c r="X764">
        <v>1030</v>
      </c>
    </row>
    <row r="765" spans="22:24" x14ac:dyDescent="0.25">
      <c r="V765">
        <v>1014</v>
      </c>
      <c r="X765">
        <v>1032</v>
      </c>
    </row>
    <row r="766" spans="22:24" x14ac:dyDescent="0.25">
      <c r="V766">
        <v>1015</v>
      </c>
      <c r="X766">
        <v>1033</v>
      </c>
    </row>
    <row r="767" spans="22:24" x14ac:dyDescent="0.25">
      <c r="V767">
        <v>1016</v>
      </c>
      <c r="X767">
        <v>1034</v>
      </c>
    </row>
    <row r="768" spans="22:24" x14ac:dyDescent="0.25">
      <c r="V768">
        <v>1017</v>
      </c>
      <c r="X768" t="b">
        <v>0</v>
      </c>
    </row>
    <row r="769" spans="22:24" x14ac:dyDescent="0.25">
      <c r="V769">
        <v>1018</v>
      </c>
      <c r="X769">
        <v>1036</v>
      </c>
    </row>
    <row r="770" spans="22:24" x14ac:dyDescent="0.25">
      <c r="V770">
        <v>1019</v>
      </c>
      <c r="X770">
        <v>1037</v>
      </c>
    </row>
    <row r="771" spans="22:24" x14ac:dyDescent="0.25">
      <c r="V771">
        <v>1022</v>
      </c>
      <c r="X771">
        <v>1038</v>
      </c>
    </row>
    <row r="772" spans="22:24" x14ac:dyDescent="0.25">
      <c r="V772">
        <v>1024</v>
      </c>
      <c r="X772">
        <v>1039</v>
      </c>
    </row>
    <row r="773" spans="22:24" x14ac:dyDescent="0.25">
      <c r="V773">
        <v>1025</v>
      </c>
      <c r="X773">
        <v>1040</v>
      </c>
    </row>
    <row r="774" spans="22:24" x14ac:dyDescent="0.25">
      <c r="V774">
        <v>1026</v>
      </c>
      <c r="X774">
        <v>1042</v>
      </c>
    </row>
    <row r="775" spans="22:24" x14ac:dyDescent="0.25">
      <c r="V775">
        <v>1027</v>
      </c>
      <c r="X775">
        <v>1043</v>
      </c>
    </row>
    <row r="776" spans="22:24" x14ac:dyDescent="0.25">
      <c r="V776" t="b">
        <v>0</v>
      </c>
      <c r="X776">
        <v>1044</v>
      </c>
    </row>
    <row r="777" spans="22:24" x14ac:dyDescent="0.25">
      <c r="V777">
        <v>1029</v>
      </c>
      <c r="X777">
        <v>1045</v>
      </c>
    </row>
    <row r="778" spans="22:24" x14ac:dyDescent="0.25">
      <c r="V778">
        <v>1030</v>
      </c>
      <c r="X778">
        <v>1046</v>
      </c>
    </row>
    <row r="779" spans="22:24" x14ac:dyDescent="0.25">
      <c r="V779">
        <v>1032</v>
      </c>
      <c r="X779">
        <v>1047</v>
      </c>
    </row>
    <row r="780" spans="22:24" x14ac:dyDescent="0.25">
      <c r="V780">
        <v>1033</v>
      </c>
      <c r="X780">
        <v>1048</v>
      </c>
    </row>
    <row r="781" spans="22:24" x14ac:dyDescent="0.25">
      <c r="V781">
        <v>1034</v>
      </c>
      <c r="X781">
        <v>1049</v>
      </c>
    </row>
    <row r="782" spans="22:24" x14ac:dyDescent="0.25">
      <c r="V782" t="b">
        <v>0</v>
      </c>
      <c r="X782">
        <v>1050</v>
      </c>
    </row>
    <row r="783" spans="22:24" x14ac:dyDescent="0.25">
      <c r="V783">
        <v>1036</v>
      </c>
      <c r="X783">
        <v>1052</v>
      </c>
    </row>
    <row r="784" spans="22:24" x14ac:dyDescent="0.25">
      <c r="V784">
        <v>1037</v>
      </c>
      <c r="X784">
        <v>1053</v>
      </c>
    </row>
    <row r="785" spans="22:24" x14ac:dyDescent="0.25">
      <c r="V785">
        <v>1038</v>
      </c>
      <c r="X785">
        <v>1055</v>
      </c>
    </row>
    <row r="786" spans="22:24" x14ac:dyDescent="0.25">
      <c r="V786">
        <v>1039</v>
      </c>
      <c r="X786" t="b">
        <v>0</v>
      </c>
    </row>
    <row r="787" spans="22:24" x14ac:dyDescent="0.25">
      <c r="V787">
        <v>1040</v>
      </c>
      <c r="X787">
        <v>1060</v>
      </c>
    </row>
    <row r="788" spans="22:24" x14ac:dyDescent="0.25">
      <c r="V788">
        <v>1042</v>
      </c>
      <c r="X788">
        <v>1061</v>
      </c>
    </row>
    <row r="789" spans="22:24" x14ac:dyDescent="0.25">
      <c r="V789">
        <v>1043</v>
      </c>
      <c r="X789">
        <v>1062</v>
      </c>
    </row>
    <row r="790" spans="22:24" x14ac:dyDescent="0.25">
      <c r="V790">
        <v>1044</v>
      </c>
      <c r="X790">
        <v>1066</v>
      </c>
    </row>
    <row r="791" spans="22:24" x14ac:dyDescent="0.25">
      <c r="V791">
        <v>1045</v>
      </c>
      <c r="X791">
        <v>1068</v>
      </c>
    </row>
    <row r="792" spans="22:24" x14ac:dyDescent="0.25">
      <c r="V792">
        <v>1046</v>
      </c>
      <c r="X792">
        <v>1069</v>
      </c>
    </row>
    <row r="793" spans="22:24" x14ac:dyDescent="0.25">
      <c r="V793">
        <v>1047</v>
      </c>
      <c r="X793">
        <v>1070</v>
      </c>
    </row>
    <row r="794" spans="22:24" x14ac:dyDescent="0.25">
      <c r="V794">
        <v>1048</v>
      </c>
      <c r="X794">
        <v>1071</v>
      </c>
    </row>
    <row r="795" spans="22:24" x14ac:dyDescent="0.25">
      <c r="V795">
        <v>1049</v>
      </c>
      <c r="X795">
        <v>1073</v>
      </c>
    </row>
    <row r="796" spans="22:24" x14ac:dyDescent="0.25">
      <c r="V796">
        <v>1050</v>
      </c>
      <c r="X796">
        <v>1074</v>
      </c>
    </row>
    <row r="797" spans="22:24" x14ac:dyDescent="0.25">
      <c r="V797">
        <v>1052</v>
      </c>
      <c r="X797">
        <v>1076</v>
      </c>
    </row>
    <row r="798" spans="22:24" x14ac:dyDescent="0.25">
      <c r="V798">
        <v>1053</v>
      </c>
      <c r="X798">
        <v>1077</v>
      </c>
    </row>
    <row r="799" spans="22:24" x14ac:dyDescent="0.25">
      <c r="V799">
        <v>1055</v>
      </c>
      <c r="X799">
        <v>1079</v>
      </c>
    </row>
    <row r="800" spans="22:24" x14ac:dyDescent="0.25">
      <c r="V800" t="b">
        <v>0</v>
      </c>
      <c r="X800" t="b">
        <v>0</v>
      </c>
    </row>
    <row r="801" spans="22:24" x14ac:dyDescent="0.25">
      <c r="V801">
        <v>1060</v>
      </c>
      <c r="X801">
        <v>1081</v>
      </c>
    </row>
    <row r="802" spans="22:24" x14ac:dyDescent="0.25">
      <c r="V802">
        <v>1061</v>
      </c>
      <c r="X802">
        <v>1082</v>
      </c>
    </row>
    <row r="803" spans="22:24" x14ac:dyDescent="0.25">
      <c r="V803">
        <v>1062</v>
      </c>
      <c r="X803">
        <v>1083</v>
      </c>
    </row>
    <row r="804" spans="22:24" x14ac:dyDescent="0.25">
      <c r="V804">
        <v>1066</v>
      </c>
      <c r="X804">
        <v>1084</v>
      </c>
    </row>
    <row r="805" spans="22:24" x14ac:dyDescent="0.25">
      <c r="V805">
        <v>1068</v>
      </c>
      <c r="X805">
        <v>1085</v>
      </c>
    </row>
    <row r="806" spans="22:24" x14ac:dyDescent="0.25">
      <c r="V806">
        <v>1069</v>
      </c>
      <c r="X806">
        <v>1088</v>
      </c>
    </row>
    <row r="807" spans="22:24" x14ac:dyDescent="0.25">
      <c r="V807">
        <v>1070</v>
      </c>
      <c r="X807" t="b">
        <v>0</v>
      </c>
    </row>
    <row r="808" spans="22:24" x14ac:dyDescent="0.25">
      <c r="V808">
        <v>1071</v>
      </c>
      <c r="X808">
        <v>1094</v>
      </c>
    </row>
    <row r="809" spans="22:24" x14ac:dyDescent="0.25">
      <c r="V809">
        <v>1073</v>
      </c>
      <c r="X809">
        <v>1096</v>
      </c>
    </row>
    <row r="810" spans="22:24" x14ac:dyDescent="0.25">
      <c r="V810">
        <v>1074</v>
      </c>
      <c r="X810">
        <v>1097</v>
      </c>
    </row>
    <row r="811" spans="22:24" x14ac:dyDescent="0.25">
      <c r="V811">
        <v>1076</v>
      </c>
      <c r="X811">
        <v>1098</v>
      </c>
    </row>
    <row r="812" spans="22:24" x14ac:dyDescent="0.25">
      <c r="V812">
        <v>1077</v>
      </c>
      <c r="X812">
        <v>1099</v>
      </c>
    </row>
    <row r="813" spans="22:24" x14ac:dyDescent="0.25">
      <c r="V813">
        <v>1079</v>
      </c>
      <c r="X813" t="b">
        <v>0</v>
      </c>
    </row>
    <row r="814" spans="22:24" x14ac:dyDescent="0.25">
      <c r="V814" t="b">
        <v>0</v>
      </c>
      <c r="X814" t="b">
        <v>0</v>
      </c>
    </row>
    <row r="815" spans="22:24" x14ac:dyDescent="0.25">
      <c r="V815">
        <v>1081</v>
      </c>
      <c r="X815">
        <v>1102</v>
      </c>
    </row>
    <row r="816" spans="22:24" x14ac:dyDescent="0.25">
      <c r="V816">
        <v>1082</v>
      </c>
      <c r="X816">
        <v>1103</v>
      </c>
    </row>
    <row r="817" spans="22:24" x14ac:dyDescent="0.25">
      <c r="V817">
        <v>1083</v>
      </c>
      <c r="X817">
        <v>1105</v>
      </c>
    </row>
    <row r="818" spans="22:24" x14ac:dyDescent="0.25">
      <c r="V818">
        <v>1084</v>
      </c>
      <c r="X818">
        <v>1106</v>
      </c>
    </row>
    <row r="819" spans="22:24" x14ac:dyDescent="0.25">
      <c r="V819">
        <v>1085</v>
      </c>
      <c r="X819" t="b">
        <v>0</v>
      </c>
    </row>
    <row r="820" spans="22:24" x14ac:dyDescent="0.25">
      <c r="V820">
        <v>1088</v>
      </c>
      <c r="X820" t="b">
        <v>0</v>
      </c>
    </row>
    <row r="821" spans="22:24" x14ac:dyDescent="0.25">
      <c r="V821" t="b">
        <v>0</v>
      </c>
      <c r="X821">
        <v>1109</v>
      </c>
    </row>
    <row r="822" spans="22:24" x14ac:dyDescent="0.25">
      <c r="V822">
        <v>1094</v>
      </c>
      <c r="X822">
        <v>1111</v>
      </c>
    </row>
    <row r="823" spans="22:24" x14ac:dyDescent="0.25">
      <c r="V823">
        <v>1096</v>
      </c>
      <c r="X823">
        <v>1113</v>
      </c>
    </row>
    <row r="824" spans="22:24" x14ac:dyDescent="0.25">
      <c r="V824">
        <v>1097</v>
      </c>
      <c r="X824">
        <v>1114</v>
      </c>
    </row>
    <row r="825" spans="22:24" x14ac:dyDescent="0.25">
      <c r="V825">
        <v>1098</v>
      </c>
      <c r="X825">
        <v>1115</v>
      </c>
    </row>
    <row r="826" spans="22:24" x14ac:dyDescent="0.25">
      <c r="V826">
        <v>1099</v>
      </c>
      <c r="X826" t="b">
        <v>0</v>
      </c>
    </row>
    <row r="827" spans="22:24" x14ac:dyDescent="0.25">
      <c r="V827" t="b">
        <v>0</v>
      </c>
      <c r="X827">
        <v>1117</v>
      </c>
    </row>
    <row r="828" spans="22:24" x14ac:dyDescent="0.25">
      <c r="V828" t="b">
        <v>0</v>
      </c>
      <c r="X828">
        <v>1118</v>
      </c>
    </row>
    <row r="829" spans="22:24" x14ac:dyDescent="0.25">
      <c r="V829">
        <v>1102</v>
      </c>
      <c r="X829">
        <v>1119</v>
      </c>
    </row>
    <row r="830" spans="22:24" x14ac:dyDescent="0.25">
      <c r="V830">
        <v>1103</v>
      </c>
      <c r="X830" t="b">
        <v>0</v>
      </c>
    </row>
    <row r="831" spans="22:24" x14ac:dyDescent="0.25">
      <c r="V831">
        <v>1105</v>
      </c>
      <c r="X831">
        <v>1121</v>
      </c>
    </row>
    <row r="832" spans="22:24" x14ac:dyDescent="0.25">
      <c r="V832">
        <v>1106</v>
      </c>
      <c r="X832">
        <v>1124</v>
      </c>
    </row>
    <row r="833" spans="22:24" x14ac:dyDescent="0.25">
      <c r="V833" t="b">
        <v>0</v>
      </c>
      <c r="X833">
        <v>1125</v>
      </c>
    </row>
    <row r="834" spans="22:24" x14ac:dyDescent="0.25">
      <c r="V834" t="b">
        <v>0</v>
      </c>
      <c r="X834">
        <v>1126</v>
      </c>
    </row>
    <row r="835" spans="22:24" x14ac:dyDescent="0.25">
      <c r="V835">
        <v>1109</v>
      </c>
      <c r="X835">
        <v>1127</v>
      </c>
    </row>
    <row r="836" spans="22:24" x14ac:dyDescent="0.25">
      <c r="V836">
        <v>1111</v>
      </c>
      <c r="X836">
        <v>1128</v>
      </c>
    </row>
    <row r="837" spans="22:24" x14ac:dyDescent="0.25">
      <c r="V837">
        <v>1113</v>
      </c>
      <c r="X837">
        <v>1131</v>
      </c>
    </row>
    <row r="838" spans="22:24" x14ac:dyDescent="0.25">
      <c r="V838">
        <v>1114</v>
      </c>
      <c r="X838">
        <v>1132</v>
      </c>
    </row>
    <row r="839" spans="22:24" x14ac:dyDescent="0.25">
      <c r="V839">
        <v>1115</v>
      </c>
      <c r="X839" t="b">
        <v>0</v>
      </c>
    </row>
    <row r="840" spans="22:24" x14ac:dyDescent="0.25">
      <c r="V840" t="b">
        <v>0</v>
      </c>
      <c r="X840">
        <v>1135</v>
      </c>
    </row>
    <row r="841" spans="22:24" x14ac:dyDescent="0.25">
      <c r="V841">
        <v>1117</v>
      </c>
      <c r="X841">
        <v>1136</v>
      </c>
    </row>
    <row r="842" spans="22:24" x14ac:dyDescent="0.25">
      <c r="V842">
        <v>1118</v>
      </c>
      <c r="X842">
        <v>1137</v>
      </c>
    </row>
    <row r="843" spans="22:24" x14ac:dyDescent="0.25">
      <c r="V843">
        <v>1119</v>
      </c>
      <c r="X843">
        <v>1138</v>
      </c>
    </row>
    <row r="844" spans="22:24" x14ac:dyDescent="0.25">
      <c r="V844" t="b">
        <v>0</v>
      </c>
      <c r="X844">
        <v>1140</v>
      </c>
    </row>
    <row r="845" spans="22:24" x14ac:dyDescent="0.25">
      <c r="V845">
        <v>1121</v>
      </c>
      <c r="X845">
        <v>1143</v>
      </c>
    </row>
    <row r="846" spans="22:24" x14ac:dyDescent="0.25">
      <c r="V846">
        <v>1124</v>
      </c>
      <c r="X846">
        <v>1148</v>
      </c>
    </row>
    <row r="847" spans="22:24" x14ac:dyDescent="0.25">
      <c r="V847">
        <v>1125</v>
      </c>
      <c r="X847">
        <v>1150</v>
      </c>
    </row>
    <row r="848" spans="22:24" x14ac:dyDescent="0.25">
      <c r="V848">
        <v>1126</v>
      </c>
      <c r="X848">
        <v>1152</v>
      </c>
    </row>
    <row r="849" spans="22:24" x14ac:dyDescent="0.25">
      <c r="V849">
        <v>1127</v>
      </c>
      <c r="X849">
        <v>1154</v>
      </c>
    </row>
    <row r="850" spans="22:24" x14ac:dyDescent="0.25">
      <c r="V850">
        <v>1128</v>
      </c>
      <c r="X850">
        <v>1156</v>
      </c>
    </row>
    <row r="851" spans="22:24" x14ac:dyDescent="0.25">
      <c r="V851">
        <v>1131</v>
      </c>
      <c r="X851">
        <v>1157</v>
      </c>
    </row>
    <row r="852" spans="22:24" x14ac:dyDescent="0.25">
      <c r="V852">
        <v>1132</v>
      </c>
      <c r="X852">
        <v>1158</v>
      </c>
    </row>
    <row r="853" spans="22:24" x14ac:dyDescent="0.25">
      <c r="V853" t="b">
        <v>0</v>
      </c>
      <c r="X853">
        <v>1160</v>
      </c>
    </row>
    <row r="854" spans="22:24" x14ac:dyDescent="0.25">
      <c r="V854">
        <v>1135</v>
      </c>
      <c r="X854">
        <v>1161</v>
      </c>
    </row>
    <row r="855" spans="22:24" x14ac:dyDescent="0.25">
      <c r="V855">
        <v>1136</v>
      </c>
      <c r="X855">
        <v>1162</v>
      </c>
    </row>
    <row r="856" spans="22:24" x14ac:dyDescent="0.25">
      <c r="V856">
        <v>1137</v>
      </c>
      <c r="X856" t="b">
        <v>0</v>
      </c>
    </row>
    <row r="857" spans="22:24" x14ac:dyDescent="0.25">
      <c r="V857">
        <v>1138</v>
      </c>
      <c r="X857">
        <v>1164</v>
      </c>
    </row>
    <row r="858" spans="22:24" x14ac:dyDescent="0.25">
      <c r="V858">
        <v>1140</v>
      </c>
      <c r="X858">
        <v>1165</v>
      </c>
    </row>
    <row r="859" spans="22:24" x14ac:dyDescent="0.25">
      <c r="V859">
        <v>1143</v>
      </c>
      <c r="X859">
        <v>1166</v>
      </c>
    </row>
    <row r="860" spans="22:24" x14ac:dyDescent="0.25">
      <c r="V860">
        <v>1148</v>
      </c>
      <c r="X860">
        <v>1167</v>
      </c>
    </row>
    <row r="861" spans="22:24" x14ac:dyDescent="0.25">
      <c r="V861">
        <v>1150</v>
      </c>
      <c r="X861">
        <v>1171</v>
      </c>
    </row>
    <row r="862" spans="22:24" x14ac:dyDescent="0.25">
      <c r="V862">
        <v>1152</v>
      </c>
      <c r="X862">
        <v>1172</v>
      </c>
    </row>
    <row r="863" spans="22:24" x14ac:dyDescent="0.25">
      <c r="V863">
        <v>1154</v>
      </c>
      <c r="X863" t="b">
        <v>0</v>
      </c>
    </row>
    <row r="864" spans="22:24" x14ac:dyDescent="0.25">
      <c r="V864">
        <v>1156</v>
      </c>
      <c r="X864">
        <v>1175</v>
      </c>
    </row>
    <row r="865" spans="22:24" x14ac:dyDescent="0.25">
      <c r="V865">
        <v>1157</v>
      </c>
      <c r="X865" t="b">
        <v>0</v>
      </c>
    </row>
    <row r="866" spans="22:24" x14ac:dyDescent="0.25">
      <c r="V866">
        <v>1158</v>
      </c>
      <c r="X866">
        <v>1179</v>
      </c>
    </row>
    <row r="867" spans="22:24" x14ac:dyDescent="0.25">
      <c r="V867">
        <v>1160</v>
      </c>
      <c r="X867">
        <v>1180</v>
      </c>
    </row>
    <row r="868" spans="22:24" x14ac:dyDescent="0.25">
      <c r="V868">
        <v>1161</v>
      </c>
      <c r="X868">
        <v>1182</v>
      </c>
    </row>
    <row r="869" spans="22:24" x14ac:dyDescent="0.25">
      <c r="V869">
        <v>1162</v>
      </c>
      <c r="X869" t="b">
        <v>0</v>
      </c>
    </row>
    <row r="870" spans="22:24" x14ac:dyDescent="0.25">
      <c r="V870" t="b">
        <v>0</v>
      </c>
      <c r="X870">
        <v>1185</v>
      </c>
    </row>
    <row r="871" spans="22:24" x14ac:dyDescent="0.25">
      <c r="V871">
        <v>1164</v>
      </c>
      <c r="X871">
        <v>1188</v>
      </c>
    </row>
    <row r="872" spans="22:24" x14ac:dyDescent="0.25">
      <c r="V872">
        <v>1165</v>
      </c>
      <c r="X872">
        <v>1190</v>
      </c>
    </row>
    <row r="873" spans="22:24" x14ac:dyDescent="0.25">
      <c r="V873">
        <v>1166</v>
      </c>
      <c r="X873">
        <v>1191</v>
      </c>
    </row>
    <row r="874" spans="22:24" x14ac:dyDescent="0.25">
      <c r="V874">
        <v>1167</v>
      </c>
      <c r="X874">
        <v>1192</v>
      </c>
    </row>
    <row r="875" spans="22:24" x14ac:dyDescent="0.25">
      <c r="V875">
        <v>1171</v>
      </c>
      <c r="X875" t="b">
        <v>0</v>
      </c>
    </row>
    <row r="876" spans="22:24" x14ac:dyDescent="0.25">
      <c r="V876">
        <v>1172</v>
      </c>
      <c r="X876">
        <v>1195</v>
      </c>
    </row>
    <row r="877" spans="22:24" x14ac:dyDescent="0.25">
      <c r="V877" t="b">
        <v>0</v>
      </c>
      <c r="X877">
        <v>1196</v>
      </c>
    </row>
    <row r="878" spans="22:24" x14ac:dyDescent="0.25">
      <c r="V878">
        <v>1175</v>
      </c>
      <c r="X878">
        <v>1198</v>
      </c>
    </row>
    <row r="879" spans="22:24" x14ac:dyDescent="0.25">
      <c r="V879" t="b">
        <v>0</v>
      </c>
      <c r="X879">
        <v>1200</v>
      </c>
    </row>
    <row r="880" spans="22:24" x14ac:dyDescent="0.25">
      <c r="V880">
        <v>1179</v>
      </c>
      <c r="X880">
        <v>1201</v>
      </c>
    </row>
    <row r="881" spans="22:24" x14ac:dyDescent="0.25">
      <c r="V881">
        <v>1180</v>
      </c>
      <c r="X881">
        <v>1202</v>
      </c>
    </row>
    <row r="882" spans="22:24" x14ac:dyDescent="0.25">
      <c r="V882">
        <v>1182</v>
      </c>
      <c r="X882">
        <v>1203</v>
      </c>
    </row>
    <row r="883" spans="22:24" x14ac:dyDescent="0.25">
      <c r="V883" t="b">
        <v>0</v>
      </c>
      <c r="X883" t="b">
        <v>0</v>
      </c>
    </row>
    <row r="884" spans="22:24" x14ac:dyDescent="0.25">
      <c r="V884">
        <v>1185</v>
      </c>
      <c r="X884">
        <v>1206</v>
      </c>
    </row>
    <row r="885" spans="22:24" x14ac:dyDescent="0.25">
      <c r="V885">
        <v>1188</v>
      </c>
      <c r="X885">
        <v>1207</v>
      </c>
    </row>
    <row r="886" spans="22:24" x14ac:dyDescent="0.25">
      <c r="V886">
        <v>1190</v>
      </c>
      <c r="X886">
        <v>1210</v>
      </c>
    </row>
    <row r="887" spans="22:24" x14ac:dyDescent="0.25">
      <c r="V887">
        <v>1191</v>
      </c>
      <c r="X887">
        <v>1211</v>
      </c>
    </row>
    <row r="888" spans="22:24" x14ac:dyDescent="0.25">
      <c r="V888">
        <v>1192</v>
      </c>
      <c r="X888">
        <v>1212</v>
      </c>
    </row>
    <row r="889" spans="22:24" x14ac:dyDescent="0.25">
      <c r="V889" t="b">
        <v>0</v>
      </c>
      <c r="X889" t="b">
        <v>0</v>
      </c>
    </row>
    <row r="890" spans="22:24" x14ac:dyDescent="0.25">
      <c r="V890">
        <v>1195</v>
      </c>
      <c r="X890">
        <v>1216</v>
      </c>
    </row>
    <row r="891" spans="22:24" x14ac:dyDescent="0.25">
      <c r="V891">
        <v>1196</v>
      </c>
      <c r="X891">
        <v>1217</v>
      </c>
    </row>
    <row r="892" spans="22:24" x14ac:dyDescent="0.25">
      <c r="V892">
        <v>1198</v>
      </c>
      <c r="X892">
        <v>1218</v>
      </c>
    </row>
    <row r="893" spans="22:24" x14ac:dyDescent="0.25">
      <c r="V893">
        <v>1200</v>
      </c>
      <c r="X893">
        <v>1219</v>
      </c>
    </row>
    <row r="894" spans="22:24" x14ac:dyDescent="0.25">
      <c r="V894">
        <v>1201</v>
      </c>
      <c r="X894">
        <v>1220</v>
      </c>
    </row>
    <row r="895" spans="22:24" x14ac:dyDescent="0.25">
      <c r="V895">
        <v>1202</v>
      </c>
      <c r="X895">
        <v>1221</v>
      </c>
    </row>
    <row r="896" spans="22:24" x14ac:dyDescent="0.25">
      <c r="V896">
        <v>1203</v>
      </c>
      <c r="X896">
        <v>1224</v>
      </c>
    </row>
    <row r="897" spans="22:24" x14ac:dyDescent="0.25">
      <c r="V897" t="b">
        <v>0</v>
      </c>
      <c r="X897" t="b">
        <v>0</v>
      </c>
    </row>
    <row r="898" spans="22:24" x14ac:dyDescent="0.25">
      <c r="V898">
        <v>1206</v>
      </c>
      <c r="X898">
        <v>1226</v>
      </c>
    </row>
    <row r="899" spans="22:24" x14ac:dyDescent="0.25">
      <c r="V899">
        <v>1207</v>
      </c>
      <c r="X899">
        <v>1228</v>
      </c>
    </row>
    <row r="900" spans="22:24" x14ac:dyDescent="0.25">
      <c r="V900">
        <v>1210</v>
      </c>
      <c r="X900">
        <v>1231</v>
      </c>
    </row>
    <row r="901" spans="22:24" x14ac:dyDescent="0.25">
      <c r="V901">
        <v>1211</v>
      </c>
      <c r="X901">
        <v>1233</v>
      </c>
    </row>
    <row r="902" spans="22:24" x14ac:dyDescent="0.25">
      <c r="V902">
        <v>1212</v>
      </c>
      <c r="X902" t="b">
        <v>0</v>
      </c>
    </row>
    <row r="903" spans="22:24" x14ac:dyDescent="0.25">
      <c r="V903" t="b">
        <v>0</v>
      </c>
      <c r="X903">
        <v>1235</v>
      </c>
    </row>
    <row r="904" spans="22:24" x14ac:dyDescent="0.25">
      <c r="V904">
        <v>1216</v>
      </c>
      <c r="X904" t="b">
        <v>0</v>
      </c>
    </row>
    <row r="905" spans="22:24" x14ac:dyDescent="0.25">
      <c r="V905">
        <v>1217</v>
      </c>
      <c r="X905">
        <v>1238</v>
      </c>
    </row>
    <row r="906" spans="22:24" x14ac:dyDescent="0.25">
      <c r="V906">
        <v>1218</v>
      </c>
      <c r="X906">
        <v>1239</v>
      </c>
    </row>
    <row r="907" spans="22:24" x14ac:dyDescent="0.25">
      <c r="V907">
        <v>1219</v>
      </c>
      <c r="X907">
        <v>1240</v>
      </c>
    </row>
    <row r="908" spans="22:24" x14ac:dyDescent="0.25">
      <c r="V908">
        <v>1220</v>
      </c>
      <c r="X908" t="b">
        <v>0</v>
      </c>
    </row>
    <row r="909" spans="22:24" x14ac:dyDescent="0.25">
      <c r="V909">
        <v>1221</v>
      </c>
      <c r="X909">
        <v>1242</v>
      </c>
    </row>
    <row r="910" spans="22:24" x14ac:dyDescent="0.25">
      <c r="V910">
        <v>1224</v>
      </c>
      <c r="X910">
        <v>1243</v>
      </c>
    </row>
    <row r="911" spans="22:24" x14ac:dyDescent="0.25">
      <c r="V911" t="b">
        <v>0</v>
      </c>
      <c r="X911">
        <v>1244</v>
      </c>
    </row>
    <row r="912" spans="22:24" x14ac:dyDescent="0.25">
      <c r="V912">
        <v>1226</v>
      </c>
      <c r="X912">
        <v>1245</v>
      </c>
    </row>
    <row r="913" spans="22:24" x14ac:dyDescent="0.25">
      <c r="V913">
        <v>1228</v>
      </c>
      <c r="X913">
        <v>1246</v>
      </c>
    </row>
    <row r="914" spans="22:24" x14ac:dyDescent="0.25">
      <c r="V914">
        <v>1231</v>
      </c>
      <c r="X914" t="b">
        <v>0</v>
      </c>
    </row>
    <row r="915" spans="22:24" x14ac:dyDescent="0.25">
      <c r="V915">
        <v>1233</v>
      </c>
      <c r="X915">
        <v>1249</v>
      </c>
    </row>
    <row r="916" spans="22:24" x14ac:dyDescent="0.25">
      <c r="V916" t="b">
        <v>0</v>
      </c>
      <c r="X916">
        <v>1250</v>
      </c>
    </row>
    <row r="917" spans="22:24" x14ac:dyDescent="0.25">
      <c r="V917">
        <v>1235</v>
      </c>
      <c r="X917">
        <v>1251</v>
      </c>
    </row>
    <row r="918" spans="22:24" x14ac:dyDescent="0.25">
      <c r="V918" t="b">
        <v>0</v>
      </c>
      <c r="X918">
        <v>1252</v>
      </c>
    </row>
    <row r="919" spans="22:24" x14ac:dyDescent="0.25">
      <c r="V919">
        <v>1238</v>
      </c>
      <c r="X919">
        <v>1254</v>
      </c>
    </row>
    <row r="920" spans="22:24" x14ac:dyDescent="0.25">
      <c r="V920">
        <v>1239</v>
      </c>
      <c r="X920">
        <v>1255</v>
      </c>
    </row>
    <row r="921" spans="22:24" x14ac:dyDescent="0.25">
      <c r="V921">
        <v>1240</v>
      </c>
      <c r="X921">
        <v>1256</v>
      </c>
    </row>
    <row r="922" spans="22:24" x14ac:dyDescent="0.25">
      <c r="V922" t="b">
        <v>0</v>
      </c>
      <c r="X922">
        <v>1257</v>
      </c>
    </row>
    <row r="923" spans="22:24" x14ac:dyDescent="0.25">
      <c r="V923">
        <v>1242</v>
      </c>
      <c r="X923">
        <v>1258</v>
      </c>
    </row>
    <row r="924" spans="22:24" x14ac:dyDescent="0.25">
      <c r="V924">
        <v>1243</v>
      </c>
      <c r="X924">
        <v>1259</v>
      </c>
    </row>
    <row r="925" spans="22:24" x14ac:dyDescent="0.25">
      <c r="V925">
        <v>1244</v>
      </c>
      <c r="X925">
        <v>1260</v>
      </c>
    </row>
    <row r="926" spans="22:24" x14ac:dyDescent="0.25">
      <c r="V926">
        <v>1245</v>
      </c>
      <c r="X926">
        <v>1263</v>
      </c>
    </row>
    <row r="927" spans="22:24" x14ac:dyDescent="0.25">
      <c r="V927">
        <v>1246</v>
      </c>
      <c r="X927">
        <v>1264</v>
      </c>
    </row>
    <row r="928" spans="22:24" x14ac:dyDescent="0.25">
      <c r="V928" t="b">
        <v>0</v>
      </c>
      <c r="X928">
        <v>1265</v>
      </c>
    </row>
    <row r="929" spans="22:24" x14ac:dyDescent="0.25">
      <c r="V929">
        <v>1249</v>
      </c>
      <c r="X929">
        <v>1267</v>
      </c>
    </row>
    <row r="930" spans="22:24" x14ac:dyDescent="0.25">
      <c r="V930">
        <v>1250</v>
      </c>
      <c r="X930">
        <v>1268</v>
      </c>
    </row>
    <row r="931" spans="22:24" x14ac:dyDescent="0.25">
      <c r="V931">
        <v>1251</v>
      </c>
      <c r="X931">
        <v>1269</v>
      </c>
    </row>
    <row r="932" spans="22:24" x14ac:dyDescent="0.25">
      <c r="V932">
        <v>1252</v>
      </c>
      <c r="X932" t="b">
        <v>0</v>
      </c>
    </row>
    <row r="933" spans="22:24" x14ac:dyDescent="0.25">
      <c r="V933">
        <v>1254</v>
      </c>
      <c r="X933">
        <v>1273</v>
      </c>
    </row>
    <row r="934" spans="22:24" x14ac:dyDescent="0.25">
      <c r="V934">
        <v>1255</v>
      </c>
      <c r="X934" t="b">
        <v>0</v>
      </c>
    </row>
    <row r="935" spans="22:24" x14ac:dyDescent="0.25">
      <c r="V935">
        <v>1256</v>
      </c>
      <c r="X935">
        <v>1277</v>
      </c>
    </row>
    <row r="936" spans="22:24" x14ac:dyDescent="0.25">
      <c r="V936">
        <v>1257</v>
      </c>
      <c r="X936">
        <v>1278</v>
      </c>
    </row>
    <row r="937" spans="22:24" x14ac:dyDescent="0.25">
      <c r="V937">
        <v>1258</v>
      </c>
      <c r="X937" t="b">
        <v>0</v>
      </c>
    </row>
    <row r="938" spans="22:24" x14ac:dyDescent="0.25">
      <c r="V938">
        <v>1259</v>
      </c>
      <c r="X938">
        <v>1280</v>
      </c>
    </row>
    <row r="939" spans="22:24" x14ac:dyDescent="0.25">
      <c r="V939">
        <v>1260</v>
      </c>
      <c r="X939">
        <v>1281</v>
      </c>
    </row>
    <row r="940" spans="22:24" x14ac:dyDescent="0.25">
      <c r="V940">
        <v>1263</v>
      </c>
      <c r="X940" t="b">
        <v>0</v>
      </c>
    </row>
    <row r="941" spans="22:24" x14ac:dyDescent="0.25">
      <c r="V941">
        <v>1264</v>
      </c>
      <c r="X941">
        <v>1283</v>
      </c>
    </row>
    <row r="942" spans="22:24" x14ac:dyDescent="0.25">
      <c r="V942">
        <v>1265</v>
      </c>
      <c r="X942">
        <v>1285</v>
      </c>
    </row>
    <row r="943" spans="22:24" x14ac:dyDescent="0.25">
      <c r="V943">
        <v>1267</v>
      </c>
      <c r="X943">
        <v>1286</v>
      </c>
    </row>
    <row r="944" spans="22:24" x14ac:dyDescent="0.25">
      <c r="V944">
        <v>1268</v>
      </c>
      <c r="X944">
        <v>1288</v>
      </c>
    </row>
    <row r="945" spans="22:24" x14ac:dyDescent="0.25">
      <c r="V945">
        <v>1269</v>
      </c>
      <c r="X945">
        <v>1289</v>
      </c>
    </row>
    <row r="946" spans="22:24" x14ac:dyDescent="0.25">
      <c r="V946" t="b">
        <v>0</v>
      </c>
      <c r="X946">
        <v>1291</v>
      </c>
    </row>
    <row r="947" spans="22:24" x14ac:dyDescent="0.25">
      <c r="V947">
        <v>1273</v>
      </c>
      <c r="X947">
        <v>1292</v>
      </c>
    </row>
    <row r="948" spans="22:24" x14ac:dyDescent="0.25">
      <c r="V948" t="b">
        <v>0</v>
      </c>
      <c r="X948">
        <v>1293</v>
      </c>
    </row>
    <row r="949" spans="22:24" x14ac:dyDescent="0.25">
      <c r="V949">
        <v>1277</v>
      </c>
      <c r="X949">
        <v>1294</v>
      </c>
    </row>
    <row r="950" spans="22:24" x14ac:dyDescent="0.25">
      <c r="V950">
        <v>1278</v>
      </c>
      <c r="X950">
        <v>1295</v>
      </c>
    </row>
    <row r="951" spans="22:24" x14ac:dyDescent="0.25">
      <c r="V951" t="b">
        <v>0</v>
      </c>
      <c r="X951">
        <v>1296</v>
      </c>
    </row>
    <row r="952" spans="22:24" x14ac:dyDescent="0.25">
      <c r="V952">
        <v>1280</v>
      </c>
      <c r="X952">
        <v>1297</v>
      </c>
    </row>
    <row r="953" spans="22:24" x14ac:dyDescent="0.25">
      <c r="V953">
        <v>1281</v>
      </c>
      <c r="X953">
        <v>1298</v>
      </c>
    </row>
    <row r="954" spans="22:24" x14ac:dyDescent="0.25">
      <c r="V954" t="b">
        <v>0</v>
      </c>
      <c r="X954">
        <v>1299</v>
      </c>
    </row>
    <row r="955" spans="22:24" x14ac:dyDescent="0.25">
      <c r="V955">
        <v>1283</v>
      </c>
      <c r="X955">
        <v>1301</v>
      </c>
    </row>
    <row r="956" spans="22:24" x14ac:dyDescent="0.25">
      <c r="V956">
        <v>1285</v>
      </c>
      <c r="X956">
        <v>1303</v>
      </c>
    </row>
    <row r="957" spans="22:24" x14ac:dyDescent="0.25">
      <c r="V957">
        <v>1286</v>
      </c>
      <c r="X957">
        <v>1304</v>
      </c>
    </row>
    <row r="958" spans="22:24" x14ac:dyDescent="0.25">
      <c r="V958">
        <v>1288</v>
      </c>
      <c r="X958" t="b">
        <v>0</v>
      </c>
    </row>
    <row r="959" spans="22:24" x14ac:dyDescent="0.25">
      <c r="V959">
        <v>1289</v>
      </c>
      <c r="X959">
        <v>1307</v>
      </c>
    </row>
    <row r="960" spans="22:24" x14ac:dyDescent="0.25">
      <c r="V960">
        <v>1291</v>
      </c>
      <c r="X960">
        <v>1308</v>
      </c>
    </row>
    <row r="961" spans="22:24" x14ac:dyDescent="0.25">
      <c r="V961">
        <v>1292</v>
      </c>
      <c r="X961">
        <v>1309</v>
      </c>
    </row>
    <row r="962" spans="22:24" x14ac:dyDescent="0.25">
      <c r="V962">
        <v>1293</v>
      </c>
      <c r="X962">
        <v>1310</v>
      </c>
    </row>
    <row r="963" spans="22:24" x14ac:dyDescent="0.25">
      <c r="V963">
        <v>1294</v>
      </c>
      <c r="X963">
        <v>1311</v>
      </c>
    </row>
    <row r="964" spans="22:24" x14ac:dyDescent="0.25">
      <c r="V964">
        <v>1295</v>
      </c>
      <c r="X964">
        <v>1312</v>
      </c>
    </row>
    <row r="965" spans="22:24" x14ac:dyDescent="0.25">
      <c r="V965">
        <v>1296</v>
      </c>
      <c r="X965">
        <v>1314</v>
      </c>
    </row>
    <row r="966" spans="22:24" x14ac:dyDescent="0.25">
      <c r="V966">
        <v>1297</v>
      </c>
      <c r="X966">
        <v>1315</v>
      </c>
    </row>
    <row r="967" spans="22:24" x14ac:dyDescent="0.25">
      <c r="V967">
        <v>1298</v>
      </c>
      <c r="X967">
        <v>1317</v>
      </c>
    </row>
    <row r="968" spans="22:24" x14ac:dyDescent="0.25">
      <c r="V968">
        <v>1299</v>
      </c>
      <c r="X968">
        <v>1318</v>
      </c>
    </row>
    <row r="969" spans="22:24" x14ac:dyDescent="0.25">
      <c r="V969">
        <v>1301</v>
      </c>
      <c r="X969">
        <v>1319</v>
      </c>
    </row>
    <row r="970" spans="22:24" x14ac:dyDescent="0.25">
      <c r="V970">
        <v>1303</v>
      </c>
      <c r="X970" t="b">
        <v>0</v>
      </c>
    </row>
    <row r="971" spans="22:24" x14ac:dyDescent="0.25">
      <c r="V971">
        <v>1304</v>
      </c>
      <c r="X971">
        <v>1322</v>
      </c>
    </row>
    <row r="972" spans="22:24" x14ac:dyDescent="0.25">
      <c r="V972" t="b">
        <v>0</v>
      </c>
      <c r="X972">
        <v>1324</v>
      </c>
    </row>
    <row r="973" spans="22:24" x14ac:dyDescent="0.25">
      <c r="V973">
        <v>1307</v>
      </c>
      <c r="X973">
        <v>1329</v>
      </c>
    </row>
    <row r="974" spans="22:24" x14ac:dyDescent="0.25">
      <c r="V974">
        <v>1308</v>
      </c>
      <c r="X974">
        <v>1331</v>
      </c>
    </row>
    <row r="975" spans="22:24" x14ac:dyDescent="0.25">
      <c r="V975">
        <v>1309</v>
      </c>
      <c r="X975">
        <v>1333</v>
      </c>
    </row>
    <row r="976" spans="22:24" x14ac:dyDescent="0.25">
      <c r="V976">
        <v>1310</v>
      </c>
      <c r="X976">
        <v>1334</v>
      </c>
    </row>
    <row r="977" spans="22:24" x14ac:dyDescent="0.25">
      <c r="V977">
        <v>1311</v>
      </c>
      <c r="X977">
        <v>1336</v>
      </c>
    </row>
    <row r="978" spans="22:24" x14ac:dyDescent="0.25">
      <c r="V978">
        <v>1312</v>
      </c>
      <c r="X978">
        <v>1338</v>
      </c>
    </row>
    <row r="979" spans="22:24" x14ac:dyDescent="0.25">
      <c r="V979">
        <v>1314</v>
      </c>
      <c r="X979">
        <v>1340</v>
      </c>
    </row>
    <row r="980" spans="22:24" x14ac:dyDescent="0.25">
      <c r="V980">
        <v>1315</v>
      </c>
      <c r="X980">
        <v>1344</v>
      </c>
    </row>
    <row r="981" spans="22:24" x14ac:dyDescent="0.25">
      <c r="V981">
        <v>1317</v>
      </c>
      <c r="X981">
        <v>1346</v>
      </c>
    </row>
    <row r="982" spans="22:24" x14ac:dyDescent="0.25">
      <c r="V982">
        <v>1318</v>
      </c>
      <c r="X982">
        <v>1349</v>
      </c>
    </row>
    <row r="983" spans="22:24" x14ac:dyDescent="0.25">
      <c r="V983">
        <v>1319</v>
      </c>
      <c r="X983">
        <v>1350</v>
      </c>
    </row>
    <row r="984" spans="22:24" x14ac:dyDescent="0.25">
      <c r="V984" t="b">
        <v>0</v>
      </c>
      <c r="X984">
        <v>1352</v>
      </c>
    </row>
    <row r="985" spans="22:24" x14ac:dyDescent="0.25">
      <c r="V985">
        <v>1322</v>
      </c>
      <c r="X985">
        <v>1355</v>
      </c>
    </row>
    <row r="986" spans="22:24" x14ac:dyDescent="0.25">
      <c r="V986">
        <v>1324</v>
      </c>
      <c r="X986">
        <v>1356</v>
      </c>
    </row>
    <row r="987" spans="22:24" x14ac:dyDescent="0.25">
      <c r="V987">
        <v>1329</v>
      </c>
      <c r="X987">
        <v>1358</v>
      </c>
    </row>
    <row r="988" spans="22:24" x14ac:dyDescent="0.25">
      <c r="V988">
        <v>1331</v>
      </c>
      <c r="X988">
        <v>1360</v>
      </c>
    </row>
    <row r="989" spans="22:24" x14ac:dyDescent="0.25">
      <c r="V989">
        <v>1333</v>
      </c>
      <c r="X989" t="b">
        <v>0</v>
      </c>
    </row>
    <row r="990" spans="22:24" x14ac:dyDescent="0.25">
      <c r="V990">
        <v>1334</v>
      </c>
      <c r="X990">
        <v>1362</v>
      </c>
    </row>
    <row r="991" spans="22:24" x14ac:dyDescent="0.25">
      <c r="V991">
        <v>1336</v>
      </c>
      <c r="X991">
        <v>1363</v>
      </c>
    </row>
    <row r="992" spans="22:24" x14ac:dyDescent="0.25">
      <c r="V992">
        <v>1338</v>
      </c>
      <c r="X992">
        <v>1364</v>
      </c>
    </row>
    <row r="993" spans="22:24" x14ac:dyDescent="0.25">
      <c r="V993">
        <v>1340</v>
      </c>
      <c r="X993">
        <v>1367</v>
      </c>
    </row>
    <row r="994" spans="22:24" x14ac:dyDescent="0.25">
      <c r="V994">
        <v>1344</v>
      </c>
      <c r="X994">
        <v>1368</v>
      </c>
    </row>
    <row r="995" spans="22:24" x14ac:dyDescent="0.25">
      <c r="V995">
        <v>1346</v>
      </c>
      <c r="X995">
        <v>1369</v>
      </c>
    </row>
    <row r="996" spans="22:24" x14ac:dyDescent="0.25">
      <c r="V996">
        <v>1349</v>
      </c>
      <c r="X996" t="b">
        <v>0</v>
      </c>
    </row>
    <row r="997" spans="22:24" x14ac:dyDescent="0.25">
      <c r="V997">
        <v>1350</v>
      </c>
      <c r="X997">
        <v>1372</v>
      </c>
    </row>
    <row r="998" spans="22:24" x14ac:dyDescent="0.25">
      <c r="V998">
        <v>1352</v>
      </c>
      <c r="X998">
        <v>1373</v>
      </c>
    </row>
    <row r="999" spans="22:24" x14ac:dyDescent="0.25">
      <c r="V999">
        <v>1355</v>
      </c>
      <c r="X999" t="b">
        <v>0</v>
      </c>
    </row>
    <row r="1000" spans="22:24" x14ac:dyDescent="0.25">
      <c r="V1000">
        <v>1356</v>
      </c>
      <c r="X1000" t="b">
        <v>0</v>
      </c>
    </row>
    <row r="1001" spans="22:24" x14ac:dyDescent="0.25">
      <c r="V1001">
        <v>1358</v>
      </c>
      <c r="X1001">
        <v>1377</v>
      </c>
    </row>
    <row r="1002" spans="22:24" x14ac:dyDescent="0.25">
      <c r="V1002">
        <v>1360</v>
      </c>
      <c r="X1002">
        <v>1379</v>
      </c>
    </row>
    <row r="1003" spans="22:24" x14ac:dyDescent="0.25">
      <c r="V1003" t="b">
        <v>0</v>
      </c>
      <c r="X1003">
        <v>1380</v>
      </c>
    </row>
    <row r="1004" spans="22:24" x14ac:dyDescent="0.25">
      <c r="V1004">
        <v>1362</v>
      </c>
      <c r="X1004">
        <v>1382</v>
      </c>
    </row>
    <row r="1005" spans="22:24" x14ac:dyDescent="0.25">
      <c r="V1005">
        <v>1363</v>
      </c>
      <c r="X1005">
        <v>1383</v>
      </c>
    </row>
    <row r="1006" spans="22:24" x14ac:dyDescent="0.25">
      <c r="V1006">
        <v>1364</v>
      </c>
      <c r="X1006">
        <v>1387</v>
      </c>
    </row>
    <row r="1007" spans="22:24" x14ac:dyDescent="0.25">
      <c r="V1007">
        <v>1367</v>
      </c>
      <c r="X1007">
        <v>1389</v>
      </c>
    </row>
    <row r="1008" spans="22:24" x14ac:dyDescent="0.25">
      <c r="V1008">
        <v>1368</v>
      </c>
      <c r="X1008">
        <v>1390</v>
      </c>
    </row>
    <row r="1009" spans="22:24" x14ac:dyDescent="0.25">
      <c r="V1009">
        <v>1369</v>
      </c>
      <c r="X1009">
        <v>1391</v>
      </c>
    </row>
    <row r="1010" spans="22:24" x14ac:dyDescent="0.25">
      <c r="V1010" t="b">
        <v>0</v>
      </c>
      <c r="X1010">
        <v>1392</v>
      </c>
    </row>
    <row r="1011" spans="22:24" x14ac:dyDescent="0.25">
      <c r="V1011">
        <v>1372</v>
      </c>
      <c r="X1011">
        <v>1394</v>
      </c>
    </row>
    <row r="1012" spans="22:24" x14ac:dyDescent="0.25">
      <c r="V1012">
        <v>1373</v>
      </c>
      <c r="X1012">
        <v>1395</v>
      </c>
    </row>
    <row r="1013" spans="22:24" x14ac:dyDescent="0.25">
      <c r="V1013" t="b">
        <v>0</v>
      </c>
      <c r="X1013">
        <v>1396</v>
      </c>
    </row>
    <row r="1014" spans="22:24" x14ac:dyDescent="0.25">
      <c r="V1014" t="b">
        <v>0</v>
      </c>
      <c r="X1014" t="b">
        <v>0</v>
      </c>
    </row>
    <row r="1015" spans="22:24" x14ac:dyDescent="0.25">
      <c r="V1015">
        <v>1377</v>
      </c>
      <c r="X1015">
        <v>1399</v>
      </c>
    </row>
    <row r="1016" spans="22:24" x14ac:dyDescent="0.25">
      <c r="V1016">
        <v>1379</v>
      </c>
      <c r="X1016">
        <v>1401</v>
      </c>
    </row>
    <row r="1017" spans="22:24" x14ac:dyDescent="0.25">
      <c r="V1017">
        <v>1380</v>
      </c>
      <c r="X1017">
        <v>1402</v>
      </c>
    </row>
    <row r="1018" spans="22:24" x14ac:dyDescent="0.25">
      <c r="V1018">
        <v>1382</v>
      </c>
      <c r="X1018">
        <v>1403</v>
      </c>
    </row>
    <row r="1019" spans="22:24" x14ac:dyDescent="0.25">
      <c r="V1019">
        <v>1383</v>
      </c>
      <c r="X1019">
        <v>1405</v>
      </c>
    </row>
    <row r="1020" spans="22:24" x14ac:dyDescent="0.25">
      <c r="V1020">
        <v>1387</v>
      </c>
      <c r="X1020">
        <v>1407</v>
      </c>
    </row>
    <row r="1021" spans="22:24" x14ac:dyDescent="0.25">
      <c r="V1021">
        <v>1389</v>
      </c>
      <c r="X1021">
        <v>1408</v>
      </c>
    </row>
    <row r="1022" spans="22:24" x14ac:dyDescent="0.25">
      <c r="V1022">
        <v>1390</v>
      </c>
      <c r="X1022">
        <v>1409</v>
      </c>
    </row>
    <row r="1023" spans="22:24" x14ac:dyDescent="0.25">
      <c r="V1023">
        <v>1391</v>
      </c>
      <c r="X1023">
        <v>1411</v>
      </c>
    </row>
    <row r="1024" spans="22:24" x14ac:dyDescent="0.25">
      <c r="V1024">
        <v>1392</v>
      </c>
      <c r="X1024">
        <v>1412</v>
      </c>
    </row>
    <row r="1025" spans="22:24" x14ac:dyDescent="0.25">
      <c r="V1025">
        <v>1394</v>
      </c>
      <c r="X1025">
        <v>1415</v>
      </c>
    </row>
    <row r="1026" spans="22:24" x14ac:dyDescent="0.25">
      <c r="V1026">
        <v>1395</v>
      </c>
      <c r="X1026">
        <v>1417</v>
      </c>
    </row>
    <row r="1027" spans="22:24" x14ac:dyDescent="0.25">
      <c r="V1027">
        <v>1396</v>
      </c>
      <c r="X1027">
        <v>1419</v>
      </c>
    </row>
    <row r="1028" spans="22:24" x14ac:dyDescent="0.25">
      <c r="V1028" t="b">
        <v>0</v>
      </c>
      <c r="X1028" t="b">
        <v>0</v>
      </c>
    </row>
    <row r="1029" spans="22:24" x14ac:dyDescent="0.25">
      <c r="V1029">
        <v>1399</v>
      </c>
      <c r="X1029">
        <v>1421</v>
      </c>
    </row>
    <row r="1030" spans="22:24" x14ac:dyDescent="0.25">
      <c r="V1030">
        <v>1401</v>
      </c>
      <c r="X1030">
        <v>1422</v>
      </c>
    </row>
    <row r="1031" spans="22:24" x14ac:dyDescent="0.25">
      <c r="V1031">
        <v>1402</v>
      </c>
      <c r="X1031" t="b">
        <v>0</v>
      </c>
    </row>
    <row r="1032" spans="22:24" x14ac:dyDescent="0.25">
      <c r="V1032">
        <v>1403</v>
      </c>
      <c r="X1032">
        <v>1424</v>
      </c>
    </row>
    <row r="1033" spans="22:24" x14ac:dyDescent="0.25">
      <c r="V1033">
        <v>1405</v>
      </c>
      <c r="X1033">
        <v>1425</v>
      </c>
    </row>
    <row r="1034" spans="22:24" x14ac:dyDescent="0.25">
      <c r="V1034">
        <v>1407</v>
      </c>
      <c r="X1034">
        <v>1427</v>
      </c>
    </row>
    <row r="1035" spans="22:24" x14ac:dyDescent="0.25">
      <c r="V1035">
        <v>1408</v>
      </c>
      <c r="X1035">
        <v>1428</v>
      </c>
    </row>
    <row r="1036" spans="22:24" x14ac:dyDescent="0.25">
      <c r="V1036">
        <v>1409</v>
      </c>
      <c r="X1036">
        <v>1430</v>
      </c>
    </row>
    <row r="1037" spans="22:24" x14ac:dyDescent="0.25">
      <c r="V1037">
        <v>1411</v>
      </c>
      <c r="X1037">
        <v>1431</v>
      </c>
    </row>
    <row r="1038" spans="22:24" x14ac:dyDescent="0.25">
      <c r="V1038">
        <v>1412</v>
      </c>
      <c r="X1038">
        <v>1433</v>
      </c>
    </row>
    <row r="1039" spans="22:24" x14ac:dyDescent="0.25">
      <c r="V1039">
        <v>1415</v>
      </c>
      <c r="X1039">
        <v>1434</v>
      </c>
    </row>
    <row r="1040" spans="22:24" x14ac:dyDescent="0.25">
      <c r="V1040">
        <v>1417</v>
      </c>
      <c r="X1040">
        <v>1435</v>
      </c>
    </row>
    <row r="1041" spans="22:24" x14ac:dyDescent="0.25">
      <c r="V1041">
        <v>1419</v>
      </c>
      <c r="X1041">
        <v>1436</v>
      </c>
    </row>
    <row r="1042" spans="22:24" x14ac:dyDescent="0.25">
      <c r="V1042" t="b">
        <v>0</v>
      </c>
      <c r="X1042">
        <v>1438</v>
      </c>
    </row>
    <row r="1043" spans="22:24" x14ac:dyDescent="0.25">
      <c r="V1043">
        <v>1421</v>
      </c>
      <c r="X1043">
        <v>1439</v>
      </c>
    </row>
    <row r="1044" spans="22:24" x14ac:dyDescent="0.25">
      <c r="V1044">
        <v>1422</v>
      </c>
      <c r="X1044">
        <v>1440</v>
      </c>
    </row>
    <row r="1045" spans="22:24" x14ac:dyDescent="0.25">
      <c r="V1045" t="b">
        <v>0</v>
      </c>
      <c r="X1045" t="b">
        <v>0</v>
      </c>
    </row>
    <row r="1046" spans="22:24" x14ac:dyDescent="0.25">
      <c r="V1046">
        <v>1424</v>
      </c>
      <c r="X1046">
        <v>1443</v>
      </c>
    </row>
    <row r="1047" spans="22:24" x14ac:dyDescent="0.25">
      <c r="V1047">
        <v>1425</v>
      </c>
      <c r="X1047">
        <v>1445</v>
      </c>
    </row>
    <row r="1048" spans="22:24" x14ac:dyDescent="0.25">
      <c r="V1048">
        <v>1427</v>
      </c>
      <c r="X1048">
        <v>1446</v>
      </c>
    </row>
    <row r="1049" spans="22:24" x14ac:dyDescent="0.25">
      <c r="V1049">
        <v>1428</v>
      </c>
      <c r="X1049">
        <v>1447</v>
      </c>
    </row>
    <row r="1050" spans="22:24" x14ac:dyDescent="0.25">
      <c r="V1050">
        <v>1430</v>
      </c>
      <c r="X1050">
        <v>1448</v>
      </c>
    </row>
    <row r="1051" spans="22:24" x14ac:dyDescent="0.25">
      <c r="V1051">
        <v>1431</v>
      </c>
      <c r="X1051">
        <v>1449</v>
      </c>
    </row>
    <row r="1052" spans="22:24" x14ac:dyDescent="0.25">
      <c r="V1052">
        <v>1433</v>
      </c>
      <c r="X1052">
        <v>1453</v>
      </c>
    </row>
    <row r="1053" spans="22:24" x14ac:dyDescent="0.25">
      <c r="V1053">
        <v>1434</v>
      </c>
      <c r="X1053">
        <v>1457</v>
      </c>
    </row>
    <row r="1054" spans="22:24" x14ac:dyDescent="0.25">
      <c r="V1054">
        <v>1435</v>
      </c>
      <c r="X1054" t="b">
        <v>0</v>
      </c>
    </row>
    <row r="1055" spans="22:24" x14ac:dyDescent="0.25">
      <c r="V1055">
        <v>1436</v>
      </c>
      <c r="X1055">
        <v>1459</v>
      </c>
    </row>
    <row r="1056" spans="22:24" x14ac:dyDescent="0.25">
      <c r="V1056">
        <v>1438</v>
      </c>
      <c r="X1056">
        <v>1460</v>
      </c>
    </row>
    <row r="1057" spans="22:24" x14ac:dyDescent="0.25">
      <c r="V1057">
        <v>1439</v>
      </c>
      <c r="X1057">
        <v>1461</v>
      </c>
    </row>
    <row r="1058" spans="22:24" x14ac:dyDescent="0.25">
      <c r="V1058">
        <v>1440</v>
      </c>
      <c r="X1058">
        <v>1464</v>
      </c>
    </row>
    <row r="1059" spans="22:24" x14ac:dyDescent="0.25">
      <c r="V1059" t="b">
        <v>0</v>
      </c>
      <c r="X1059">
        <v>1465</v>
      </c>
    </row>
    <row r="1060" spans="22:24" x14ac:dyDescent="0.25">
      <c r="V1060">
        <v>1443</v>
      </c>
      <c r="X1060">
        <v>1466</v>
      </c>
    </row>
    <row r="1061" spans="22:24" x14ac:dyDescent="0.25">
      <c r="V1061">
        <v>1445</v>
      </c>
      <c r="X1061">
        <v>1467</v>
      </c>
    </row>
    <row r="1062" spans="22:24" x14ac:dyDescent="0.25">
      <c r="V1062">
        <v>1446</v>
      </c>
      <c r="X1062">
        <v>1468</v>
      </c>
    </row>
    <row r="1063" spans="22:24" x14ac:dyDescent="0.25">
      <c r="V1063">
        <v>1447</v>
      </c>
      <c r="X1063">
        <v>1469</v>
      </c>
    </row>
    <row r="1064" spans="22:24" x14ac:dyDescent="0.25">
      <c r="V1064">
        <v>1448</v>
      </c>
      <c r="X1064">
        <v>1471</v>
      </c>
    </row>
    <row r="1065" spans="22:24" x14ac:dyDescent="0.25">
      <c r="V1065">
        <v>1449</v>
      </c>
      <c r="X1065">
        <v>1472</v>
      </c>
    </row>
    <row r="1066" spans="22:24" x14ac:dyDescent="0.25">
      <c r="V1066">
        <v>1453</v>
      </c>
      <c r="X1066">
        <v>1473</v>
      </c>
    </row>
    <row r="1067" spans="22:24" x14ac:dyDescent="0.25">
      <c r="V1067">
        <v>1457</v>
      </c>
      <c r="X1067">
        <v>1474</v>
      </c>
    </row>
    <row r="1068" spans="22:24" x14ac:dyDescent="0.25">
      <c r="V1068" t="b">
        <v>0</v>
      </c>
      <c r="X1068">
        <v>1475</v>
      </c>
    </row>
    <row r="1069" spans="22:24" x14ac:dyDescent="0.25">
      <c r="V1069">
        <v>1459</v>
      </c>
      <c r="X1069">
        <v>1477</v>
      </c>
    </row>
    <row r="1070" spans="22:24" x14ac:dyDescent="0.25">
      <c r="V1070">
        <v>1460</v>
      </c>
      <c r="X1070">
        <v>1478</v>
      </c>
    </row>
    <row r="1071" spans="22:24" x14ac:dyDescent="0.25">
      <c r="V1071">
        <v>1461</v>
      </c>
      <c r="X1071">
        <v>1479</v>
      </c>
    </row>
    <row r="1072" spans="22:24" x14ac:dyDescent="0.25">
      <c r="V1072">
        <v>1464</v>
      </c>
      <c r="X1072">
        <v>1480</v>
      </c>
    </row>
    <row r="1073" spans="22:24" x14ac:dyDescent="0.25">
      <c r="V1073">
        <v>1465</v>
      </c>
      <c r="X1073">
        <v>1481</v>
      </c>
    </row>
    <row r="1074" spans="22:24" x14ac:dyDescent="0.25">
      <c r="V1074">
        <v>1466</v>
      </c>
      <c r="X1074">
        <v>1482</v>
      </c>
    </row>
    <row r="1075" spans="22:24" x14ac:dyDescent="0.25">
      <c r="V1075">
        <v>1467</v>
      </c>
      <c r="X1075" t="b">
        <v>0</v>
      </c>
    </row>
    <row r="1076" spans="22:24" x14ac:dyDescent="0.25">
      <c r="V1076">
        <v>1468</v>
      </c>
      <c r="X1076">
        <v>1484</v>
      </c>
    </row>
    <row r="1077" spans="22:24" x14ac:dyDescent="0.25">
      <c r="V1077">
        <v>1469</v>
      </c>
      <c r="X1077">
        <v>1485</v>
      </c>
    </row>
    <row r="1078" spans="22:24" x14ac:dyDescent="0.25">
      <c r="V1078">
        <v>1471</v>
      </c>
      <c r="X1078">
        <v>1486</v>
      </c>
    </row>
    <row r="1079" spans="22:24" x14ac:dyDescent="0.25">
      <c r="V1079">
        <v>1472</v>
      </c>
      <c r="X1079">
        <v>1487</v>
      </c>
    </row>
    <row r="1080" spans="22:24" x14ac:dyDescent="0.25">
      <c r="V1080">
        <v>1473</v>
      </c>
      <c r="X1080" t="b">
        <v>0</v>
      </c>
    </row>
    <row r="1081" spans="22:24" x14ac:dyDescent="0.25">
      <c r="V1081">
        <v>1474</v>
      </c>
      <c r="X1081">
        <v>1492</v>
      </c>
    </row>
    <row r="1082" spans="22:24" x14ac:dyDescent="0.25">
      <c r="V1082">
        <v>1475</v>
      </c>
      <c r="X1082">
        <v>1494</v>
      </c>
    </row>
    <row r="1083" spans="22:24" x14ac:dyDescent="0.25">
      <c r="V1083">
        <v>1477</v>
      </c>
      <c r="X1083">
        <v>1495</v>
      </c>
    </row>
    <row r="1084" spans="22:24" x14ac:dyDescent="0.25">
      <c r="V1084">
        <v>1478</v>
      </c>
      <c r="X1084">
        <v>1496</v>
      </c>
    </row>
    <row r="1085" spans="22:24" x14ac:dyDescent="0.25">
      <c r="V1085">
        <v>1479</v>
      </c>
      <c r="X1085">
        <v>1497</v>
      </c>
    </row>
    <row r="1086" spans="22:24" x14ac:dyDescent="0.25">
      <c r="V1086">
        <v>1480</v>
      </c>
      <c r="X1086" t="b">
        <v>0</v>
      </c>
    </row>
    <row r="1087" spans="22:24" x14ac:dyDescent="0.25">
      <c r="V1087">
        <v>1481</v>
      </c>
      <c r="X1087">
        <v>1501</v>
      </c>
    </row>
    <row r="1088" spans="22:24" x14ac:dyDescent="0.25">
      <c r="V1088">
        <v>1482</v>
      </c>
      <c r="X1088">
        <v>1502</v>
      </c>
    </row>
    <row r="1089" spans="22:24" x14ac:dyDescent="0.25">
      <c r="V1089" t="b">
        <v>0</v>
      </c>
      <c r="X1089">
        <v>1503</v>
      </c>
    </row>
    <row r="1090" spans="22:24" x14ac:dyDescent="0.25">
      <c r="V1090">
        <v>1484</v>
      </c>
      <c r="X1090">
        <v>1504</v>
      </c>
    </row>
    <row r="1091" spans="22:24" x14ac:dyDescent="0.25">
      <c r="V1091">
        <v>1485</v>
      </c>
      <c r="X1091">
        <v>1506</v>
      </c>
    </row>
    <row r="1092" spans="22:24" x14ac:dyDescent="0.25">
      <c r="V1092">
        <v>1486</v>
      </c>
      <c r="X1092">
        <v>1507</v>
      </c>
    </row>
    <row r="1093" spans="22:24" x14ac:dyDescent="0.25">
      <c r="V1093">
        <v>1487</v>
      </c>
      <c r="X1093" t="b">
        <v>0</v>
      </c>
    </row>
    <row r="1094" spans="22:24" x14ac:dyDescent="0.25">
      <c r="V1094" t="b">
        <v>0</v>
      </c>
      <c r="X1094">
        <v>1513</v>
      </c>
    </row>
    <row r="1095" spans="22:24" x14ac:dyDescent="0.25">
      <c r="V1095">
        <v>1492</v>
      </c>
      <c r="X1095">
        <v>1514</v>
      </c>
    </row>
    <row r="1096" spans="22:24" x14ac:dyDescent="0.25">
      <c r="V1096">
        <v>1494</v>
      </c>
      <c r="X1096">
        <v>1515</v>
      </c>
    </row>
    <row r="1097" spans="22:24" x14ac:dyDescent="0.25">
      <c r="V1097">
        <v>1495</v>
      </c>
      <c r="X1097" t="b">
        <v>0</v>
      </c>
    </row>
    <row r="1098" spans="22:24" x14ac:dyDescent="0.25">
      <c r="V1098">
        <v>1496</v>
      </c>
      <c r="X1098" t="b">
        <v>0</v>
      </c>
    </row>
    <row r="1099" spans="22:24" x14ac:dyDescent="0.25">
      <c r="V1099">
        <v>1497</v>
      </c>
      <c r="X1099">
        <v>1522</v>
      </c>
    </row>
    <row r="1100" spans="22:24" x14ac:dyDescent="0.25">
      <c r="V1100" t="b">
        <v>0</v>
      </c>
      <c r="X1100">
        <v>1523</v>
      </c>
    </row>
    <row r="1101" spans="22:24" x14ac:dyDescent="0.25">
      <c r="V1101">
        <v>1501</v>
      </c>
      <c r="X1101">
        <v>1525</v>
      </c>
    </row>
    <row r="1102" spans="22:24" x14ac:dyDescent="0.25">
      <c r="V1102">
        <v>1502</v>
      </c>
      <c r="X1102">
        <v>1527</v>
      </c>
    </row>
    <row r="1103" spans="22:24" x14ac:dyDescent="0.25">
      <c r="V1103">
        <v>1503</v>
      </c>
      <c r="X1103">
        <v>1529</v>
      </c>
    </row>
    <row r="1104" spans="22:24" x14ac:dyDescent="0.25">
      <c r="V1104">
        <v>1504</v>
      </c>
      <c r="X1104">
        <v>1533</v>
      </c>
    </row>
    <row r="1105" spans="22:24" x14ac:dyDescent="0.25">
      <c r="V1105">
        <v>1506</v>
      </c>
      <c r="X1105">
        <v>1534</v>
      </c>
    </row>
    <row r="1106" spans="22:24" x14ac:dyDescent="0.25">
      <c r="V1106">
        <v>1507</v>
      </c>
      <c r="X1106">
        <v>1535</v>
      </c>
    </row>
    <row r="1107" spans="22:24" x14ac:dyDescent="0.25">
      <c r="V1107" t="b">
        <v>0</v>
      </c>
      <c r="X1107">
        <v>1537</v>
      </c>
    </row>
    <row r="1108" spans="22:24" x14ac:dyDescent="0.25">
      <c r="V1108">
        <v>1513</v>
      </c>
      <c r="X1108">
        <v>1539</v>
      </c>
    </row>
    <row r="1109" spans="22:24" x14ac:dyDescent="0.25">
      <c r="V1109">
        <v>1514</v>
      </c>
      <c r="X1109" t="b">
        <v>0</v>
      </c>
    </row>
    <row r="1110" spans="22:24" x14ac:dyDescent="0.25">
      <c r="V1110">
        <v>1515</v>
      </c>
      <c r="X1110">
        <v>1542</v>
      </c>
    </row>
    <row r="1111" spans="22:24" x14ac:dyDescent="0.25">
      <c r="V1111" t="b">
        <v>0</v>
      </c>
      <c r="X1111">
        <v>1543</v>
      </c>
    </row>
    <row r="1112" spans="22:24" x14ac:dyDescent="0.25">
      <c r="V1112" t="b">
        <v>0</v>
      </c>
      <c r="X1112">
        <v>1544</v>
      </c>
    </row>
    <row r="1113" spans="22:24" x14ac:dyDescent="0.25">
      <c r="V1113">
        <v>1522</v>
      </c>
      <c r="X1113">
        <v>1545</v>
      </c>
    </row>
    <row r="1114" spans="22:24" x14ac:dyDescent="0.25">
      <c r="V1114">
        <v>1523</v>
      </c>
      <c r="X1114" t="b">
        <v>0</v>
      </c>
    </row>
    <row r="1115" spans="22:24" x14ac:dyDescent="0.25">
      <c r="V1115">
        <v>1525</v>
      </c>
      <c r="X1115">
        <v>1547</v>
      </c>
    </row>
    <row r="1116" spans="22:24" x14ac:dyDescent="0.25">
      <c r="V1116">
        <v>1527</v>
      </c>
      <c r="X1116">
        <v>1548</v>
      </c>
    </row>
    <row r="1117" spans="22:24" x14ac:dyDescent="0.25">
      <c r="V1117">
        <v>1529</v>
      </c>
      <c r="X1117">
        <v>1549</v>
      </c>
    </row>
    <row r="1118" spans="22:24" x14ac:dyDescent="0.25">
      <c r="V1118">
        <v>1533</v>
      </c>
      <c r="X1118" t="b">
        <v>0</v>
      </c>
    </row>
    <row r="1119" spans="22:24" x14ac:dyDescent="0.25">
      <c r="V1119">
        <v>1534</v>
      </c>
      <c r="X1119">
        <v>1551</v>
      </c>
    </row>
    <row r="1120" spans="22:24" x14ac:dyDescent="0.25">
      <c r="V1120">
        <v>1535</v>
      </c>
      <c r="X1120">
        <v>1552</v>
      </c>
    </row>
    <row r="1121" spans="22:24" x14ac:dyDescent="0.25">
      <c r="V1121">
        <v>1537</v>
      </c>
      <c r="X1121">
        <v>1553</v>
      </c>
    </row>
    <row r="1122" spans="22:24" x14ac:dyDescent="0.25">
      <c r="V1122">
        <v>1539</v>
      </c>
      <c r="X1122" t="b">
        <v>0</v>
      </c>
    </row>
    <row r="1123" spans="22:24" x14ac:dyDescent="0.25">
      <c r="V1123" t="b">
        <v>0</v>
      </c>
      <c r="X1123">
        <v>1555</v>
      </c>
    </row>
    <row r="1124" spans="22:24" x14ac:dyDescent="0.25">
      <c r="V1124">
        <v>1542</v>
      </c>
      <c r="X1124" t="b">
        <v>0</v>
      </c>
    </row>
    <row r="1125" spans="22:24" x14ac:dyDescent="0.25">
      <c r="V1125">
        <v>1543</v>
      </c>
      <c r="X1125">
        <v>1557</v>
      </c>
    </row>
    <row r="1126" spans="22:24" x14ac:dyDescent="0.25">
      <c r="V1126">
        <v>1544</v>
      </c>
      <c r="X1126">
        <v>1558</v>
      </c>
    </row>
    <row r="1127" spans="22:24" x14ac:dyDescent="0.25">
      <c r="V1127">
        <v>1545</v>
      </c>
      <c r="X1127">
        <v>1560</v>
      </c>
    </row>
    <row r="1128" spans="22:24" x14ac:dyDescent="0.25">
      <c r="V1128" t="b">
        <v>0</v>
      </c>
      <c r="X1128">
        <v>1562</v>
      </c>
    </row>
    <row r="1129" spans="22:24" x14ac:dyDescent="0.25">
      <c r="V1129">
        <v>1547</v>
      </c>
      <c r="X1129">
        <v>1563</v>
      </c>
    </row>
    <row r="1130" spans="22:24" x14ac:dyDescent="0.25">
      <c r="V1130">
        <v>1548</v>
      </c>
      <c r="X1130">
        <v>1564</v>
      </c>
    </row>
    <row r="1131" spans="22:24" x14ac:dyDescent="0.25">
      <c r="V1131">
        <v>1549</v>
      </c>
      <c r="X1131">
        <v>1568</v>
      </c>
    </row>
    <row r="1132" spans="22:24" x14ac:dyDescent="0.25">
      <c r="V1132" t="b">
        <v>0</v>
      </c>
      <c r="X1132">
        <v>1569</v>
      </c>
    </row>
    <row r="1133" spans="22:24" x14ac:dyDescent="0.25">
      <c r="V1133">
        <v>1551</v>
      </c>
      <c r="X1133">
        <v>1572</v>
      </c>
    </row>
    <row r="1134" spans="22:24" x14ac:dyDescent="0.25">
      <c r="V1134">
        <v>1552</v>
      </c>
      <c r="X1134">
        <v>1573</v>
      </c>
    </row>
    <row r="1135" spans="22:24" x14ac:dyDescent="0.25">
      <c r="V1135">
        <v>1553</v>
      </c>
      <c r="X1135">
        <v>1574</v>
      </c>
    </row>
    <row r="1136" spans="22:24" x14ac:dyDescent="0.25">
      <c r="V1136" t="b">
        <v>0</v>
      </c>
      <c r="X1136">
        <v>1576</v>
      </c>
    </row>
    <row r="1137" spans="22:24" x14ac:dyDescent="0.25">
      <c r="V1137">
        <v>1555</v>
      </c>
      <c r="X1137">
        <v>1577</v>
      </c>
    </row>
    <row r="1138" spans="22:24" x14ac:dyDescent="0.25">
      <c r="V1138" t="b">
        <v>0</v>
      </c>
      <c r="X1138" t="b">
        <v>0</v>
      </c>
    </row>
    <row r="1139" spans="22:24" x14ac:dyDescent="0.25">
      <c r="V1139">
        <v>1557</v>
      </c>
      <c r="X1139">
        <v>1580</v>
      </c>
    </row>
    <row r="1140" spans="22:24" x14ac:dyDescent="0.25">
      <c r="V1140">
        <v>1558</v>
      </c>
      <c r="X1140" t="b">
        <v>0</v>
      </c>
    </row>
    <row r="1141" spans="22:24" x14ac:dyDescent="0.25">
      <c r="V1141">
        <v>1560</v>
      </c>
      <c r="X1141">
        <v>1582</v>
      </c>
    </row>
    <row r="1142" spans="22:24" x14ac:dyDescent="0.25">
      <c r="V1142">
        <v>1562</v>
      </c>
      <c r="X1142">
        <v>1583</v>
      </c>
    </row>
    <row r="1143" spans="22:24" x14ac:dyDescent="0.25">
      <c r="V1143">
        <v>1563</v>
      </c>
      <c r="X1143">
        <v>1585</v>
      </c>
    </row>
    <row r="1144" spans="22:24" x14ac:dyDescent="0.25">
      <c r="V1144">
        <v>1564</v>
      </c>
      <c r="X1144">
        <v>1586</v>
      </c>
    </row>
    <row r="1145" spans="22:24" x14ac:dyDescent="0.25">
      <c r="V1145">
        <v>1568</v>
      </c>
      <c r="X1145">
        <v>1587</v>
      </c>
    </row>
    <row r="1146" spans="22:24" x14ac:dyDescent="0.25">
      <c r="V1146">
        <v>1569</v>
      </c>
      <c r="X1146">
        <v>1588</v>
      </c>
    </row>
    <row r="1147" spans="22:24" x14ac:dyDescent="0.25">
      <c r="V1147">
        <v>1572</v>
      </c>
      <c r="X1147">
        <v>1590</v>
      </c>
    </row>
    <row r="1148" spans="22:24" x14ac:dyDescent="0.25">
      <c r="V1148">
        <v>1573</v>
      </c>
      <c r="X1148">
        <v>1591</v>
      </c>
    </row>
    <row r="1149" spans="22:24" x14ac:dyDescent="0.25">
      <c r="V1149">
        <v>1574</v>
      </c>
      <c r="X1149">
        <v>1592</v>
      </c>
    </row>
    <row r="1150" spans="22:24" x14ac:dyDescent="0.25">
      <c r="V1150">
        <v>1576</v>
      </c>
      <c r="X1150">
        <v>1594</v>
      </c>
    </row>
    <row r="1151" spans="22:24" x14ac:dyDescent="0.25">
      <c r="V1151">
        <v>1577</v>
      </c>
      <c r="X1151" t="b">
        <v>0</v>
      </c>
    </row>
    <row r="1152" spans="22:24" x14ac:dyDescent="0.25">
      <c r="V1152" t="b">
        <v>0</v>
      </c>
      <c r="X1152">
        <v>1596</v>
      </c>
    </row>
    <row r="1153" spans="22:24" x14ac:dyDescent="0.25">
      <c r="V1153">
        <v>1580</v>
      </c>
      <c r="X1153">
        <v>1597</v>
      </c>
    </row>
    <row r="1154" spans="22:24" x14ac:dyDescent="0.25">
      <c r="V1154" t="b">
        <v>0</v>
      </c>
      <c r="X1154">
        <v>1598</v>
      </c>
    </row>
    <row r="1155" spans="22:24" x14ac:dyDescent="0.25">
      <c r="V1155">
        <v>1582</v>
      </c>
      <c r="X1155">
        <v>1599</v>
      </c>
    </row>
    <row r="1156" spans="22:24" x14ac:dyDescent="0.25">
      <c r="V1156">
        <v>1583</v>
      </c>
      <c r="X1156">
        <v>1601</v>
      </c>
    </row>
    <row r="1157" spans="22:24" x14ac:dyDescent="0.25">
      <c r="V1157">
        <v>1585</v>
      </c>
      <c r="X1157">
        <v>1602</v>
      </c>
    </row>
    <row r="1158" spans="22:24" x14ac:dyDescent="0.25">
      <c r="V1158">
        <v>1586</v>
      </c>
      <c r="X1158">
        <v>1604</v>
      </c>
    </row>
    <row r="1159" spans="22:24" x14ac:dyDescent="0.25">
      <c r="V1159">
        <v>1587</v>
      </c>
      <c r="X1159">
        <v>1605</v>
      </c>
    </row>
    <row r="1160" spans="22:24" x14ac:dyDescent="0.25">
      <c r="V1160">
        <v>1588</v>
      </c>
      <c r="X1160">
        <v>1606</v>
      </c>
    </row>
    <row r="1161" spans="22:24" x14ac:dyDescent="0.25">
      <c r="V1161">
        <v>1590</v>
      </c>
      <c r="X1161">
        <v>1607</v>
      </c>
    </row>
    <row r="1162" spans="22:24" x14ac:dyDescent="0.25">
      <c r="V1162">
        <v>1591</v>
      </c>
      <c r="X1162">
        <v>1608</v>
      </c>
    </row>
    <row r="1163" spans="22:24" x14ac:dyDescent="0.25">
      <c r="V1163">
        <v>1592</v>
      </c>
      <c r="X1163">
        <v>1609</v>
      </c>
    </row>
    <row r="1164" spans="22:24" x14ac:dyDescent="0.25">
      <c r="V1164">
        <v>1594</v>
      </c>
      <c r="X1164">
        <v>1611</v>
      </c>
    </row>
    <row r="1165" spans="22:24" x14ac:dyDescent="0.25">
      <c r="V1165" t="b">
        <v>0</v>
      </c>
      <c r="X1165">
        <v>1612</v>
      </c>
    </row>
    <row r="1166" spans="22:24" x14ac:dyDescent="0.25">
      <c r="V1166">
        <v>1596</v>
      </c>
      <c r="X1166">
        <v>1613</v>
      </c>
    </row>
    <row r="1167" spans="22:24" x14ac:dyDescent="0.25">
      <c r="V1167">
        <v>1597</v>
      </c>
      <c r="X1167">
        <v>1614</v>
      </c>
    </row>
    <row r="1168" spans="22:24" x14ac:dyDescent="0.25">
      <c r="V1168">
        <v>1598</v>
      </c>
      <c r="X1168">
        <v>1615</v>
      </c>
    </row>
    <row r="1169" spans="22:24" x14ac:dyDescent="0.25">
      <c r="V1169">
        <v>1599</v>
      </c>
      <c r="X1169">
        <v>1617</v>
      </c>
    </row>
    <row r="1170" spans="22:24" x14ac:dyDescent="0.25">
      <c r="V1170">
        <v>1601</v>
      </c>
      <c r="X1170">
        <v>1618</v>
      </c>
    </row>
    <row r="1171" spans="22:24" x14ac:dyDescent="0.25">
      <c r="V1171">
        <v>1602</v>
      </c>
      <c r="X1171">
        <v>1619</v>
      </c>
    </row>
    <row r="1172" spans="22:24" x14ac:dyDescent="0.25">
      <c r="V1172">
        <v>1604</v>
      </c>
      <c r="X1172">
        <v>1621</v>
      </c>
    </row>
    <row r="1173" spans="22:24" x14ac:dyDescent="0.25">
      <c r="V1173">
        <v>1605</v>
      </c>
      <c r="X1173" t="b">
        <v>0</v>
      </c>
    </row>
    <row r="1174" spans="22:24" x14ac:dyDescent="0.25">
      <c r="V1174">
        <v>1606</v>
      </c>
      <c r="X1174">
        <v>1623</v>
      </c>
    </row>
    <row r="1175" spans="22:24" x14ac:dyDescent="0.25">
      <c r="V1175">
        <v>1607</v>
      </c>
      <c r="X1175">
        <v>1624</v>
      </c>
    </row>
    <row r="1176" spans="22:24" x14ac:dyDescent="0.25">
      <c r="V1176">
        <v>1608</v>
      </c>
      <c r="X1176">
        <v>1625</v>
      </c>
    </row>
    <row r="1177" spans="22:24" x14ac:dyDescent="0.25">
      <c r="V1177">
        <v>1609</v>
      </c>
      <c r="X1177">
        <v>1627</v>
      </c>
    </row>
    <row r="1178" spans="22:24" x14ac:dyDescent="0.25">
      <c r="V1178">
        <v>1611</v>
      </c>
      <c r="X1178">
        <v>1628</v>
      </c>
    </row>
    <row r="1179" spans="22:24" x14ac:dyDescent="0.25">
      <c r="V1179">
        <v>1612</v>
      </c>
      <c r="X1179">
        <v>1630</v>
      </c>
    </row>
    <row r="1180" spans="22:24" x14ac:dyDescent="0.25">
      <c r="V1180">
        <v>1613</v>
      </c>
      <c r="X1180">
        <v>1631</v>
      </c>
    </row>
    <row r="1181" spans="22:24" x14ac:dyDescent="0.25">
      <c r="V1181">
        <v>1614</v>
      </c>
      <c r="X1181">
        <v>1633</v>
      </c>
    </row>
    <row r="1182" spans="22:24" x14ac:dyDescent="0.25">
      <c r="V1182">
        <v>1615</v>
      </c>
      <c r="X1182">
        <v>1635</v>
      </c>
    </row>
    <row r="1183" spans="22:24" x14ac:dyDescent="0.25">
      <c r="V1183">
        <v>1617</v>
      </c>
      <c r="X1183">
        <v>1638</v>
      </c>
    </row>
    <row r="1184" spans="22:24" x14ac:dyDescent="0.25">
      <c r="V1184">
        <v>1618</v>
      </c>
      <c r="X1184">
        <v>1639</v>
      </c>
    </row>
    <row r="1185" spans="22:24" x14ac:dyDescent="0.25">
      <c r="V1185">
        <v>1619</v>
      </c>
      <c r="X1185">
        <v>1640</v>
      </c>
    </row>
    <row r="1186" spans="22:24" x14ac:dyDescent="0.25">
      <c r="V1186">
        <v>1621</v>
      </c>
      <c r="X1186">
        <v>1641</v>
      </c>
    </row>
    <row r="1187" spans="22:24" x14ac:dyDescent="0.25">
      <c r="V1187" t="b">
        <v>0</v>
      </c>
      <c r="X1187">
        <v>1642</v>
      </c>
    </row>
    <row r="1188" spans="22:24" x14ac:dyDescent="0.25">
      <c r="V1188">
        <v>1623</v>
      </c>
      <c r="X1188" t="b">
        <v>0</v>
      </c>
    </row>
    <row r="1189" spans="22:24" x14ac:dyDescent="0.25">
      <c r="V1189">
        <v>1624</v>
      </c>
      <c r="X1189">
        <v>1645</v>
      </c>
    </row>
    <row r="1190" spans="22:24" x14ac:dyDescent="0.25">
      <c r="V1190">
        <v>1625</v>
      </c>
      <c r="X1190">
        <v>1646</v>
      </c>
    </row>
    <row r="1191" spans="22:24" x14ac:dyDescent="0.25">
      <c r="V1191">
        <v>1627</v>
      </c>
      <c r="X1191">
        <v>1647</v>
      </c>
    </row>
    <row r="1192" spans="22:24" x14ac:dyDescent="0.25">
      <c r="V1192">
        <v>1628</v>
      </c>
      <c r="X1192">
        <v>1648</v>
      </c>
    </row>
    <row r="1193" spans="22:24" x14ac:dyDescent="0.25">
      <c r="V1193">
        <v>1630</v>
      </c>
      <c r="X1193">
        <v>1649</v>
      </c>
    </row>
    <row r="1194" spans="22:24" x14ac:dyDescent="0.25">
      <c r="V1194">
        <v>1631</v>
      </c>
      <c r="X1194">
        <v>1650</v>
      </c>
    </row>
    <row r="1195" spans="22:24" x14ac:dyDescent="0.25">
      <c r="V1195">
        <v>1633</v>
      </c>
      <c r="X1195">
        <v>1651</v>
      </c>
    </row>
    <row r="1196" spans="22:24" x14ac:dyDescent="0.25">
      <c r="V1196">
        <v>1635</v>
      </c>
      <c r="X1196">
        <v>1653</v>
      </c>
    </row>
    <row r="1197" spans="22:24" x14ac:dyDescent="0.25">
      <c r="V1197">
        <v>1638</v>
      </c>
      <c r="X1197" t="b">
        <v>0</v>
      </c>
    </row>
    <row r="1198" spans="22:24" x14ac:dyDescent="0.25">
      <c r="V1198">
        <v>1639</v>
      </c>
      <c r="X1198">
        <v>1655</v>
      </c>
    </row>
    <row r="1199" spans="22:24" x14ac:dyDescent="0.25">
      <c r="V1199">
        <v>1640</v>
      </c>
      <c r="X1199">
        <v>1656</v>
      </c>
    </row>
    <row r="1200" spans="22:24" x14ac:dyDescent="0.25">
      <c r="V1200">
        <v>1641</v>
      </c>
      <c r="X1200">
        <v>1657</v>
      </c>
    </row>
    <row r="1201" spans="22:24" x14ac:dyDescent="0.25">
      <c r="V1201">
        <v>1642</v>
      </c>
      <c r="X1201">
        <v>1658</v>
      </c>
    </row>
    <row r="1202" spans="22:24" x14ac:dyDescent="0.25">
      <c r="V1202" t="b">
        <v>0</v>
      </c>
      <c r="X1202">
        <v>1659</v>
      </c>
    </row>
    <row r="1203" spans="22:24" x14ac:dyDescent="0.25">
      <c r="V1203">
        <v>1645</v>
      </c>
      <c r="X1203">
        <v>1661</v>
      </c>
    </row>
    <row r="1204" spans="22:24" x14ac:dyDescent="0.25">
      <c r="V1204">
        <v>1646</v>
      </c>
      <c r="X1204">
        <v>1662</v>
      </c>
    </row>
    <row r="1205" spans="22:24" x14ac:dyDescent="0.25">
      <c r="V1205">
        <v>1647</v>
      </c>
      <c r="X1205" t="b">
        <v>0</v>
      </c>
    </row>
    <row r="1206" spans="22:24" x14ac:dyDescent="0.25">
      <c r="V1206">
        <v>1648</v>
      </c>
      <c r="X1206" t="b">
        <v>0</v>
      </c>
    </row>
    <row r="1207" spans="22:24" x14ac:dyDescent="0.25">
      <c r="V1207">
        <v>1649</v>
      </c>
      <c r="X1207" t="b">
        <v>0</v>
      </c>
    </row>
    <row r="1208" spans="22:24" x14ac:dyDescent="0.25">
      <c r="V1208">
        <v>1650</v>
      </c>
      <c r="X1208" t="b">
        <v>0</v>
      </c>
    </row>
    <row r="1209" spans="22:24" x14ac:dyDescent="0.25">
      <c r="V1209">
        <v>1651</v>
      </c>
      <c r="X1209">
        <v>1668</v>
      </c>
    </row>
    <row r="1210" spans="22:24" x14ac:dyDescent="0.25">
      <c r="V1210">
        <v>1653</v>
      </c>
      <c r="X1210">
        <v>1669</v>
      </c>
    </row>
    <row r="1211" spans="22:24" x14ac:dyDescent="0.25">
      <c r="V1211" t="b">
        <v>0</v>
      </c>
      <c r="X1211">
        <v>1670</v>
      </c>
    </row>
    <row r="1212" spans="22:24" x14ac:dyDescent="0.25">
      <c r="V1212">
        <v>1655</v>
      </c>
      <c r="X1212">
        <v>1671</v>
      </c>
    </row>
    <row r="1213" spans="22:24" x14ac:dyDescent="0.25">
      <c r="V1213">
        <v>1656</v>
      </c>
      <c r="X1213">
        <v>1673</v>
      </c>
    </row>
    <row r="1214" spans="22:24" x14ac:dyDescent="0.25">
      <c r="V1214">
        <v>1657</v>
      </c>
      <c r="X1214">
        <v>1674</v>
      </c>
    </row>
    <row r="1215" spans="22:24" x14ac:dyDescent="0.25">
      <c r="V1215">
        <v>1658</v>
      </c>
      <c r="X1215" t="b">
        <v>0</v>
      </c>
    </row>
    <row r="1216" spans="22:24" x14ac:dyDescent="0.25">
      <c r="V1216">
        <v>1659</v>
      </c>
      <c r="X1216">
        <v>1676</v>
      </c>
    </row>
    <row r="1217" spans="22:24" x14ac:dyDescent="0.25">
      <c r="V1217">
        <v>1661</v>
      </c>
      <c r="X1217">
        <v>1677</v>
      </c>
    </row>
    <row r="1218" spans="22:24" x14ac:dyDescent="0.25">
      <c r="V1218">
        <v>1662</v>
      </c>
      <c r="X1218">
        <v>1678</v>
      </c>
    </row>
    <row r="1219" spans="22:24" x14ac:dyDescent="0.25">
      <c r="V1219" t="b">
        <v>0</v>
      </c>
      <c r="X1219">
        <v>1680</v>
      </c>
    </row>
    <row r="1220" spans="22:24" x14ac:dyDescent="0.25">
      <c r="V1220" t="b">
        <v>0</v>
      </c>
      <c r="X1220" t="b">
        <v>0</v>
      </c>
    </row>
    <row r="1221" spans="22:24" x14ac:dyDescent="0.25">
      <c r="V1221" t="b">
        <v>0</v>
      </c>
      <c r="X1221">
        <v>1682</v>
      </c>
    </row>
    <row r="1222" spans="22:24" x14ac:dyDescent="0.25">
      <c r="V1222" t="b">
        <v>0</v>
      </c>
      <c r="X1222">
        <v>1683</v>
      </c>
    </row>
    <row r="1223" spans="22:24" x14ac:dyDescent="0.25">
      <c r="V1223">
        <v>1668</v>
      </c>
      <c r="X1223">
        <v>1684</v>
      </c>
    </row>
    <row r="1224" spans="22:24" x14ac:dyDescent="0.25">
      <c r="V1224">
        <v>1669</v>
      </c>
      <c r="X1224">
        <v>1687</v>
      </c>
    </row>
    <row r="1225" spans="22:24" x14ac:dyDescent="0.25">
      <c r="V1225">
        <v>1670</v>
      </c>
      <c r="X1225">
        <v>1689</v>
      </c>
    </row>
    <row r="1226" spans="22:24" x14ac:dyDescent="0.25">
      <c r="V1226">
        <v>1671</v>
      </c>
      <c r="X1226">
        <v>1691</v>
      </c>
    </row>
    <row r="1227" spans="22:24" x14ac:dyDescent="0.25">
      <c r="V1227">
        <v>1673</v>
      </c>
      <c r="X1227">
        <v>1692</v>
      </c>
    </row>
    <row r="1228" spans="22:24" x14ac:dyDescent="0.25">
      <c r="V1228">
        <v>1674</v>
      </c>
      <c r="X1228" t="b">
        <v>0</v>
      </c>
    </row>
    <row r="1229" spans="22:24" x14ac:dyDescent="0.25">
      <c r="V1229" t="b">
        <v>0</v>
      </c>
      <c r="X1229">
        <v>1694</v>
      </c>
    </row>
    <row r="1230" spans="22:24" x14ac:dyDescent="0.25">
      <c r="V1230">
        <v>1676</v>
      </c>
      <c r="X1230">
        <v>1696</v>
      </c>
    </row>
    <row r="1231" spans="22:24" x14ac:dyDescent="0.25">
      <c r="V1231">
        <v>1677</v>
      </c>
      <c r="X1231" t="b">
        <v>0</v>
      </c>
    </row>
    <row r="1232" spans="22:24" x14ac:dyDescent="0.25">
      <c r="V1232">
        <v>1678</v>
      </c>
      <c r="X1232">
        <v>1698</v>
      </c>
    </row>
    <row r="1233" spans="22:24" x14ac:dyDescent="0.25">
      <c r="V1233">
        <v>1680</v>
      </c>
      <c r="X1233">
        <v>1700</v>
      </c>
    </row>
    <row r="1234" spans="22:24" x14ac:dyDescent="0.25">
      <c r="V1234" t="b">
        <v>0</v>
      </c>
      <c r="X1234">
        <v>1701</v>
      </c>
    </row>
    <row r="1235" spans="22:24" x14ac:dyDescent="0.25">
      <c r="V1235">
        <v>1682</v>
      </c>
      <c r="X1235" t="b">
        <v>0</v>
      </c>
    </row>
    <row r="1236" spans="22:24" x14ac:dyDescent="0.25">
      <c r="V1236">
        <v>1683</v>
      </c>
      <c r="X1236">
        <v>1703</v>
      </c>
    </row>
    <row r="1237" spans="22:24" x14ac:dyDescent="0.25">
      <c r="V1237">
        <v>1684</v>
      </c>
      <c r="X1237">
        <v>1704</v>
      </c>
    </row>
    <row r="1238" spans="22:24" x14ac:dyDescent="0.25">
      <c r="V1238">
        <v>1687</v>
      </c>
      <c r="X1238">
        <v>1706</v>
      </c>
    </row>
    <row r="1239" spans="22:24" x14ac:dyDescent="0.25">
      <c r="V1239">
        <v>1689</v>
      </c>
      <c r="X1239">
        <v>1707</v>
      </c>
    </row>
    <row r="1240" spans="22:24" x14ac:dyDescent="0.25">
      <c r="V1240">
        <v>1691</v>
      </c>
      <c r="X1240">
        <v>1708</v>
      </c>
    </row>
    <row r="1241" spans="22:24" x14ac:dyDescent="0.25">
      <c r="V1241">
        <v>1692</v>
      </c>
      <c r="X1241">
        <v>1709</v>
      </c>
    </row>
    <row r="1242" spans="22:24" x14ac:dyDescent="0.25">
      <c r="V1242" t="b">
        <v>0</v>
      </c>
      <c r="X1242">
        <v>1710</v>
      </c>
    </row>
    <row r="1243" spans="22:24" x14ac:dyDescent="0.25">
      <c r="V1243">
        <v>1694</v>
      </c>
      <c r="X1243" t="b">
        <v>0</v>
      </c>
    </row>
    <row r="1244" spans="22:24" x14ac:dyDescent="0.25">
      <c r="V1244">
        <v>1696</v>
      </c>
      <c r="X1244">
        <v>1714</v>
      </c>
    </row>
    <row r="1245" spans="22:24" x14ac:dyDescent="0.25">
      <c r="V1245" t="b">
        <v>0</v>
      </c>
      <c r="X1245">
        <v>1716</v>
      </c>
    </row>
    <row r="1246" spans="22:24" x14ac:dyDescent="0.25">
      <c r="V1246">
        <v>1698</v>
      </c>
      <c r="X1246">
        <v>1718</v>
      </c>
    </row>
    <row r="1247" spans="22:24" x14ac:dyDescent="0.25">
      <c r="V1247">
        <v>1700</v>
      </c>
      <c r="X1247">
        <v>1719</v>
      </c>
    </row>
    <row r="1248" spans="22:24" x14ac:dyDescent="0.25">
      <c r="V1248">
        <v>1701</v>
      </c>
      <c r="X1248">
        <v>1720</v>
      </c>
    </row>
    <row r="1249" spans="22:24" x14ac:dyDescent="0.25">
      <c r="V1249" t="b">
        <v>0</v>
      </c>
      <c r="X1249">
        <v>1721</v>
      </c>
    </row>
    <row r="1250" spans="22:24" x14ac:dyDescent="0.25">
      <c r="V1250">
        <v>1703</v>
      </c>
      <c r="X1250">
        <v>1722</v>
      </c>
    </row>
    <row r="1251" spans="22:24" x14ac:dyDescent="0.25">
      <c r="V1251">
        <v>1704</v>
      </c>
      <c r="X1251">
        <v>1724</v>
      </c>
    </row>
    <row r="1252" spans="22:24" x14ac:dyDescent="0.25">
      <c r="V1252">
        <v>1706</v>
      </c>
      <c r="X1252">
        <v>1725</v>
      </c>
    </row>
    <row r="1253" spans="22:24" x14ac:dyDescent="0.25">
      <c r="V1253">
        <v>1707</v>
      </c>
      <c r="X1253">
        <v>1727</v>
      </c>
    </row>
    <row r="1254" spans="22:24" x14ac:dyDescent="0.25">
      <c r="V1254">
        <v>1708</v>
      </c>
      <c r="X1254">
        <v>1728</v>
      </c>
    </row>
    <row r="1255" spans="22:24" x14ac:dyDescent="0.25">
      <c r="V1255">
        <v>1709</v>
      </c>
      <c r="X1255">
        <v>1729</v>
      </c>
    </row>
    <row r="1256" spans="22:24" x14ac:dyDescent="0.25">
      <c r="V1256">
        <v>1710</v>
      </c>
      <c r="X1256">
        <v>1731</v>
      </c>
    </row>
    <row r="1257" spans="22:24" x14ac:dyDescent="0.25">
      <c r="V1257" t="b">
        <v>0</v>
      </c>
      <c r="X1257">
        <v>1732</v>
      </c>
    </row>
    <row r="1258" spans="22:24" x14ac:dyDescent="0.25">
      <c r="V1258">
        <v>1714</v>
      </c>
      <c r="X1258">
        <v>1733</v>
      </c>
    </row>
    <row r="1259" spans="22:24" x14ac:dyDescent="0.25">
      <c r="V1259">
        <v>1716</v>
      </c>
      <c r="X1259">
        <v>1734</v>
      </c>
    </row>
    <row r="1260" spans="22:24" x14ac:dyDescent="0.25">
      <c r="V1260">
        <v>1718</v>
      </c>
      <c r="X1260">
        <v>1735</v>
      </c>
    </row>
    <row r="1261" spans="22:24" x14ac:dyDescent="0.25">
      <c r="V1261">
        <v>1719</v>
      </c>
      <c r="X1261" t="b">
        <v>0</v>
      </c>
    </row>
    <row r="1262" spans="22:24" x14ac:dyDescent="0.25">
      <c r="V1262">
        <v>1720</v>
      </c>
      <c r="X1262">
        <v>1737</v>
      </c>
    </row>
    <row r="1263" spans="22:24" x14ac:dyDescent="0.25">
      <c r="V1263">
        <v>1721</v>
      </c>
      <c r="X1263">
        <v>1739</v>
      </c>
    </row>
    <row r="1264" spans="22:24" x14ac:dyDescent="0.25">
      <c r="V1264">
        <v>1722</v>
      </c>
      <c r="X1264">
        <v>1740</v>
      </c>
    </row>
    <row r="1265" spans="22:24" x14ac:dyDescent="0.25">
      <c r="V1265">
        <v>1724</v>
      </c>
      <c r="X1265" t="b">
        <v>0</v>
      </c>
    </row>
    <row r="1266" spans="22:24" x14ac:dyDescent="0.25">
      <c r="V1266">
        <v>1725</v>
      </c>
      <c r="X1266">
        <v>1745</v>
      </c>
    </row>
    <row r="1267" spans="22:24" x14ac:dyDescent="0.25">
      <c r="V1267">
        <v>1727</v>
      </c>
      <c r="X1267">
        <v>1746</v>
      </c>
    </row>
    <row r="1268" spans="22:24" x14ac:dyDescent="0.25">
      <c r="V1268">
        <v>1728</v>
      </c>
      <c r="X1268">
        <v>1747</v>
      </c>
    </row>
    <row r="1269" spans="22:24" x14ac:dyDescent="0.25">
      <c r="V1269">
        <v>1729</v>
      </c>
      <c r="X1269">
        <v>1749</v>
      </c>
    </row>
    <row r="1270" spans="22:24" x14ac:dyDescent="0.25">
      <c r="V1270">
        <v>1731</v>
      </c>
      <c r="X1270">
        <v>1751</v>
      </c>
    </row>
    <row r="1271" spans="22:24" x14ac:dyDescent="0.25">
      <c r="V1271">
        <v>1732</v>
      </c>
      <c r="X1271">
        <v>1752</v>
      </c>
    </row>
    <row r="1272" spans="22:24" x14ac:dyDescent="0.25">
      <c r="V1272">
        <v>1733</v>
      </c>
      <c r="X1272">
        <v>1753</v>
      </c>
    </row>
    <row r="1273" spans="22:24" x14ac:dyDescent="0.25">
      <c r="V1273">
        <v>1734</v>
      </c>
      <c r="X1273">
        <v>1754</v>
      </c>
    </row>
    <row r="1274" spans="22:24" x14ac:dyDescent="0.25">
      <c r="V1274">
        <v>1735</v>
      </c>
      <c r="X1274">
        <v>1755</v>
      </c>
    </row>
    <row r="1275" spans="22:24" x14ac:dyDescent="0.25">
      <c r="V1275" t="b">
        <v>0</v>
      </c>
      <c r="X1275">
        <v>1756</v>
      </c>
    </row>
    <row r="1276" spans="22:24" x14ac:dyDescent="0.25">
      <c r="V1276">
        <v>1737</v>
      </c>
      <c r="X1276">
        <v>1757</v>
      </c>
    </row>
    <row r="1277" spans="22:24" x14ac:dyDescent="0.25">
      <c r="V1277">
        <v>1739</v>
      </c>
      <c r="X1277" t="b">
        <v>0</v>
      </c>
    </row>
    <row r="1278" spans="22:24" x14ac:dyDescent="0.25">
      <c r="V1278">
        <v>1740</v>
      </c>
      <c r="X1278">
        <v>1760</v>
      </c>
    </row>
    <row r="1279" spans="22:24" x14ac:dyDescent="0.25">
      <c r="V1279" t="b">
        <v>0</v>
      </c>
      <c r="X1279">
        <v>1761</v>
      </c>
    </row>
    <row r="1280" spans="22:24" x14ac:dyDescent="0.25">
      <c r="V1280">
        <v>1745</v>
      </c>
      <c r="X1280">
        <v>1762</v>
      </c>
    </row>
    <row r="1281" spans="22:24" x14ac:dyDescent="0.25">
      <c r="V1281">
        <v>1746</v>
      </c>
      <c r="X1281">
        <v>1763</v>
      </c>
    </row>
    <row r="1282" spans="22:24" x14ac:dyDescent="0.25">
      <c r="V1282">
        <v>1747</v>
      </c>
      <c r="X1282">
        <v>1764</v>
      </c>
    </row>
    <row r="1283" spans="22:24" x14ac:dyDescent="0.25">
      <c r="V1283">
        <v>1749</v>
      </c>
      <c r="X1283">
        <v>1766</v>
      </c>
    </row>
    <row r="1284" spans="22:24" x14ac:dyDescent="0.25">
      <c r="V1284">
        <v>1751</v>
      </c>
      <c r="X1284">
        <v>1767</v>
      </c>
    </row>
    <row r="1285" spans="22:24" x14ac:dyDescent="0.25">
      <c r="V1285">
        <v>1752</v>
      </c>
      <c r="X1285" t="b">
        <v>0</v>
      </c>
    </row>
    <row r="1286" spans="22:24" x14ac:dyDescent="0.25">
      <c r="V1286">
        <v>1753</v>
      </c>
      <c r="X1286">
        <v>1770</v>
      </c>
    </row>
    <row r="1287" spans="22:24" x14ac:dyDescent="0.25">
      <c r="V1287">
        <v>1754</v>
      </c>
      <c r="X1287">
        <v>1771</v>
      </c>
    </row>
    <row r="1288" spans="22:24" x14ac:dyDescent="0.25">
      <c r="V1288">
        <v>1755</v>
      </c>
      <c r="X1288" t="b">
        <v>0</v>
      </c>
    </row>
    <row r="1289" spans="22:24" x14ac:dyDescent="0.25">
      <c r="V1289">
        <v>1756</v>
      </c>
      <c r="X1289">
        <v>1774</v>
      </c>
    </row>
    <row r="1290" spans="22:24" x14ac:dyDescent="0.25">
      <c r="V1290">
        <v>1757</v>
      </c>
      <c r="X1290" t="b">
        <v>0</v>
      </c>
    </row>
    <row r="1291" spans="22:24" x14ac:dyDescent="0.25">
      <c r="V1291" t="b">
        <v>0</v>
      </c>
      <c r="X1291">
        <v>1778</v>
      </c>
    </row>
    <row r="1292" spans="22:24" x14ac:dyDescent="0.25">
      <c r="V1292">
        <v>1760</v>
      </c>
      <c r="X1292">
        <v>1779</v>
      </c>
    </row>
    <row r="1293" spans="22:24" x14ac:dyDescent="0.25">
      <c r="V1293">
        <v>1761</v>
      </c>
      <c r="X1293">
        <v>1780</v>
      </c>
    </row>
    <row r="1294" spans="22:24" x14ac:dyDescent="0.25">
      <c r="V1294">
        <v>1762</v>
      </c>
      <c r="X1294">
        <v>1782</v>
      </c>
    </row>
    <row r="1295" spans="22:24" x14ac:dyDescent="0.25">
      <c r="V1295">
        <v>1763</v>
      </c>
      <c r="X1295">
        <v>1783</v>
      </c>
    </row>
    <row r="1296" spans="22:24" x14ac:dyDescent="0.25">
      <c r="V1296">
        <v>1764</v>
      </c>
      <c r="X1296">
        <v>1784</v>
      </c>
    </row>
    <row r="1297" spans="22:24" x14ac:dyDescent="0.25">
      <c r="V1297">
        <v>1766</v>
      </c>
      <c r="X1297">
        <v>1786</v>
      </c>
    </row>
    <row r="1298" spans="22:24" x14ac:dyDescent="0.25">
      <c r="V1298">
        <v>1767</v>
      </c>
      <c r="X1298">
        <v>1787</v>
      </c>
    </row>
    <row r="1299" spans="22:24" x14ac:dyDescent="0.25">
      <c r="V1299" t="b">
        <v>0</v>
      </c>
      <c r="X1299">
        <v>1789</v>
      </c>
    </row>
    <row r="1300" spans="22:24" x14ac:dyDescent="0.25">
      <c r="V1300">
        <v>1770</v>
      </c>
      <c r="X1300">
        <v>1790</v>
      </c>
    </row>
    <row r="1301" spans="22:24" x14ac:dyDescent="0.25">
      <c r="V1301">
        <v>1771</v>
      </c>
      <c r="X1301">
        <v>1792</v>
      </c>
    </row>
    <row r="1302" spans="22:24" x14ac:dyDescent="0.25">
      <c r="V1302" t="b">
        <v>0</v>
      </c>
      <c r="X1302">
        <v>1794</v>
      </c>
    </row>
    <row r="1303" spans="22:24" x14ac:dyDescent="0.25">
      <c r="V1303">
        <v>1774</v>
      </c>
      <c r="X1303">
        <v>1797</v>
      </c>
    </row>
    <row r="1304" spans="22:24" x14ac:dyDescent="0.25">
      <c r="V1304" t="b">
        <v>0</v>
      </c>
      <c r="X1304">
        <v>1798</v>
      </c>
    </row>
    <row r="1305" spans="22:24" x14ac:dyDescent="0.25">
      <c r="V1305">
        <v>1778</v>
      </c>
      <c r="X1305">
        <v>1799</v>
      </c>
    </row>
    <row r="1306" spans="22:24" x14ac:dyDescent="0.25">
      <c r="V1306">
        <v>1779</v>
      </c>
      <c r="X1306" t="b">
        <v>0</v>
      </c>
    </row>
    <row r="1307" spans="22:24" x14ac:dyDescent="0.25">
      <c r="V1307">
        <v>1780</v>
      </c>
      <c r="X1307">
        <v>1801</v>
      </c>
    </row>
    <row r="1308" spans="22:24" x14ac:dyDescent="0.25">
      <c r="V1308">
        <v>1782</v>
      </c>
      <c r="X1308">
        <v>1802</v>
      </c>
    </row>
    <row r="1309" spans="22:24" x14ac:dyDescent="0.25">
      <c r="V1309">
        <v>1783</v>
      </c>
      <c r="X1309">
        <v>1803</v>
      </c>
    </row>
    <row r="1310" spans="22:24" x14ac:dyDescent="0.25">
      <c r="V1310">
        <v>1784</v>
      </c>
      <c r="X1310">
        <v>1804</v>
      </c>
    </row>
    <row r="1311" spans="22:24" x14ac:dyDescent="0.25">
      <c r="V1311">
        <v>1786</v>
      </c>
      <c r="X1311">
        <v>1805</v>
      </c>
    </row>
    <row r="1312" spans="22:24" x14ac:dyDescent="0.25">
      <c r="V1312">
        <v>1787</v>
      </c>
      <c r="X1312">
        <v>1807</v>
      </c>
    </row>
    <row r="1313" spans="22:24" x14ac:dyDescent="0.25">
      <c r="V1313">
        <v>1789</v>
      </c>
      <c r="X1313">
        <v>1809</v>
      </c>
    </row>
    <row r="1314" spans="22:24" x14ac:dyDescent="0.25">
      <c r="V1314">
        <v>1790</v>
      </c>
      <c r="X1314">
        <v>1812</v>
      </c>
    </row>
    <row r="1315" spans="22:24" x14ac:dyDescent="0.25">
      <c r="V1315">
        <v>1792</v>
      </c>
      <c r="X1315">
        <v>1813</v>
      </c>
    </row>
    <row r="1316" spans="22:24" x14ac:dyDescent="0.25">
      <c r="V1316">
        <v>1794</v>
      </c>
      <c r="X1316">
        <v>1814</v>
      </c>
    </row>
    <row r="1317" spans="22:24" x14ac:dyDescent="0.25">
      <c r="V1317">
        <v>1797</v>
      </c>
      <c r="X1317">
        <v>1815</v>
      </c>
    </row>
    <row r="1318" spans="22:24" x14ac:dyDescent="0.25">
      <c r="V1318">
        <v>1798</v>
      </c>
      <c r="X1318">
        <v>1816</v>
      </c>
    </row>
    <row r="1319" spans="22:24" x14ac:dyDescent="0.25">
      <c r="V1319">
        <v>1799</v>
      </c>
      <c r="X1319">
        <v>1818</v>
      </c>
    </row>
    <row r="1320" spans="22:24" x14ac:dyDescent="0.25">
      <c r="V1320" t="b">
        <v>0</v>
      </c>
      <c r="X1320" t="b">
        <v>0</v>
      </c>
    </row>
    <row r="1321" spans="22:24" x14ac:dyDescent="0.25">
      <c r="V1321">
        <v>1801</v>
      </c>
      <c r="X1321">
        <v>1822</v>
      </c>
    </row>
    <row r="1322" spans="22:24" x14ac:dyDescent="0.25">
      <c r="V1322">
        <v>1802</v>
      </c>
      <c r="X1322" t="b">
        <v>0</v>
      </c>
    </row>
    <row r="1323" spans="22:24" x14ac:dyDescent="0.25">
      <c r="V1323">
        <v>1803</v>
      </c>
      <c r="X1323" t="b">
        <v>0</v>
      </c>
    </row>
    <row r="1324" spans="22:24" x14ac:dyDescent="0.25">
      <c r="V1324">
        <v>1804</v>
      </c>
      <c r="X1324">
        <v>1826</v>
      </c>
    </row>
    <row r="1325" spans="22:24" x14ac:dyDescent="0.25">
      <c r="V1325">
        <v>1805</v>
      </c>
      <c r="X1325">
        <v>1827</v>
      </c>
    </row>
    <row r="1326" spans="22:24" x14ac:dyDescent="0.25">
      <c r="V1326">
        <v>1807</v>
      </c>
      <c r="X1326">
        <v>1829</v>
      </c>
    </row>
    <row r="1327" spans="22:24" x14ac:dyDescent="0.25">
      <c r="V1327">
        <v>1809</v>
      </c>
      <c r="X1327">
        <v>1830</v>
      </c>
    </row>
    <row r="1328" spans="22:24" x14ac:dyDescent="0.25">
      <c r="V1328">
        <v>1812</v>
      </c>
      <c r="X1328">
        <v>1833</v>
      </c>
    </row>
    <row r="1329" spans="22:24" x14ac:dyDescent="0.25">
      <c r="V1329">
        <v>1813</v>
      </c>
      <c r="X1329" t="b">
        <v>0</v>
      </c>
    </row>
    <row r="1330" spans="22:24" x14ac:dyDescent="0.25">
      <c r="V1330">
        <v>1814</v>
      </c>
      <c r="X1330" t="b">
        <v>0</v>
      </c>
    </row>
    <row r="1331" spans="22:24" x14ac:dyDescent="0.25">
      <c r="V1331">
        <v>1815</v>
      </c>
      <c r="X1331">
        <v>1836</v>
      </c>
    </row>
    <row r="1332" spans="22:24" x14ac:dyDescent="0.25">
      <c r="V1332">
        <v>1816</v>
      </c>
      <c r="X1332">
        <v>1837</v>
      </c>
    </row>
    <row r="1333" spans="22:24" x14ac:dyDescent="0.25">
      <c r="V1333">
        <v>1818</v>
      </c>
      <c r="X1333">
        <v>1839</v>
      </c>
    </row>
    <row r="1334" spans="22:24" x14ac:dyDescent="0.25">
      <c r="V1334" t="b">
        <v>0</v>
      </c>
      <c r="X1334">
        <v>1842</v>
      </c>
    </row>
    <row r="1335" spans="22:24" x14ac:dyDescent="0.25">
      <c r="V1335">
        <v>1822</v>
      </c>
      <c r="X1335">
        <v>1844</v>
      </c>
    </row>
    <row r="1336" spans="22:24" x14ac:dyDescent="0.25">
      <c r="V1336" t="b">
        <v>0</v>
      </c>
      <c r="X1336" t="b">
        <v>0</v>
      </c>
    </row>
    <row r="1337" spans="22:24" x14ac:dyDescent="0.25">
      <c r="V1337" t="b">
        <v>0</v>
      </c>
      <c r="X1337" t="b">
        <v>0</v>
      </c>
    </row>
    <row r="1338" spans="22:24" x14ac:dyDescent="0.25">
      <c r="V1338">
        <v>1826</v>
      </c>
      <c r="X1338" t="b">
        <v>0</v>
      </c>
    </row>
    <row r="1339" spans="22:24" x14ac:dyDescent="0.25">
      <c r="V1339">
        <v>1827</v>
      </c>
      <c r="X1339">
        <v>1850</v>
      </c>
    </row>
    <row r="1340" spans="22:24" x14ac:dyDescent="0.25">
      <c r="V1340">
        <v>1829</v>
      </c>
      <c r="X1340">
        <v>1852</v>
      </c>
    </row>
    <row r="1341" spans="22:24" x14ac:dyDescent="0.25">
      <c r="V1341">
        <v>1830</v>
      </c>
      <c r="X1341">
        <v>1853</v>
      </c>
    </row>
    <row r="1342" spans="22:24" x14ac:dyDescent="0.25">
      <c r="V1342">
        <v>1833</v>
      </c>
      <c r="X1342" t="b">
        <v>0</v>
      </c>
    </row>
    <row r="1343" spans="22:24" x14ac:dyDescent="0.25">
      <c r="V1343" t="b">
        <v>0</v>
      </c>
      <c r="X1343">
        <v>1856</v>
      </c>
    </row>
    <row r="1344" spans="22:24" x14ac:dyDescent="0.25">
      <c r="V1344" t="b">
        <v>0</v>
      </c>
      <c r="X1344">
        <v>1857</v>
      </c>
    </row>
    <row r="1345" spans="22:24" x14ac:dyDescent="0.25">
      <c r="V1345">
        <v>1836</v>
      </c>
      <c r="X1345">
        <v>1858</v>
      </c>
    </row>
    <row r="1346" spans="22:24" x14ac:dyDescent="0.25">
      <c r="V1346">
        <v>1837</v>
      </c>
      <c r="X1346">
        <v>1859</v>
      </c>
    </row>
    <row r="1347" spans="22:24" x14ac:dyDescent="0.25">
      <c r="V1347">
        <v>1839</v>
      </c>
      <c r="X1347">
        <v>1860</v>
      </c>
    </row>
    <row r="1348" spans="22:24" x14ac:dyDescent="0.25">
      <c r="V1348">
        <v>1842</v>
      </c>
      <c r="X1348">
        <v>1862</v>
      </c>
    </row>
    <row r="1349" spans="22:24" x14ac:dyDescent="0.25">
      <c r="V1349">
        <v>1844</v>
      </c>
      <c r="X1349">
        <v>1863</v>
      </c>
    </row>
    <row r="1350" spans="22:24" x14ac:dyDescent="0.25">
      <c r="V1350" t="b">
        <v>0</v>
      </c>
      <c r="X1350" t="b">
        <v>0</v>
      </c>
    </row>
    <row r="1351" spans="22:24" x14ac:dyDescent="0.25">
      <c r="V1351" t="b">
        <v>0</v>
      </c>
      <c r="X1351">
        <v>1865</v>
      </c>
    </row>
    <row r="1352" spans="22:24" x14ac:dyDescent="0.25">
      <c r="V1352" t="b">
        <v>0</v>
      </c>
      <c r="X1352">
        <v>1866</v>
      </c>
    </row>
    <row r="1353" spans="22:24" x14ac:dyDescent="0.25">
      <c r="V1353">
        <v>1850</v>
      </c>
      <c r="X1353">
        <v>1867</v>
      </c>
    </row>
    <row r="1354" spans="22:24" x14ac:dyDescent="0.25">
      <c r="V1354">
        <v>1852</v>
      </c>
      <c r="X1354" t="b">
        <v>0</v>
      </c>
    </row>
    <row r="1355" spans="22:24" x14ac:dyDescent="0.25">
      <c r="V1355">
        <v>1853</v>
      </c>
      <c r="X1355" t="b">
        <v>0</v>
      </c>
    </row>
    <row r="1356" spans="22:24" x14ac:dyDescent="0.25">
      <c r="V1356" t="b">
        <v>0</v>
      </c>
      <c r="X1356">
        <v>1870</v>
      </c>
    </row>
    <row r="1357" spans="22:24" x14ac:dyDescent="0.25">
      <c r="V1357">
        <v>1856</v>
      </c>
      <c r="X1357">
        <v>1871</v>
      </c>
    </row>
    <row r="1358" spans="22:24" x14ac:dyDescent="0.25">
      <c r="V1358">
        <v>1857</v>
      </c>
      <c r="X1358" t="b">
        <v>0</v>
      </c>
    </row>
    <row r="1359" spans="22:24" x14ac:dyDescent="0.25">
      <c r="V1359">
        <v>1858</v>
      </c>
      <c r="X1359">
        <v>1875</v>
      </c>
    </row>
    <row r="1360" spans="22:24" x14ac:dyDescent="0.25">
      <c r="V1360">
        <v>1859</v>
      </c>
      <c r="X1360">
        <v>1876</v>
      </c>
    </row>
    <row r="1361" spans="22:24" x14ac:dyDescent="0.25">
      <c r="V1361">
        <v>1860</v>
      </c>
      <c r="X1361" t="b">
        <v>0</v>
      </c>
    </row>
    <row r="1362" spans="22:24" x14ac:dyDescent="0.25">
      <c r="V1362">
        <v>1862</v>
      </c>
      <c r="X1362">
        <v>1880</v>
      </c>
    </row>
    <row r="1363" spans="22:24" x14ac:dyDescent="0.25">
      <c r="V1363">
        <v>1863</v>
      </c>
      <c r="X1363">
        <v>1881</v>
      </c>
    </row>
    <row r="1364" spans="22:24" x14ac:dyDescent="0.25">
      <c r="V1364" t="b">
        <v>0</v>
      </c>
      <c r="X1364">
        <v>1882</v>
      </c>
    </row>
    <row r="1365" spans="22:24" x14ac:dyDescent="0.25">
      <c r="V1365">
        <v>1865</v>
      </c>
      <c r="X1365">
        <v>1883</v>
      </c>
    </row>
    <row r="1366" spans="22:24" x14ac:dyDescent="0.25">
      <c r="V1366">
        <v>1866</v>
      </c>
      <c r="X1366" t="b">
        <v>0</v>
      </c>
    </row>
    <row r="1367" spans="22:24" x14ac:dyDescent="0.25">
      <c r="V1367">
        <v>1867</v>
      </c>
      <c r="X1367">
        <v>1886</v>
      </c>
    </row>
    <row r="1368" spans="22:24" x14ac:dyDescent="0.25">
      <c r="V1368" t="b">
        <v>0</v>
      </c>
      <c r="X1368">
        <v>1888</v>
      </c>
    </row>
    <row r="1369" spans="22:24" x14ac:dyDescent="0.25">
      <c r="V1369" t="b">
        <v>0</v>
      </c>
      <c r="X1369" t="b">
        <v>0</v>
      </c>
    </row>
    <row r="1370" spans="22:24" x14ac:dyDescent="0.25">
      <c r="V1370">
        <v>1870</v>
      </c>
      <c r="X1370">
        <v>1892</v>
      </c>
    </row>
    <row r="1371" spans="22:24" x14ac:dyDescent="0.25">
      <c r="V1371">
        <v>1871</v>
      </c>
      <c r="X1371">
        <v>1893</v>
      </c>
    </row>
    <row r="1372" spans="22:24" x14ac:dyDescent="0.25">
      <c r="V1372" t="b">
        <v>0</v>
      </c>
      <c r="X1372">
        <v>1898</v>
      </c>
    </row>
    <row r="1373" spans="22:24" x14ac:dyDescent="0.25">
      <c r="V1373">
        <v>1875</v>
      </c>
      <c r="X1373">
        <v>1900</v>
      </c>
    </row>
    <row r="1374" spans="22:24" x14ac:dyDescent="0.25">
      <c r="V1374">
        <v>1876</v>
      </c>
      <c r="X1374">
        <v>1903</v>
      </c>
    </row>
    <row r="1375" spans="22:24" x14ac:dyDescent="0.25">
      <c r="V1375" t="b">
        <v>0</v>
      </c>
      <c r="X1375" t="b">
        <v>0</v>
      </c>
    </row>
    <row r="1376" spans="22:24" x14ac:dyDescent="0.25">
      <c r="V1376">
        <v>1880</v>
      </c>
      <c r="X1376">
        <v>1907</v>
      </c>
    </row>
    <row r="1377" spans="22:24" x14ac:dyDescent="0.25">
      <c r="V1377">
        <v>1881</v>
      </c>
      <c r="X1377">
        <v>1908</v>
      </c>
    </row>
    <row r="1378" spans="22:24" x14ac:dyDescent="0.25">
      <c r="V1378">
        <v>1882</v>
      </c>
      <c r="X1378" t="b">
        <v>0</v>
      </c>
    </row>
    <row r="1379" spans="22:24" x14ac:dyDescent="0.25">
      <c r="V1379">
        <v>1883</v>
      </c>
      <c r="X1379">
        <v>1911</v>
      </c>
    </row>
    <row r="1380" spans="22:24" x14ac:dyDescent="0.25">
      <c r="V1380" t="b">
        <v>0</v>
      </c>
      <c r="X1380">
        <v>1912</v>
      </c>
    </row>
    <row r="1381" spans="22:24" x14ac:dyDescent="0.25">
      <c r="V1381">
        <v>1886</v>
      </c>
      <c r="X1381">
        <v>1915</v>
      </c>
    </row>
    <row r="1382" spans="22:24" x14ac:dyDescent="0.25">
      <c r="V1382">
        <v>1888</v>
      </c>
      <c r="X1382">
        <v>1916</v>
      </c>
    </row>
    <row r="1383" spans="22:24" x14ac:dyDescent="0.25">
      <c r="V1383" t="b">
        <v>0</v>
      </c>
      <c r="X1383">
        <v>1918</v>
      </c>
    </row>
    <row r="1384" spans="22:24" x14ac:dyDescent="0.25">
      <c r="V1384">
        <v>1892</v>
      </c>
      <c r="X1384">
        <v>1922</v>
      </c>
    </row>
    <row r="1385" spans="22:24" x14ac:dyDescent="0.25">
      <c r="V1385">
        <v>1893</v>
      </c>
      <c r="X1385">
        <v>1924</v>
      </c>
    </row>
    <row r="1386" spans="22:24" x14ac:dyDescent="0.25">
      <c r="V1386">
        <v>1898</v>
      </c>
      <c r="X1386">
        <v>1927</v>
      </c>
    </row>
    <row r="1387" spans="22:24" x14ac:dyDescent="0.25">
      <c r="V1387">
        <v>1900</v>
      </c>
      <c r="X1387">
        <v>1928</v>
      </c>
    </row>
    <row r="1388" spans="22:24" x14ac:dyDescent="0.25">
      <c r="V1388">
        <v>1903</v>
      </c>
      <c r="X1388">
        <v>1929</v>
      </c>
    </row>
    <row r="1389" spans="22:24" x14ac:dyDescent="0.25">
      <c r="V1389" t="b">
        <v>0</v>
      </c>
      <c r="X1389">
        <v>1931</v>
      </c>
    </row>
    <row r="1390" spans="22:24" x14ac:dyDescent="0.25">
      <c r="V1390">
        <v>1907</v>
      </c>
      <c r="X1390">
        <v>1932</v>
      </c>
    </row>
    <row r="1391" spans="22:24" x14ac:dyDescent="0.25">
      <c r="V1391">
        <v>1908</v>
      </c>
      <c r="X1391">
        <v>1933</v>
      </c>
    </row>
    <row r="1392" spans="22:24" x14ac:dyDescent="0.25">
      <c r="V1392" t="b">
        <v>0</v>
      </c>
      <c r="X1392">
        <v>1934</v>
      </c>
    </row>
    <row r="1393" spans="22:24" x14ac:dyDescent="0.25">
      <c r="V1393">
        <v>1911</v>
      </c>
      <c r="X1393">
        <v>1935</v>
      </c>
    </row>
    <row r="1394" spans="22:24" x14ac:dyDescent="0.25">
      <c r="V1394">
        <v>1912</v>
      </c>
      <c r="X1394" t="b">
        <v>0</v>
      </c>
    </row>
    <row r="1395" spans="22:24" x14ac:dyDescent="0.25">
      <c r="V1395">
        <v>1915</v>
      </c>
      <c r="X1395">
        <v>1937</v>
      </c>
    </row>
    <row r="1396" spans="22:24" x14ac:dyDescent="0.25">
      <c r="V1396">
        <v>1916</v>
      </c>
      <c r="X1396">
        <v>1938</v>
      </c>
    </row>
    <row r="1397" spans="22:24" x14ac:dyDescent="0.25">
      <c r="V1397">
        <v>1918</v>
      </c>
      <c r="X1397">
        <v>1939</v>
      </c>
    </row>
    <row r="1398" spans="22:24" x14ac:dyDescent="0.25">
      <c r="V1398">
        <v>1922</v>
      </c>
      <c r="X1398">
        <v>1940</v>
      </c>
    </row>
    <row r="1399" spans="22:24" x14ac:dyDescent="0.25">
      <c r="V1399">
        <v>1924</v>
      </c>
      <c r="X1399">
        <v>1941</v>
      </c>
    </row>
    <row r="1400" spans="22:24" x14ac:dyDescent="0.25">
      <c r="V1400">
        <v>1927</v>
      </c>
      <c r="X1400">
        <v>1943</v>
      </c>
    </row>
    <row r="1401" spans="22:24" x14ac:dyDescent="0.25">
      <c r="V1401">
        <v>1928</v>
      </c>
      <c r="X1401">
        <v>1944</v>
      </c>
    </row>
    <row r="1402" spans="22:24" x14ac:dyDescent="0.25">
      <c r="V1402">
        <v>1929</v>
      </c>
      <c r="X1402">
        <v>1945</v>
      </c>
    </row>
    <row r="1403" spans="22:24" x14ac:dyDescent="0.25">
      <c r="V1403">
        <v>1931</v>
      </c>
      <c r="X1403">
        <v>1947</v>
      </c>
    </row>
    <row r="1404" spans="22:24" x14ac:dyDescent="0.25">
      <c r="V1404">
        <v>1932</v>
      </c>
      <c r="X1404">
        <v>1948</v>
      </c>
    </row>
    <row r="1405" spans="22:24" x14ac:dyDescent="0.25">
      <c r="V1405">
        <v>1933</v>
      </c>
      <c r="X1405" t="b">
        <v>0</v>
      </c>
    </row>
    <row r="1406" spans="22:24" x14ac:dyDescent="0.25">
      <c r="V1406">
        <v>1934</v>
      </c>
      <c r="X1406" t="b">
        <v>0</v>
      </c>
    </row>
    <row r="1407" spans="22:24" x14ac:dyDescent="0.25">
      <c r="V1407">
        <v>1935</v>
      </c>
      <c r="X1407">
        <v>1951</v>
      </c>
    </row>
    <row r="1408" spans="22:24" x14ac:dyDescent="0.25">
      <c r="V1408" t="b">
        <v>0</v>
      </c>
      <c r="X1408">
        <v>1952</v>
      </c>
    </row>
    <row r="1409" spans="22:24" x14ac:dyDescent="0.25">
      <c r="V1409">
        <v>1937</v>
      </c>
      <c r="X1409">
        <v>1954</v>
      </c>
    </row>
    <row r="1410" spans="22:24" x14ac:dyDescent="0.25">
      <c r="V1410">
        <v>1938</v>
      </c>
      <c r="X1410">
        <v>1955</v>
      </c>
    </row>
    <row r="1411" spans="22:24" x14ac:dyDescent="0.25">
      <c r="V1411">
        <v>1939</v>
      </c>
      <c r="X1411" t="b">
        <v>0</v>
      </c>
    </row>
    <row r="1412" spans="22:24" x14ac:dyDescent="0.25">
      <c r="V1412">
        <v>1940</v>
      </c>
      <c r="X1412">
        <v>1960</v>
      </c>
    </row>
    <row r="1413" spans="22:24" x14ac:dyDescent="0.25">
      <c r="V1413">
        <v>1941</v>
      </c>
      <c r="X1413">
        <v>1961</v>
      </c>
    </row>
    <row r="1414" spans="22:24" x14ac:dyDescent="0.25">
      <c r="V1414">
        <v>1943</v>
      </c>
      <c r="X1414">
        <v>1962</v>
      </c>
    </row>
    <row r="1415" spans="22:24" x14ac:dyDescent="0.25">
      <c r="V1415">
        <v>1944</v>
      </c>
      <c r="X1415">
        <v>1965</v>
      </c>
    </row>
    <row r="1416" spans="22:24" x14ac:dyDescent="0.25">
      <c r="V1416">
        <v>1945</v>
      </c>
      <c r="X1416" t="b">
        <v>0</v>
      </c>
    </row>
    <row r="1417" spans="22:24" x14ac:dyDescent="0.25">
      <c r="V1417">
        <v>1947</v>
      </c>
      <c r="X1417">
        <v>1967</v>
      </c>
    </row>
    <row r="1418" spans="22:24" x14ac:dyDescent="0.25">
      <c r="V1418">
        <v>1948</v>
      </c>
      <c r="X1418">
        <v>1968</v>
      </c>
    </row>
    <row r="1419" spans="22:24" x14ac:dyDescent="0.25">
      <c r="V1419" t="b">
        <v>0</v>
      </c>
      <c r="X1419">
        <v>1969</v>
      </c>
    </row>
    <row r="1420" spans="22:24" x14ac:dyDescent="0.25">
      <c r="V1420" t="b">
        <v>0</v>
      </c>
      <c r="X1420" t="b">
        <v>0</v>
      </c>
    </row>
    <row r="1421" spans="22:24" x14ac:dyDescent="0.25">
      <c r="V1421">
        <v>1951</v>
      </c>
      <c r="X1421">
        <v>1971</v>
      </c>
    </row>
    <row r="1422" spans="22:24" x14ac:dyDescent="0.25">
      <c r="V1422">
        <v>1952</v>
      </c>
      <c r="X1422">
        <v>1972</v>
      </c>
    </row>
    <row r="1423" spans="22:24" x14ac:dyDescent="0.25">
      <c r="V1423">
        <v>1954</v>
      </c>
      <c r="X1423">
        <v>1973</v>
      </c>
    </row>
    <row r="1424" spans="22:24" x14ac:dyDescent="0.25">
      <c r="V1424">
        <v>1955</v>
      </c>
      <c r="X1424">
        <v>1974</v>
      </c>
    </row>
    <row r="1425" spans="22:24" x14ac:dyDescent="0.25">
      <c r="V1425" t="b">
        <v>0</v>
      </c>
      <c r="X1425">
        <v>1975</v>
      </c>
    </row>
    <row r="1426" spans="22:24" x14ac:dyDescent="0.25">
      <c r="V1426">
        <v>1960</v>
      </c>
      <c r="X1426">
        <v>1976</v>
      </c>
    </row>
    <row r="1427" spans="22:24" x14ac:dyDescent="0.25">
      <c r="V1427">
        <v>1961</v>
      </c>
      <c r="X1427" t="b">
        <v>0</v>
      </c>
    </row>
    <row r="1428" spans="22:24" x14ac:dyDescent="0.25">
      <c r="V1428">
        <v>1962</v>
      </c>
      <c r="X1428">
        <v>1980</v>
      </c>
    </row>
    <row r="1429" spans="22:24" x14ac:dyDescent="0.25">
      <c r="V1429">
        <v>1965</v>
      </c>
      <c r="X1429">
        <v>1981</v>
      </c>
    </row>
    <row r="1430" spans="22:24" x14ac:dyDescent="0.25">
      <c r="V1430" t="b">
        <v>0</v>
      </c>
      <c r="X1430">
        <v>1982</v>
      </c>
    </row>
    <row r="1431" spans="22:24" x14ac:dyDescent="0.25">
      <c r="V1431">
        <v>1967</v>
      </c>
      <c r="X1431">
        <v>1985</v>
      </c>
    </row>
    <row r="1432" spans="22:24" x14ac:dyDescent="0.25">
      <c r="V1432">
        <v>1968</v>
      </c>
      <c r="X1432">
        <v>1986</v>
      </c>
    </row>
    <row r="1433" spans="22:24" x14ac:dyDescent="0.25">
      <c r="V1433">
        <v>1969</v>
      </c>
      <c r="X1433">
        <v>1987</v>
      </c>
    </row>
    <row r="1434" spans="22:24" x14ac:dyDescent="0.25">
      <c r="V1434" t="b">
        <v>0</v>
      </c>
      <c r="X1434">
        <v>1989</v>
      </c>
    </row>
    <row r="1435" spans="22:24" x14ac:dyDescent="0.25">
      <c r="V1435">
        <v>1971</v>
      </c>
      <c r="X1435">
        <v>1992</v>
      </c>
    </row>
    <row r="1436" spans="22:24" x14ac:dyDescent="0.25">
      <c r="V1436">
        <v>1972</v>
      </c>
      <c r="X1436" t="b">
        <v>0</v>
      </c>
    </row>
    <row r="1437" spans="22:24" x14ac:dyDescent="0.25">
      <c r="V1437">
        <v>1973</v>
      </c>
      <c r="X1437">
        <v>1994</v>
      </c>
    </row>
    <row r="1438" spans="22:24" x14ac:dyDescent="0.25">
      <c r="V1438">
        <v>1974</v>
      </c>
      <c r="X1438">
        <v>1995</v>
      </c>
    </row>
    <row r="1439" spans="22:24" x14ac:dyDescent="0.25">
      <c r="V1439">
        <v>1975</v>
      </c>
      <c r="X1439">
        <v>1996</v>
      </c>
    </row>
    <row r="1440" spans="22:24" x14ac:dyDescent="0.25">
      <c r="V1440">
        <v>1976</v>
      </c>
      <c r="X1440">
        <v>1997</v>
      </c>
    </row>
    <row r="1441" spans="22:24" x14ac:dyDescent="0.25">
      <c r="V1441" t="b">
        <v>0</v>
      </c>
      <c r="X1441">
        <v>1998</v>
      </c>
    </row>
    <row r="1442" spans="22:24" x14ac:dyDescent="0.25">
      <c r="V1442">
        <v>1980</v>
      </c>
      <c r="X1442" t="b">
        <v>0</v>
      </c>
    </row>
    <row r="1443" spans="22:24" x14ac:dyDescent="0.25">
      <c r="V1443">
        <v>1981</v>
      </c>
      <c r="X1443">
        <v>2000</v>
      </c>
    </row>
    <row r="1444" spans="22:24" x14ac:dyDescent="0.25">
      <c r="V1444">
        <v>1982</v>
      </c>
      <c r="X1444">
        <v>2003</v>
      </c>
    </row>
    <row r="1445" spans="22:24" x14ac:dyDescent="0.25">
      <c r="V1445">
        <v>1985</v>
      </c>
      <c r="X1445">
        <v>2007</v>
      </c>
    </row>
    <row r="1446" spans="22:24" x14ac:dyDescent="0.25">
      <c r="V1446">
        <v>1986</v>
      </c>
      <c r="X1446">
        <v>2008</v>
      </c>
    </row>
    <row r="1447" spans="22:24" x14ac:dyDescent="0.25">
      <c r="V1447">
        <v>1987</v>
      </c>
      <c r="X1447">
        <v>2009</v>
      </c>
    </row>
    <row r="1448" spans="22:24" x14ac:dyDescent="0.25">
      <c r="V1448">
        <v>1989</v>
      </c>
      <c r="X1448">
        <v>2010</v>
      </c>
    </row>
    <row r="1449" spans="22:24" x14ac:dyDescent="0.25">
      <c r="V1449">
        <v>1992</v>
      </c>
      <c r="X1449">
        <v>2012</v>
      </c>
    </row>
    <row r="1450" spans="22:24" x14ac:dyDescent="0.25">
      <c r="V1450" t="b">
        <v>0</v>
      </c>
      <c r="X1450">
        <v>2013</v>
      </c>
    </row>
    <row r="1451" spans="22:24" x14ac:dyDescent="0.25">
      <c r="V1451">
        <v>1994</v>
      </c>
      <c r="X1451">
        <v>2014</v>
      </c>
    </row>
    <row r="1452" spans="22:24" x14ac:dyDescent="0.25">
      <c r="V1452">
        <v>1995</v>
      </c>
      <c r="X1452">
        <v>2015</v>
      </c>
    </row>
    <row r="1453" spans="22:24" x14ac:dyDescent="0.25">
      <c r="V1453">
        <v>1996</v>
      </c>
      <c r="X1453">
        <v>2016</v>
      </c>
    </row>
    <row r="1454" spans="22:24" x14ac:dyDescent="0.25">
      <c r="V1454">
        <v>1997</v>
      </c>
      <c r="X1454" t="b">
        <v>0</v>
      </c>
    </row>
    <row r="1455" spans="22:24" x14ac:dyDescent="0.25">
      <c r="V1455">
        <v>1998</v>
      </c>
      <c r="X1455" t="b">
        <v>0</v>
      </c>
    </row>
    <row r="1456" spans="22:24" x14ac:dyDescent="0.25">
      <c r="V1456" t="b">
        <v>0</v>
      </c>
      <c r="X1456">
        <v>2019</v>
      </c>
    </row>
    <row r="1457" spans="22:24" x14ac:dyDescent="0.25">
      <c r="V1457">
        <v>2000</v>
      </c>
      <c r="X1457">
        <v>2020</v>
      </c>
    </row>
    <row r="1458" spans="22:24" x14ac:dyDescent="0.25">
      <c r="V1458">
        <v>2003</v>
      </c>
      <c r="X1458">
        <v>2021</v>
      </c>
    </row>
    <row r="1459" spans="22:24" x14ac:dyDescent="0.25">
      <c r="V1459">
        <v>2007</v>
      </c>
      <c r="X1459">
        <v>2022</v>
      </c>
    </row>
    <row r="1460" spans="22:24" x14ac:dyDescent="0.25">
      <c r="V1460">
        <v>2008</v>
      </c>
      <c r="X1460">
        <v>2023</v>
      </c>
    </row>
    <row r="1461" spans="22:24" x14ac:dyDescent="0.25">
      <c r="V1461">
        <v>2009</v>
      </c>
      <c r="X1461">
        <v>2024</v>
      </c>
    </row>
    <row r="1462" spans="22:24" x14ac:dyDescent="0.25">
      <c r="V1462">
        <v>2010</v>
      </c>
      <c r="X1462">
        <v>2025</v>
      </c>
    </row>
    <row r="1463" spans="22:24" x14ac:dyDescent="0.25">
      <c r="V1463">
        <v>2012</v>
      </c>
      <c r="X1463" t="b">
        <v>0</v>
      </c>
    </row>
    <row r="1464" spans="22:24" x14ac:dyDescent="0.25">
      <c r="V1464">
        <v>2013</v>
      </c>
      <c r="X1464">
        <v>2027</v>
      </c>
    </row>
    <row r="1465" spans="22:24" x14ac:dyDescent="0.25">
      <c r="V1465">
        <v>2014</v>
      </c>
      <c r="X1465">
        <v>2031</v>
      </c>
    </row>
    <row r="1466" spans="22:24" x14ac:dyDescent="0.25">
      <c r="V1466">
        <v>2015</v>
      </c>
      <c r="X1466">
        <v>2032</v>
      </c>
    </row>
    <row r="1467" spans="22:24" x14ac:dyDescent="0.25">
      <c r="V1467">
        <v>2016</v>
      </c>
      <c r="X1467" t="b">
        <v>0</v>
      </c>
    </row>
    <row r="1468" spans="22:24" x14ac:dyDescent="0.25">
      <c r="V1468" t="b">
        <v>0</v>
      </c>
      <c r="X1468" t="b">
        <v>0</v>
      </c>
    </row>
    <row r="1469" spans="22:24" x14ac:dyDescent="0.25">
      <c r="V1469" t="b">
        <v>0</v>
      </c>
      <c r="X1469" t="b">
        <v>0</v>
      </c>
    </row>
    <row r="1470" spans="22:24" x14ac:dyDescent="0.25">
      <c r="V1470">
        <v>2019</v>
      </c>
      <c r="X1470">
        <v>2037</v>
      </c>
    </row>
    <row r="1471" spans="22:24" x14ac:dyDescent="0.25">
      <c r="V1471">
        <v>2020</v>
      </c>
      <c r="X1471">
        <v>2038</v>
      </c>
    </row>
    <row r="1472" spans="22:24" x14ac:dyDescent="0.25">
      <c r="V1472">
        <v>2021</v>
      </c>
      <c r="X1472">
        <v>2040</v>
      </c>
    </row>
    <row r="1473" spans="22:24" x14ac:dyDescent="0.25">
      <c r="V1473">
        <v>2022</v>
      </c>
      <c r="X1473">
        <v>2041</v>
      </c>
    </row>
    <row r="1474" spans="22:24" x14ac:dyDescent="0.25">
      <c r="V1474">
        <v>2023</v>
      </c>
      <c r="X1474">
        <v>2044</v>
      </c>
    </row>
    <row r="1475" spans="22:24" x14ac:dyDescent="0.25">
      <c r="V1475">
        <v>2024</v>
      </c>
      <c r="X1475">
        <v>2045</v>
      </c>
    </row>
    <row r="1476" spans="22:24" x14ac:dyDescent="0.25">
      <c r="V1476">
        <v>2025</v>
      </c>
      <c r="X1476">
        <v>2046</v>
      </c>
    </row>
    <row r="1477" spans="22:24" x14ac:dyDescent="0.25">
      <c r="V1477" t="b">
        <v>0</v>
      </c>
      <c r="X1477">
        <v>2048</v>
      </c>
    </row>
    <row r="1478" spans="22:24" x14ac:dyDescent="0.25">
      <c r="V1478">
        <v>2027</v>
      </c>
      <c r="X1478">
        <v>2049</v>
      </c>
    </row>
    <row r="1479" spans="22:24" x14ac:dyDescent="0.25">
      <c r="V1479">
        <v>2031</v>
      </c>
      <c r="X1479">
        <v>2051</v>
      </c>
    </row>
    <row r="1480" spans="22:24" x14ac:dyDescent="0.25">
      <c r="V1480">
        <v>2032</v>
      </c>
      <c r="X1480">
        <v>2052</v>
      </c>
    </row>
    <row r="1481" spans="22:24" x14ac:dyDescent="0.25">
      <c r="V1481" t="b">
        <v>0</v>
      </c>
      <c r="X1481">
        <v>2053</v>
      </c>
    </row>
    <row r="1482" spans="22:24" x14ac:dyDescent="0.25">
      <c r="V1482" t="b">
        <v>0</v>
      </c>
      <c r="X1482">
        <v>2054</v>
      </c>
    </row>
    <row r="1483" spans="22:24" x14ac:dyDescent="0.25">
      <c r="V1483" t="b">
        <v>0</v>
      </c>
      <c r="X1483">
        <v>2055</v>
      </c>
    </row>
    <row r="1484" spans="22:24" x14ac:dyDescent="0.25">
      <c r="V1484">
        <v>2037</v>
      </c>
      <c r="X1484">
        <v>2056</v>
      </c>
    </row>
    <row r="1485" spans="22:24" x14ac:dyDescent="0.25">
      <c r="V1485">
        <v>2038</v>
      </c>
      <c r="X1485">
        <v>2057</v>
      </c>
    </row>
    <row r="1486" spans="22:24" x14ac:dyDescent="0.25">
      <c r="V1486">
        <v>2040</v>
      </c>
      <c r="X1486">
        <v>2060</v>
      </c>
    </row>
    <row r="1487" spans="22:24" x14ac:dyDescent="0.25">
      <c r="V1487">
        <v>2041</v>
      </c>
      <c r="X1487">
        <v>2061</v>
      </c>
    </row>
    <row r="1488" spans="22:24" x14ac:dyDescent="0.25">
      <c r="V1488">
        <v>2044</v>
      </c>
      <c r="X1488">
        <v>2062</v>
      </c>
    </row>
    <row r="1489" spans="22:24" x14ac:dyDescent="0.25">
      <c r="V1489">
        <v>2045</v>
      </c>
      <c r="X1489" t="b">
        <v>0</v>
      </c>
    </row>
    <row r="1490" spans="22:24" x14ac:dyDescent="0.25">
      <c r="V1490">
        <v>2046</v>
      </c>
      <c r="X1490">
        <v>2065</v>
      </c>
    </row>
    <row r="1491" spans="22:24" x14ac:dyDescent="0.25">
      <c r="V1491">
        <v>2048</v>
      </c>
      <c r="X1491">
        <v>2068</v>
      </c>
    </row>
    <row r="1492" spans="22:24" x14ac:dyDescent="0.25">
      <c r="V1492">
        <v>2049</v>
      </c>
    </row>
    <row r="1493" spans="22:24" x14ac:dyDescent="0.25">
      <c r="V1493">
        <v>2051</v>
      </c>
    </row>
    <row r="1494" spans="22:24" x14ac:dyDescent="0.25">
      <c r="V1494">
        <v>2052</v>
      </c>
    </row>
    <row r="1495" spans="22:24" x14ac:dyDescent="0.25">
      <c r="V1495">
        <v>2053</v>
      </c>
    </row>
    <row r="1496" spans="22:24" x14ac:dyDescent="0.25">
      <c r="V1496">
        <v>2054</v>
      </c>
    </row>
    <row r="1497" spans="22:24" x14ac:dyDescent="0.25">
      <c r="V1497">
        <v>2055</v>
      </c>
    </row>
    <row r="1498" spans="22:24" x14ac:dyDescent="0.25">
      <c r="V1498">
        <v>2056</v>
      </c>
    </row>
    <row r="1499" spans="22:24" x14ac:dyDescent="0.25">
      <c r="V1499">
        <v>2057</v>
      </c>
    </row>
    <row r="1500" spans="22:24" x14ac:dyDescent="0.25">
      <c r="V1500">
        <v>2060</v>
      </c>
    </row>
    <row r="1501" spans="22:24" x14ac:dyDescent="0.25">
      <c r="V1501">
        <v>2061</v>
      </c>
    </row>
    <row r="1502" spans="22:24" x14ac:dyDescent="0.25">
      <c r="V1502">
        <v>2062</v>
      </c>
    </row>
    <row r="1503" spans="22:24" x14ac:dyDescent="0.25">
      <c r="V1503" t="b">
        <v>0</v>
      </c>
    </row>
    <row r="1504" spans="22:24" x14ac:dyDescent="0.25">
      <c r="V1504">
        <v>2065</v>
      </c>
    </row>
    <row r="1505" spans="22:22" x14ac:dyDescent="0.25">
      <c r="V1505">
        <v>2068</v>
      </c>
    </row>
  </sheetData>
  <mergeCells count="7">
    <mergeCell ref="A80:D80"/>
    <mergeCell ref="A70:H70"/>
    <mergeCell ref="A2:J2"/>
    <mergeCell ref="A21:F21"/>
    <mergeCell ref="A30:F30"/>
    <mergeCell ref="A44:H44"/>
    <mergeCell ref="A55:G55"/>
  </mergeCells>
  <phoneticPr fontId="5" type="noConversion"/>
  <dataValidations count="6">
    <dataValidation type="list" allowBlank="1" showInputMessage="1" showErrorMessage="1" sqref="K9 C4" xr:uid="{DC498CF0-D0A0-4C20-86B8-B67FBB498751}">
      <formula1>$G$4:$G$9</formula1>
    </dataValidation>
    <dataValidation type="list" allowBlank="1" showInputMessage="1" showErrorMessage="1" sqref="C5" xr:uid="{66776914-F02A-4BAF-A818-ABF959C9680E}">
      <formula1>$H$4:$H$6</formula1>
    </dataValidation>
    <dataValidation type="list" allowBlank="1" showInputMessage="1" showErrorMessage="1" sqref="C32 C35 C38" xr:uid="{79864193-CEE9-4EEB-BCC3-F917B96B09D8}">
      <formula1>$E$32:$E$34</formula1>
    </dataValidation>
    <dataValidation type="list" allowBlank="1" showInputMessage="1" showErrorMessage="1" sqref="C46" xr:uid="{562DCFF3-8368-47A5-B7A8-624C756A13E1}">
      <formula1>$E$46:$E$82</formula1>
    </dataValidation>
    <dataValidation type="list" allowBlank="1" showInputMessage="1" showErrorMessage="1" sqref="C57" xr:uid="{509B37DA-B74A-4024-AF0F-C281434FC013}">
      <formula1>$G$57:$G$64</formula1>
    </dataValidation>
    <dataValidation type="list" allowBlank="1" showInputMessage="1" showErrorMessage="1" sqref="C63" xr:uid="{32B7AC8B-84AB-4D9F-93D0-9779FDFDAE06}">
      <formula1>$F$63:$F$64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EEC466-2E4C-4AB8-81D1-5CC8E921B7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WA_Fn-UseC_-HR-Employee-Attriti</vt:lpstr>
      <vt:lpstr>VLOOKUP_EASY</vt:lpstr>
      <vt:lpstr>VLOOKUP_HARD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Nachiket Dixit</dc:creator>
  <cp:keywords/>
  <dc:description/>
  <cp:lastModifiedBy>BADAL LAD</cp:lastModifiedBy>
  <cp:revision/>
  <dcterms:created xsi:type="dcterms:W3CDTF">2025-11-28T10:40:39Z</dcterms:created>
  <dcterms:modified xsi:type="dcterms:W3CDTF">2026-08-27T09:56:52Z</dcterms:modified>
  <cp:category/>
  <cp:contentStatus/>
</cp:coreProperties>
</file>