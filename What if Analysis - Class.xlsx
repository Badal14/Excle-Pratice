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s-UpGrad\Excle\"/>
    </mc:Choice>
  </mc:AlternateContent>
  <xr:revisionPtr revIDLastSave="0" documentId="13_ncr:1_{A936CB4A-232D-4F61-AD5C-1E71451CC0D4}" xr6:coauthVersionLast="47" xr6:coauthVersionMax="47" xr10:uidLastSave="{00000000-0000-0000-0000-000000000000}"/>
  <bookViews>
    <workbookView xWindow="-120" yWindow="-120" windowWidth="29040" windowHeight="15720" firstSheet="4" activeTab="7" xr2:uid="{791666AB-0277-4203-88B1-A189CF500762}"/>
  </bookViews>
  <sheets>
    <sheet name="One Variable in Data Table" sheetId="1" r:id="rId1"/>
    <sheet name="Two Variable in Data Table" sheetId="2" r:id="rId2"/>
    <sheet name="Three Variables in Data Table" sheetId="3" r:id="rId3"/>
    <sheet name="Data Tables with FV" sheetId="4" r:id="rId4"/>
    <sheet name="Data Tables Question" sheetId="9" r:id="rId5"/>
    <sheet name="Goal Seek 1" sheetId="5" r:id="rId6"/>
    <sheet name="Goal Seek Question" sheetId="6" r:id="rId7"/>
    <sheet name="Scenario Manager 1" sheetId="7" r:id="rId8"/>
    <sheet name="Scenario Summary" sheetId="10" r:id="rId9"/>
    <sheet name="Scenario Summary 2" sheetId="11" r:id="rId10"/>
    <sheet name="Scenario Manager Questions" sheetId="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8" l="1"/>
  <c r="D10" i="8"/>
  <c r="D8" i="8"/>
  <c r="G9" i="8"/>
  <c r="G10" i="8"/>
  <c r="G8" i="8"/>
  <c r="F9" i="8"/>
  <c r="F10" i="8"/>
  <c r="F8" i="8"/>
  <c r="C11" i="7"/>
  <c r="C12" i="7" s="1"/>
  <c r="C22" i="7"/>
  <c r="C21" i="7"/>
  <c r="D26" i="6"/>
  <c r="C25" i="6"/>
  <c r="C17" i="6"/>
  <c r="C8" i="6"/>
  <c r="I7" i="6"/>
  <c r="I8" i="6"/>
  <c r="I9" i="6"/>
  <c r="I10" i="6"/>
  <c r="I11" i="6"/>
  <c r="I6" i="6"/>
  <c r="F21" i="5"/>
  <c r="F19" i="5"/>
  <c r="F20" i="5" s="1"/>
  <c r="C21" i="5"/>
  <c r="C19" i="5"/>
  <c r="C20" i="5" s="1"/>
  <c r="J6" i="5"/>
  <c r="J7" i="5"/>
  <c r="J8" i="5"/>
  <c r="J9" i="5"/>
  <c r="J10" i="5"/>
  <c r="J11" i="5"/>
  <c r="J12" i="5"/>
  <c r="J5" i="5"/>
  <c r="I6" i="5"/>
  <c r="I7" i="5"/>
  <c r="I8" i="5"/>
  <c r="I9" i="5"/>
  <c r="I10" i="5"/>
  <c r="I11" i="5"/>
  <c r="I12" i="5"/>
  <c r="I5" i="5"/>
  <c r="H6" i="5"/>
  <c r="H7" i="5"/>
  <c r="H8" i="5"/>
  <c r="H9" i="5"/>
  <c r="H10" i="5"/>
  <c r="H11" i="5"/>
  <c r="H12" i="5"/>
  <c r="H5" i="5"/>
  <c r="G6" i="5"/>
  <c r="G7" i="5"/>
  <c r="G8" i="5"/>
  <c r="G9" i="5"/>
  <c r="G10" i="5"/>
  <c r="G11" i="5"/>
  <c r="G12" i="5"/>
  <c r="G5" i="5"/>
  <c r="C15" i="4"/>
  <c r="G8" i="4" s="1"/>
  <c r="O12" i="9"/>
  <c r="C9" i="3"/>
  <c r="F7" i="3" s="1"/>
  <c r="C8" i="2"/>
  <c r="F5" i="2" s="1"/>
  <c r="C7" i="1"/>
  <c r="F22" i="5" l="1"/>
  <c r="C22" i="5"/>
  <c r="T4" i="9"/>
  <c r="G5" i="1"/>
  <c r="K5" i="1"/>
</calcChain>
</file>

<file path=xl/sharedStrings.xml><?xml version="1.0" encoding="utf-8"?>
<sst xmlns="http://schemas.openxmlformats.org/spreadsheetml/2006/main" count="177" uniqueCount="110">
  <si>
    <t>What-if Analysis - One Variable in Data Tables</t>
  </si>
  <si>
    <t>Loan Amount</t>
  </si>
  <si>
    <t>Interest Rate per Annum</t>
  </si>
  <si>
    <t>Periods in months</t>
  </si>
  <si>
    <t>PMT</t>
  </si>
  <si>
    <t>EMI Amount</t>
  </si>
  <si>
    <t>Tenure</t>
  </si>
  <si>
    <t>Input Column Wise</t>
  </si>
  <si>
    <t>Input Row wise</t>
  </si>
  <si>
    <t>What-if Analysis - Two Variable in Data Tables</t>
  </si>
  <si>
    <t>Variation in Loan Amount</t>
  </si>
  <si>
    <t>Changes in Months</t>
  </si>
  <si>
    <t>`</t>
  </si>
  <si>
    <t>ROI</t>
  </si>
  <si>
    <t>Use Data Table to calculate the future value of deposit for 10 years where ROI is 12% and deposit varies from Rs. 5000 - Rs. 20000.</t>
  </si>
  <si>
    <t>Formula to find FV: =FV(rate, nper,pmt,pv, type)</t>
  </si>
  <si>
    <t>Rate</t>
  </si>
  <si>
    <t>nper</t>
  </si>
  <si>
    <t>pmt</t>
  </si>
  <si>
    <t>pv</t>
  </si>
  <si>
    <t>type</t>
  </si>
  <si>
    <t>Annual deposit</t>
  </si>
  <si>
    <t>Present Value</t>
  </si>
  <si>
    <t>End or begin of month</t>
  </si>
  <si>
    <t>Annual Deposit</t>
  </si>
  <si>
    <t>Future Value of Deposit</t>
  </si>
  <si>
    <t>What if Analysis - Goal Seek</t>
  </si>
  <si>
    <t>SP</t>
  </si>
  <si>
    <t>Variable Cost</t>
  </si>
  <si>
    <t>Contribution Margin</t>
  </si>
  <si>
    <t>Fixed cost</t>
  </si>
  <si>
    <t>Total Cost</t>
  </si>
  <si>
    <t>Sales/ Revenue</t>
  </si>
  <si>
    <t>Profit/Loss</t>
  </si>
  <si>
    <t>Production in Units</t>
  </si>
  <si>
    <t>Original</t>
  </si>
  <si>
    <t>Solution</t>
  </si>
  <si>
    <t xml:space="preserve">Price </t>
  </si>
  <si>
    <t>Fixed Cost</t>
  </si>
  <si>
    <t>Cost</t>
  </si>
  <si>
    <t>Q1. Scenario: You want to find out how many units must be sold to earn ₹1,00,000 profit.
   Formula: (Price - Cost) * Units – Fixed Cost</t>
  </si>
  <si>
    <t>Mid -Term marks</t>
  </si>
  <si>
    <t>Final Marks</t>
  </si>
  <si>
    <t>Total Marks</t>
  </si>
  <si>
    <t>Q2. A student needs 90 total marks. You want to find out how much is needed in the final exam. Formula : - Total marks = mid-term*0.4 + final Marks * 0.6</t>
  </si>
  <si>
    <t>Q3. You can only afford ₹8,000 monthly EMI. What loan term do you need?
Formula: =PMT(rate/12, term*12, -loan_amount)</t>
  </si>
  <si>
    <t>What if Analysis - Scenario Manager</t>
  </si>
  <si>
    <t>Particulars</t>
  </si>
  <si>
    <t>Values</t>
  </si>
  <si>
    <t>EMIs</t>
  </si>
  <si>
    <t>Total Payment</t>
  </si>
  <si>
    <t>Scenarios</t>
  </si>
  <si>
    <t>Likely</t>
  </si>
  <si>
    <t>Best</t>
  </si>
  <si>
    <t>Worst</t>
  </si>
  <si>
    <t>Mr. Z wants to borrow money from bank to purchase car. With the help of scenario manager create three situation likely, best and worst using inputs given.</t>
  </si>
  <si>
    <t>Inputs</t>
  </si>
  <si>
    <t>Results 1</t>
  </si>
  <si>
    <t>Results 2</t>
  </si>
  <si>
    <t>Principal Amt. Paid</t>
  </si>
  <si>
    <t>Principal Int. Paid</t>
  </si>
  <si>
    <t xml:space="preserve">Scenario:
You run a small online store selling handcrafted mugs. Each mug costs you ₹150 to produce. You want to understand how changing the Selling Price impacts your Profit and Break-Even Point.
Given:
Variable Cost per Unit = ₹150
Fixed Monthly Cost = ₹20,000
Units Sold per Month = 400 (assumed constant)
Formula: Profit = (Price − Variable Cost) × Units − Fixed Cost
</t>
  </si>
  <si>
    <t>Task:
Use a One-Variable Data Table to analyze how Profit changes as the selling price varies from ₹160 to ₹300 (step ₹10).
Identify the minimum price at which Profit becomes zero (Break-Even Price).
Highlight the break-even point in the table.</t>
  </si>
  <si>
    <t>Units</t>
  </si>
  <si>
    <t>Price</t>
  </si>
  <si>
    <t>Scenario: Compare Best, Average, and Worst case revenue projections. Use Scenario Manager to define each case and compare profit.</t>
  </si>
  <si>
    <t>emi = principle + intrest amt / period</t>
  </si>
  <si>
    <t>intrest rate/month</t>
  </si>
  <si>
    <t>time period</t>
  </si>
  <si>
    <t>(-)previous value</t>
  </si>
  <si>
    <t xml:space="preserve">units </t>
  </si>
  <si>
    <t>fixed Monthly</t>
  </si>
  <si>
    <t>vc price</t>
  </si>
  <si>
    <t>Profit</t>
  </si>
  <si>
    <t>Selling Price</t>
  </si>
  <si>
    <t>begin</t>
  </si>
  <si>
    <t>FV</t>
  </si>
  <si>
    <t>.</t>
  </si>
  <si>
    <t>-</t>
  </si>
  <si>
    <t>Unit</t>
  </si>
  <si>
    <t>profit</t>
  </si>
  <si>
    <t>EMI</t>
  </si>
  <si>
    <t>Loan Term</t>
  </si>
  <si>
    <t>months</t>
  </si>
  <si>
    <t>$C$8</t>
  </si>
  <si>
    <t>$C$9</t>
  </si>
  <si>
    <t>$C$10</t>
  </si>
  <si>
    <t>$C$11</t>
  </si>
  <si>
    <t>$C$12</t>
  </si>
  <si>
    <t>Bank-1</t>
  </si>
  <si>
    <t>Created by BADAL LAD on 07-09-2026</t>
  </si>
  <si>
    <t>Bank-2</t>
  </si>
  <si>
    <t>Bank-3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</si>
  <si>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</si>
  <si>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</si>
  <si>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</si>
  <si>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</si>
  <si>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</si>
  <si>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</si>
  <si>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</si>
  <si>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 xml:space="preserve">   </t>
  </si>
  <si>
    <t>Profit %</t>
  </si>
  <si>
    <t>CP</t>
  </si>
  <si>
    <t>$A$8</t>
  </si>
  <si>
    <t>$B$8</t>
  </si>
  <si>
    <t>$F$8</t>
  </si>
  <si>
    <t>$G$8</t>
  </si>
  <si>
    <t>first</t>
  </si>
  <si>
    <t>Created by BADAL LAD on 07-09-2026
Modified by BADAL LAD on 07-09-2026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</si>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</sst>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&quot;₹&quot;\ #,##0.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  <xf numFmtId="8" fontId="0" fillId="0" borderId="1" xfId="0" applyNumberFormat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164" fontId="0" fillId="10" borderId="1" xfId="0" applyNumberFormat="1" applyFill="1" applyBorder="1"/>
    <xf numFmtId="0" fontId="0" fillId="9" borderId="1" xfId="0" applyFill="1" applyBorder="1"/>
    <xf numFmtId="10" fontId="1" fillId="12" borderId="1" xfId="0" applyNumberFormat="1" applyFont="1" applyFill="1" applyBorder="1" applyAlignment="1">
      <alignment horizontal="center"/>
    </xf>
    <xf numFmtId="0" fontId="1" fillId="14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5" borderId="1" xfId="0" applyFont="1" applyFill="1" applyBorder="1"/>
    <xf numFmtId="0" fontId="1" fillId="16" borderId="1" xfId="0" applyFont="1" applyFill="1" applyBorder="1"/>
    <xf numFmtId="0" fontId="3" fillId="7" borderId="1" xfId="0" applyFont="1" applyFill="1" applyBorder="1"/>
    <xf numFmtId="0" fontId="1" fillId="5" borderId="0" xfId="0" applyFont="1" applyFill="1"/>
    <xf numFmtId="0" fontId="1" fillId="9" borderId="1" xfId="0" applyFont="1" applyFill="1" applyBorder="1"/>
    <xf numFmtId="0" fontId="0" fillId="18" borderId="1" xfId="0" applyFill="1" applyBorder="1"/>
    <xf numFmtId="0" fontId="1" fillId="13" borderId="1" xfId="0" applyFont="1" applyFill="1" applyBorder="1"/>
    <xf numFmtId="0" fontId="0" fillId="20" borderId="1" xfId="0" applyFill="1" applyBorder="1"/>
    <xf numFmtId="0" fontId="0" fillId="3" borderId="1" xfId="0" applyFill="1" applyBorder="1"/>
    <xf numFmtId="0" fontId="0" fillId="14" borderId="1" xfId="0" applyFill="1" applyBorder="1"/>
    <xf numFmtId="0" fontId="0" fillId="11" borderId="1" xfId="0" applyFill="1" applyBorder="1"/>
    <xf numFmtId="0" fontId="0" fillId="0" borderId="0" xfId="0" applyAlignment="1">
      <alignment wrapText="1"/>
    </xf>
    <xf numFmtId="0" fontId="1" fillId="2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8" borderId="1" xfId="0" applyFill="1" applyBorder="1"/>
    <xf numFmtId="0" fontId="0" fillId="13" borderId="1" xfId="0" applyFill="1" applyBorder="1"/>
    <xf numFmtId="164" fontId="0" fillId="13" borderId="1" xfId="0" applyNumberFormat="1" applyFill="1" applyBorder="1"/>
    <xf numFmtId="0" fontId="0" fillId="10" borderId="1" xfId="0" applyFill="1" applyBorder="1"/>
    <xf numFmtId="2" fontId="0" fillId="0" borderId="1" xfId="0" applyNumberFormat="1" applyBorder="1"/>
    <xf numFmtId="2" fontId="0" fillId="14" borderId="1" xfId="0" applyNumberFormat="1" applyFill="1" applyBorder="1"/>
    <xf numFmtId="164" fontId="0" fillId="0" borderId="0" xfId="0" applyNumberFormat="1"/>
    <xf numFmtId="10" fontId="0" fillId="0" borderId="0" xfId="0" applyNumberFormat="1"/>
    <xf numFmtId="8" fontId="0" fillId="0" borderId="0" xfId="0" applyNumberFormat="1"/>
    <xf numFmtId="8" fontId="0" fillId="0" borderId="10" xfId="0" applyNumberFormat="1" applyBorder="1"/>
    <xf numFmtId="0" fontId="8" fillId="23" borderId="3" xfId="0" applyFont="1" applyFill="1" applyBorder="1" applyAlignment="1">
      <alignment horizontal="left"/>
    </xf>
    <xf numFmtId="0" fontId="8" fillId="23" borderId="5" xfId="0" applyFont="1" applyFill="1" applyBorder="1" applyAlignment="1">
      <alignment horizontal="left"/>
    </xf>
    <xf numFmtId="0" fontId="0" fillId="0" borderId="12" xfId="0" applyBorder="1"/>
    <xf numFmtId="0" fontId="9" fillId="24" borderId="0" xfId="0" applyFont="1" applyFill="1" applyAlignment="1">
      <alignment horizontal="left"/>
    </xf>
    <xf numFmtId="0" fontId="10" fillId="24" borderId="12" xfId="0" applyFont="1" applyFill="1" applyBorder="1" applyAlignment="1">
      <alignment horizontal="left"/>
    </xf>
    <xf numFmtId="0" fontId="9" fillId="24" borderId="10" xfId="0" applyFont="1" applyFill="1" applyBorder="1" applyAlignment="1">
      <alignment horizontal="left"/>
    </xf>
    <xf numFmtId="0" fontId="11" fillId="23" borderId="5" xfId="0" applyFont="1" applyFill="1" applyBorder="1" applyAlignment="1">
      <alignment horizontal="right"/>
    </xf>
    <xf numFmtId="0" fontId="11" fillId="23" borderId="3" xfId="0" applyFont="1" applyFill="1" applyBorder="1" applyAlignment="1">
      <alignment horizontal="right"/>
    </xf>
    <xf numFmtId="164" fontId="0" fillId="25" borderId="0" xfId="0" applyNumberFormat="1" applyFill="1"/>
    <xf numFmtId="0" fontId="0" fillId="25" borderId="0" xfId="0" applyFill="1"/>
    <xf numFmtId="10" fontId="0" fillId="25" borderId="0" xfId="0" applyNumberFormat="1" applyFill="1"/>
    <xf numFmtId="0" fontId="12" fillId="0" borderId="0" xfId="0" applyFont="1" applyAlignment="1">
      <alignment vertical="top" wrapText="1"/>
    </xf>
    <xf numFmtId="10" fontId="0" fillId="0" borderId="10" xfId="0" applyNumberFormat="1" applyBorder="1"/>
    <xf numFmtId="0" fontId="2" fillId="2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2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3" fillId="11" borderId="3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 vertical="center" textRotation="90" wrapText="1"/>
    </xf>
    <xf numFmtId="0" fontId="3" fillId="13" borderId="0" xfId="0" applyFont="1" applyFill="1" applyAlignment="1">
      <alignment horizontal="center" wrapText="1"/>
    </xf>
    <xf numFmtId="0" fontId="1" fillId="14" borderId="0" xfId="0" applyFont="1" applyFill="1" applyAlignment="1">
      <alignment horizontal="center"/>
    </xf>
    <xf numFmtId="0" fontId="1" fillId="2" borderId="4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1" fillId="2" borderId="7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1" fillId="2" borderId="8" xfId="0" applyFont="1" applyFill="1" applyBorder="1" applyAlignment="1">
      <alignment horizontal="left" wrapText="1"/>
    </xf>
    <xf numFmtId="0" fontId="1" fillId="2" borderId="9" xfId="0" applyFont="1" applyFill="1" applyBorder="1" applyAlignment="1">
      <alignment horizontal="left" wrapText="1"/>
    </xf>
    <xf numFmtId="0" fontId="1" fillId="2" borderId="10" xfId="0" applyFont="1" applyFill="1" applyBorder="1" applyAlignment="1">
      <alignment horizontal="left" wrapText="1"/>
    </xf>
    <xf numFmtId="0" fontId="1" fillId="2" borderId="11" xfId="0" applyFont="1" applyFill="1" applyBorder="1" applyAlignment="1">
      <alignment horizontal="left" wrapText="1"/>
    </xf>
    <xf numFmtId="0" fontId="5" fillId="21" borderId="0" xfId="0" applyFont="1" applyFill="1" applyAlignment="1">
      <alignment horizontal="left" wrapText="1"/>
    </xf>
    <xf numFmtId="0" fontId="4" fillId="9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17" borderId="0" xfId="0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0" fontId="6" fillId="2" borderId="0" xfId="0" applyFont="1" applyFill="1" applyAlignment="1">
      <alignment horizontal="center" wrapText="1"/>
    </xf>
    <xf numFmtId="0" fontId="7" fillId="21" borderId="2" xfId="0" applyFont="1" applyFill="1" applyBorder="1" applyAlignment="1">
      <alignment horizontal="center" vertical="center"/>
    </xf>
    <xf numFmtId="0" fontId="7" fillId="21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customXml" Target="../ink/ink6.xml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11" Type="http://schemas.openxmlformats.org/officeDocument/2006/relationships/image" Target="../media/image6.png"/><Relationship Id="rId5" Type="http://schemas.openxmlformats.org/officeDocument/2006/relationships/image" Target="../media/image3.png"/><Relationship Id="rId10" Type="http://schemas.openxmlformats.org/officeDocument/2006/relationships/customXml" Target="../ink/ink5.xml"/><Relationship Id="rId4" Type="http://schemas.openxmlformats.org/officeDocument/2006/relationships/customXml" Target="../ink/ink2.xml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2</xdr:col>
      <xdr:colOff>343175</xdr:colOff>
      <xdr:row>13</xdr:row>
      <xdr:rowOff>162001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80AC63-7DDA-5E6F-F5A9-470CCEF64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171700"/>
          <a:ext cx="1971950" cy="543001"/>
        </a:xfrm>
        <a:prstGeom prst="rect">
          <a:avLst/>
        </a:prstGeom>
      </xdr:spPr>
    </xdr:pic>
    <xdr:clientData/>
  </xdr:twoCellAnchor>
  <xdr:twoCellAnchor editAs="oneCell">
    <xdr:from>
      <xdr:col>0</xdr:col>
      <xdr:colOff>783360</xdr:colOff>
      <xdr:row>13</xdr:row>
      <xdr:rowOff>122637</xdr:rowOff>
    </xdr:from>
    <xdr:to>
      <xdr:col>1</xdr:col>
      <xdr:colOff>476535</xdr:colOff>
      <xdr:row>14</xdr:row>
      <xdr:rowOff>153800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82AEB37E-372B-C430-1598-BAFFE60ADCCF}"/>
                </a:ext>
              </a:extLst>
            </xdr14:cNvPr>
            <xdr14:cNvContentPartPr/>
          </xdr14:nvContentPartPr>
          <xdr14:nvPr macro=""/>
          <xdr14:xfrm>
            <a:off x="783360" y="2695923"/>
            <a:ext cx="883800" cy="2232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82AEB37E-372B-C430-1598-BAFFE60ADCC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777240" y="2689803"/>
              <a:ext cx="896040" cy="23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1305771</xdr:colOff>
      <xdr:row>13</xdr:row>
      <xdr:rowOff>84477</xdr:rowOff>
    </xdr:from>
    <xdr:to>
      <xdr:col>2</xdr:col>
      <xdr:colOff>292183</xdr:colOff>
      <xdr:row>14</xdr:row>
      <xdr:rowOff>153800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187C17B5-EFD6-381E-0E92-127771F99BAD}"/>
                </a:ext>
              </a:extLst>
            </xdr14:cNvPr>
            <xdr14:cNvContentPartPr/>
          </xdr14:nvContentPartPr>
          <xdr14:nvPr macro=""/>
          <xdr14:xfrm>
            <a:off x="2496396" y="2657763"/>
            <a:ext cx="614880" cy="261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187C17B5-EFD6-381E-0E92-127771F99BA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490276" y="2651643"/>
              <a:ext cx="627120" cy="27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1090643</xdr:colOff>
      <xdr:row>13</xdr:row>
      <xdr:rowOff>92158</xdr:rowOff>
    </xdr:from>
    <xdr:to>
      <xdr:col>1</xdr:col>
      <xdr:colOff>1229243</xdr:colOff>
      <xdr:row>16</xdr:row>
      <xdr:rowOff>46329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37E346DE-4150-E54D-0D30-16B1DAD8202A}"/>
                </a:ext>
              </a:extLst>
            </xdr14:cNvPr>
            <xdr14:cNvContentPartPr/>
          </xdr14:nvContentPartPr>
          <xdr14:nvPr macro=""/>
          <xdr14:xfrm>
            <a:off x="2281268" y="2665444"/>
            <a:ext cx="138600" cy="53028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37E346DE-4150-E54D-0D30-16B1DAD8202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275148" y="2659324"/>
              <a:ext cx="150840" cy="54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7427</xdr:colOff>
      <xdr:row>8</xdr:row>
      <xdr:rowOff>76735</xdr:rowOff>
    </xdr:from>
    <xdr:to>
      <xdr:col>3</xdr:col>
      <xdr:colOff>7787</xdr:colOff>
      <xdr:row>8</xdr:row>
      <xdr:rowOff>77095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A6264191-8DEA-CBF8-5416-38B525FFD963}"/>
                </a:ext>
              </a:extLst>
            </xdr14:cNvPr>
            <xdr14:cNvContentPartPr/>
          </xdr14:nvContentPartPr>
          <xdr14:nvPr macro=""/>
          <xdr14:xfrm>
            <a:off x="3886560" y="1689840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A6264191-8DEA-CBF8-5416-38B525FFD96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880440" y="16837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376095</xdr:colOff>
      <xdr:row>13</xdr:row>
      <xdr:rowOff>84954</xdr:rowOff>
    </xdr:from>
    <xdr:to>
      <xdr:col>1</xdr:col>
      <xdr:colOff>791175</xdr:colOff>
      <xdr:row>15</xdr:row>
      <xdr:rowOff>69161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41D415D-45FB-6F5D-35BC-FFD0F9FDB729}"/>
                </a:ext>
              </a:extLst>
            </xdr14:cNvPr>
            <xdr14:cNvContentPartPr/>
          </xdr14:nvContentPartPr>
          <xdr14:nvPr macro=""/>
          <xdr14:xfrm>
            <a:off x="1566720" y="2658240"/>
            <a:ext cx="415080" cy="3682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41D415D-45FB-6F5D-35BC-FFD0F9FDB72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560600" y="2652120"/>
              <a:ext cx="427320" cy="38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1021387</xdr:colOff>
      <xdr:row>18</xdr:row>
      <xdr:rowOff>115132</xdr:rowOff>
    </xdr:from>
    <xdr:to>
      <xdr:col>2</xdr:col>
      <xdr:colOff>1021747</xdr:colOff>
      <xdr:row>18</xdr:row>
      <xdr:rowOff>115492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9237E835-7712-542B-2B86-277ECA707D50}"/>
                </a:ext>
              </a:extLst>
            </xdr14:cNvPr>
            <xdr14:cNvContentPartPr/>
          </xdr14:nvContentPartPr>
          <xdr14:nvPr macro=""/>
          <xdr14:xfrm>
            <a:off x="3840480" y="3648600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9237E835-7712-542B-2B86-277ECA707D5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834360" y="36424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2</xdr:col>
      <xdr:colOff>857681</xdr:colOff>
      <xdr:row>23</xdr:row>
      <xdr:rowOff>152474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E57579-41AC-5081-594F-38C18BDCB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00500"/>
          <a:ext cx="3086531" cy="5334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27810</xdr:colOff>
      <xdr:row>1</xdr:row>
      <xdr:rowOff>139051</xdr:rowOff>
    </xdr:from>
    <xdr:to>
      <xdr:col>6</xdr:col>
      <xdr:colOff>848211</xdr:colOff>
      <xdr:row>2</xdr:row>
      <xdr:rowOff>170438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C1F95A-312B-20C8-4747-1992CB97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1387" y="375438"/>
          <a:ext cx="820401" cy="21910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152957</xdr:rowOff>
    </xdr:from>
    <xdr:to>
      <xdr:col>7</xdr:col>
      <xdr:colOff>628738</xdr:colOff>
      <xdr:row>2</xdr:row>
      <xdr:rowOff>136712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0E44B2-C52F-FAB2-B971-3E8DF3868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27409" y="389344"/>
          <a:ext cx="628738" cy="171474"/>
        </a:xfrm>
        <a:prstGeom prst="rect">
          <a:avLst/>
        </a:prstGeom>
      </xdr:spPr>
    </xdr:pic>
    <xdr:clientData/>
  </xdr:twoCellAnchor>
  <xdr:twoCellAnchor editAs="oneCell">
    <xdr:from>
      <xdr:col>8</xdr:col>
      <xdr:colOff>13905</xdr:colOff>
      <xdr:row>1</xdr:row>
      <xdr:rowOff>97336</xdr:rowOff>
    </xdr:from>
    <xdr:to>
      <xdr:col>8</xdr:col>
      <xdr:colOff>827354</xdr:colOff>
      <xdr:row>2</xdr:row>
      <xdr:rowOff>157302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3AF23C-3225-165F-BCF7-5C23F000C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36569" y="333723"/>
          <a:ext cx="813449" cy="247685"/>
        </a:xfrm>
        <a:prstGeom prst="rect">
          <a:avLst/>
        </a:prstGeom>
      </xdr:spPr>
    </xdr:pic>
    <xdr:clientData/>
  </xdr:twoCellAnchor>
  <xdr:twoCellAnchor editAs="oneCell">
    <xdr:from>
      <xdr:col>9</xdr:col>
      <xdr:colOff>20858</xdr:colOff>
      <xdr:row>1</xdr:row>
      <xdr:rowOff>159909</xdr:rowOff>
    </xdr:from>
    <xdr:to>
      <xdr:col>9</xdr:col>
      <xdr:colOff>516227</xdr:colOff>
      <xdr:row>2</xdr:row>
      <xdr:rowOff>143664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B06A22-F7A9-32BF-D1CF-2C88B0EB8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65548" y="396296"/>
          <a:ext cx="495369" cy="171474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3T10:09:01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0 619 24420,'2454'-619'0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3T10:09:06.8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24420,'1707'725'0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3T10:19:40.7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24333,'384'1472'0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3T10:19:42.7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3T10:28:09.2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1023 24575,'5'-4'0,"0"1"0,0 0 0,1 0 0,-1 0 0,1 1 0,0-1 0,-1 1 0,8-1 0,22-10 0,-11-1 0,-1-2 0,0-1 0,-1 0 0,-1-2 0,29-33 0,-2 3 0,-11 13 0,1 2 0,58-40 0,41-16 0,6-12 0,-9 15 0,-114 73 0,0-1 0,-1-1 0,0-1 0,-1-1 0,-1 0 0,-1-1 0,-1-1 0,-1-1 0,18-32 0,-17 20 0,28-55 0,-30 59-1365,-10 14-5461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3T10:28:15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BED8-CE20-402E-9FE2-F1A166C874FE}">
  <sheetPr>
    <tabColor rgb="FFFFC000"/>
  </sheetPr>
  <dimension ref="A1:AA21"/>
  <sheetViews>
    <sheetView zoomScale="124" workbookViewId="0">
      <selection activeCell="A23" sqref="A23"/>
    </sheetView>
  </sheetViews>
  <sheetFormatPr defaultRowHeight="15" x14ac:dyDescent="0.25"/>
  <cols>
    <col min="1" max="1" width="17.85546875" bestFit="1" customWidth="1"/>
    <col min="2" max="2" width="24.42578125" customWidth="1"/>
    <col min="3" max="3" width="15.85546875" customWidth="1"/>
    <col min="6" max="6" width="10.85546875" bestFit="1" customWidth="1"/>
    <col min="7" max="7" width="17.140625" customWidth="1"/>
    <col min="10" max="10" width="13.42578125" customWidth="1"/>
    <col min="11" max="11" width="12.28515625" bestFit="1" customWidth="1"/>
    <col min="12" max="12" width="14.5703125" customWidth="1"/>
    <col min="13" max="13" width="12.5703125" customWidth="1"/>
    <col min="14" max="14" width="12.7109375" customWidth="1"/>
    <col min="15" max="15" width="14.140625" customWidth="1"/>
    <col min="16" max="16" width="13.7109375" customWidth="1"/>
    <col min="17" max="17" width="12.85546875" customWidth="1"/>
    <col min="18" max="18" width="14.42578125" customWidth="1"/>
    <col min="19" max="19" width="14" customWidth="1"/>
    <col min="20" max="20" width="14.85546875" customWidth="1"/>
    <col min="21" max="21" width="12.5703125" customWidth="1"/>
    <col min="22" max="22" width="13.28515625" customWidth="1"/>
    <col min="23" max="23" width="13.140625" customWidth="1"/>
    <col min="24" max="25" width="11.85546875" customWidth="1"/>
    <col min="26" max="26" width="12" customWidth="1"/>
    <col min="27" max="27" width="12.140625" customWidth="1"/>
  </cols>
  <sheetData>
    <row r="1" spans="1:27" ht="21" x14ac:dyDescent="0.35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</row>
    <row r="2" spans="1:27" x14ac:dyDescent="0.25">
      <c r="F2" s="62" t="s">
        <v>7</v>
      </c>
      <c r="G2" s="62"/>
    </row>
    <row r="4" spans="1:27" x14ac:dyDescent="0.25">
      <c r="B4" s="5" t="s">
        <v>1</v>
      </c>
      <c r="C4" s="2">
        <v>10000000</v>
      </c>
      <c r="F4" s="9" t="s">
        <v>6</v>
      </c>
      <c r="G4" s="9" t="s">
        <v>5</v>
      </c>
      <c r="I4" s="63" t="s">
        <v>8</v>
      </c>
      <c r="J4" s="10" t="s">
        <v>6</v>
      </c>
      <c r="K4" s="1">
        <v>36</v>
      </c>
      <c r="L4" s="1">
        <v>48</v>
      </c>
      <c r="M4" s="1">
        <v>60</v>
      </c>
      <c r="N4" s="1">
        <v>72</v>
      </c>
      <c r="O4" s="1">
        <v>84</v>
      </c>
      <c r="P4" s="1">
        <v>96</v>
      </c>
      <c r="Q4" s="1">
        <v>108</v>
      </c>
      <c r="R4" s="1">
        <v>120</v>
      </c>
      <c r="S4" s="1">
        <v>132</v>
      </c>
      <c r="T4" s="1">
        <v>144</v>
      </c>
      <c r="U4" s="1">
        <v>156</v>
      </c>
      <c r="V4" s="1">
        <v>168</v>
      </c>
      <c r="W4" s="1">
        <v>180</v>
      </c>
      <c r="X4" s="1">
        <v>192</v>
      </c>
      <c r="Y4" s="1">
        <v>204</v>
      </c>
      <c r="Z4" s="1">
        <v>216</v>
      </c>
      <c r="AA4" s="1">
        <v>228</v>
      </c>
    </row>
    <row r="5" spans="1:27" x14ac:dyDescent="0.25">
      <c r="B5" s="6" t="s">
        <v>2</v>
      </c>
      <c r="C5" s="3">
        <v>0.09</v>
      </c>
      <c r="F5" s="1">
        <v>36</v>
      </c>
      <c r="G5" s="4">
        <f>C7</f>
        <v>315630.1008430837</v>
      </c>
      <c r="I5" s="63"/>
      <c r="J5" s="10" t="s">
        <v>5</v>
      </c>
      <c r="K5" s="4">
        <f>C7</f>
        <v>315630.1008430837</v>
      </c>
      <c r="L5" s="2">
        <f t="dataTable" ref="L5:AA5" dt2D="0" dtr="1" r1="C6"/>
        <v>246997.93919537673</v>
      </c>
      <c r="M5" s="2">
        <v>206038.26527398516</v>
      </c>
      <c r="N5" s="2">
        <v>178913.52028061374</v>
      </c>
      <c r="O5" s="2">
        <v>159693.08446688385</v>
      </c>
      <c r="P5" s="2">
        <v>145411.44688529</v>
      </c>
      <c r="Q5" s="2">
        <v>134420.92955967499</v>
      </c>
      <c r="R5" s="2">
        <v>125732.77791588036</v>
      </c>
      <c r="S5" s="2">
        <v>118717.65705921168</v>
      </c>
      <c r="T5" s="2">
        <v>112955.90042286906</v>
      </c>
      <c r="U5" s="2">
        <v>108156.87483170716</v>
      </c>
      <c r="V5" s="2">
        <v>104112.90371241288</v>
      </c>
      <c r="W5" s="2">
        <v>100671.62125675284</v>
      </c>
      <c r="X5" s="2">
        <v>97718.693940904952</v>
      </c>
      <c r="Y5" s="2">
        <v>95166.640438196249</v>
      </c>
      <c r="Z5" s="2">
        <v>92947.378280368037</v>
      </c>
      <c r="AA5" s="2">
        <v>91007.124211364673</v>
      </c>
    </row>
    <row r="6" spans="1:27" x14ac:dyDescent="0.25">
      <c r="B6" s="7" t="s">
        <v>3</v>
      </c>
      <c r="C6" s="1">
        <v>36</v>
      </c>
      <c r="F6" s="1">
        <v>48</v>
      </c>
      <c r="G6" s="2">
        <f t="dataTable" ref="G6:G21" dt2D="0" dtr="0" r1="C6" ca="1"/>
        <v>246997.93919537673</v>
      </c>
    </row>
    <row r="7" spans="1:27" x14ac:dyDescent="0.25">
      <c r="B7" s="8" t="s">
        <v>4</v>
      </c>
      <c r="C7" s="4">
        <f>PMT(C5/12,C6,-C4,0,1)</f>
        <v>315630.1008430837</v>
      </c>
      <c r="F7" s="1">
        <v>60</v>
      </c>
      <c r="G7" s="2">
        <v>206038.26527398516</v>
      </c>
    </row>
    <row r="8" spans="1:27" x14ac:dyDescent="0.25">
      <c r="F8" s="1">
        <v>72</v>
      </c>
      <c r="G8" s="2">
        <v>178913.52028061374</v>
      </c>
    </row>
    <row r="9" spans="1:27" x14ac:dyDescent="0.25">
      <c r="B9" s="64" t="s">
        <v>66</v>
      </c>
      <c r="C9" s="64"/>
      <c r="F9" s="1">
        <v>84</v>
      </c>
      <c r="G9" s="2">
        <v>159693.08446688385</v>
      </c>
    </row>
    <row r="10" spans="1:27" x14ac:dyDescent="0.25">
      <c r="F10" s="1">
        <v>96</v>
      </c>
      <c r="G10" s="2">
        <v>145411.44688529</v>
      </c>
    </row>
    <row r="11" spans="1:27" x14ac:dyDescent="0.25">
      <c r="F11" s="1">
        <v>108</v>
      </c>
      <c r="G11" s="2">
        <v>134420.92955967499</v>
      </c>
    </row>
    <row r="12" spans="1:27" x14ac:dyDescent="0.25">
      <c r="F12" s="1">
        <v>120</v>
      </c>
      <c r="G12" s="2">
        <v>125732.77791588036</v>
      </c>
    </row>
    <row r="13" spans="1:27" x14ac:dyDescent="0.25">
      <c r="F13" s="1">
        <v>132</v>
      </c>
      <c r="G13" s="2">
        <v>118717.65705921168</v>
      </c>
    </row>
    <row r="14" spans="1:27" x14ac:dyDescent="0.25">
      <c r="F14" s="1">
        <v>144</v>
      </c>
      <c r="G14" s="2">
        <v>112955.90042286906</v>
      </c>
    </row>
    <row r="15" spans="1:27" x14ac:dyDescent="0.25">
      <c r="C15" s="34">
        <v>0</v>
      </c>
      <c r="F15" s="1">
        <v>156</v>
      </c>
      <c r="G15" s="2">
        <v>108156.87483170716</v>
      </c>
    </row>
    <row r="16" spans="1:27" x14ac:dyDescent="0.25">
      <c r="A16" s="31" t="s">
        <v>67</v>
      </c>
      <c r="B16" s="33" t="s">
        <v>68</v>
      </c>
      <c r="F16" s="1">
        <v>168</v>
      </c>
      <c r="G16" s="2">
        <v>104112.90371241288</v>
      </c>
    </row>
    <row r="17" spans="2:7" x14ac:dyDescent="0.25">
      <c r="B17" s="32" t="s">
        <v>69</v>
      </c>
      <c r="F17" s="1">
        <v>180</v>
      </c>
      <c r="G17" s="2">
        <v>100671.62125675284</v>
      </c>
    </row>
    <row r="18" spans="2:7" x14ac:dyDescent="0.25">
      <c r="F18" s="1">
        <v>192</v>
      </c>
      <c r="G18" s="2">
        <v>97718.693940904952</v>
      </c>
    </row>
    <row r="19" spans="2:7" x14ac:dyDescent="0.25">
      <c r="F19" s="1">
        <v>204</v>
      </c>
      <c r="G19" s="2">
        <v>95166.640438196249</v>
      </c>
    </row>
    <row r="20" spans="2:7" x14ac:dyDescent="0.25">
      <c r="F20" s="1">
        <v>216</v>
      </c>
      <c r="G20" s="2">
        <v>92947.378280368037</v>
      </c>
    </row>
    <row r="21" spans="2:7" x14ac:dyDescent="0.25">
      <c r="F21" s="1">
        <v>228</v>
      </c>
      <c r="G21" s="2">
        <v>91007.124211364673</v>
      </c>
    </row>
  </sheetData>
  <mergeCells count="4">
    <mergeCell ref="A1:X1"/>
    <mergeCell ref="F2:G2"/>
    <mergeCell ref="I4:I5"/>
    <mergeCell ref="B9:C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3A964-44A8-4696-B002-2181A96C7840}">
  <sheetPr>
    <tabColor rgb="FFFFFF00"/>
  </sheetPr>
  <dimension ref="A1:X23"/>
  <sheetViews>
    <sheetView workbookViewId="0">
      <selection activeCell="H27" sqref="H27"/>
    </sheetView>
  </sheetViews>
  <sheetFormatPr defaultRowHeight="15" x14ac:dyDescent="0.25"/>
  <cols>
    <col min="2" max="2" width="21.85546875" bestFit="1" customWidth="1"/>
    <col min="3" max="3" width="17.5703125" customWidth="1"/>
    <col min="6" max="6" width="11.140625" bestFit="1" customWidth="1"/>
    <col min="7" max="7" width="17" customWidth="1"/>
    <col min="8" max="8" width="17.28515625" customWidth="1"/>
    <col min="9" max="11" width="13.42578125" bestFit="1" customWidth="1"/>
    <col min="12" max="12" width="14.28515625" customWidth="1"/>
    <col min="13" max="13" width="17.5703125" customWidth="1"/>
    <col min="14" max="14" width="15.42578125" customWidth="1"/>
    <col min="15" max="15" width="16.140625" customWidth="1"/>
    <col min="16" max="16" width="15.42578125" customWidth="1"/>
  </cols>
  <sheetData>
    <row r="1" spans="1:24" ht="21" x14ac:dyDescent="0.35">
      <c r="A1" s="61" t="s">
        <v>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</row>
    <row r="4" spans="1:24" ht="15.75" x14ac:dyDescent="0.25">
      <c r="E4" t="s">
        <v>12</v>
      </c>
      <c r="H4" s="65" t="s">
        <v>10</v>
      </c>
      <c r="I4" s="65"/>
      <c r="J4" s="65"/>
      <c r="K4" s="65"/>
      <c r="L4" s="65"/>
      <c r="M4" s="65"/>
      <c r="N4" s="65"/>
    </row>
    <row r="5" spans="1:24" x14ac:dyDescent="0.25">
      <c r="B5" s="5" t="s">
        <v>1</v>
      </c>
      <c r="C5" s="2">
        <v>500000</v>
      </c>
      <c r="F5" s="11">
        <f>C8</f>
        <v>12125.623679554214</v>
      </c>
      <c r="G5" s="11">
        <v>500000</v>
      </c>
      <c r="H5" s="11">
        <v>1000000</v>
      </c>
      <c r="I5" s="11">
        <v>1500000</v>
      </c>
      <c r="J5" s="11">
        <v>2000000</v>
      </c>
      <c r="K5" s="11">
        <v>2500000</v>
      </c>
      <c r="L5" s="11">
        <v>3000000</v>
      </c>
      <c r="M5" s="11">
        <v>3500000</v>
      </c>
      <c r="N5" s="11">
        <v>4000000</v>
      </c>
      <c r="O5" s="11">
        <v>4500000</v>
      </c>
      <c r="P5" s="11">
        <v>5000000</v>
      </c>
    </row>
    <row r="6" spans="1:24" x14ac:dyDescent="0.25">
      <c r="B6" s="6" t="s">
        <v>2</v>
      </c>
      <c r="C6" s="3">
        <v>0.08</v>
      </c>
      <c r="F6" s="12">
        <v>48</v>
      </c>
      <c r="G6" s="2">
        <f t="dataTable" ref="G6:P23" dt2D="1" dtr="1" r1="C5" r2="C7"/>
        <v>12125.623679554214</v>
      </c>
      <c r="H6" s="2">
        <v>24251.247359108427</v>
      </c>
      <c r="I6" s="2">
        <v>36376.871038662641</v>
      </c>
      <c r="J6" s="2">
        <v>48502.494718216854</v>
      </c>
      <c r="K6" s="2">
        <v>60628.118397771068</v>
      </c>
      <c r="L6" s="2">
        <v>72753.742077325282</v>
      </c>
      <c r="M6" s="2">
        <v>84879.365756879488</v>
      </c>
      <c r="N6" s="2">
        <v>97004.989436433709</v>
      </c>
      <c r="O6" s="2">
        <v>109130.61311598792</v>
      </c>
      <c r="P6" s="2">
        <v>121256.23679554214</v>
      </c>
    </row>
    <row r="7" spans="1:24" x14ac:dyDescent="0.25">
      <c r="B7" s="7" t="s">
        <v>3</v>
      </c>
      <c r="C7" s="1">
        <v>48</v>
      </c>
      <c r="F7" s="12">
        <v>60</v>
      </c>
      <c r="G7" s="2">
        <v>10071.056765768384</v>
      </c>
      <c r="H7" s="2">
        <v>20142.113531536768</v>
      </c>
      <c r="I7" s="2">
        <v>30213.170297305151</v>
      </c>
      <c r="J7" s="2">
        <v>40284.227063073537</v>
      </c>
      <c r="K7" s="2">
        <v>50355.283828841915</v>
      </c>
      <c r="L7" s="2">
        <v>60426.340594610301</v>
      </c>
      <c r="M7" s="2">
        <v>70497.397360378687</v>
      </c>
      <c r="N7" s="2">
        <v>80568.454126147073</v>
      </c>
      <c r="O7" s="2">
        <v>90639.510891915459</v>
      </c>
      <c r="P7" s="2">
        <v>100710.56765768383</v>
      </c>
    </row>
    <row r="8" spans="1:24" x14ac:dyDescent="0.25">
      <c r="B8" s="8" t="s">
        <v>4</v>
      </c>
      <c r="C8" s="4">
        <f>PMT(C6/12,C7,-C5,0,1)</f>
        <v>12125.623679554214</v>
      </c>
      <c r="F8" s="12">
        <v>72</v>
      </c>
      <c r="G8" s="2">
        <v>8708.5632178573451</v>
      </c>
      <c r="H8" s="2">
        <v>17417.12643571469</v>
      </c>
      <c r="I8" s="2">
        <v>26125.689653572037</v>
      </c>
      <c r="J8" s="2">
        <v>34834.25287142938</v>
      </c>
      <c r="K8" s="2">
        <v>43542.816089286731</v>
      </c>
      <c r="L8" s="2">
        <v>52251.379307144074</v>
      </c>
      <c r="M8" s="2">
        <v>60959.942525001417</v>
      </c>
      <c r="N8" s="2">
        <v>69668.505742858761</v>
      </c>
      <c r="O8" s="2">
        <v>78377.068960716104</v>
      </c>
      <c r="P8" s="2">
        <v>87085.632178573462</v>
      </c>
    </row>
    <row r="9" spans="1:24" x14ac:dyDescent="0.25">
      <c r="E9" s="66" t="s">
        <v>11</v>
      </c>
      <c r="F9" s="12">
        <v>84</v>
      </c>
      <c r="G9" s="2">
        <v>7741.4972198689775</v>
      </c>
      <c r="H9" s="2">
        <v>15482.994439737955</v>
      </c>
      <c r="I9" s="2">
        <v>23224.491659606931</v>
      </c>
      <c r="J9" s="2">
        <v>30965.98887947591</v>
      </c>
      <c r="K9" s="2">
        <v>38707.486099344882</v>
      </c>
      <c r="L9" s="2">
        <v>46448.983319213861</v>
      </c>
      <c r="M9" s="2">
        <v>54190.480539082841</v>
      </c>
      <c r="N9" s="2">
        <v>61931.97775895182</v>
      </c>
      <c r="O9" s="2">
        <v>69673.474978820799</v>
      </c>
      <c r="P9" s="2">
        <v>77414.972198689764</v>
      </c>
    </row>
    <row r="10" spans="1:24" x14ac:dyDescent="0.25">
      <c r="E10" s="66"/>
      <c r="F10" s="12">
        <v>96</v>
      </c>
      <c r="G10" s="2">
        <v>7021.5294310652989</v>
      </c>
      <c r="H10" s="2">
        <v>14043.058862130598</v>
      </c>
      <c r="I10" s="2">
        <v>21064.588293195899</v>
      </c>
      <c r="J10" s="2">
        <v>28086.117724261196</v>
      </c>
      <c r="K10" s="2">
        <v>35107.6471553265</v>
      </c>
      <c r="L10" s="2">
        <v>42129.176586391797</v>
      </c>
      <c r="M10" s="2">
        <v>49150.706017457094</v>
      </c>
      <c r="N10" s="2">
        <v>56172.235448522391</v>
      </c>
      <c r="O10" s="2">
        <v>63193.764879587703</v>
      </c>
      <c r="P10" s="2">
        <v>70215.294310653</v>
      </c>
    </row>
    <row r="11" spans="1:24" x14ac:dyDescent="0.25">
      <c r="E11" s="66"/>
      <c r="F11" s="12">
        <v>108</v>
      </c>
      <c r="G11" s="2">
        <v>6466.2491161769267</v>
      </c>
      <c r="H11" s="2">
        <v>12932.498232353853</v>
      </c>
      <c r="I11" s="2">
        <v>19398.747348530778</v>
      </c>
      <c r="J11" s="2">
        <v>25864.996464707707</v>
      </c>
      <c r="K11" s="2">
        <v>32331.245580884635</v>
      </c>
      <c r="L11" s="2">
        <v>38797.494697061557</v>
      </c>
      <c r="M11" s="2">
        <v>45263.743813238485</v>
      </c>
      <c r="N11" s="2">
        <v>51729.992929415414</v>
      </c>
      <c r="O11" s="2">
        <v>58196.242045592342</v>
      </c>
      <c r="P11" s="2">
        <v>64662.491161769271</v>
      </c>
    </row>
    <row r="12" spans="1:24" x14ac:dyDescent="0.25">
      <c r="E12" s="66"/>
      <c r="F12" s="12">
        <v>120</v>
      </c>
      <c r="G12" s="2">
        <v>6026.205017650178</v>
      </c>
      <c r="H12" s="2">
        <v>12052.410035300356</v>
      </c>
      <c r="I12" s="2">
        <v>18078.615052950536</v>
      </c>
      <c r="J12" s="2">
        <v>24104.820070600712</v>
      </c>
      <c r="K12" s="2">
        <v>30131.025088250892</v>
      </c>
      <c r="L12" s="2">
        <v>36157.230105901072</v>
      </c>
      <c r="M12" s="2">
        <v>42183.435123551251</v>
      </c>
      <c r="N12" s="2">
        <v>48209.640141201424</v>
      </c>
      <c r="O12" s="2">
        <v>54235.845158851604</v>
      </c>
      <c r="P12" s="2">
        <v>60262.050176501783</v>
      </c>
    </row>
    <row r="13" spans="1:24" x14ac:dyDescent="0.25">
      <c r="E13" s="66"/>
      <c r="F13" s="12">
        <v>132</v>
      </c>
      <c r="G13" s="2">
        <v>5669.9239509154049</v>
      </c>
      <c r="H13" s="2">
        <v>11339.84790183081</v>
      </c>
      <c r="I13" s="2">
        <v>17009.771852746213</v>
      </c>
      <c r="J13" s="2">
        <v>22679.69580366162</v>
      </c>
      <c r="K13" s="2">
        <v>28349.619754577026</v>
      </c>
      <c r="L13" s="2">
        <v>34019.543705492426</v>
      </c>
      <c r="M13" s="2">
        <v>39689.467656407833</v>
      </c>
      <c r="N13" s="2">
        <v>45359.391607323239</v>
      </c>
      <c r="O13" s="2">
        <v>51029.315558238646</v>
      </c>
      <c r="P13" s="2">
        <v>56699.239509154053</v>
      </c>
    </row>
    <row r="14" spans="1:24" x14ac:dyDescent="0.25">
      <c r="E14" s="66"/>
      <c r="F14" s="12">
        <v>144</v>
      </c>
      <c r="G14" s="2">
        <v>5376.4201162424579</v>
      </c>
      <c r="H14" s="2">
        <v>10752.840232484916</v>
      </c>
      <c r="I14" s="2">
        <v>16129.260348727375</v>
      </c>
      <c r="J14" s="2">
        <v>21505.680464969832</v>
      </c>
      <c r="K14" s="2">
        <v>26882.100581212289</v>
      </c>
      <c r="L14" s="2">
        <v>32258.520697454751</v>
      </c>
      <c r="M14" s="2">
        <v>37634.940813697205</v>
      </c>
      <c r="N14" s="2">
        <v>43011.360929939663</v>
      </c>
      <c r="O14" s="2">
        <v>48387.781046182121</v>
      </c>
      <c r="P14" s="2">
        <v>53764.201162424579</v>
      </c>
    </row>
    <row r="15" spans="1:24" x14ac:dyDescent="0.25">
      <c r="E15" s="66"/>
      <c r="F15" s="12">
        <v>156</v>
      </c>
      <c r="G15" s="2">
        <v>5131.1616630847984</v>
      </c>
      <c r="H15" s="2">
        <v>10262.323326169597</v>
      </c>
      <c r="I15" s="2">
        <v>15393.484989254397</v>
      </c>
      <c r="J15" s="2">
        <v>20524.646652339194</v>
      </c>
      <c r="K15" s="2">
        <v>25655.808315423994</v>
      </c>
      <c r="L15" s="2">
        <v>30786.969978508794</v>
      </c>
      <c r="M15" s="2">
        <v>35918.131641593587</v>
      </c>
      <c r="N15" s="2">
        <v>41049.293304678387</v>
      </c>
      <c r="O15" s="2">
        <v>46180.45496776318</v>
      </c>
      <c r="P15" s="2">
        <v>51311.616630847988</v>
      </c>
    </row>
    <row r="16" spans="1:24" x14ac:dyDescent="0.25">
      <c r="E16" s="66"/>
      <c r="F16" s="12">
        <v>168</v>
      </c>
      <c r="G16" s="2">
        <v>4923.7658793779829</v>
      </c>
      <c r="H16" s="2">
        <v>9847.5317587559657</v>
      </c>
      <c r="I16" s="2">
        <v>14771.297638133949</v>
      </c>
      <c r="J16" s="2">
        <v>19695.063517511931</v>
      </c>
      <c r="K16" s="2">
        <v>24618.829396889912</v>
      </c>
      <c r="L16" s="2">
        <v>29542.595276267897</v>
      </c>
      <c r="M16" s="2">
        <v>34466.361155645878</v>
      </c>
      <c r="N16" s="2">
        <v>39390.127035023863</v>
      </c>
      <c r="O16" s="2">
        <v>44313.89291440184</v>
      </c>
      <c r="P16" s="2">
        <v>49237.658793779825</v>
      </c>
    </row>
    <row r="17" spans="5:16" x14ac:dyDescent="0.25">
      <c r="E17" s="66"/>
      <c r="F17" s="12">
        <v>180</v>
      </c>
      <c r="G17" s="2">
        <v>4746.6163128990966</v>
      </c>
      <c r="H17" s="2">
        <v>9493.2326257981931</v>
      </c>
      <c r="I17" s="2">
        <v>14239.848938697289</v>
      </c>
      <c r="J17" s="2">
        <v>18986.465251596386</v>
      </c>
      <c r="K17" s="2">
        <v>23733.081564495482</v>
      </c>
      <c r="L17" s="2">
        <v>28479.697877394578</v>
      </c>
      <c r="M17" s="2">
        <v>33226.314190293677</v>
      </c>
      <c r="N17" s="2">
        <v>37972.930503192772</v>
      </c>
      <c r="O17" s="2">
        <v>42719.546816091868</v>
      </c>
      <c r="P17" s="2">
        <v>47466.163128990964</v>
      </c>
    </row>
    <row r="18" spans="5:16" x14ac:dyDescent="0.25">
      <c r="E18" s="66"/>
      <c r="F18" s="12">
        <v>192</v>
      </c>
      <c r="G18" s="2">
        <v>4593.9984782133879</v>
      </c>
      <c r="H18" s="2">
        <v>9187.9969564267758</v>
      </c>
      <c r="I18" s="2">
        <v>13781.995434640163</v>
      </c>
      <c r="J18" s="2">
        <v>18375.993912853552</v>
      </c>
      <c r="K18" s="2">
        <v>22969.992391066939</v>
      </c>
      <c r="L18" s="2">
        <v>27563.990869280326</v>
      </c>
      <c r="M18" s="2">
        <v>32157.989347493713</v>
      </c>
      <c r="N18" s="2">
        <v>36751.987825707103</v>
      </c>
      <c r="O18" s="2">
        <v>41345.986303920487</v>
      </c>
      <c r="P18" s="2">
        <v>45939.984782133877</v>
      </c>
    </row>
    <row r="19" spans="5:16" x14ac:dyDescent="0.25">
      <c r="E19" s="66"/>
      <c r="F19" s="12">
        <v>204</v>
      </c>
      <c r="G19" s="2">
        <v>4461.5406128274872</v>
      </c>
      <c r="H19" s="2">
        <v>8923.0812256549743</v>
      </c>
      <c r="I19" s="2">
        <v>13384.621838482461</v>
      </c>
      <c r="J19" s="2">
        <v>17846.162451309949</v>
      </c>
      <c r="K19" s="2">
        <v>22307.703064137433</v>
      </c>
      <c r="L19" s="2">
        <v>26769.243676964921</v>
      </c>
      <c r="M19" s="2">
        <v>31230.784289792409</v>
      </c>
      <c r="N19" s="2">
        <v>35692.324902619897</v>
      </c>
      <c r="O19" s="2">
        <v>40153.865515447382</v>
      </c>
      <c r="P19" s="2">
        <v>44615.406128274866</v>
      </c>
    </row>
    <row r="20" spans="5:16" x14ac:dyDescent="0.25">
      <c r="E20" s="66"/>
      <c r="F20" s="12">
        <v>216</v>
      </c>
      <c r="G20" s="2">
        <v>4345.8408512273827</v>
      </c>
      <c r="H20" s="2">
        <v>8691.6817024547654</v>
      </c>
      <c r="I20" s="2">
        <v>13037.522553682147</v>
      </c>
      <c r="J20" s="2">
        <v>17383.363404909531</v>
      </c>
      <c r="K20" s="2">
        <v>21729.204256136913</v>
      </c>
      <c r="L20" s="2">
        <v>26075.045107364294</v>
      </c>
      <c r="M20" s="2">
        <v>30420.88595859168</v>
      </c>
      <c r="N20" s="2">
        <v>34766.726809819062</v>
      </c>
      <c r="O20" s="2">
        <v>39112.567661046443</v>
      </c>
      <c r="P20" s="2">
        <v>43458.408512273825</v>
      </c>
    </row>
    <row r="21" spans="5:16" x14ac:dyDescent="0.25">
      <c r="E21" s="66"/>
      <c r="F21" s="12">
        <v>228</v>
      </c>
      <c r="G21" s="2">
        <v>4244.2121355213567</v>
      </c>
      <c r="H21" s="2">
        <v>8488.4242710427134</v>
      </c>
      <c r="I21" s="2">
        <v>12732.63640656407</v>
      </c>
      <c r="J21" s="2">
        <v>16976.848542085427</v>
      </c>
      <c r="K21" s="2">
        <v>21221.060677606783</v>
      </c>
      <c r="L21" s="2">
        <v>25465.27281312814</v>
      </c>
      <c r="M21" s="2">
        <v>29709.484948649497</v>
      </c>
      <c r="N21" s="2">
        <v>33953.697084170853</v>
      </c>
      <c r="O21" s="2">
        <v>38197.909219692207</v>
      </c>
      <c r="P21" s="2">
        <v>42442.121355213567</v>
      </c>
    </row>
    <row r="22" spans="5:16" x14ac:dyDescent="0.25">
      <c r="F22" s="12">
        <v>240</v>
      </c>
      <c r="G22" s="2">
        <v>4154.5036539410403</v>
      </c>
      <c r="H22" s="2">
        <v>8309.0073078820806</v>
      </c>
      <c r="I22" s="2">
        <v>12463.51096182312</v>
      </c>
      <c r="J22" s="2">
        <v>16618.014615764161</v>
      </c>
      <c r="K22" s="2">
        <v>20772.518269705201</v>
      </c>
      <c r="L22" s="2">
        <v>24927.02192364624</v>
      </c>
      <c r="M22" s="2">
        <v>29081.525577587279</v>
      </c>
      <c r="N22" s="2">
        <v>33236.029231528322</v>
      </c>
      <c r="O22" s="2">
        <v>37390.532885469358</v>
      </c>
      <c r="P22" s="2">
        <v>41545.036539410401</v>
      </c>
    </row>
    <row r="23" spans="5:16" x14ac:dyDescent="0.25">
      <c r="F23" s="12">
        <v>252</v>
      </c>
      <c r="G23" s="2">
        <v>4074.9732970527548</v>
      </c>
      <c r="H23" s="2">
        <v>8149.9465941055096</v>
      </c>
      <c r="I23" s="2">
        <v>12224.919891158264</v>
      </c>
      <c r="J23" s="2">
        <v>16299.893188211019</v>
      </c>
      <c r="K23" s="2">
        <v>20374.866485263774</v>
      </c>
      <c r="L23" s="2">
        <v>24449.839782316529</v>
      </c>
      <c r="M23" s="2">
        <v>28524.81307936928</v>
      </c>
      <c r="N23" s="2">
        <v>32599.786376422038</v>
      </c>
      <c r="O23" s="2">
        <v>36674.759673474786</v>
      </c>
      <c r="P23" s="2">
        <v>40749.732970527548</v>
      </c>
    </row>
  </sheetData>
  <mergeCells count="3">
    <mergeCell ref="A1:X1"/>
    <mergeCell ref="H4:N4"/>
    <mergeCell ref="E9:E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4C3B-8F2E-464D-A340-7D606CBE44B4}">
  <sheetPr>
    <tabColor theme="2" tint="-0.499984740745262"/>
  </sheetPr>
  <dimension ref="A1:X25"/>
  <sheetViews>
    <sheetView workbookViewId="0">
      <selection activeCell="C7" sqref="C7"/>
    </sheetView>
  </sheetViews>
  <sheetFormatPr defaultRowHeight="15" x14ac:dyDescent="0.25"/>
  <cols>
    <col min="2" max="2" width="21.85546875" bestFit="1" customWidth="1"/>
    <col min="3" max="3" width="15.85546875" customWidth="1"/>
    <col min="5" max="5" width="7.42578125" customWidth="1"/>
    <col min="6" max="6" width="14.85546875" customWidth="1"/>
    <col min="7" max="7" width="17.42578125" customWidth="1"/>
    <col min="8" max="8" width="17.7109375" customWidth="1"/>
    <col min="9" max="9" width="17.5703125" customWidth="1"/>
    <col min="10" max="10" width="13.42578125" bestFit="1" customWidth="1"/>
    <col min="11" max="11" width="14.42578125" customWidth="1"/>
    <col min="12" max="12" width="14.5703125" customWidth="1"/>
    <col min="13" max="13" width="15" customWidth="1"/>
    <col min="14" max="15" width="16.5703125" customWidth="1"/>
    <col min="16" max="16" width="15.5703125" customWidth="1"/>
  </cols>
  <sheetData>
    <row r="1" spans="1:24" ht="21" x14ac:dyDescent="0.35">
      <c r="A1" s="61" t="s">
        <v>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</row>
    <row r="6" spans="1:24" ht="15.75" x14ac:dyDescent="0.25">
      <c r="B6" s="5" t="s">
        <v>1</v>
      </c>
      <c r="C6" s="2">
        <v>500000</v>
      </c>
      <c r="H6" s="65" t="s">
        <v>10</v>
      </c>
      <c r="I6" s="65"/>
      <c r="J6" s="65"/>
      <c r="K6" s="65"/>
      <c r="L6" s="65"/>
      <c r="M6" s="65"/>
      <c r="N6" s="65"/>
    </row>
    <row r="7" spans="1:24" x14ac:dyDescent="0.25">
      <c r="B7" s="6" t="s">
        <v>2</v>
      </c>
      <c r="C7" s="3">
        <v>0.22</v>
      </c>
      <c r="F7" s="11">
        <f>C9</f>
        <v>15469.432652749374</v>
      </c>
      <c r="G7" s="11">
        <v>500000</v>
      </c>
      <c r="H7" s="11">
        <v>1000000</v>
      </c>
      <c r="I7" s="11">
        <v>1500000</v>
      </c>
      <c r="J7" s="11">
        <v>2000000</v>
      </c>
      <c r="K7" s="11">
        <v>2500000</v>
      </c>
      <c r="L7" s="11">
        <v>3000000</v>
      </c>
      <c r="M7" s="11">
        <v>3500000</v>
      </c>
      <c r="N7" s="11">
        <v>4000000</v>
      </c>
      <c r="O7" s="11">
        <v>4500000</v>
      </c>
      <c r="P7" s="11">
        <v>5000000</v>
      </c>
    </row>
    <row r="8" spans="1:24" x14ac:dyDescent="0.25">
      <c r="B8" s="7" t="s">
        <v>3</v>
      </c>
      <c r="C8" s="1">
        <v>48</v>
      </c>
      <c r="F8" s="12">
        <v>48</v>
      </c>
      <c r="G8" s="2">
        <f t="dataTable" ref="G8:P25" dt2D="1" dtr="1" r1="C6" r2="C8"/>
        <v>15469.432652749374</v>
      </c>
      <c r="H8" s="2">
        <v>30938.865305498748</v>
      </c>
      <c r="I8" s="2">
        <v>46408.297958248128</v>
      </c>
      <c r="J8" s="2">
        <v>61877.730610997496</v>
      </c>
      <c r="K8" s="2">
        <v>77347.163263746872</v>
      </c>
      <c r="L8" s="2">
        <v>92816.595916496255</v>
      </c>
      <c r="M8" s="2">
        <v>108286.02856924562</v>
      </c>
      <c r="N8" s="2">
        <v>123755.46122199499</v>
      </c>
      <c r="O8" s="2">
        <v>139224.89387474436</v>
      </c>
      <c r="P8" s="2">
        <v>154694.32652749374</v>
      </c>
    </row>
    <row r="9" spans="1:24" x14ac:dyDescent="0.25">
      <c r="B9" s="8" t="s">
        <v>4</v>
      </c>
      <c r="C9" s="4">
        <f>PMT(C7/12,C8,-C6,0,1)</f>
        <v>15469.432652749374</v>
      </c>
      <c r="F9" s="12">
        <v>60</v>
      </c>
      <c r="G9" s="2">
        <v>13560.840606559637</v>
      </c>
      <c r="H9" s="2">
        <v>27121.681213119275</v>
      </c>
      <c r="I9" s="2">
        <v>40682.521819678906</v>
      </c>
      <c r="J9" s="2">
        <v>54243.362426238549</v>
      </c>
      <c r="K9" s="2">
        <v>67804.203032798192</v>
      </c>
      <c r="L9" s="2">
        <v>81365.043639357813</v>
      </c>
      <c r="M9" s="2">
        <v>94925.884245917463</v>
      </c>
      <c r="N9" s="2">
        <v>108486.7248524771</v>
      </c>
      <c r="O9" s="2">
        <v>122047.56545903675</v>
      </c>
      <c r="P9" s="2">
        <v>135608.40606559638</v>
      </c>
    </row>
    <row r="10" spans="1:24" x14ac:dyDescent="0.25">
      <c r="F10" s="12">
        <v>72</v>
      </c>
      <c r="G10" s="2">
        <v>12336.887421268986</v>
      </c>
      <c r="H10" s="2">
        <v>24673.774842537972</v>
      </c>
      <c r="I10" s="2">
        <v>37010.66226380696</v>
      </c>
      <c r="J10" s="2">
        <v>49347.549685075945</v>
      </c>
      <c r="K10" s="2">
        <v>61684.437106344929</v>
      </c>
      <c r="L10" s="2">
        <v>74021.324527613921</v>
      </c>
      <c r="M10" s="2">
        <v>86358.211948882905</v>
      </c>
      <c r="N10" s="2">
        <v>98695.099370151889</v>
      </c>
      <c r="O10" s="2">
        <v>111031.98679142089</v>
      </c>
      <c r="P10" s="2">
        <v>123368.87421268986</v>
      </c>
    </row>
    <row r="11" spans="1:24" x14ac:dyDescent="0.25">
      <c r="E11" s="66" t="s">
        <v>11</v>
      </c>
      <c r="F11" s="12">
        <v>84</v>
      </c>
      <c r="G11" s="2">
        <v>11502.100143517984</v>
      </c>
      <c r="H11" s="2">
        <v>23004.200287035968</v>
      </c>
      <c r="I11" s="2">
        <v>34506.300430553951</v>
      </c>
      <c r="J11" s="2">
        <v>46008.400574071937</v>
      </c>
      <c r="K11" s="2">
        <v>57510.500717589915</v>
      </c>
      <c r="L11" s="2">
        <v>69012.600861107901</v>
      </c>
      <c r="M11" s="2">
        <v>80514.701004625895</v>
      </c>
      <c r="N11" s="2">
        <v>92016.801148143873</v>
      </c>
      <c r="O11" s="2">
        <v>103518.90129166185</v>
      </c>
      <c r="P11" s="2">
        <v>115021.00143517983</v>
      </c>
    </row>
    <row r="12" spans="1:24" x14ac:dyDescent="0.25">
      <c r="C12" s="13" t="s">
        <v>13</v>
      </c>
      <c r="E12" s="66"/>
      <c r="F12" s="12">
        <v>96</v>
      </c>
      <c r="G12" s="2">
        <v>10908.549592943333</v>
      </c>
      <c r="H12" s="2">
        <v>21817.099185886666</v>
      </c>
      <c r="I12" s="2">
        <v>32725.648778829996</v>
      </c>
      <c r="J12" s="2">
        <v>43634.198371773331</v>
      </c>
      <c r="K12" s="2">
        <v>54542.747964716669</v>
      </c>
      <c r="L12" s="2">
        <v>65451.297557659993</v>
      </c>
      <c r="M12" s="2">
        <v>76359.847150603324</v>
      </c>
      <c r="N12" s="2">
        <v>87268.396743546662</v>
      </c>
      <c r="O12" s="2">
        <v>98176.94633649</v>
      </c>
      <c r="P12" s="2">
        <v>109085.49592943334</v>
      </c>
    </row>
    <row r="13" spans="1:24" x14ac:dyDescent="0.25">
      <c r="C13" s="3">
        <v>0.08</v>
      </c>
      <c r="E13" s="66"/>
      <c r="F13" s="12">
        <v>108</v>
      </c>
      <c r="G13" s="2">
        <v>10473.928639644193</v>
      </c>
      <c r="H13" s="2">
        <v>20947.857279288386</v>
      </c>
      <c r="I13" s="2">
        <v>31421.785918932583</v>
      </c>
      <c r="J13" s="2">
        <v>41895.714558576772</v>
      </c>
      <c r="K13" s="2">
        <v>52369.643198220976</v>
      </c>
      <c r="L13" s="2">
        <v>62843.571837865165</v>
      </c>
      <c r="M13" s="2">
        <v>73317.500477509355</v>
      </c>
      <c r="N13" s="2">
        <v>83791.429117153544</v>
      </c>
      <c r="O13" s="2">
        <v>94265.357756797763</v>
      </c>
      <c r="P13" s="2">
        <v>104739.28639644195</v>
      </c>
    </row>
    <row r="14" spans="1:24" x14ac:dyDescent="0.25">
      <c r="C14" s="3">
        <v>0.1</v>
      </c>
      <c r="E14" s="66"/>
      <c r="F14" s="12">
        <v>120</v>
      </c>
      <c r="G14" s="2">
        <v>10148.78288128444</v>
      </c>
      <c r="H14" s="2">
        <v>20297.56576256888</v>
      </c>
      <c r="I14" s="2">
        <v>30446.348643853318</v>
      </c>
      <c r="J14" s="2">
        <v>40595.13152513776</v>
      </c>
      <c r="K14" s="2">
        <v>50743.914406422198</v>
      </c>
      <c r="L14" s="2">
        <v>60892.697287706636</v>
      </c>
      <c r="M14" s="2">
        <v>71041.480168991082</v>
      </c>
      <c r="N14" s="2">
        <v>81190.26305027552</v>
      </c>
      <c r="O14" s="2">
        <v>91339.045931559958</v>
      </c>
      <c r="P14" s="2">
        <v>101487.8288128444</v>
      </c>
    </row>
    <row r="15" spans="1:24" x14ac:dyDescent="0.25">
      <c r="C15" s="3">
        <v>0.12</v>
      </c>
      <c r="E15" s="66"/>
      <c r="F15" s="12">
        <v>132</v>
      </c>
      <c r="G15" s="2">
        <v>9901.6133536919624</v>
      </c>
      <c r="H15" s="2">
        <v>19803.226707383925</v>
      </c>
      <c r="I15" s="2">
        <v>29704.840061075891</v>
      </c>
      <c r="J15" s="2">
        <v>39606.45341476785</v>
      </c>
      <c r="K15" s="2">
        <v>49508.066768459816</v>
      </c>
      <c r="L15" s="2">
        <v>59409.680122151782</v>
      </c>
      <c r="M15" s="2">
        <v>69311.293475843748</v>
      </c>
      <c r="N15" s="2">
        <v>79212.906829535699</v>
      </c>
      <c r="O15" s="2">
        <v>89114.520183227665</v>
      </c>
      <c r="P15" s="2">
        <v>99016.133536919631</v>
      </c>
    </row>
    <row r="16" spans="1:24" x14ac:dyDescent="0.25">
      <c r="C16" s="3">
        <v>0.14000000000000001</v>
      </c>
      <c r="E16" s="66"/>
      <c r="F16" s="12">
        <v>144</v>
      </c>
      <c r="G16" s="2">
        <v>9711.4247899120674</v>
      </c>
      <c r="H16" s="2">
        <v>19422.849579824135</v>
      </c>
      <c r="I16" s="2">
        <v>29134.274369736202</v>
      </c>
      <c r="J16" s="2">
        <v>38845.699159648269</v>
      </c>
      <c r="K16" s="2">
        <v>48557.123949560337</v>
      </c>
      <c r="L16" s="2">
        <v>58268.548739472404</v>
      </c>
      <c r="M16" s="2">
        <v>67979.973529384471</v>
      </c>
      <c r="N16" s="2">
        <v>77691.398319296539</v>
      </c>
      <c r="O16" s="2">
        <v>87402.823109208606</v>
      </c>
      <c r="P16" s="2">
        <v>97114.247899120674</v>
      </c>
    </row>
    <row r="17" spans="3:16" x14ac:dyDescent="0.25">
      <c r="C17" s="3">
        <v>0.16</v>
      </c>
      <c r="E17" s="66"/>
      <c r="F17" s="12">
        <v>156</v>
      </c>
      <c r="G17" s="2">
        <v>9563.709553067516</v>
      </c>
      <c r="H17" s="2">
        <v>19127.419106135032</v>
      </c>
      <c r="I17" s="2">
        <v>28691.12865920255</v>
      </c>
      <c r="J17" s="2">
        <v>38254.838212270064</v>
      </c>
      <c r="K17" s="2">
        <v>47818.547765337586</v>
      </c>
      <c r="L17" s="2">
        <v>57382.2573184051</v>
      </c>
      <c r="M17" s="2">
        <v>66945.966871472614</v>
      </c>
      <c r="N17" s="2">
        <v>76509.676424540128</v>
      </c>
      <c r="O17" s="2">
        <v>86073.385977607657</v>
      </c>
      <c r="P17" s="2">
        <v>95637.095530675171</v>
      </c>
    </row>
    <row r="18" spans="3:16" x14ac:dyDescent="0.25">
      <c r="C18" s="3">
        <v>0.18</v>
      </c>
      <c r="E18" s="66"/>
      <c r="F18" s="12">
        <v>168</v>
      </c>
      <c r="G18" s="2">
        <v>9448.1490137648452</v>
      </c>
      <c r="H18" s="2">
        <v>18896.29802752969</v>
      </c>
      <c r="I18" s="2">
        <v>28344.44704129453</v>
      </c>
      <c r="J18" s="2">
        <v>37792.596055059381</v>
      </c>
      <c r="K18" s="2">
        <v>47240.745068824224</v>
      </c>
      <c r="L18" s="2">
        <v>56688.89408258906</v>
      </c>
      <c r="M18" s="2">
        <v>66137.043096353911</v>
      </c>
      <c r="N18" s="2">
        <v>75585.192110118762</v>
      </c>
      <c r="O18" s="2">
        <v>85033.341123883598</v>
      </c>
      <c r="P18" s="2">
        <v>94481.490137648449</v>
      </c>
    </row>
    <row r="19" spans="3:16" x14ac:dyDescent="0.25">
      <c r="C19" s="3">
        <v>0.2</v>
      </c>
      <c r="E19" s="66"/>
      <c r="F19" s="12">
        <v>180</v>
      </c>
      <c r="G19" s="2">
        <v>9357.2307771223132</v>
      </c>
      <c r="H19" s="2">
        <v>18714.461554244626</v>
      </c>
      <c r="I19" s="2">
        <v>28071.692331366936</v>
      </c>
      <c r="J19" s="2">
        <v>37428.923108489253</v>
      </c>
      <c r="K19" s="2">
        <v>46786.153885611559</v>
      </c>
      <c r="L19" s="2">
        <v>56143.384662733872</v>
      </c>
      <c r="M19" s="2">
        <v>65500.615439856192</v>
      </c>
      <c r="N19" s="2">
        <v>74857.846216978505</v>
      </c>
      <c r="O19" s="2">
        <v>84215.076994100804</v>
      </c>
      <c r="P19" s="2">
        <v>93572.307771223117</v>
      </c>
    </row>
    <row r="20" spans="3:16" x14ac:dyDescent="0.25">
      <c r="C20" s="3">
        <v>0.22</v>
      </c>
      <c r="E20" s="66"/>
      <c r="F20" s="12">
        <v>192</v>
      </c>
      <c r="G20" s="2">
        <v>9285.3811551929866</v>
      </c>
      <c r="H20" s="2">
        <v>18570.762310385973</v>
      </c>
      <c r="I20" s="2">
        <v>27856.14346557896</v>
      </c>
      <c r="J20" s="2">
        <v>37141.524620771947</v>
      </c>
      <c r="K20" s="2">
        <v>46426.905775964937</v>
      </c>
      <c r="L20" s="2">
        <v>55712.28693115792</v>
      </c>
      <c r="M20" s="2">
        <v>64997.668086350903</v>
      </c>
      <c r="N20" s="2">
        <v>74283.049241543893</v>
      </c>
      <c r="O20" s="2">
        <v>83568.430396736876</v>
      </c>
      <c r="P20" s="2">
        <v>92853.811551929874</v>
      </c>
    </row>
    <row r="21" spans="3:16" x14ac:dyDescent="0.25">
      <c r="C21" s="3">
        <v>0.24</v>
      </c>
      <c r="E21" s="66"/>
      <c r="F21" s="12">
        <v>204</v>
      </c>
      <c r="G21" s="2">
        <v>9228.4009402606589</v>
      </c>
      <c r="H21" s="2">
        <v>18456.801880521318</v>
      </c>
      <c r="I21" s="2">
        <v>27685.202820781975</v>
      </c>
      <c r="J21" s="2">
        <v>36913.603761042636</v>
      </c>
      <c r="K21" s="2">
        <v>46142.004701303289</v>
      </c>
      <c r="L21" s="2">
        <v>55370.40564156395</v>
      </c>
      <c r="M21" s="2">
        <v>64598.80658182461</v>
      </c>
      <c r="N21" s="2">
        <v>73827.207522085271</v>
      </c>
      <c r="O21" s="2">
        <v>83055.608462345917</v>
      </c>
      <c r="P21" s="2">
        <v>92284.009402606578</v>
      </c>
    </row>
    <row r="22" spans="3:16" x14ac:dyDescent="0.25">
      <c r="C22" s="3">
        <v>0.26</v>
      </c>
      <c r="E22" s="66"/>
      <c r="F22" s="12">
        <v>216</v>
      </c>
      <c r="G22" s="2">
        <v>9183.0868234890822</v>
      </c>
      <c r="H22" s="2">
        <v>18366.173646978164</v>
      </c>
      <c r="I22" s="2">
        <v>27549.260470467249</v>
      </c>
      <c r="J22" s="2">
        <v>36732.347293956329</v>
      </c>
      <c r="K22" s="2">
        <v>45915.434117445417</v>
      </c>
      <c r="L22" s="2">
        <v>55098.520940934497</v>
      </c>
      <c r="M22" s="2">
        <v>64281.607764423577</v>
      </c>
      <c r="N22" s="2">
        <v>73464.694587912658</v>
      </c>
      <c r="O22" s="2">
        <v>82647.781411401753</v>
      </c>
      <c r="P22" s="2">
        <v>91830.868234890833</v>
      </c>
    </row>
    <row r="23" spans="3:16" x14ac:dyDescent="0.25">
      <c r="E23" s="66"/>
      <c r="F23" s="12">
        <v>228</v>
      </c>
      <c r="G23" s="2">
        <v>9146.9703930983706</v>
      </c>
      <c r="H23" s="2">
        <v>18293.940786196741</v>
      </c>
      <c r="I23" s="2">
        <v>27440.911179295112</v>
      </c>
      <c r="J23" s="2">
        <v>36587.881572393482</v>
      </c>
      <c r="K23" s="2">
        <v>45734.851965491856</v>
      </c>
      <c r="L23" s="2">
        <v>54881.822358590223</v>
      </c>
      <c r="M23" s="2">
        <v>64028.792751688597</v>
      </c>
      <c r="N23" s="2">
        <v>73175.763144786964</v>
      </c>
      <c r="O23" s="2">
        <v>82322.733537885331</v>
      </c>
      <c r="P23" s="2">
        <v>91469.703930983713</v>
      </c>
    </row>
    <row r="24" spans="3:16" x14ac:dyDescent="0.25">
      <c r="F24" s="12">
        <v>240</v>
      </c>
      <c r="G24" s="2">
        <v>9118.1338911796065</v>
      </c>
      <c r="H24" s="2">
        <v>18236.267782359213</v>
      </c>
      <c r="I24" s="2">
        <v>27354.401673538821</v>
      </c>
      <c r="J24" s="2">
        <v>36472.535564718426</v>
      </c>
      <c r="K24" s="2">
        <v>45590.669455898031</v>
      </c>
      <c r="L24" s="2">
        <v>54708.803347077643</v>
      </c>
      <c r="M24" s="2">
        <v>63826.937238257247</v>
      </c>
      <c r="N24" s="2">
        <v>72945.071129436852</v>
      </c>
      <c r="O24" s="2">
        <v>82063.205020616471</v>
      </c>
      <c r="P24" s="2">
        <v>91181.338911796061</v>
      </c>
    </row>
    <row r="25" spans="3:16" x14ac:dyDescent="0.25">
      <c r="F25" s="12">
        <v>252</v>
      </c>
      <c r="G25" s="2">
        <v>9095.077454636019</v>
      </c>
      <c r="H25" s="2">
        <v>18190.154909272038</v>
      </c>
      <c r="I25" s="2">
        <v>27285.232363908057</v>
      </c>
      <c r="J25" s="2">
        <v>36380.309818544076</v>
      </c>
      <c r="K25" s="2">
        <v>45475.387273180095</v>
      </c>
      <c r="L25" s="2">
        <v>54570.464727816114</v>
      </c>
      <c r="M25" s="2">
        <v>63665.542182452133</v>
      </c>
      <c r="N25" s="2">
        <v>72760.619637088152</v>
      </c>
      <c r="O25" s="2">
        <v>81855.697091724171</v>
      </c>
      <c r="P25" s="2">
        <v>90950.77454636019</v>
      </c>
    </row>
  </sheetData>
  <mergeCells count="3">
    <mergeCell ref="A1:X1"/>
    <mergeCell ref="H6:N6"/>
    <mergeCell ref="E11:E23"/>
  </mergeCells>
  <dataValidations count="1">
    <dataValidation type="list" allowBlank="1" showInputMessage="1" showErrorMessage="1" sqref="C7" xr:uid="{B4E36FDF-6524-4E6E-B566-C14FCCE8B41C}">
      <formula1>$C$13:$C$22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E13D-CABE-4F1C-9660-ACECF50F60A2}">
  <sheetPr>
    <tabColor theme="9" tint="-0.249977111117893"/>
  </sheetPr>
  <dimension ref="A1:I48"/>
  <sheetViews>
    <sheetView topLeftCell="A7" workbookViewId="0">
      <selection activeCell="C15" sqref="C15"/>
    </sheetView>
  </sheetViews>
  <sheetFormatPr defaultRowHeight="15" x14ac:dyDescent="0.25"/>
  <cols>
    <col min="1" max="1" width="19.28515625" bestFit="1" customWidth="1"/>
    <col min="2" max="2" width="14.140625" customWidth="1"/>
    <col min="3" max="3" width="17.7109375" customWidth="1"/>
    <col min="6" max="6" width="13.85546875" bestFit="1" customWidth="1"/>
    <col min="7" max="7" width="20.85546875" bestFit="1" customWidth="1"/>
  </cols>
  <sheetData>
    <row r="1" spans="1:9" x14ac:dyDescent="0.25">
      <c r="A1" s="67" t="s">
        <v>14</v>
      </c>
      <c r="B1" s="67"/>
      <c r="C1" s="67"/>
      <c r="D1" s="67"/>
      <c r="E1" s="67"/>
      <c r="F1" s="67"/>
      <c r="G1" s="67"/>
      <c r="H1" s="67"/>
      <c r="I1" s="67"/>
    </row>
    <row r="2" spans="1:9" x14ac:dyDescent="0.25">
      <c r="A2" s="67"/>
      <c r="B2" s="67"/>
      <c r="C2" s="67"/>
      <c r="D2" s="67"/>
      <c r="E2" s="67"/>
      <c r="F2" s="67"/>
      <c r="G2" s="67"/>
      <c r="H2" s="67"/>
      <c r="I2" s="67"/>
    </row>
    <row r="3" spans="1:9" x14ac:dyDescent="0.25">
      <c r="A3" s="67"/>
      <c r="B3" s="67"/>
      <c r="C3" s="67"/>
      <c r="D3" s="67"/>
      <c r="E3" s="67"/>
      <c r="F3" s="67"/>
      <c r="G3" s="67"/>
      <c r="H3" s="67"/>
      <c r="I3" s="67"/>
    </row>
    <row r="6" spans="1:9" x14ac:dyDescent="0.25">
      <c r="B6" s="68" t="s">
        <v>15</v>
      </c>
      <c r="C6" s="68"/>
      <c r="D6" s="68"/>
      <c r="E6" s="68"/>
      <c r="F6" s="68"/>
    </row>
    <row r="7" spans="1:9" x14ac:dyDescent="0.25">
      <c r="F7" s="16" t="s">
        <v>24</v>
      </c>
      <c r="G7" s="17" t="s">
        <v>25</v>
      </c>
    </row>
    <row r="8" spans="1:9" x14ac:dyDescent="0.25">
      <c r="F8" s="1">
        <v>5000</v>
      </c>
      <c r="G8" s="2">
        <f>C15</f>
        <v>1178197.3162325718</v>
      </c>
    </row>
    <row r="9" spans="1:9" x14ac:dyDescent="0.25">
      <c r="F9" s="1">
        <v>6000</v>
      </c>
      <c r="G9" s="2">
        <f t="dataTable" ref="G9:G48" dt2D="0" dtr="0" r1="C12"/>
        <v>1410536.3925845125</v>
      </c>
    </row>
    <row r="10" spans="1:9" x14ac:dyDescent="0.25">
      <c r="A10" s="14" t="s">
        <v>13</v>
      </c>
      <c r="B10" s="15" t="s">
        <v>16</v>
      </c>
      <c r="C10" s="3">
        <v>0.12</v>
      </c>
      <c r="F10" s="1">
        <v>7000</v>
      </c>
      <c r="G10" s="2">
        <v>1642875.4689364531</v>
      </c>
    </row>
    <row r="11" spans="1:9" x14ac:dyDescent="0.25">
      <c r="A11" s="14" t="s">
        <v>6</v>
      </c>
      <c r="B11" s="15" t="s">
        <v>17</v>
      </c>
      <c r="C11" s="1">
        <v>120</v>
      </c>
      <c r="F11" s="1">
        <v>8000</v>
      </c>
      <c r="G11" s="2">
        <v>1875214.5452883937</v>
      </c>
    </row>
    <row r="12" spans="1:9" x14ac:dyDescent="0.25">
      <c r="A12" s="14" t="s">
        <v>21</v>
      </c>
      <c r="B12" s="15" t="s">
        <v>18</v>
      </c>
      <c r="C12" s="2">
        <v>5000</v>
      </c>
      <c r="F12" s="1">
        <v>9000</v>
      </c>
      <c r="G12" s="2">
        <v>2107553.6216403344</v>
      </c>
    </row>
    <row r="13" spans="1:9" x14ac:dyDescent="0.25">
      <c r="A13" s="14" t="s">
        <v>22</v>
      </c>
      <c r="B13" s="15" t="s">
        <v>19</v>
      </c>
      <c r="C13" s="2">
        <v>5000</v>
      </c>
      <c r="F13" s="1">
        <v>10000</v>
      </c>
      <c r="G13" s="2">
        <v>2339892.697992275</v>
      </c>
    </row>
    <row r="14" spans="1:9" x14ac:dyDescent="0.25">
      <c r="A14" s="14" t="s">
        <v>23</v>
      </c>
      <c r="B14" s="15" t="s">
        <v>20</v>
      </c>
      <c r="C14" s="1" t="s">
        <v>75</v>
      </c>
      <c r="F14" s="1">
        <v>11000</v>
      </c>
      <c r="G14" s="2">
        <v>2572231.7743442156</v>
      </c>
    </row>
    <row r="15" spans="1:9" x14ac:dyDescent="0.25">
      <c r="B15" s="15" t="s">
        <v>76</v>
      </c>
      <c r="C15" s="4">
        <f>FV(C10/12,C11,-C12,-C13,1)</f>
        <v>1178197.3162325718</v>
      </c>
      <c r="F15" s="1">
        <v>12000</v>
      </c>
      <c r="G15" s="2">
        <v>2804570.8506961563</v>
      </c>
    </row>
    <row r="16" spans="1:9" x14ac:dyDescent="0.25">
      <c r="F16" s="1">
        <v>13000</v>
      </c>
      <c r="G16" s="2">
        <v>3036909.9270480969</v>
      </c>
    </row>
    <row r="17" spans="6:7" x14ac:dyDescent="0.25">
      <c r="F17" s="1">
        <v>14000</v>
      </c>
      <c r="G17" s="2">
        <v>3269249.0034000375</v>
      </c>
    </row>
    <row r="18" spans="6:7" x14ac:dyDescent="0.25">
      <c r="F18" s="1">
        <v>15000</v>
      </c>
      <c r="G18" s="2">
        <v>3501588.0797519782</v>
      </c>
    </row>
    <row r="19" spans="6:7" x14ac:dyDescent="0.25">
      <c r="F19" s="1">
        <v>16000</v>
      </c>
      <c r="G19" s="2">
        <v>3733927.1561039188</v>
      </c>
    </row>
    <row r="20" spans="6:7" x14ac:dyDescent="0.25">
      <c r="F20" s="1">
        <v>17000</v>
      </c>
      <c r="G20" s="2">
        <v>3966266.2324558594</v>
      </c>
    </row>
    <row r="21" spans="6:7" x14ac:dyDescent="0.25">
      <c r="F21" s="1">
        <v>18000</v>
      </c>
      <c r="G21" s="2">
        <v>4198605.3088078005</v>
      </c>
    </row>
    <row r="22" spans="6:7" x14ac:dyDescent="0.25">
      <c r="F22" s="1">
        <v>19000</v>
      </c>
      <c r="G22" s="2">
        <v>4430944.3851597412</v>
      </c>
    </row>
    <row r="23" spans="6:7" x14ac:dyDescent="0.25">
      <c r="F23" s="1">
        <v>20000</v>
      </c>
      <c r="G23" s="2">
        <v>4663283.4615116818</v>
      </c>
    </row>
    <row r="24" spans="6:7" x14ac:dyDescent="0.25">
      <c r="F24" s="1">
        <v>21000</v>
      </c>
      <c r="G24" s="2">
        <v>4895622.5378636224</v>
      </c>
    </row>
    <row r="25" spans="6:7" x14ac:dyDescent="0.25">
      <c r="F25" s="1">
        <v>22000</v>
      </c>
      <c r="G25" s="2">
        <v>5127961.6142155631</v>
      </c>
    </row>
    <row r="26" spans="6:7" x14ac:dyDescent="0.25">
      <c r="F26" s="1">
        <v>23000</v>
      </c>
      <c r="G26" s="2">
        <v>5360300.6905675037</v>
      </c>
    </row>
    <row r="27" spans="6:7" x14ac:dyDescent="0.25">
      <c r="F27" s="1">
        <v>24000</v>
      </c>
      <c r="G27" s="2">
        <v>5592639.7669194443</v>
      </c>
    </row>
    <row r="28" spans="6:7" x14ac:dyDescent="0.25">
      <c r="F28" s="1">
        <v>25000</v>
      </c>
      <c r="G28" s="2">
        <v>5824978.8432713849</v>
      </c>
    </row>
    <row r="29" spans="6:7" x14ac:dyDescent="0.25">
      <c r="F29" s="1">
        <v>26000</v>
      </c>
      <c r="G29" s="2">
        <v>6057317.9196233256</v>
      </c>
    </row>
    <row r="30" spans="6:7" x14ac:dyDescent="0.25">
      <c r="F30" s="1">
        <v>27000</v>
      </c>
      <c r="G30" s="2">
        <v>6289656.9959752662</v>
      </c>
    </row>
    <row r="31" spans="6:7" x14ac:dyDescent="0.25">
      <c r="F31" s="1">
        <v>28000</v>
      </c>
      <c r="G31" s="2">
        <v>6521996.0723272068</v>
      </c>
    </row>
    <row r="32" spans="6:7" x14ac:dyDescent="0.25">
      <c r="F32" s="1">
        <v>29000</v>
      </c>
      <c r="G32" s="2">
        <v>6754335.1486791475</v>
      </c>
    </row>
    <row r="33" spans="6:7" x14ac:dyDescent="0.25">
      <c r="F33" s="1">
        <v>30000</v>
      </c>
      <c r="G33" s="2">
        <v>6986674.2250310881</v>
      </c>
    </row>
    <row r="34" spans="6:7" x14ac:dyDescent="0.25">
      <c r="F34" s="1">
        <v>31000</v>
      </c>
      <c r="G34" s="2">
        <v>7219013.3013830287</v>
      </c>
    </row>
    <row r="35" spans="6:7" x14ac:dyDescent="0.25">
      <c r="F35" s="1">
        <v>32000</v>
      </c>
      <c r="G35" s="2">
        <v>7451352.3777349694</v>
      </c>
    </row>
    <row r="36" spans="6:7" x14ac:dyDescent="0.25">
      <c r="F36" s="1">
        <v>33000</v>
      </c>
      <c r="G36" s="2">
        <v>7683691.45408691</v>
      </c>
    </row>
    <row r="37" spans="6:7" x14ac:dyDescent="0.25">
      <c r="F37" s="1">
        <v>34000</v>
      </c>
      <c r="G37" s="2">
        <v>7916030.5304388506</v>
      </c>
    </row>
    <row r="38" spans="6:7" x14ac:dyDescent="0.25">
      <c r="F38" s="1">
        <v>35000</v>
      </c>
      <c r="G38" s="2">
        <v>8148369.6067907913</v>
      </c>
    </row>
    <row r="39" spans="6:7" x14ac:dyDescent="0.25">
      <c r="F39" s="1">
        <v>36000</v>
      </c>
      <c r="G39" s="2">
        <v>8380708.6831427319</v>
      </c>
    </row>
    <row r="40" spans="6:7" x14ac:dyDescent="0.25">
      <c r="F40" s="1">
        <v>37000</v>
      </c>
      <c r="G40" s="2">
        <v>8613047.7594946735</v>
      </c>
    </row>
    <row r="41" spans="6:7" x14ac:dyDescent="0.25">
      <c r="F41" s="1">
        <v>38000</v>
      </c>
      <c r="G41" s="2">
        <v>8845386.8358466141</v>
      </c>
    </row>
    <row r="42" spans="6:7" x14ac:dyDescent="0.25">
      <c r="F42" s="1">
        <v>39000</v>
      </c>
      <c r="G42" s="2">
        <v>9077725.9121985547</v>
      </c>
    </row>
    <row r="43" spans="6:7" x14ac:dyDescent="0.25">
      <c r="F43" s="1">
        <v>40000</v>
      </c>
      <c r="G43" s="2">
        <v>9310064.9885504954</v>
      </c>
    </row>
    <row r="44" spans="6:7" x14ac:dyDescent="0.25">
      <c r="F44" s="1">
        <v>41000</v>
      </c>
      <c r="G44" s="2">
        <v>9542404.064902436</v>
      </c>
    </row>
    <row r="45" spans="6:7" x14ac:dyDescent="0.25">
      <c r="F45" s="1">
        <v>42000</v>
      </c>
      <c r="G45" s="2">
        <v>9774743.1412543766</v>
      </c>
    </row>
    <row r="46" spans="6:7" x14ac:dyDescent="0.25">
      <c r="F46" s="1">
        <v>43000</v>
      </c>
      <c r="G46" s="2">
        <v>10007082.217606317</v>
      </c>
    </row>
    <row r="47" spans="6:7" x14ac:dyDescent="0.25">
      <c r="F47" s="1">
        <v>44000</v>
      </c>
      <c r="G47" s="2">
        <v>10239421.293958258</v>
      </c>
    </row>
    <row r="48" spans="6:7" x14ac:dyDescent="0.25">
      <c r="F48" s="1">
        <v>45000</v>
      </c>
      <c r="G48" s="2">
        <v>10471760.370310199</v>
      </c>
    </row>
  </sheetData>
  <mergeCells count="2">
    <mergeCell ref="A1:I3"/>
    <mergeCell ref="B6:F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FE6C-9179-4005-8145-E7FEEE2F1345}">
  <sheetPr>
    <tabColor rgb="FFFF0000"/>
  </sheetPr>
  <dimension ref="A1:T24"/>
  <sheetViews>
    <sheetView workbookViewId="0">
      <selection activeCell="L25" sqref="L25"/>
    </sheetView>
  </sheetViews>
  <sheetFormatPr defaultRowHeight="15" x14ac:dyDescent="0.25"/>
  <cols>
    <col min="14" max="14" width="14.140625" customWidth="1"/>
  </cols>
  <sheetData>
    <row r="1" spans="1:20" ht="14.45" customHeight="1" x14ac:dyDescent="0.25">
      <c r="A1" s="69" t="s">
        <v>61</v>
      </c>
      <c r="B1" s="70"/>
      <c r="C1" s="70"/>
      <c r="D1" s="70"/>
      <c r="E1" s="70"/>
      <c r="F1" s="70"/>
      <c r="G1" s="70"/>
      <c r="H1" s="70"/>
      <c r="I1" s="70"/>
      <c r="J1" s="70"/>
      <c r="K1" s="71"/>
    </row>
    <row r="2" spans="1:20" x14ac:dyDescent="0.25">
      <c r="A2" s="72"/>
      <c r="B2" s="73"/>
      <c r="C2" s="73"/>
      <c r="D2" s="73"/>
      <c r="E2" s="73"/>
      <c r="F2" s="73"/>
      <c r="G2" s="73"/>
      <c r="H2" s="73"/>
      <c r="I2" s="73"/>
      <c r="J2" s="73"/>
      <c r="K2" s="74"/>
    </row>
    <row r="3" spans="1:20" x14ac:dyDescent="0.25">
      <c r="A3" s="72"/>
      <c r="B3" s="73"/>
      <c r="C3" s="73"/>
      <c r="D3" s="73"/>
      <c r="E3" s="73"/>
      <c r="F3" s="73"/>
      <c r="G3" s="73"/>
      <c r="H3" s="73"/>
      <c r="I3" s="73"/>
      <c r="J3" s="73"/>
      <c r="K3" s="74"/>
      <c r="S3" s="36" t="s">
        <v>37</v>
      </c>
      <c r="T3" s="36" t="s">
        <v>73</v>
      </c>
    </row>
    <row r="4" spans="1:20" x14ac:dyDescent="0.25">
      <c r="A4" s="72"/>
      <c r="B4" s="73"/>
      <c r="C4" s="73"/>
      <c r="D4" s="73"/>
      <c r="E4" s="73"/>
      <c r="F4" s="73"/>
      <c r="G4" s="73"/>
      <c r="H4" s="73"/>
      <c r="I4" s="73"/>
      <c r="J4" s="73"/>
      <c r="K4" s="74"/>
      <c r="S4" s="35">
        <v>160</v>
      </c>
      <c r="T4" s="35">
        <f>O12</f>
        <v>-16000</v>
      </c>
    </row>
    <row r="5" spans="1:20" x14ac:dyDescent="0.25">
      <c r="A5" s="72"/>
      <c r="B5" s="73"/>
      <c r="C5" s="73"/>
      <c r="D5" s="73"/>
      <c r="E5" s="73"/>
      <c r="F5" s="73"/>
      <c r="G5" s="73"/>
      <c r="H5" s="73"/>
      <c r="I5" s="73"/>
      <c r="J5" s="73"/>
      <c r="K5" s="74"/>
      <c r="N5" s="1" t="s">
        <v>72</v>
      </c>
      <c r="O5" s="1">
        <v>150</v>
      </c>
      <c r="S5" s="35">
        <v>170</v>
      </c>
      <c r="T5" s="35">
        <f t="dataTable" ref="T5:T18" dt2D="0" dtr="0" r1="N12"/>
        <v>-12000</v>
      </c>
    </row>
    <row r="6" spans="1:20" x14ac:dyDescent="0.25">
      <c r="A6" s="72"/>
      <c r="B6" s="73"/>
      <c r="C6" s="73"/>
      <c r="D6" s="73"/>
      <c r="E6" s="73"/>
      <c r="F6" s="73"/>
      <c r="G6" s="73"/>
      <c r="H6" s="73"/>
      <c r="I6" s="73"/>
      <c r="J6" s="73"/>
      <c r="K6" s="74"/>
      <c r="N6" s="1" t="s">
        <v>71</v>
      </c>
      <c r="O6" s="1">
        <v>20000</v>
      </c>
      <c r="S6" s="35">
        <v>180</v>
      </c>
      <c r="T6" s="35">
        <v>-8000</v>
      </c>
    </row>
    <row r="7" spans="1:20" x14ac:dyDescent="0.25">
      <c r="A7" s="72"/>
      <c r="B7" s="73"/>
      <c r="C7" s="73"/>
      <c r="D7" s="73"/>
      <c r="E7" s="73"/>
      <c r="F7" s="73"/>
      <c r="G7" s="73"/>
      <c r="H7" s="73"/>
      <c r="I7" s="73"/>
      <c r="J7" s="73"/>
      <c r="K7" s="74"/>
      <c r="N7" s="1" t="s">
        <v>70</v>
      </c>
      <c r="O7" s="1">
        <v>400</v>
      </c>
      <c r="S7" s="35">
        <v>190</v>
      </c>
      <c r="T7" s="35">
        <v>-4000</v>
      </c>
    </row>
    <row r="8" spans="1:20" x14ac:dyDescent="0.25">
      <c r="A8" s="72"/>
      <c r="B8" s="73"/>
      <c r="C8" s="73"/>
      <c r="D8" s="73"/>
      <c r="E8" s="73"/>
      <c r="F8" s="73"/>
      <c r="G8" s="73"/>
      <c r="H8" s="73"/>
      <c r="I8" s="73"/>
      <c r="J8" s="73"/>
      <c r="K8" s="74"/>
      <c r="S8" s="37">
        <v>200</v>
      </c>
      <c r="T8" s="37">
        <v>0</v>
      </c>
    </row>
    <row r="9" spans="1:20" x14ac:dyDescent="0.25">
      <c r="A9" s="72"/>
      <c r="B9" s="73"/>
      <c r="C9" s="73"/>
      <c r="D9" s="73"/>
      <c r="E9" s="73"/>
      <c r="F9" s="73"/>
      <c r="G9" s="73"/>
      <c r="H9" s="73"/>
      <c r="I9" s="73"/>
      <c r="J9" s="73"/>
      <c r="K9" s="74"/>
      <c r="S9" s="35">
        <v>210</v>
      </c>
      <c r="T9" s="35">
        <v>4000</v>
      </c>
    </row>
    <row r="10" spans="1:20" x14ac:dyDescent="0.25">
      <c r="A10" s="72"/>
      <c r="B10" s="73"/>
      <c r="C10" s="73"/>
      <c r="D10" s="73"/>
      <c r="E10" s="73"/>
      <c r="F10" s="73"/>
      <c r="G10" s="73"/>
      <c r="H10" s="73"/>
      <c r="I10" s="73"/>
      <c r="J10" s="73"/>
      <c r="K10" s="74"/>
      <c r="S10" s="35">
        <v>220</v>
      </c>
      <c r="T10" s="35">
        <v>8000</v>
      </c>
    </row>
    <row r="11" spans="1:20" x14ac:dyDescent="0.25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4"/>
      <c r="N11" s="1" t="s">
        <v>74</v>
      </c>
      <c r="O11" s="1" t="s">
        <v>73</v>
      </c>
      <c r="S11" s="35">
        <v>230</v>
      </c>
      <c r="T11" s="35">
        <v>12000</v>
      </c>
    </row>
    <row r="12" spans="1:20" x14ac:dyDescent="0.25">
      <c r="A12" s="72"/>
      <c r="B12" s="73"/>
      <c r="C12" s="73"/>
      <c r="D12" s="73"/>
      <c r="E12" s="73"/>
      <c r="F12" s="73"/>
      <c r="G12" s="73"/>
      <c r="H12" s="73"/>
      <c r="I12" s="73"/>
      <c r="J12" s="73"/>
      <c r="K12" s="74"/>
      <c r="N12" s="1">
        <v>160</v>
      </c>
      <c r="O12" s="1">
        <f>(N12-O5)*O7-O6</f>
        <v>-16000</v>
      </c>
      <c r="S12" s="35">
        <v>240</v>
      </c>
      <c r="T12" s="35">
        <v>16000</v>
      </c>
    </row>
    <row r="13" spans="1:20" ht="15.75" thickBot="1" x14ac:dyDescent="0.3">
      <c r="A13" s="75"/>
      <c r="B13" s="76"/>
      <c r="C13" s="76"/>
      <c r="D13" s="76"/>
      <c r="E13" s="76"/>
      <c r="F13" s="76"/>
      <c r="G13" s="76"/>
      <c r="H13" s="76"/>
      <c r="I13" s="76"/>
      <c r="J13" s="76"/>
      <c r="K13" s="77"/>
      <c r="S13" s="35">
        <v>250</v>
      </c>
      <c r="T13" s="35">
        <v>20000</v>
      </c>
    </row>
    <row r="14" spans="1:20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S14" s="35">
        <v>260</v>
      </c>
      <c r="T14" s="35">
        <v>24000</v>
      </c>
    </row>
    <row r="15" spans="1:20" x14ac:dyDescent="0.25">
      <c r="A15" s="78" t="s">
        <v>62</v>
      </c>
      <c r="B15" s="78"/>
      <c r="C15" s="78"/>
      <c r="D15" s="78"/>
      <c r="E15" s="78"/>
      <c r="F15" s="78"/>
      <c r="G15" s="78"/>
      <c r="H15" s="28"/>
      <c r="I15" s="28"/>
      <c r="J15" s="28"/>
      <c r="K15" s="28"/>
      <c r="S15" s="35">
        <v>270</v>
      </c>
      <c r="T15" s="35">
        <v>28000</v>
      </c>
    </row>
    <row r="16" spans="1:20" x14ac:dyDescent="0.25">
      <c r="A16" s="78"/>
      <c r="B16" s="78"/>
      <c r="C16" s="78"/>
      <c r="D16" s="78"/>
      <c r="E16" s="78"/>
      <c r="F16" s="78"/>
      <c r="G16" s="78"/>
      <c r="H16" s="28"/>
      <c r="I16" s="28"/>
      <c r="J16" s="28"/>
      <c r="K16" s="28"/>
      <c r="S16" s="35">
        <v>280</v>
      </c>
      <c r="T16" s="35">
        <v>32000</v>
      </c>
    </row>
    <row r="17" spans="1:20" x14ac:dyDescent="0.25">
      <c r="A17" s="78"/>
      <c r="B17" s="78"/>
      <c r="C17" s="78"/>
      <c r="D17" s="78"/>
      <c r="E17" s="78"/>
      <c r="F17" s="78"/>
      <c r="G17" s="78"/>
      <c r="H17" s="28"/>
      <c r="I17" s="28"/>
      <c r="J17" s="28"/>
      <c r="K17" s="28"/>
      <c r="S17" s="35">
        <v>290</v>
      </c>
      <c r="T17" s="35">
        <v>36000</v>
      </c>
    </row>
    <row r="18" spans="1:20" x14ac:dyDescent="0.25">
      <c r="A18" s="78"/>
      <c r="B18" s="78"/>
      <c r="C18" s="78"/>
      <c r="D18" s="78"/>
      <c r="E18" s="78"/>
      <c r="F18" s="78"/>
      <c r="G18" s="78"/>
      <c r="H18" s="28"/>
      <c r="I18" s="28"/>
      <c r="J18" s="28"/>
      <c r="K18" s="28"/>
      <c r="S18" s="35">
        <v>300</v>
      </c>
      <c r="T18" s="35">
        <v>40000</v>
      </c>
    </row>
    <row r="19" spans="1:20" x14ac:dyDescent="0.25">
      <c r="A19" s="78"/>
      <c r="B19" s="78"/>
      <c r="C19" s="78"/>
      <c r="D19" s="78"/>
      <c r="E19" s="78"/>
      <c r="F19" s="78"/>
      <c r="G19" s="78"/>
      <c r="H19" s="28"/>
      <c r="I19" s="28"/>
      <c r="J19" s="28"/>
      <c r="K19" s="28"/>
    </row>
    <row r="20" spans="1:20" x14ac:dyDescent="0.25">
      <c r="A20" s="78"/>
      <c r="B20" s="78"/>
      <c r="C20" s="78"/>
      <c r="D20" s="78"/>
      <c r="E20" s="78"/>
      <c r="F20" s="78"/>
      <c r="G20" s="78"/>
    </row>
    <row r="21" spans="1:20" x14ac:dyDescent="0.25">
      <c r="A21" s="78"/>
      <c r="B21" s="78"/>
      <c r="C21" s="78"/>
      <c r="D21" s="78"/>
      <c r="E21" s="78"/>
      <c r="F21" s="78"/>
      <c r="G21" s="78"/>
    </row>
    <row r="22" spans="1:20" x14ac:dyDescent="0.25">
      <c r="A22" s="78"/>
      <c r="B22" s="78"/>
      <c r="C22" s="78"/>
      <c r="D22" s="78"/>
      <c r="E22" s="78"/>
      <c r="F22" s="78"/>
      <c r="G22" s="78"/>
    </row>
    <row r="23" spans="1:20" x14ac:dyDescent="0.25">
      <c r="A23" s="78"/>
      <c r="B23" s="78"/>
      <c r="C23" s="78"/>
      <c r="D23" s="78"/>
      <c r="E23" s="78"/>
      <c r="F23" s="78"/>
      <c r="G23" s="78"/>
    </row>
    <row r="24" spans="1:20" x14ac:dyDescent="0.25">
      <c r="A24" s="78"/>
      <c r="B24" s="78"/>
      <c r="C24" s="78"/>
      <c r="D24" s="78"/>
      <c r="E24" s="78"/>
      <c r="F24" s="78"/>
      <c r="G24" s="78"/>
    </row>
  </sheetData>
  <mergeCells count="2">
    <mergeCell ref="A1:K13"/>
    <mergeCell ref="A15:G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61BB-BB71-4880-AF4B-502F39412F7B}">
  <sheetPr>
    <tabColor theme="5" tint="0.59999389629810485"/>
  </sheetPr>
  <dimension ref="A1:T28"/>
  <sheetViews>
    <sheetView zoomScale="137" workbookViewId="0">
      <selection activeCell="J3" sqref="J3"/>
    </sheetView>
  </sheetViews>
  <sheetFormatPr defaultRowHeight="15" x14ac:dyDescent="0.25"/>
  <cols>
    <col min="1" max="1" width="20.5703125" customWidth="1"/>
    <col min="2" max="2" width="19.28515625" bestFit="1" customWidth="1"/>
    <col min="5" max="5" width="20.28515625" bestFit="1" customWidth="1"/>
    <col min="6" max="6" width="10.28515625" bestFit="1" customWidth="1"/>
    <col min="7" max="7" width="13.5703125" bestFit="1" customWidth="1"/>
    <col min="8" max="8" width="10.42578125" bestFit="1" customWidth="1"/>
    <col min="9" max="9" width="15.28515625" bestFit="1" customWidth="1"/>
    <col min="10" max="10" width="11.140625" bestFit="1" customWidth="1"/>
  </cols>
  <sheetData>
    <row r="1" spans="1:20" ht="18.75" x14ac:dyDescent="0.3">
      <c r="A1" s="79" t="s">
        <v>26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</row>
    <row r="4" spans="1:20" ht="15.75" x14ac:dyDescent="0.25">
      <c r="A4" s="18" t="s">
        <v>27</v>
      </c>
      <c r="B4" s="1">
        <v>10</v>
      </c>
      <c r="E4" s="19" t="s">
        <v>34</v>
      </c>
      <c r="F4" s="19" t="s">
        <v>30</v>
      </c>
      <c r="G4" s="19" t="s">
        <v>28</v>
      </c>
      <c r="H4" s="19" t="s">
        <v>31</v>
      </c>
      <c r="I4" s="19" t="s">
        <v>32</v>
      </c>
      <c r="J4" s="19" t="s">
        <v>33</v>
      </c>
    </row>
    <row r="5" spans="1:20" x14ac:dyDescent="0.25">
      <c r="A5" s="18" t="s">
        <v>28</v>
      </c>
      <c r="B5" s="1">
        <v>6</v>
      </c>
      <c r="E5" s="1">
        <v>0</v>
      </c>
      <c r="F5" s="1">
        <v>500000</v>
      </c>
      <c r="G5" s="1">
        <f>$B$5*E5</f>
        <v>0</v>
      </c>
      <c r="H5" s="1">
        <f>F5+G5</f>
        <v>500000</v>
      </c>
      <c r="I5" s="1">
        <f>$B$4*E5</f>
        <v>0</v>
      </c>
      <c r="J5" s="1">
        <f>I5-H5</f>
        <v>-500000</v>
      </c>
    </row>
    <row r="6" spans="1:20" x14ac:dyDescent="0.25">
      <c r="A6" s="18" t="s">
        <v>29</v>
      </c>
      <c r="B6" s="1">
        <v>4</v>
      </c>
      <c r="E6" s="1">
        <v>10000</v>
      </c>
      <c r="F6" s="1">
        <v>500000</v>
      </c>
      <c r="G6" s="1">
        <f t="shared" ref="G6:G12" si="0">$B$5*E6</f>
        <v>60000</v>
      </c>
      <c r="H6" s="1">
        <f t="shared" ref="H6:H12" si="1">F6+G6</f>
        <v>560000</v>
      </c>
      <c r="I6" s="1">
        <f t="shared" ref="I6:I12" si="2">$B$4*E6</f>
        <v>100000</v>
      </c>
      <c r="J6" s="1">
        <f t="shared" ref="J6:J12" si="3">I6-H6</f>
        <v>-460000</v>
      </c>
    </row>
    <row r="7" spans="1:20" x14ac:dyDescent="0.25">
      <c r="E7" s="1">
        <v>20000</v>
      </c>
      <c r="F7" s="1">
        <v>500000</v>
      </c>
      <c r="G7" s="1">
        <f t="shared" si="0"/>
        <v>120000</v>
      </c>
      <c r="H7" s="1">
        <f t="shared" si="1"/>
        <v>620000</v>
      </c>
      <c r="I7" s="1">
        <f t="shared" si="2"/>
        <v>200000</v>
      </c>
      <c r="J7" s="1">
        <f t="shared" si="3"/>
        <v>-420000</v>
      </c>
    </row>
    <row r="8" spans="1:20" x14ac:dyDescent="0.25">
      <c r="E8" s="1">
        <v>30000</v>
      </c>
      <c r="F8" s="1">
        <v>500000</v>
      </c>
      <c r="G8" s="1">
        <f t="shared" si="0"/>
        <v>180000</v>
      </c>
      <c r="H8" s="1">
        <f t="shared" si="1"/>
        <v>680000</v>
      </c>
      <c r="I8" s="1">
        <f t="shared" si="2"/>
        <v>300000</v>
      </c>
      <c r="J8" s="1">
        <f t="shared" si="3"/>
        <v>-380000</v>
      </c>
    </row>
    <row r="9" spans="1:20" x14ac:dyDescent="0.25">
      <c r="E9" s="1">
        <v>40000</v>
      </c>
      <c r="F9" s="1">
        <v>500000</v>
      </c>
      <c r="G9" s="1">
        <f t="shared" si="0"/>
        <v>240000</v>
      </c>
      <c r="H9" s="1">
        <f t="shared" si="1"/>
        <v>740000</v>
      </c>
      <c r="I9" s="1">
        <f t="shared" si="2"/>
        <v>400000</v>
      </c>
      <c r="J9" s="1">
        <f t="shared" si="3"/>
        <v>-340000</v>
      </c>
    </row>
    <row r="10" spans="1:20" x14ac:dyDescent="0.25">
      <c r="E10" s="1">
        <v>50000</v>
      </c>
      <c r="F10" s="1">
        <v>500000</v>
      </c>
      <c r="G10" s="1">
        <f t="shared" si="0"/>
        <v>300000</v>
      </c>
      <c r="H10" s="1">
        <f t="shared" si="1"/>
        <v>800000</v>
      </c>
      <c r="I10" s="1">
        <f t="shared" si="2"/>
        <v>500000</v>
      </c>
      <c r="J10" s="1">
        <f t="shared" si="3"/>
        <v>-300000</v>
      </c>
    </row>
    <row r="11" spans="1:20" x14ac:dyDescent="0.25">
      <c r="E11" s="1">
        <v>60000</v>
      </c>
      <c r="F11" s="1">
        <v>500000</v>
      </c>
      <c r="G11" s="1">
        <f t="shared" si="0"/>
        <v>360000</v>
      </c>
      <c r="H11" s="1">
        <f t="shared" si="1"/>
        <v>860000</v>
      </c>
      <c r="I11" s="1">
        <f t="shared" si="2"/>
        <v>600000</v>
      </c>
      <c r="J11" s="1">
        <f t="shared" si="3"/>
        <v>-260000</v>
      </c>
    </row>
    <row r="12" spans="1:20" x14ac:dyDescent="0.25">
      <c r="E12" s="27">
        <v>70000</v>
      </c>
      <c r="F12" s="27">
        <v>500000</v>
      </c>
      <c r="G12" s="27">
        <f t="shared" si="0"/>
        <v>420000</v>
      </c>
      <c r="H12" s="27">
        <f t="shared" si="1"/>
        <v>920000</v>
      </c>
      <c r="I12" s="27">
        <f t="shared" si="2"/>
        <v>700000</v>
      </c>
      <c r="J12" s="27">
        <f t="shared" si="3"/>
        <v>-220000</v>
      </c>
    </row>
    <row r="16" spans="1:20" x14ac:dyDescent="0.25">
      <c r="B16" s="20" t="s">
        <v>35</v>
      </c>
      <c r="E16" s="20" t="s">
        <v>36</v>
      </c>
    </row>
    <row r="17" spans="2:9" ht="15.75" x14ac:dyDescent="0.25">
      <c r="B17" s="19" t="s">
        <v>34</v>
      </c>
      <c r="C17" s="38">
        <v>70000</v>
      </c>
      <c r="E17" s="19" t="s">
        <v>34</v>
      </c>
      <c r="F17" s="39">
        <v>125000</v>
      </c>
    </row>
    <row r="18" spans="2:9" ht="15.75" x14ac:dyDescent="0.25">
      <c r="B18" s="19" t="s">
        <v>30</v>
      </c>
      <c r="C18" s="38">
        <v>500000</v>
      </c>
      <c r="E18" s="19" t="s">
        <v>30</v>
      </c>
      <c r="F18" s="39">
        <v>500000</v>
      </c>
    </row>
    <row r="19" spans="2:9" ht="15.75" x14ac:dyDescent="0.25">
      <c r="B19" s="19" t="s">
        <v>28</v>
      </c>
      <c r="C19" s="38">
        <f>$B$5*C17</f>
        <v>420000</v>
      </c>
      <c r="E19" s="19" t="s">
        <v>28</v>
      </c>
      <c r="F19" s="39">
        <f>$B$5*F17</f>
        <v>750000</v>
      </c>
    </row>
    <row r="20" spans="2:9" ht="15.75" x14ac:dyDescent="0.25">
      <c r="B20" s="19" t="s">
        <v>31</v>
      </c>
      <c r="C20" s="38">
        <f>C18+C19</f>
        <v>920000</v>
      </c>
      <c r="E20" s="19" t="s">
        <v>31</v>
      </c>
      <c r="F20" s="39">
        <f>F18+F19</f>
        <v>1250000</v>
      </c>
    </row>
    <row r="21" spans="2:9" ht="15.75" x14ac:dyDescent="0.25">
      <c r="B21" s="19" t="s">
        <v>32</v>
      </c>
      <c r="C21" s="38">
        <f>$B$4*C17</f>
        <v>700000</v>
      </c>
      <c r="E21" s="19" t="s">
        <v>32</v>
      </c>
      <c r="F21" s="39">
        <f>$B$4*F17</f>
        <v>1250000</v>
      </c>
    </row>
    <row r="22" spans="2:9" ht="15.75" x14ac:dyDescent="0.25">
      <c r="B22" s="19" t="s">
        <v>33</v>
      </c>
      <c r="C22" s="38">
        <f>C21-C20</f>
        <v>-220000</v>
      </c>
      <c r="E22" s="19" t="s">
        <v>33</v>
      </c>
      <c r="F22" s="39">
        <f>F21-F20</f>
        <v>0</v>
      </c>
    </row>
    <row r="26" spans="2:9" x14ac:dyDescent="0.25">
      <c r="I26" t="s">
        <v>77</v>
      </c>
    </row>
    <row r="27" spans="2:9" x14ac:dyDescent="0.25">
      <c r="I27" t="s">
        <v>78</v>
      </c>
    </row>
    <row r="28" spans="2:9" x14ac:dyDescent="0.25">
      <c r="I28" t="s">
        <v>12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0B2B-1706-4E32-BB81-A553FF840DAB}">
  <sheetPr>
    <tabColor rgb="FFFF0000"/>
  </sheetPr>
  <dimension ref="A1:T26"/>
  <sheetViews>
    <sheetView zoomScale="136" workbookViewId="0">
      <selection activeCell="G28" sqref="G28"/>
    </sheetView>
  </sheetViews>
  <sheetFormatPr defaultRowHeight="15" x14ac:dyDescent="0.25"/>
  <cols>
    <col min="2" max="2" width="14.85546875" bestFit="1" customWidth="1"/>
    <col min="3" max="3" width="12.5703125" bestFit="1" customWidth="1"/>
    <col min="4" max="4" width="14.85546875" bestFit="1" customWidth="1"/>
    <col min="8" max="8" width="11.28515625" customWidth="1"/>
    <col min="9" max="9" width="15.140625" customWidth="1"/>
    <col min="12" max="12" width="23.28515625" customWidth="1"/>
  </cols>
  <sheetData>
    <row r="1" spans="1:20" ht="18.75" x14ac:dyDescent="0.3">
      <c r="A1" s="79" t="s">
        <v>26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</row>
    <row r="3" spans="1:20" ht="15.75" x14ac:dyDescent="0.25">
      <c r="A3" s="80" t="s">
        <v>40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</row>
    <row r="5" spans="1:20" x14ac:dyDescent="0.25">
      <c r="B5" s="5" t="s">
        <v>37</v>
      </c>
      <c r="C5" s="2">
        <v>600</v>
      </c>
      <c r="E5" s="41" t="s">
        <v>79</v>
      </c>
      <c r="F5" s="41" t="s">
        <v>64</v>
      </c>
      <c r="G5" s="41" t="s">
        <v>39</v>
      </c>
      <c r="H5" s="41" t="s">
        <v>38</v>
      </c>
      <c r="I5" s="41" t="s">
        <v>73</v>
      </c>
    </row>
    <row r="6" spans="1:20" x14ac:dyDescent="0.25">
      <c r="B6" s="6" t="s">
        <v>39</v>
      </c>
      <c r="C6" s="2">
        <v>400</v>
      </c>
      <c r="E6" s="1">
        <v>0</v>
      </c>
      <c r="F6" s="1">
        <v>600</v>
      </c>
      <c r="G6" s="1">
        <v>400</v>
      </c>
      <c r="H6" s="1">
        <v>20000</v>
      </c>
      <c r="I6" s="2">
        <f>($C$5-$C$6)*E6-$C$7</f>
        <v>-20000</v>
      </c>
    </row>
    <row r="7" spans="1:20" x14ac:dyDescent="0.25">
      <c r="B7" s="21" t="s">
        <v>38</v>
      </c>
      <c r="C7" s="2">
        <v>20000</v>
      </c>
      <c r="E7" s="1">
        <v>150</v>
      </c>
      <c r="F7" s="1">
        <v>600</v>
      </c>
      <c r="G7" s="1">
        <v>400</v>
      </c>
      <c r="H7" s="1">
        <v>20000</v>
      </c>
      <c r="I7" s="2">
        <f t="shared" ref="I7:I11" si="0">($C$5-$C$6)*E7-$C$7</f>
        <v>10000</v>
      </c>
    </row>
    <row r="8" spans="1:20" x14ac:dyDescent="0.25">
      <c r="B8" s="1" t="s">
        <v>80</v>
      </c>
      <c r="C8" s="2">
        <f>(C5-C6)*C9-C7</f>
        <v>100000</v>
      </c>
      <c r="E8" s="1">
        <v>300</v>
      </c>
      <c r="F8" s="1">
        <v>600</v>
      </c>
      <c r="G8" s="1">
        <v>400</v>
      </c>
      <c r="H8" s="1">
        <v>20000</v>
      </c>
      <c r="I8" s="2">
        <f t="shared" si="0"/>
        <v>40000</v>
      </c>
    </row>
    <row r="9" spans="1:20" x14ac:dyDescent="0.25">
      <c r="B9" s="1" t="s">
        <v>79</v>
      </c>
      <c r="C9" s="42">
        <v>600</v>
      </c>
      <c r="E9" s="1">
        <v>450</v>
      </c>
      <c r="F9" s="1">
        <v>600</v>
      </c>
      <c r="G9" s="1">
        <v>400</v>
      </c>
      <c r="H9" s="1">
        <v>20000</v>
      </c>
      <c r="I9" s="2">
        <f t="shared" si="0"/>
        <v>70000</v>
      </c>
    </row>
    <row r="10" spans="1:20" x14ac:dyDescent="0.25">
      <c r="E10" s="39">
        <v>600</v>
      </c>
      <c r="F10" s="39">
        <v>600</v>
      </c>
      <c r="G10" s="39">
        <v>400</v>
      </c>
      <c r="H10" s="39">
        <v>20000</v>
      </c>
      <c r="I10" s="40">
        <f t="shared" si="0"/>
        <v>100000</v>
      </c>
    </row>
    <row r="11" spans="1:20" x14ac:dyDescent="0.25">
      <c r="E11" s="1">
        <v>750</v>
      </c>
      <c r="F11" s="1">
        <v>600</v>
      </c>
      <c r="G11" s="1">
        <v>400</v>
      </c>
      <c r="H11" s="1">
        <v>20000</v>
      </c>
      <c r="I11" s="2">
        <f t="shared" si="0"/>
        <v>130000</v>
      </c>
    </row>
    <row r="13" spans="1:20" ht="15.75" x14ac:dyDescent="0.25">
      <c r="A13" s="81" t="s">
        <v>44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</row>
    <row r="15" spans="1:20" x14ac:dyDescent="0.25">
      <c r="B15" s="23" t="s">
        <v>41</v>
      </c>
      <c r="C15" s="22">
        <v>60</v>
      </c>
    </row>
    <row r="16" spans="1:20" x14ac:dyDescent="0.25">
      <c r="B16" s="23" t="s">
        <v>42</v>
      </c>
      <c r="C16" s="22">
        <v>109.99999999999997</v>
      </c>
    </row>
    <row r="17" spans="1:14" x14ac:dyDescent="0.25">
      <c r="B17" s="23" t="s">
        <v>43</v>
      </c>
      <c r="C17" s="1">
        <f>C15*0.4+C16*0.6</f>
        <v>89.999999999999986</v>
      </c>
    </row>
    <row r="21" spans="1:14" x14ac:dyDescent="0.25">
      <c r="A21" s="82" t="s">
        <v>45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</row>
    <row r="23" spans="1:14" x14ac:dyDescent="0.25">
      <c r="B23" s="15" t="s">
        <v>1</v>
      </c>
      <c r="C23" s="2">
        <v>400000</v>
      </c>
    </row>
    <row r="24" spans="1:14" x14ac:dyDescent="0.25">
      <c r="B24" s="15" t="s">
        <v>16</v>
      </c>
      <c r="C24" s="3">
        <v>0.13</v>
      </c>
    </row>
    <row r="25" spans="1:14" x14ac:dyDescent="0.25">
      <c r="B25" s="1" t="s">
        <v>81</v>
      </c>
      <c r="C25" s="4">
        <f>PMT(C24/12,C26*12,-C23)</f>
        <v>8000.0000173082317</v>
      </c>
    </row>
    <row r="26" spans="1:14" x14ac:dyDescent="0.25">
      <c r="B26" s="1" t="s">
        <v>82</v>
      </c>
      <c r="C26" s="42">
        <v>6.0336678835169764</v>
      </c>
      <c r="D26" s="43">
        <f>C26*12</f>
        <v>72.404014602203716</v>
      </c>
      <c r="E26" s="26" t="s">
        <v>83</v>
      </c>
    </row>
  </sheetData>
  <mergeCells count="4">
    <mergeCell ref="A1:T1"/>
    <mergeCell ref="A3:N3"/>
    <mergeCell ref="A13:N13"/>
    <mergeCell ref="A21:N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604D4-8C0D-4E63-97A0-D13B5BE914E7}">
  <sheetPr>
    <tabColor rgb="FF7030A0"/>
  </sheetPr>
  <dimension ref="A1:T24"/>
  <sheetViews>
    <sheetView tabSelected="1" workbookViewId="0">
      <selection activeCell="D16" sqref="D16"/>
    </sheetView>
  </sheetViews>
  <sheetFormatPr defaultRowHeight="15" x14ac:dyDescent="0.25"/>
  <cols>
    <col min="2" max="2" width="18.85546875" customWidth="1"/>
    <col min="3" max="3" width="23.5703125" customWidth="1"/>
    <col min="11" max="11" width="11.85546875" bestFit="1" customWidth="1"/>
    <col min="12" max="12" width="16.5703125" customWidth="1"/>
    <col min="13" max="13" width="16.140625" customWidth="1"/>
    <col min="14" max="14" width="15.7109375" customWidth="1"/>
  </cols>
  <sheetData>
    <row r="1" spans="1:20" ht="18.75" x14ac:dyDescent="0.3">
      <c r="A1" s="79" t="s">
        <v>46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</row>
    <row r="2" spans="1:20" ht="15.6" customHeight="1" x14ac:dyDescent="0.25">
      <c r="A2" s="83" t="s">
        <v>55</v>
      </c>
      <c r="B2" s="83"/>
      <c r="C2" s="83"/>
      <c r="D2" s="83"/>
      <c r="E2" s="83"/>
      <c r="F2" s="83"/>
      <c r="G2" s="83"/>
      <c r="H2" s="83"/>
      <c r="J2" s="84" t="s">
        <v>56</v>
      </c>
      <c r="L2" s="27" t="s">
        <v>51</v>
      </c>
    </row>
    <row r="3" spans="1:20" x14ac:dyDescent="0.25">
      <c r="A3" s="83"/>
      <c r="B3" s="83"/>
      <c r="C3" s="83"/>
      <c r="D3" s="83"/>
      <c r="E3" s="83"/>
      <c r="F3" s="83"/>
      <c r="G3" s="83"/>
      <c r="H3" s="83"/>
      <c r="J3" s="84"/>
      <c r="K3" s="26" t="s">
        <v>47</v>
      </c>
      <c r="L3" s="27" t="s">
        <v>52</v>
      </c>
      <c r="M3" s="27" t="s">
        <v>53</v>
      </c>
      <c r="N3" s="27" t="s">
        <v>54</v>
      </c>
    </row>
    <row r="4" spans="1:20" x14ac:dyDescent="0.25">
      <c r="A4" s="83"/>
      <c r="B4" s="83"/>
      <c r="C4" s="83"/>
      <c r="D4" s="83"/>
      <c r="E4" s="83"/>
      <c r="F4" s="83"/>
      <c r="G4" s="83"/>
      <c r="H4" s="83"/>
      <c r="J4" s="84"/>
      <c r="K4" s="26" t="s">
        <v>1</v>
      </c>
      <c r="L4" s="2">
        <v>500000</v>
      </c>
      <c r="M4" s="2">
        <v>450000</v>
      </c>
      <c r="N4" s="2">
        <v>550000</v>
      </c>
    </row>
    <row r="5" spans="1:20" x14ac:dyDescent="0.25">
      <c r="J5" s="84"/>
      <c r="K5" s="26" t="s">
        <v>6</v>
      </c>
      <c r="L5" s="1">
        <v>48</v>
      </c>
      <c r="M5" s="1">
        <v>36</v>
      </c>
      <c r="N5" s="1">
        <v>60</v>
      </c>
    </row>
    <row r="6" spans="1:20" ht="15.75" x14ac:dyDescent="0.25">
      <c r="B6" s="85" t="s">
        <v>57</v>
      </c>
      <c r="C6" s="85"/>
      <c r="J6" s="84"/>
      <c r="K6" s="26" t="s">
        <v>13</v>
      </c>
      <c r="L6" s="3">
        <v>0.06</v>
      </c>
      <c r="M6" s="3">
        <v>0.05</v>
      </c>
      <c r="N6" s="3">
        <v>7.0000000000000007E-2</v>
      </c>
    </row>
    <row r="7" spans="1:20" x14ac:dyDescent="0.25">
      <c r="B7" s="24" t="s">
        <v>47</v>
      </c>
      <c r="C7" s="25" t="s">
        <v>48</v>
      </c>
    </row>
    <row r="8" spans="1:20" x14ac:dyDescent="0.25">
      <c r="B8" s="1" t="s">
        <v>1</v>
      </c>
      <c r="C8" s="2">
        <v>500000</v>
      </c>
    </row>
    <row r="9" spans="1:20" x14ac:dyDescent="0.25">
      <c r="B9" s="1" t="s">
        <v>6</v>
      </c>
      <c r="C9" s="1">
        <v>48</v>
      </c>
    </row>
    <row r="10" spans="1:20" x14ac:dyDescent="0.25">
      <c r="B10" s="1" t="s">
        <v>13</v>
      </c>
      <c r="C10" s="3">
        <v>7.0000000000000007E-2</v>
      </c>
    </row>
    <row r="11" spans="1:20" x14ac:dyDescent="0.25">
      <c r="B11" s="1" t="s">
        <v>49</v>
      </c>
      <c r="C11" s="4">
        <f>PMT(C10/12,C9,-C8,0,1)</f>
        <v>11903.684173542457</v>
      </c>
    </row>
    <row r="12" spans="1:20" x14ac:dyDescent="0.25">
      <c r="B12" s="1" t="s">
        <v>50</v>
      </c>
      <c r="C12" s="4">
        <f>C11*C9</f>
        <v>571376.84033003799</v>
      </c>
      <c r="F12" t="s">
        <v>100</v>
      </c>
    </row>
    <row r="16" spans="1:20" ht="15.75" x14ac:dyDescent="0.25">
      <c r="B16" s="85" t="s">
        <v>58</v>
      </c>
      <c r="C16" s="85"/>
    </row>
    <row r="17" spans="2:3" x14ac:dyDescent="0.25">
      <c r="B17" s="24" t="s">
        <v>47</v>
      </c>
      <c r="C17" s="25" t="s">
        <v>48</v>
      </c>
    </row>
    <row r="18" spans="2:3" x14ac:dyDescent="0.25">
      <c r="B18" s="1" t="s">
        <v>1</v>
      </c>
      <c r="C18" s="2">
        <v>500000</v>
      </c>
    </row>
    <row r="19" spans="2:3" x14ac:dyDescent="0.25">
      <c r="B19" s="1" t="s">
        <v>6</v>
      </c>
      <c r="C19" s="1">
        <v>48</v>
      </c>
    </row>
    <row r="20" spans="2:3" x14ac:dyDescent="0.25">
      <c r="B20" s="1" t="s">
        <v>13</v>
      </c>
      <c r="C20" s="3">
        <v>0.06</v>
      </c>
    </row>
    <row r="21" spans="2:3" x14ac:dyDescent="0.25">
      <c r="B21" s="1" t="s">
        <v>49</v>
      </c>
      <c r="C21" s="4">
        <f>PMT(C20/12,C19,-C18,0,1)</f>
        <v>11684.094053699311</v>
      </c>
    </row>
    <row r="22" spans="2:3" x14ac:dyDescent="0.25">
      <c r="B22" s="1" t="s">
        <v>50</v>
      </c>
      <c r="C22" s="4">
        <f>C21*C19</f>
        <v>560836.51457756688</v>
      </c>
    </row>
    <row r="23" spans="2:3" x14ac:dyDescent="0.25">
      <c r="B23" s="1" t="s">
        <v>59</v>
      </c>
      <c r="C23" s="1"/>
    </row>
    <row r="24" spans="2:3" x14ac:dyDescent="0.25">
      <c r="B24" s="1" t="s">
        <v>60</v>
      </c>
      <c r="C24" s="1"/>
    </row>
  </sheetData>
  <scenarios current="0" show="0" sqref="C11:C12">
    <scenario name="Bank-1" locked="1" count="3" user="BADAL LAD" comment="Created by BADAL LAD on 07-09-2026">
      <inputCells r="C8" val="500000" numFmtId="164"/>
      <inputCells r="C9" val="48"/>
      <inputCells r="C10" val="0.07" numFmtId="10"/>
    </scenario>
    <scenario name="Bank-2" locked="1" count="3" user="BADAL LAD" comment="Created by BADAL LAD on 07-09-2026">
      <inputCells r="C8" val="500000" numFmtId="164"/>
      <inputCells r="C9" val="60"/>
      <inputCells r="C10" val="0.05" numFmtId="10"/>
    </scenario>
    <scenario name="Bank-3" locked="1" count="3" user="BADAL LAD" comment="Created by BADAL LAD on 07-09-2026">
      <inputCells r="C8" val="500000" numFmtId="164"/>
      <inputCells r="C9" val="42"/>
      <inputCells r="C10" val="0.065" numFmtId="10"/>
    </scenario>
  </scenarios>
  <mergeCells count="5">
    <mergeCell ref="A1:T1"/>
    <mergeCell ref="A2:H4"/>
    <mergeCell ref="J2:J6"/>
    <mergeCell ref="B6:C6"/>
    <mergeCell ref="B16:C1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7F38-89AD-4854-A82C-EBC7098DD51E}">
  <sheetPr>
    <outlinePr summaryBelow="0"/>
  </sheetPr>
  <dimension ref="B1:G14"/>
  <sheetViews>
    <sheetView showGridLines="0" workbookViewId="0">
      <selection activeCell="G28" sqref="G28"/>
    </sheetView>
  </sheetViews>
  <sheetFormatPr defaultRowHeight="15" outlineLevelRow="1" outlineLevelCol="1" x14ac:dyDescent="0.25"/>
  <cols>
    <col min="3" max="3" width="6.140625" bestFit="1" customWidth="1"/>
    <col min="4" max="7" width="13.140625" bestFit="1" customWidth="1" outlineLevel="1"/>
  </cols>
  <sheetData>
    <row r="1" spans="2:7" ht="15.75" thickBot="1" x14ac:dyDescent="0.3"/>
    <row r="2" spans="2:7" ht="15.75" x14ac:dyDescent="0.25">
      <c r="B2" s="49" t="s">
        <v>93</v>
      </c>
      <c r="C2" s="49"/>
      <c r="D2" s="54"/>
      <c r="E2" s="54"/>
      <c r="F2" s="54"/>
      <c r="G2" s="54"/>
    </row>
    <row r="3" spans="2:7" ht="15.75" collapsed="1" x14ac:dyDescent="0.25">
      <c r="B3" s="48"/>
      <c r="C3" s="48"/>
      <c r="D3" s="55" t="s">
        <v>95</v>
      </c>
      <c r="E3" s="55" t="s">
        <v>89</v>
      </c>
      <c r="F3" s="55" t="s">
        <v>91</v>
      </c>
      <c r="G3" s="55" t="s">
        <v>92</v>
      </c>
    </row>
    <row r="4" spans="2:7" ht="33.75" hidden="1" outlineLevel="1" x14ac:dyDescent="0.25">
      <c r="B4" s="51"/>
      <c r="C4" s="51"/>
      <c r="E4" s="59" t="s">
        <v>90</v>
      </c>
      <c r="F4" s="59" t="s">
        <v>90</v>
      </c>
      <c r="G4" s="59" t="s">
        <v>90</v>
      </c>
    </row>
    <row r="5" spans="2:7" x14ac:dyDescent="0.25">
      <c r="B5" s="52" t="s">
        <v>94</v>
      </c>
      <c r="C5" s="52"/>
      <c r="D5" s="50"/>
      <c r="E5" s="50"/>
      <c r="F5" s="50"/>
      <c r="G5" s="50"/>
    </row>
    <row r="6" spans="2:7" outlineLevel="1" x14ac:dyDescent="0.25">
      <c r="B6" s="51"/>
      <c r="C6" s="51" t="s">
        <v>84</v>
      </c>
      <c r="D6" s="44">
        <v>500000</v>
      </c>
      <c r="E6" s="56">
        <v>500000</v>
      </c>
      <c r="F6" s="56">
        <v>500000</v>
      </c>
      <c r="G6" s="56">
        <v>500000</v>
      </c>
    </row>
    <row r="7" spans="2:7" outlineLevel="1" x14ac:dyDescent="0.25">
      <c r="B7" s="51"/>
      <c r="C7" s="51" t="s">
        <v>85</v>
      </c>
      <c r="D7">
        <v>48</v>
      </c>
      <c r="E7" s="57">
        <v>48</v>
      </c>
      <c r="F7" s="57">
        <v>60</v>
      </c>
      <c r="G7" s="57">
        <v>42</v>
      </c>
    </row>
    <row r="8" spans="2:7" outlineLevel="1" x14ac:dyDescent="0.25">
      <c r="B8" s="51"/>
      <c r="C8" s="51" t="s">
        <v>86</v>
      </c>
      <c r="D8" s="45">
        <v>7.0000000000000007E-2</v>
      </c>
      <c r="E8" s="58">
        <v>7.0000000000000007E-2</v>
      </c>
      <c r="F8" s="58">
        <v>0.05</v>
      </c>
      <c r="G8" s="58">
        <v>6.5000000000000002E-2</v>
      </c>
    </row>
    <row r="9" spans="2:7" x14ac:dyDescent="0.25">
      <c r="B9" s="52" t="s">
        <v>96</v>
      </c>
      <c r="C9" s="52"/>
      <c r="D9" s="50"/>
      <c r="E9" s="50"/>
      <c r="F9" s="50"/>
      <c r="G9" s="50"/>
    </row>
    <row r="10" spans="2:7" outlineLevel="1" x14ac:dyDescent="0.25">
      <c r="B10" s="51"/>
      <c r="C10" s="51" t="s">
        <v>87</v>
      </c>
      <c r="D10" s="46">
        <v>11903.684173542501</v>
      </c>
      <c r="E10" s="46">
        <v>11903.684173542501</v>
      </c>
      <c r="F10" s="46">
        <v>9396.4648849846999</v>
      </c>
      <c r="G10" s="46">
        <v>13270.4231932034</v>
      </c>
    </row>
    <row r="11" spans="2:7" ht="15.75" outlineLevel="1" thickBot="1" x14ac:dyDescent="0.3">
      <c r="B11" s="53"/>
      <c r="C11" s="53" t="s">
        <v>88</v>
      </c>
      <c r="D11" s="47">
        <v>571376.84033003799</v>
      </c>
      <c r="E11" s="47">
        <v>571376.84033003799</v>
      </c>
      <c r="F11" s="47">
        <v>563787.89309908205</v>
      </c>
      <c r="G11" s="47">
        <v>557357.77411454299</v>
      </c>
    </row>
    <row r="12" spans="2:7" x14ac:dyDescent="0.25">
      <c r="B12" t="s">
        <v>97</v>
      </c>
    </row>
    <row r="13" spans="2:7" x14ac:dyDescent="0.25">
      <c r="B13" t="s">
        <v>98</v>
      </c>
    </row>
    <row r="14" spans="2:7" x14ac:dyDescent="0.25">
      <c r="B14" t="s">
        <v>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E0F9-CB80-441D-9D4C-6A6D7CB6951E}">
  <sheetPr>
    <outlinePr summaryBelow="0"/>
  </sheetPr>
  <dimension ref="B1:F14"/>
  <sheetViews>
    <sheetView showGridLines="0" workbookViewId="0">
      <selection activeCell="L27" sqref="L27"/>
    </sheetView>
  </sheetViews>
  <sheetFormatPr defaultRowHeight="15" outlineLevelRow="1" outlineLevelCol="1" x14ac:dyDescent="0.25"/>
  <cols>
    <col min="3" max="3" width="5.42578125" bestFit="1" customWidth="1"/>
    <col min="4" max="6" width="13.140625" bestFit="1" customWidth="1" outlineLevel="1"/>
  </cols>
  <sheetData>
    <row r="1" spans="2:6" ht="15.75" thickBot="1" x14ac:dyDescent="0.3"/>
    <row r="2" spans="2:6" ht="15.75" x14ac:dyDescent="0.25">
      <c r="B2" s="49" t="s">
        <v>93</v>
      </c>
      <c r="C2" s="49"/>
      <c r="D2" s="54"/>
      <c r="E2" s="54"/>
      <c r="F2" s="54"/>
    </row>
    <row r="3" spans="2:6" ht="15.75" collapsed="1" x14ac:dyDescent="0.25">
      <c r="B3" s="48"/>
      <c r="C3" s="48"/>
      <c r="D3" s="55" t="s">
        <v>95</v>
      </c>
      <c r="E3" s="55" t="s">
        <v>107</v>
      </c>
      <c r="F3" s="55" t="s">
        <v>109</v>
      </c>
    </row>
    <row r="4" spans="2:6" ht="67.5" hidden="1" outlineLevel="1" x14ac:dyDescent="0.25">
      <c r="B4" s="51"/>
      <c r="C4" s="51"/>
      <c r="E4" s="59" t="s">
        <v>108</v>
      </c>
      <c r="F4" s="59" t="s">
        <v>108</v>
      </c>
    </row>
    <row r="5" spans="2:6" x14ac:dyDescent="0.25">
      <c r="B5" s="52" t="s">
        <v>94</v>
      </c>
      <c r="C5" s="52"/>
      <c r="D5" s="50"/>
      <c r="E5" s="50"/>
      <c r="F5" s="50"/>
    </row>
    <row r="6" spans="2:6" outlineLevel="1" x14ac:dyDescent="0.25">
      <c r="B6" s="51"/>
      <c r="C6" s="51" t="s">
        <v>103</v>
      </c>
      <c r="D6">
        <v>1000</v>
      </c>
      <c r="E6" s="57">
        <v>700</v>
      </c>
      <c r="F6" s="57">
        <v>500</v>
      </c>
    </row>
    <row r="7" spans="2:6" outlineLevel="1" x14ac:dyDescent="0.25">
      <c r="B7" s="51"/>
      <c r="C7" s="51" t="s">
        <v>104</v>
      </c>
      <c r="D7">
        <v>600</v>
      </c>
      <c r="E7" s="57">
        <v>550</v>
      </c>
      <c r="F7" s="57">
        <v>500</v>
      </c>
    </row>
    <row r="8" spans="2:6" outlineLevel="1" x14ac:dyDescent="0.25">
      <c r="B8" s="51"/>
      <c r="C8" s="51" t="s">
        <v>84</v>
      </c>
      <c r="D8">
        <v>400</v>
      </c>
      <c r="E8" s="57">
        <v>420</v>
      </c>
      <c r="F8" s="57">
        <v>450</v>
      </c>
    </row>
    <row r="9" spans="2:6" x14ac:dyDescent="0.25">
      <c r="B9" s="52" t="s">
        <v>96</v>
      </c>
      <c r="C9" s="52"/>
      <c r="D9" s="50"/>
      <c r="E9" s="50"/>
      <c r="F9" s="50"/>
    </row>
    <row r="10" spans="2:6" outlineLevel="1" x14ac:dyDescent="0.25">
      <c r="B10" s="51"/>
      <c r="C10" s="51" t="s">
        <v>105</v>
      </c>
      <c r="D10" s="44">
        <v>200</v>
      </c>
      <c r="E10" s="44">
        <v>130</v>
      </c>
      <c r="F10" s="44">
        <v>50</v>
      </c>
    </row>
    <row r="11" spans="2:6" ht="15.75" outlineLevel="1" thickBot="1" x14ac:dyDescent="0.3">
      <c r="B11" s="53"/>
      <c r="C11" s="53" t="s">
        <v>106</v>
      </c>
      <c r="D11" s="60">
        <v>0.5</v>
      </c>
      <c r="E11" s="60">
        <v>0.30952380952380998</v>
      </c>
      <c r="F11" s="60">
        <v>0.11111111111111099</v>
      </c>
    </row>
    <row r="12" spans="2:6" x14ac:dyDescent="0.25">
      <c r="B12" t="s">
        <v>97</v>
      </c>
    </row>
    <row r="13" spans="2:6" x14ac:dyDescent="0.25">
      <c r="B13" t="s">
        <v>98</v>
      </c>
    </row>
    <row r="14" spans="2:6" x14ac:dyDescent="0.25">
      <c r="B14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90532-5DD7-4795-8C6C-BE20B58722D3}">
  <sheetPr>
    <tabColor rgb="FFFF0000"/>
  </sheetPr>
  <dimension ref="A1:H10"/>
  <sheetViews>
    <sheetView workbookViewId="0">
      <selection activeCell="D8" sqref="D8"/>
    </sheetView>
  </sheetViews>
  <sheetFormatPr defaultRowHeight="15" x14ac:dyDescent="0.25"/>
  <cols>
    <col min="4" max="4" width="12.42578125" customWidth="1"/>
    <col min="5" max="5" width="11.28515625" customWidth="1"/>
  </cols>
  <sheetData>
    <row r="1" spans="1:8" x14ac:dyDescent="0.25">
      <c r="A1" s="86" t="s">
        <v>65</v>
      </c>
      <c r="B1" s="86"/>
      <c r="C1" s="86"/>
      <c r="D1" s="86"/>
      <c r="E1" s="86"/>
      <c r="F1" s="86"/>
      <c r="G1" s="86"/>
      <c r="H1" s="86"/>
    </row>
    <row r="2" spans="1:8" x14ac:dyDescent="0.25">
      <c r="A2" s="86"/>
      <c r="B2" s="86"/>
      <c r="C2" s="86"/>
      <c r="D2" s="86"/>
      <c r="E2" s="86"/>
      <c r="F2" s="86"/>
      <c r="G2" s="86"/>
      <c r="H2" s="86"/>
    </row>
    <row r="7" spans="1:8" x14ac:dyDescent="0.25">
      <c r="A7" s="29" t="s">
        <v>63</v>
      </c>
      <c r="B7" s="29" t="s">
        <v>64</v>
      </c>
      <c r="C7" s="29" t="s">
        <v>39</v>
      </c>
      <c r="D7" s="29" t="s">
        <v>27</v>
      </c>
      <c r="E7" s="29" t="s">
        <v>102</v>
      </c>
      <c r="F7" s="29" t="s">
        <v>73</v>
      </c>
      <c r="G7" s="29" t="s">
        <v>101</v>
      </c>
    </row>
    <row r="8" spans="1:8" x14ac:dyDescent="0.25">
      <c r="A8" s="30">
        <v>1000</v>
      </c>
      <c r="B8" s="30">
        <v>600</v>
      </c>
      <c r="C8" s="30">
        <v>400</v>
      </c>
      <c r="D8" s="30">
        <f>B8*A8</f>
        <v>600000</v>
      </c>
      <c r="E8" s="30"/>
      <c r="F8" s="2">
        <f>B8-C8</f>
        <v>200</v>
      </c>
      <c r="G8" s="3">
        <f>((B8-C8)/C8)</f>
        <v>0.5</v>
      </c>
    </row>
    <row r="9" spans="1:8" x14ac:dyDescent="0.25">
      <c r="A9" s="30">
        <v>700</v>
      </c>
      <c r="B9" s="30">
        <v>550</v>
      </c>
      <c r="C9" s="30">
        <v>420</v>
      </c>
      <c r="D9" s="30">
        <f t="shared" ref="D9:D10" si="0">B9*A9</f>
        <v>385000</v>
      </c>
      <c r="E9" s="30"/>
      <c r="F9" s="2">
        <f t="shared" ref="F9:F10" si="1">B9-C9</f>
        <v>130</v>
      </c>
      <c r="G9" s="3">
        <f t="shared" ref="G9:G10" si="2">((B9-C9)/C9)</f>
        <v>0.30952380952380953</v>
      </c>
    </row>
    <row r="10" spans="1:8" x14ac:dyDescent="0.25">
      <c r="A10" s="30">
        <v>500</v>
      </c>
      <c r="B10" s="30">
        <v>500</v>
      </c>
      <c r="C10" s="30">
        <v>450</v>
      </c>
      <c r="D10" s="30">
        <f t="shared" si="0"/>
        <v>250000</v>
      </c>
      <c r="E10" s="30"/>
      <c r="F10" s="2">
        <f t="shared" si="1"/>
        <v>50</v>
      </c>
      <c r="G10" s="3">
        <f t="shared" si="2"/>
        <v>0.1111111111111111</v>
      </c>
    </row>
  </sheetData>
  <scenarios current="0" sqref="F8:G8">
    <scenario name="first" locked="1" count="3" user="BADAL LAD" comment="Created by BADAL LAD on 07-09-2026_x000a_Modified by BADAL LAD on 07-09-2026">
      <inputCells r="A8" val="700"/>
      <inputCells r="B8" val="550"/>
      <inputCells r="C8" val="420"/>
    </scenario>
    <scenario name="Second" locked="1" count="3" user="BADAL LAD" comment="Created by BADAL LAD on 07-09-2026_x000a_Modified by BADAL LAD on 07-09-2026">
      <inputCells r="A8" val="500"/>
      <inputCells r="B8" val="500"/>
      <inputCells r="C8" val="450"/>
    </scenario>
  </scenarios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One Variable in Data Table</vt:lpstr>
      <vt:lpstr>Two Variable in Data Table</vt:lpstr>
      <vt:lpstr>Three Variables in Data Table</vt:lpstr>
      <vt:lpstr>Data Tables with FV</vt:lpstr>
      <vt:lpstr>Data Tables Question</vt:lpstr>
      <vt:lpstr>Goal Seek 1</vt:lpstr>
      <vt:lpstr>Goal Seek Question</vt:lpstr>
      <vt:lpstr>Scenario Manager 1</vt:lpstr>
      <vt:lpstr>Scenario Summary</vt:lpstr>
      <vt:lpstr>Scenario Summary 2</vt:lpstr>
      <vt:lpstr>Scenario Manager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Dattraya Dixit</dc:creator>
  <cp:lastModifiedBy>BADAL LAD</cp:lastModifiedBy>
  <dcterms:created xsi:type="dcterms:W3CDTF">2025-06-27T14:41:07Z</dcterms:created>
  <dcterms:modified xsi:type="dcterms:W3CDTF">2026-09-08T11:29:40Z</dcterms:modified>
</cp:coreProperties>
</file>