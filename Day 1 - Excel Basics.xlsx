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Class-UpGrad\Classroom\Excle\"/>
    </mc:Choice>
  </mc:AlternateContent>
  <xr:revisionPtr revIDLastSave="0" documentId="13_ncr:1_{549785FC-AA31-45C1-95D9-DBE57A48DDCB}" xr6:coauthVersionLast="47" xr6:coauthVersionMax="47" xr10:uidLastSave="{00000000-0000-0000-0000-000000000000}"/>
  <bookViews>
    <workbookView xWindow="-120" yWindow="-120" windowWidth="29040" windowHeight="15720" tabRatio="788" activeTab="1" xr2:uid="{00000000-000D-0000-FFFF-FFFF00000000}"/>
  </bookViews>
  <sheets>
    <sheet name="CRISP-DM" sheetId="2" r:id="rId1"/>
    <sheet name="DATA DUMP - I" sheetId="4" r:id="rId2"/>
    <sheet name="Sheet1" sheetId="10" r:id="rId3"/>
    <sheet name="BASIC FORMULAS - QUESTIONS" sheetId="5" r:id="rId4"/>
    <sheet name="BASIC FORMULAS NOTES" sheetId="3" r:id="rId5"/>
    <sheet name="CONDITIONAL FORMATTING" sheetId="6" r:id="rId6"/>
    <sheet name="DATA DUMP - II" sheetId="7" r:id="rId7"/>
    <sheet name="CF - QUESTIONS" sheetId="8" r:id="rId8"/>
    <sheet name="Sheet2" sheetId="12" r:id="rId9"/>
    <sheet name="DAILY ASSIGNMENT" sheetId="9" r:id="rId10"/>
  </sheets>
  <definedNames>
    <definedName name="_xlnm._FilterDatabase" localSheetId="1" hidden="1">'DATA DUMP - I'!$A$3:$O$43</definedName>
    <definedName name="_xlnm.Print_Titles" localSheetId="1">'DATA DUMP - I'!$1:$3</definedName>
    <definedName name="_xlnm.Print_Titles" localSheetId="6">'DATA DUMP - II'!$1:$3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 i="4" l="1"/>
  <c r="P10" i="4" s="1"/>
  <c r="M36" i="10" s="1"/>
  <c r="J10" i="4"/>
  <c r="J4" i="4"/>
  <c r="J5" i="4"/>
  <c r="J6" i="4"/>
  <c r="J7" i="4"/>
  <c r="J8" i="4"/>
  <c r="J9"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P9" i="4"/>
  <c r="P12" i="4"/>
  <c r="P13" i="4"/>
  <c r="P14" i="4"/>
  <c r="P15" i="4"/>
  <c r="P16" i="4"/>
  <c r="P18" i="4"/>
  <c r="P19" i="4"/>
  <c r="P20" i="4"/>
  <c r="P21" i="4"/>
  <c r="P22" i="4"/>
  <c r="P23" i="4"/>
  <c r="P24" i="4"/>
  <c r="P25" i="4"/>
  <c r="P26" i="4"/>
  <c r="P27" i="4"/>
  <c r="P28" i="4"/>
  <c r="P30" i="4"/>
  <c r="P31" i="4"/>
  <c r="P32" i="4"/>
  <c r="P33" i="4"/>
  <c r="P34" i="4"/>
  <c r="P35" i="4"/>
  <c r="P36" i="4"/>
  <c r="P37" i="4"/>
  <c r="P38" i="4"/>
  <c r="P39" i="4"/>
  <c r="P40" i="4"/>
  <c r="P42" i="4"/>
  <c r="P43" i="4"/>
  <c r="G4" i="4"/>
  <c r="P4" i="4" s="1"/>
  <c r="M37" i="10" s="1"/>
  <c r="G5" i="4"/>
  <c r="P5" i="4" s="1"/>
  <c r="G6" i="4"/>
  <c r="P6" i="4" s="1"/>
  <c r="G7" i="4"/>
  <c r="P7" i="4" s="1"/>
  <c r="G8" i="4"/>
  <c r="P8" i="4" s="1"/>
  <c r="G9" i="4"/>
  <c r="G11" i="4"/>
  <c r="P11" i="4" s="1"/>
  <c r="M34" i="10" s="1"/>
  <c r="G12" i="4"/>
  <c r="G13" i="4"/>
  <c r="G14" i="4"/>
  <c r="G15" i="4"/>
  <c r="G16" i="4"/>
  <c r="G17" i="4"/>
  <c r="P17" i="4" s="1"/>
  <c r="G18" i="4"/>
  <c r="G19" i="4"/>
  <c r="G20" i="4"/>
  <c r="G21" i="4"/>
  <c r="G22" i="4"/>
  <c r="G23" i="4"/>
  <c r="G24" i="4"/>
  <c r="G25" i="4"/>
  <c r="G26" i="4"/>
  <c r="G27" i="4"/>
  <c r="G28" i="4"/>
  <c r="G29" i="4"/>
  <c r="P29" i="4" s="1"/>
  <c r="G30" i="4"/>
  <c r="G31" i="4"/>
  <c r="G32" i="4"/>
  <c r="G33" i="4"/>
  <c r="G34" i="4"/>
  <c r="G35" i="4"/>
  <c r="G36" i="4"/>
  <c r="G37" i="4"/>
  <c r="G38" i="4"/>
  <c r="G39" i="4"/>
  <c r="G40" i="4"/>
  <c r="G41" i="4"/>
  <c r="P41" i="4" s="1"/>
  <c r="G42" i="4"/>
  <c r="G4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G20" i="10"/>
  <c r="G22" i="10"/>
  <c r="G21" i="10"/>
  <c r="G19" i="10"/>
  <c r="F22" i="10"/>
  <c r="F21" i="10"/>
  <c r="F20" i="10"/>
  <c r="F19" i="10"/>
  <c r="D14" i="10"/>
  <c r="D13" i="10"/>
  <c r="D12" i="10"/>
  <c r="D11" i="10"/>
  <c r="C14" i="10"/>
  <c r="C13" i="10"/>
  <c r="C11" i="10"/>
  <c r="C12" i="10"/>
  <c r="O44" i="4"/>
  <c r="D35" i="5"/>
  <c r="F29" i="5"/>
  <c r="F28" i="5"/>
  <c r="F27" i="5"/>
  <c r="R4" i="4" l="1"/>
  <c r="R5" i="4"/>
  <c r="M35" i="10"/>
</calcChain>
</file>

<file path=xl/sharedStrings.xml><?xml version="1.0" encoding="utf-8"?>
<sst xmlns="http://schemas.openxmlformats.org/spreadsheetml/2006/main" count="1172" uniqueCount="399">
  <si>
    <t>DAY 1 – BUSINESS THINKING + CRISP-DM FOUNDATION</t>
  </si>
  <si>
    <t>Theme: From Business Problem → Data Analysis Questions</t>
  </si>
  <si>
    <t>SECTION A – KEY DEFINITIONS &amp; CONCEPTS</t>
  </si>
  <si>
    <t>Term</t>
  </si>
  <si>
    <t>Definition / Explanation</t>
  </si>
  <si>
    <t>Where Excel is typically used</t>
  </si>
  <si>
    <t>CRISP-DM</t>
  </si>
  <si>
    <t>Cross-Industry Standard Process for Data Mining. A widely used, structured approach for planning and executing data projects. It has six phases.</t>
  </si>
  <si>
    <t>Overall process framework – Excel supports almost every phase</t>
  </si>
  <si>
    <t>Business Understanding</t>
  </si>
  <si>
    <t>First phase. Focus on understanding the project objectives and requirements from a business perspective, then converting this knowledge into a data mining problem definition.</t>
  </si>
  <si>
    <t>Documenting objectives, writing problem statements, stakeholder notes</t>
  </si>
  <si>
    <t>Data Understanding</t>
  </si>
  <si>
    <t>Second phase. Collect initial data, explore it, identify data quality problems, and discover first insights.</t>
  </si>
  <si>
    <t>Initial exploration, sorting, filtering, basic charts, summary statistics</t>
  </si>
  <si>
    <t>Data Preparation</t>
  </si>
  <si>
    <t>Third phase. Construct the final dataset from the raw data. Includes cleaning, transforming, integrating and formatting data.</t>
  </si>
  <si>
    <t>Cleaning, formulas, removing duplicates, creating calculated columns</t>
  </si>
  <si>
    <t>Modeling</t>
  </si>
  <si>
    <t>Fourth phase. Select and apply modeling techniques, calibrate parameters, and build predictive or descriptive models.</t>
  </si>
  <si>
    <t>Basic statistical models, what-if analysis, scenario tools (limited)</t>
  </si>
  <si>
    <t>Evaluation</t>
  </si>
  <si>
    <t>Fifth phase. Thoroughly evaluate the model and review the steps to ensure it properly achieves the business objectives.</t>
  </si>
  <si>
    <t>Creating evaluation reports, comparing model results side-by-side</t>
  </si>
  <si>
    <t>Deployment</t>
  </si>
  <si>
    <t>Sixth (final) phase. Put the model into practice – generate reports, implement a system, or create dashboards for end users.</t>
  </si>
  <si>
    <t>Building final management reports, dashboards, and presentation tables</t>
  </si>
  <si>
    <t>Business Objective</t>
  </si>
  <si>
    <t>A clear, measurable goal that the organization wants to achieve (e.g., increase customer retention by 10% in 6 months).</t>
  </si>
  <si>
    <t>Writing the objective clearly in a structured sheet</t>
  </si>
  <si>
    <t>Data Analysis Question</t>
  </si>
  <si>
    <t>A specific, answerable question that can be investigated with data to support the business objective.</t>
  </si>
  <si>
    <t>Listing questions that will guide sorting, filtering and formula work</t>
  </si>
  <si>
    <t>Problem Statement</t>
  </si>
  <si>
    <t>A concise description of the issue to be solved, including context, impact, and desired outcome.</t>
  </si>
  <si>
    <t>Documenting the problem so the whole team stays aligned</t>
  </si>
  <si>
    <t>SECTION B – CONCEPTUAL QUESTIONS (Write your answers in the yellow cells)</t>
  </si>
  <si>
    <t>Q1. List the six phases of the CRISP-DM framework in the correct order.</t>
  </si>
  <si>
    <t>Q2. Why is the Business Understanding phase considered the most critical phase? Explain in 2–3 sentences.</t>
  </si>
  <si>
    <t>Q3. Give one concrete example of how Excel can be used in the Data Preparation phase.</t>
  </si>
  <si>
    <t>Q4. What is the difference between a Business Objective and a Data Analysis Question? Provide one example of each.</t>
  </si>
  <si>
    <t>Q5. A retail company says: “We want to sell more.” Rewrite this vague statement into a clear Business Objective and then into two Data Analysis Questions.</t>
  </si>
  <si>
    <t>SECTION C – HANDS-ON BUSINESS SCENARIOS (Practice Focus)</t>
  </si>
  <si>
    <t>For each scenario below: (1) Write a clear Problem Statement, (2) Map which CRISP-DM phases will be most active, (3) Create 2–3 specific Data Analysis Questions.</t>
  </si>
  <si>
    <t>SCENARIO 1 – Online Fashion Retailer</t>
  </si>
  <si>
    <t>A mid-size online fashion retailer has noticed that many first-time customers never place a second order. Management wants to understand why and improve the situation. They have order history, customer demographics, product categories, discount usage, and delivery ratings available in Excel.</t>
  </si>
  <si>
    <t>Problem Statement:</t>
  </si>
  <si>
    <t>Most relevant CRISP-DM phases:</t>
  </si>
  <si>
    <t>Data Analysis Question 1:</t>
  </si>
  <si>
    <t>Data Analysis Question 2:</t>
  </si>
  <si>
    <t>Data Analysis Question 3:</t>
  </si>
  <si>
    <t>SCENARIO 2 – Regional Superstore Chain</t>
  </si>
  <si>
    <t>A superstore chain operating in four regions (North, South, East, West) has seen overall sales growth, but the South region is lagging. Store managers suspect issues with inventory, promotions, or product mix. They have monthly sales, inventory levels, promotion calendars, and customer footfall data in Excel files.</t>
  </si>
  <si>
    <t>DAY 2 – EXCEL INTERFACE + DATA EXPLORATION GUIDE</t>
  </si>
  <si>
    <t>Theme: Get comfortable with the tool and start exploring data</t>
  </si>
  <si>
    <t>SECTION A – EXCEL INTERFACE QUICK REFERENCE</t>
  </si>
  <si>
    <t>Component</t>
  </si>
  <si>
    <t>Description &amp; Purpose</t>
  </si>
  <si>
    <t>Ribbon</t>
  </si>
  <si>
    <t>The long strip at the top containing tabs (Home, Insert, Page Layout, Formulas, Data, Review, View). Each tab has groups of related commands.</t>
  </si>
  <si>
    <t>Quick Access Toolbar</t>
  </si>
  <si>
    <t>Small toolbar usually above or below the Ribbon. Contains frequently used commands (Save, Undo, Redo). Can be customized.</t>
  </si>
  <si>
    <t>Formula Bar</t>
  </si>
  <si>
    <t>The bar just below the Ribbon that shows the content or formula of the currently selected cell. You can edit formulas here.</t>
  </si>
  <si>
    <t>Name Box</t>
  </si>
  <si>
    <t>Left of the Formula Bar. Displays the address of the active cell (e.g., B12) or the name of a named range.</t>
  </si>
  <si>
    <t>Worksheet / Grid</t>
  </si>
  <si>
    <t>The main working area made of rows (numbered) and columns (lettered). Intersection of a row and column is a cell.</t>
  </si>
  <si>
    <t>Status Bar</t>
  </si>
  <si>
    <t>Bottom of the Excel window. Shows ready status, average/count/sum of selected cells, zoom level, and view shortcuts.</t>
  </si>
  <si>
    <t>Sheet Tabs</t>
  </si>
  <si>
    <t>At the bottom. Allow switching between different worksheets in the same workbook.</t>
  </si>
  <si>
    <t>SECTION B – SORTING CONCEPTS</t>
  </si>
  <si>
    <t>Explanation</t>
  </si>
  <si>
    <t>Single-column Sort</t>
  </si>
  <si>
    <t>Arranging all rows based on the values in one column (A→Z, Z→A, Smallest→Largest, Largest→Smallest).</t>
  </si>
  <si>
    <t>Multi-column Sort</t>
  </si>
  <si>
    <t>Sorting by a primary column, then by a secondary column (and optionally more levels) to break ties.</t>
  </si>
  <si>
    <t>Sort Dialog (Custom Sort)</t>
  </si>
  <si>
    <t>Found under Data → Sort. Allows adding multiple levels, choosing order, and handling headers.</t>
  </si>
  <si>
    <t>Important Rule</t>
  </si>
  <si>
    <t>Always select the entire data range (or click any cell inside a proper Excel Table) before sorting so that rows stay intact.</t>
  </si>
  <si>
    <t>SECTION C – FILTERING CONCEPTS</t>
  </si>
  <si>
    <t>AutoFilter</t>
  </si>
  <si>
    <t>The drop-down arrows that appear in the header row after selecting Data → Filter. Allows quick filtering by values, text, numbers or dates.</t>
  </si>
  <si>
    <t>Custom Filter</t>
  </si>
  <si>
    <t>Accessed from the filter drop-down → Number/Text Filters → Custom Filter. Lets you set conditions such as “greater than”, “contains”, “between”, etc.</t>
  </si>
  <si>
    <t>AND / OR in Filters</t>
  </si>
  <si>
    <t>When using Custom Filter you can combine two conditions with AND (both must be true) or OR (either can be true).</t>
  </si>
  <si>
    <t>Clear Filter</t>
  </si>
  <si>
    <t>Data → Clear (or the filter icon → Clear Filter From…). Removes the current filter so all rows reappear.</t>
  </si>
  <si>
    <t>Best Practice</t>
  </si>
  <si>
    <t>After filtering, you can copy the visible rows to another sheet if you need a permanent subset for further analysis.</t>
  </si>
  <si>
    <t>SECTION D – USEFUL KEYBOARD SHORTCUTS (Reference only)</t>
  </si>
  <si>
    <t>Shortcut</t>
  </si>
  <si>
    <t>Action</t>
  </si>
  <si>
    <t>Ctrl + Home</t>
  </si>
  <si>
    <t>Go to cell A1</t>
  </si>
  <si>
    <t>Ctrl + End</t>
  </si>
  <si>
    <t>Go to the last used cell</t>
  </si>
  <si>
    <t>Ctrl + Arrow keys</t>
  </si>
  <si>
    <t>Jump to the edge of the current data region</t>
  </si>
  <si>
    <t>Ctrl + Shift + L</t>
  </si>
  <si>
    <t>Toggle AutoFilter on/off</t>
  </si>
  <si>
    <t>Alt + A + S + S</t>
  </si>
  <si>
    <t>Open the Sort dialog</t>
  </si>
  <si>
    <t>Ctrl + T</t>
  </si>
  <si>
    <t>Create an Excel Table from selected data</t>
  </si>
  <si>
    <t>Ctrl + Z / Ctrl + Y</t>
  </si>
  <si>
    <t>Undo / Redo</t>
  </si>
  <si>
    <t xml:space="preserve">SAMPLE SALES DATASET – Apex Retail </t>
  </si>
  <si>
    <t>OrderID</t>
  </si>
  <si>
    <t>OrderDate</t>
  </si>
  <si>
    <t>Region</t>
  </si>
  <si>
    <t>Product</t>
  </si>
  <si>
    <t>Category</t>
  </si>
  <si>
    <t>Quantity</t>
  </si>
  <si>
    <t>UnitPrice</t>
  </si>
  <si>
    <t>SalesAmount</t>
  </si>
  <si>
    <t>CustomerType</t>
  </si>
  <si>
    <t>Discount%</t>
  </si>
  <si>
    <t>PaymentMode</t>
  </si>
  <si>
    <t>Rating</t>
  </si>
  <si>
    <t>ORD-1001</t>
  </si>
  <si>
    <t>South</t>
  </si>
  <si>
    <t>Sticky Notes</t>
  </si>
  <si>
    <t>Stationery</t>
  </si>
  <si>
    <t>New</t>
  </si>
  <si>
    <t>UPI</t>
  </si>
  <si>
    <t>ORD-1002</t>
  </si>
  <si>
    <t>2025-10-05</t>
  </si>
  <si>
    <t>North</t>
  </si>
  <si>
    <t>ORD-1003</t>
  </si>
  <si>
    <t>2025-12-23</t>
  </si>
  <si>
    <t>West</t>
  </si>
  <si>
    <t>Bookshelf</t>
  </si>
  <si>
    <t>Furniture</t>
  </si>
  <si>
    <t>Cash on Delivery</t>
  </si>
  <si>
    <t>ORD-1004</t>
  </si>
  <si>
    <t>2025-12-29</t>
  </si>
  <si>
    <t>USB-C Hub</t>
  </si>
  <si>
    <t>Electronics</t>
  </si>
  <si>
    <t>Returning</t>
  </si>
  <si>
    <t>Net Banking</t>
  </si>
  <si>
    <t>ORD-1005</t>
  </si>
  <si>
    <t>2025-11-18</t>
  </si>
  <si>
    <t>Standing Desk</t>
  </si>
  <si>
    <t>ORD-1006</t>
  </si>
  <si>
    <t>2025-12-08</t>
  </si>
  <si>
    <t>Credit Card</t>
  </si>
  <si>
    <t>ORD-1007</t>
  </si>
  <si>
    <t>2025-12-30</t>
  </si>
  <si>
    <t>Ergonomic Keyboard</t>
  </si>
  <si>
    <t>ORD-1008</t>
  </si>
  <si>
    <t>East</t>
  </si>
  <si>
    <t>Wireless Mouse</t>
  </si>
  <si>
    <t>ORD-1009</t>
  </si>
  <si>
    <t>2025-11-04</t>
  </si>
  <si>
    <t>Ballpoint Pens (Pack)</t>
  </si>
  <si>
    <t>VIP</t>
  </si>
  <si>
    <t>ORD-1010</t>
  </si>
  <si>
    <t>2025-12-21</t>
  </si>
  <si>
    <t>Office Chair</t>
  </si>
  <si>
    <t>ORD-1011</t>
  </si>
  <si>
    <t>ORD-1012</t>
  </si>
  <si>
    <t>2025-11-28</t>
  </si>
  <si>
    <t>ORD-1013</t>
  </si>
  <si>
    <t>2025-12-14</t>
  </si>
  <si>
    <t>Whiteboard Markers</t>
  </si>
  <si>
    <t>ORD-1014</t>
  </si>
  <si>
    <t>2025-10-15</t>
  </si>
  <si>
    <t>ORD-1015</t>
  </si>
  <si>
    <t>2025-12-16</t>
  </si>
  <si>
    <t>Desk Lamp</t>
  </si>
  <si>
    <t>ORD-1016</t>
  </si>
  <si>
    <t>2025-12-22</t>
  </si>
  <si>
    <t>ORD-1017</t>
  </si>
  <si>
    <t>2025-11-03</t>
  </si>
  <si>
    <t>ORD-1018</t>
  </si>
  <si>
    <t>2025-10-21</t>
  </si>
  <si>
    <t>ORD-1019</t>
  </si>
  <si>
    <t>2025-10-31</t>
  </si>
  <si>
    <t>Laptop Pro 15</t>
  </si>
  <si>
    <t>ORD-1020</t>
  </si>
  <si>
    <t>2025-10-17</t>
  </si>
  <si>
    <t>ORD-1021</t>
  </si>
  <si>
    <t>2025-12-28</t>
  </si>
  <si>
    <t>Notebook Set</t>
  </si>
  <si>
    <t>ORD-1022</t>
  </si>
  <si>
    <t>2025-11-27</t>
  </si>
  <si>
    <t>ORD-1023</t>
  </si>
  <si>
    <t>2025-10-30</t>
  </si>
  <si>
    <t>ORD-1024</t>
  </si>
  <si>
    <t>2025-10-10</t>
  </si>
  <si>
    <t>ORD-1025</t>
  </si>
  <si>
    <t>2025-11-30</t>
  </si>
  <si>
    <t>ORD-1026</t>
  </si>
  <si>
    <t>2025-11-15</t>
  </si>
  <si>
    <t>ORD-1027</t>
  </si>
  <si>
    <t>2025-11-13</t>
  </si>
  <si>
    <t>ORD-1028</t>
  </si>
  <si>
    <t>2025-10-24</t>
  </si>
  <si>
    <t>ORD-1029</t>
  </si>
  <si>
    <t>2025-12-09</t>
  </si>
  <si>
    <t>Monitor 27-inch</t>
  </si>
  <si>
    <t>ORD-1030</t>
  </si>
  <si>
    <t>2025-11-21</t>
  </si>
  <si>
    <t>Bluetooth Headphones</t>
  </si>
  <si>
    <t>ORD-1031</t>
  </si>
  <si>
    <t>2025-11-06</t>
  </si>
  <si>
    <t>ORD-1032</t>
  </si>
  <si>
    <t>ORD-1033</t>
  </si>
  <si>
    <t>ORD-1034</t>
  </si>
  <si>
    <t>ORD-1035</t>
  </si>
  <si>
    <t>ORD-1036</t>
  </si>
  <si>
    <t>2025-12-25</t>
  </si>
  <si>
    <t>ORD-1037</t>
  </si>
  <si>
    <t>2025-10-13</t>
  </si>
  <si>
    <t>ORD-1038</t>
  </si>
  <si>
    <t>2025-11-17</t>
  </si>
  <si>
    <t>ORD-1039</t>
  </si>
  <si>
    <t>2025-12-24</t>
  </si>
  <si>
    <t>ORD-1040</t>
  </si>
  <si>
    <t>2025-12-17</t>
  </si>
  <si>
    <t>HANDS-ON PRACTICE TASKS</t>
  </si>
  <si>
    <t>TASK GROUP 1 – INTERFACE FAMILIARITY</t>
  </si>
  <si>
    <t>T1. Click on cell G15. What does the Name Box show? What appears in the Formula Bar?</t>
  </si>
  <si>
    <t>T2. Locate the following on the Ribbon and write the Tab + Group name: (a) Sort &amp; Filter buttons  (b) Conditional Formatting  (c) Number format drop-down.</t>
  </si>
  <si>
    <t>T3. Select the entire data range (A3:L43). Turn it into an Excel Table (Ctrl + T). What visual changes do you notice?</t>
  </si>
  <si>
    <t>TASK GROUP 2 – SORTING PRACTICE</t>
  </si>
  <si>
    <t>T4. Sort the data by Region (A→Z). Which region appears first? How many orders does it have? (Count the visible rows after sorting or use a filter later.)</t>
  </si>
  <si>
    <t>T5. Perform a multi-level sort: Primary = Category (A→Z), Secondary = SalesAmount (Largest to Smallest). Write the first three Product names that appear and their SalesAmount.</t>
  </si>
  <si>
    <t>T6. Sort by Rating (Largest to Smallest) then by Discount% (Largest to Smallest). What is the OrderID of the top row after this sort?</t>
  </si>
  <si>
    <t>TASK GROUP 3 – FILTERING PRACTICE</t>
  </si>
  <si>
    <t>T7. Apply AutoFilter. Filter Region = “South”. How many orders remain? What is the total SalesAmount you can see (use status bar or a SUM formula on visible cells)?</t>
  </si>
  <si>
    <t>T8. Clear previous filter. Apply a custom filter on SalesAmount: greater than 15000. List any three OrderIDs that satisfy the condition.</t>
  </si>
  <si>
    <t>T9. Filter Category = “Electronics” AND CustomerType = “VIP”. How many rows are left? What is the highest Rating among them?</t>
  </si>
  <si>
    <t>T10. Create a custom filter on Discount%: greater than or equal to 10 AND less than or equal to 20. How many orders used a discount in this range?</t>
  </si>
  <si>
    <t>T11. Filter PaymentMode = “UPI” and Rating ≥ 4. Write two insights you can draw from the remaining data.</t>
  </si>
  <si>
    <t>REPORT MAKING &amp; CONDITIONAL FORMATTING GUIDE</t>
  </si>
  <si>
    <t>SECTION A – BASIC FORMATTING DEFINITIONS &amp; BEST PRACTICES</t>
  </si>
  <si>
    <t>Element</t>
  </si>
  <si>
    <t>Definition &amp; Practical Tip</t>
  </si>
  <si>
    <t>Alignment</t>
  </si>
  <si>
    <t>Controls how content sits inside a cell: Left, Center, Right (horizontal) and Top, Middle, Bottom (vertical). Use Center for headers and numbers that need to line up.</t>
  </si>
  <si>
    <t>Borders</t>
  </si>
  <si>
    <t>Lines around cells. Use thin borders for data tables and thicker or double borders to separate report sections.</t>
  </si>
  <si>
    <t>Fonts</t>
  </si>
  <si>
    <t>Choose a clean professional font (Arial, Calibri). Use bold for headers, regular for data. Avoid more than two font sizes on one report page.</t>
  </si>
  <si>
    <t>Fill Colors</t>
  </si>
  <si>
    <t>Background color of cells. Use sparingly – light fills for headers or alternating rows improve readability. Dark fills with white text work well for titles.</t>
  </si>
  <si>
    <t>Number Formats</t>
  </si>
  <si>
    <t>Display numbers as Currency (₹), Percentage, Date, etc. Always apply proper number formats so values are easy to read and compare.</t>
  </si>
  <si>
    <t>Merge &amp; Center</t>
  </si>
  <si>
    <t>Combine cells for report titles. Use only for titles – never merge data cells that will be sorted or filtered.</t>
  </si>
  <si>
    <t>Column Width / Row Height</t>
  </si>
  <si>
    <t>Adjust so that all content is visible without excessive wrapping. Double-click the column boundary to auto-fit.</t>
  </si>
  <si>
    <t>SECTION B – STRUCTURED REPORT PRINCIPLES</t>
  </si>
  <si>
    <t>1. Title – Clear report name + period + company name at the top.</t>
  </si>
  <si>
    <t>2. Context – One or two lines explaining what the report shows and for whom.</t>
  </si>
  <si>
    <t>3. Key Metrics – Summary numbers (total sales, average order value, etc.) placed near the top.</t>
  </si>
  <si>
    <t>4. Data Table – Cleanly formatted table with headers, consistent alignment and number formats.</t>
  </si>
  <si>
    <t>5. Highlights – Conditional formatting or icons that draw attention to important values.</t>
  </si>
  <si>
    <t>6. Footer – Source of data, prepared by, date of preparation.</t>
  </si>
  <si>
    <t>SECTION C – CONDITIONAL FORMATTING CONCEPTS</t>
  </si>
  <si>
    <t>Feature</t>
  </si>
  <si>
    <t>What it does &amp; when to use it</t>
  </si>
  <si>
    <t>Highlight Cell Rules</t>
  </si>
  <si>
    <t>Pre-defined rules such as Greater Than, Less Than, Between, Equal To, Text that Contains. Quickly flag values that meet a condition.</t>
  </si>
  <si>
    <t>Top/Bottom Rules</t>
  </si>
  <si>
    <t>Highlight the Top 10 items, Bottom 10%, Above Average, Below Average, etc. Useful for spotting best and worst performers.</t>
  </si>
  <si>
    <t>Data Bars</t>
  </si>
  <si>
    <t>Horizontal bars inside cells that visually represent the magnitude of the value. Great for comparing numbers at a glance.</t>
  </si>
  <si>
    <t>Color Scales</t>
  </si>
  <si>
    <t>Cells are colored on a gradient (e.g., red-yellow-green) according to their value. Helps see distribution quickly.</t>
  </si>
  <si>
    <t>Icon Sets</t>
  </si>
  <si>
    <t>Arrows, traffic lights, stars, etc. that appear based on value thresholds. Use sparingly for executive reports.</t>
  </si>
  <si>
    <t>Formula-based Rules</t>
  </si>
  <si>
    <t>Advanced: write a formula that returns TRUE/FALSE to decide whether the format is applied. Gives maximum flexibility.</t>
  </si>
  <si>
    <t>Manage Rules</t>
  </si>
  <si>
    <t>Home → Conditional Formatting → Manage Rules. Review, edit, delete or change the order of existing rules.</t>
  </si>
  <si>
    <t xml:space="preserve">RAW DATA DUMP – Monthly Regional Performance </t>
  </si>
  <si>
    <t>Month</t>
  </si>
  <si>
    <t>StoreID</t>
  </si>
  <si>
    <t>UnitsSold</t>
  </si>
  <si>
    <t>Revenue</t>
  </si>
  <si>
    <t>Target</t>
  </si>
  <si>
    <t>Achievement%</t>
  </si>
  <si>
    <t>Returns</t>
  </si>
  <si>
    <t>CustomerSatisfaction</t>
  </si>
  <si>
    <t>Jan-2026</t>
  </si>
  <si>
    <t>N-01</t>
  </si>
  <si>
    <t>N-02</t>
  </si>
  <si>
    <t>S-01</t>
  </si>
  <si>
    <t>S-02</t>
  </si>
  <si>
    <t>E-01</t>
  </si>
  <si>
    <t>E-02</t>
  </si>
  <si>
    <t>W-01</t>
  </si>
  <si>
    <t>W-02</t>
  </si>
  <si>
    <t>Feb-2026</t>
  </si>
  <si>
    <t>Mar-2026</t>
  </si>
  <si>
    <t>Total records: 72 | Data covers 3 months × 4 regions × 2 stores × 3 categories</t>
  </si>
  <si>
    <t>HANDS-ON REPORT &amp; CONDITIONAL FORMATTING PRACTICE</t>
  </si>
  <si>
    <t>TASK 1 – BASIC FORMATTING (Apply on a copy of the raw data or a new sheet)</t>
  </si>
  <si>
    <t>1.1  Create a professional title at the top: “Apex Retail – Regional Performance Report | Q1 2026”. Merge cells, apply dark blue fill, white bold font, size 16.</t>
  </si>
  <si>
    <t>1.2  Add a subtitle line with: Prepared for: Management Team | Data Period: Jan–Mar 2026 | Prepared on: [today’s date].</t>
  </si>
  <si>
    <t>1.3  Format the header row of the data table: bold, white text, dark blue fill, center alignment, thin borders.</t>
  </si>
  <si>
    <t>1.4  Apply currency format (₹) to Revenue and Target columns. Apply 0.0% format to Achievement% column.</t>
  </si>
  <si>
    <t>1.5  Set consistent column widths so that all headers and data are fully visible. Center-align Region, StoreID, Category, UnitsSold, Returns, CustomerSatisfaction.</t>
  </si>
  <si>
    <t>1.6  Add light gray alternating row colors (or use Excel Table style) to improve readability of the data table.</t>
  </si>
  <si>
    <t>1.7  Add a thin border around the entire data range.</t>
  </si>
  <si>
    <t>TASK 2 – BUILD A STRUCTURED ONE-PAGE REPORT</t>
  </si>
  <si>
    <t>2.1  Above the data table, create a “Key Metrics” summary section with at least these four metrics (use SUM / AVERAGE formulas or values you calculate):
     • Total Revenue   • Average Achievement %   • Total Units Sold   • Average Customer Satisfaction</t>
  </si>
  <si>
    <t>2.2  Give the Key Metrics section a light green fill and clear labels. Format the numbers appropriately.</t>
  </si>
  <si>
    <t>2.3  Add a short “Insights / Observations” box (3–4 bullet points) based on what you see after sorting or filtering the data. Place it to the right or below the metrics.</t>
  </si>
  <si>
    <t>2.4  Add a footer: “Source: Internal Sales System | Confidential – For internal use only | Generated for training purposes”.</t>
  </si>
  <si>
    <t>TASK 3 – CONDITIONAL FORMATTING (Apply directly on the data table)</t>
  </si>
  <si>
    <t>3.1  Highlight cells in the Achievement% column that are less than 90% with light red fill (Highlight Cell Rules → Less Than).</t>
  </si>
  <si>
    <t>3.2  Highlight cells in the Achievement% column that are greater than or equal to 110% with light green fill.</t>
  </si>
  <si>
    <t>3.3  Apply Data Bars (blue gradient) to the Revenue column so that higher revenue is visually longer.</t>
  </si>
  <si>
    <t>3.4  Apply a Color Scale (3-color: red-yellow-green) to the CustomerSatisfaction column.</t>
  </si>
  <si>
    <t>3.5  Use Top/Bottom Rules to highlight the Top 5 Revenue values with a yellow fill.</t>
  </si>
  <si>
    <t>3.6  (Optional challenge) Create a formula-based rule that highlights an entire row if Returns &gt; 15. (Use Manage Rules → New Rule → Use a formula).</t>
  </si>
  <si>
    <t>MIXED PRACTICE QUESTIONS</t>
  </si>
  <si>
    <t>Q1 : Name the six phases of CRISP-DM in the correct sequence. For each phase write one short activity that an analyst might perform in Excel.</t>
  </si>
  <si>
    <t>Q2 : A hospital administrator says: “We need to reduce patient waiting time.” Convert this into (a) a clear Business Objective and (b) three Data Analysis Questions that could be answered with data.</t>
  </si>
  <si>
    <t>Q3 : Why should the Evaluation phase come before Deployment? Explain with a simple example related to a sales forecasting report.</t>
  </si>
  <si>
    <t>Q4 : Describe the difference between sorting and filtering. When would you use both on the same dataset?</t>
  </si>
  <si>
    <t>Q5 : You need to find all orders from the West region where SalesAmount is between ₹10,000 and ₹25,000 and the customer is a VIP. Write the exact filter steps you would follow.</t>
  </si>
  <si>
    <t>Q6 : After applying a multi-level sort (Region then Category then SalesAmount descending), the first row shows OrderID ORD-1025. What does this tell you about that order relative to others?</t>
  </si>
  <si>
    <t>Q7 : List three things you can discover about a dataset only by using the Status Bar after selecting a numeric column.</t>
  </si>
  <si>
    <t>Q8 : Explain why it is considered bad practice to merge cells inside a data table that will later be sorted or filtered.</t>
  </si>
  <si>
    <t>Q9 : You want to draw attention to under-performing stores (Achievement% &lt; 85%). Which Conditional Formatting feature would you choose and why?</t>
  </si>
  <si>
    <t>Q10 : Describe the visual difference between Data Bars and Color Scales. When is each more useful in a management report?</t>
  </si>
  <si>
    <t>Q11 (Mixed): A manager asks for a one-page report showing only the South region’s performance with high returns highlighted. Outline the sequence of Excel steps (filter → format → conditional format → summary) you would take.</t>
  </si>
  <si>
    <t>Q12 (Mixed): You have finished a report. Before sending it, list five quality checks you should perform (related to formatting, numbers, filters, and clarity).</t>
  </si>
  <si>
    <t>Analysis the given excle data file.</t>
  </si>
  <si>
    <t>A superstore chain operating in four regions(North, South, East, West), but lagging in the South region. We need to find 1.Reason behind Transportation, 2. Reason behind product mix, 3.What factors are responsible for this.</t>
  </si>
  <si>
    <t>Laptop Pro 15, Laptop Pro 15, Ergonomic Keyboard</t>
  </si>
  <si>
    <t>11, Total sale = 483912</t>
  </si>
  <si>
    <t xml:space="preserve"> ORD-1021</t>
  </si>
  <si>
    <t>ORD-1031, ORD-1038, ORD-1034</t>
  </si>
  <si>
    <t>rows= 6, higest rating = 5</t>
  </si>
  <si>
    <t xml:space="preserve">We have total 4 orders.  catagorys =2 Electronics,2 Furniture. Total sale amount =   299977.6 (subtotal), </t>
  </si>
  <si>
    <t xml:space="preserve">We get table design options </t>
  </si>
  <si>
    <t>Total</t>
  </si>
  <si>
    <t>East Region - 8</t>
  </si>
  <si>
    <t>22 -&gt; subtotal(function no(counta) , range)</t>
  </si>
  <si>
    <t xml:space="preserve"> </t>
  </si>
  <si>
    <t>find total sale, ang .max.min sale for each payment mode given in data using AGG function</t>
  </si>
  <si>
    <t>Credit card</t>
  </si>
  <si>
    <t>sum</t>
  </si>
  <si>
    <t>avg</t>
  </si>
  <si>
    <t>min</t>
  </si>
  <si>
    <t>max</t>
  </si>
  <si>
    <t>Column1</t>
  </si>
  <si>
    <t>Column2</t>
  </si>
  <si>
    <t>Column3</t>
  </si>
  <si>
    <t>Column4</t>
  </si>
  <si>
    <t>Column5</t>
  </si>
  <si>
    <t xml:space="preserve">Calcutate the sum of sales in each region </t>
  </si>
  <si>
    <t>north</t>
  </si>
  <si>
    <t>south</t>
  </si>
  <si>
    <t>east</t>
  </si>
  <si>
    <t>west</t>
  </si>
  <si>
    <t>sumif()</t>
  </si>
  <si>
    <t>avgerageif()</t>
  </si>
  <si>
    <t>Calculate the cells of all products whose unit price is greater than 5000</t>
  </si>
  <si>
    <t>range</t>
  </si>
  <si>
    <t>unit_price</t>
  </si>
  <si>
    <t>find the sale of products who have been purchesed using COD and belong to a category of electronics</t>
  </si>
  <si>
    <t xml:space="preserve">calculate avg profit earned by each region. Also, calculate the total profit earned in the West region by furniture category </t>
  </si>
  <si>
    <t>Helper 1</t>
  </si>
  <si>
    <t>Apex Retail – Regional Performance Report | Q1 2026</t>
  </si>
  <si>
    <t>Prepared for: Management Team | Data Period: Jan–Mar 2026 | Prepared on: 06-08-2026.</t>
  </si>
  <si>
    <t>cost price[sp-(sp*discount/100)]</t>
  </si>
  <si>
    <t xml:space="preserve">Profit </t>
  </si>
  <si>
    <t>2025-10-04</t>
  </si>
  <si>
    <t>How many products are affordable</t>
  </si>
  <si>
    <t>Nested If() :-</t>
  </si>
  <si>
    <t>name</t>
  </si>
  <si>
    <t>marks</t>
  </si>
  <si>
    <t>grade</t>
  </si>
  <si>
    <t>A</t>
  </si>
  <si>
    <t>B</t>
  </si>
  <si>
    <t>C</t>
  </si>
  <si>
    <t>D</t>
  </si>
  <si>
    <t>Grade condition</t>
  </si>
  <si>
    <t>&gt;16 --&gt; A</t>
  </si>
  <si>
    <t>10&lt; marks &lt;= 16---&gt; B</t>
  </si>
  <si>
    <t>marks &lt;= 10 --&gt; Fail</t>
  </si>
  <si>
    <t xml:space="preserve">Task - 1 </t>
  </si>
  <si>
    <t xml:space="preserve">Mark these condition </t>
  </si>
  <si>
    <t>sale &gt; 120000 -&gt; H1</t>
  </si>
  <si>
    <t>sale &lt;= 120000, sale &gt; 80000 -&gt; H2</t>
  </si>
  <si>
    <t>sale &lt;= 80000, sale &gt; 50000 -&gt; H3</t>
  </si>
  <si>
    <t>sale &lt;50000, sale&gt;0 -&gt; H4</t>
  </si>
  <si>
    <t>sale &lt; 0 -&gt; L1</t>
  </si>
  <si>
    <t xml:space="preserve">Rating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</si>
</sst>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quot;%&quot;"/>
    <numFmt numFmtId="166" formatCode="\₹#,##0"/>
    <numFmt numFmtId="167" formatCode="0.0&quot;%&quot;"/>
    <numFmt numFmtId="168" formatCode="0.0"/>
  </numFmts>
  <fonts count="15" x14ac:knownFonts="1">
    <font>
      <sz val="11"/>
      <color theme="1"/>
      <name val="Calibri"/>
      <family val="2"/>
      <scheme val="minor"/>
    </font>
    <font>
      <b/>
      <sz val="11"/>
      <color rgb="FFFFFFFF"/>
      <name val="Arial"/>
    </font>
    <font>
      <b/>
      <sz val="10"/>
      <name val="Arial"/>
    </font>
    <font>
      <sz val="10"/>
      <name val="Arial"/>
    </font>
    <font>
      <b/>
      <sz val="18"/>
      <color rgb="FF1F4E79"/>
      <name val="Arial"/>
    </font>
    <font>
      <i/>
      <sz val="11"/>
      <color rgb="FF595959"/>
      <name val="Arial"/>
    </font>
    <font>
      <b/>
      <sz val="14"/>
      <color rgb="FFFFFFFF"/>
      <name val="Arial"/>
    </font>
    <font>
      <i/>
      <sz val="10"/>
      <color rgb="FF595959"/>
      <name val="Arial"/>
    </font>
    <font>
      <b/>
      <sz val="13"/>
      <color rgb="FFFFFFFF"/>
      <name val="Arial"/>
    </font>
    <font>
      <sz val="10"/>
      <name val="Arial"/>
      <family val="2"/>
    </font>
    <font>
      <b/>
      <sz val="14"/>
      <color rgb="FFFFFFFF"/>
      <name val="Arial"/>
      <family val="2"/>
    </font>
    <font>
      <b/>
      <sz val="13"/>
      <color rgb="FFFFFFFF"/>
      <name val="Arial"/>
      <family val="2"/>
    </font>
    <font>
      <i/>
      <sz val="10"/>
      <color rgb="FF595959"/>
      <name val="Arial"/>
      <family val="2"/>
    </font>
    <font>
      <b/>
      <sz val="10"/>
      <name val="Arial"/>
      <family val="2"/>
    </font>
    <font>
      <sz val="8"/>
      <name val="Calibri"/>
      <family val="2"/>
      <scheme val="minor"/>
    </font>
  </fonts>
  <fills count="11">
    <fill>
      <patternFill patternType="none"/>
    </fill>
    <fill>
      <patternFill patternType="gray125"/>
    </fill>
    <fill>
      <patternFill patternType="solid">
        <fgColor rgb="FF1F4E79"/>
      </patternFill>
    </fill>
    <fill>
      <patternFill patternType="solid">
        <fgColor rgb="FFD6EAF8"/>
      </patternFill>
    </fill>
    <fill>
      <patternFill patternType="solid">
        <fgColor rgb="FFFCE4D6"/>
      </patternFill>
    </fill>
    <fill>
      <patternFill patternType="solid">
        <fgColor rgb="FFFFF2CC"/>
      </patternFill>
    </fill>
    <fill>
      <patternFill patternType="solid">
        <fgColor rgb="FFE2EFDA"/>
      </patternFill>
    </fill>
    <fill>
      <patternFill patternType="solid">
        <fgColor rgb="FFF2F2F2"/>
      </patternFill>
    </fill>
    <fill>
      <patternFill patternType="solid">
        <fgColor theme="2" tint="-0.249977111117893"/>
        <bgColor indexed="64"/>
      </patternFill>
    </fill>
    <fill>
      <patternFill patternType="solid">
        <fgColor theme="2" tint="-9.9978637043366805E-2"/>
        <bgColor indexed="64"/>
      </patternFill>
    </fill>
    <fill>
      <patternFill patternType="solid">
        <fgColor rgb="FF1F4E79"/>
        <bgColor indexed="64"/>
      </patternFill>
    </fill>
  </fills>
  <borders count="21">
    <border>
      <left/>
      <right/>
      <top/>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top style="thin">
        <color rgb="FFB0B0B0"/>
      </top>
      <bottom style="thin">
        <color rgb="FFB0B0B0"/>
      </bottom>
      <diagonal/>
    </border>
    <border>
      <left/>
      <right style="thin">
        <color rgb="FFB0B0B0"/>
      </right>
      <top/>
      <bottom style="thin">
        <color rgb="FFB0B0B0"/>
      </bottom>
      <diagonal/>
    </border>
    <border>
      <left style="thin">
        <color rgb="FFB0B0B0"/>
      </left>
      <right style="thin">
        <color rgb="FFB0B0B0"/>
      </right>
      <top/>
      <bottom style="thin">
        <color rgb="FFB0B0B0"/>
      </bottom>
      <diagonal/>
    </border>
    <border>
      <left style="thin">
        <color rgb="FFB0B0B0"/>
      </left>
      <right/>
      <top/>
      <bottom style="thin">
        <color rgb="FFB0B0B0"/>
      </bottom>
      <diagonal/>
    </border>
    <border>
      <left/>
      <right style="thin">
        <color rgb="FFB0B0B0"/>
      </right>
      <top style="thin">
        <color rgb="FFB0B0B0"/>
      </top>
      <bottom/>
      <diagonal/>
    </border>
    <border>
      <left style="thin">
        <color rgb="FFB0B0B0"/>
      </left>
      <right style="thin">
        <color rgb="FFB0B0B0"/>
      </right>
      <top style="thin">
        <color rgb="FFB0B0B0"/>
      </top>
      <bottom/>
      <diagonal/>
    </border>
    <border>
      <left style="thin">
        <color rgb="FFB0B0B0"/>
      </left>
      <right/>
      <top style="thin">
        <color rgb="FFB0B0B0"/>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92">
    <xf numFmtId="0" fontId="0" fillId="0" borderId="0" xfId="0"/>
    <xf numFmtId="0" fontId="2" fillId="3" borderId="1" xfId="0" applyFont="1" applyFill="1" applyBorder="1"/>
    <xf numFmtId="0" fontId="3" fillId="0" borderId="1" xfId="0" applyFont="1" applyBorder="1" applyAlignment="1">
      <alignment horizontal="left" vertical="center" wrapText="1"/>
    </xf>
    <xf numFmtId="0" fontId="2" fillId="6" borderId="1" xfId="0" applyFont="1" applyFill="1" applyBorder="1"/>
    <xf numFmtId="0" fontId="3" fillId="0" borderId="1" xfId="0" applyFont="1" applyBorder="1"/>
    <xf numFmtId="0" fontId="6"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7" borderId="1" xfId="0" applyFont="1" applyFill="1" applyBorder="1"/>
    <xf numFmtId="0" fontId="2" fillId="4" borderId="1" xfId="0" applyFont="1" applyFill="1" applyBorder="1"/>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166" fontId="3" fillId="0" borderId="1" xfId="0" applyNumberFormat="1" applyFont="1" applyBorder="1"/>
    <xf numFmtId="167" fontId="3" fillId="0" borderId="1" xfId="0" applyNumberFormat="1" applyFont="1" applyBorder="1"/>
    <xf numFmtId="168" fontId="3" fillId="0" borderId="1" xfId="0" applyNumberFormat="1" applyFont="1" applyBorder="1"/>
    <xf numFmtId="164" fontId="0" fillId="0" borderId="0" xfId="0" applyNumberFormat="1"/>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9" xfId="0" applyFont="1" applyBorder="1" applyAlignment="1">
      <alignment horizontal="left" vertical="center" wrapText="1"/>
    </xf>
    <xf numFmtId="164" fontId="3" fillId="0" borderId="9" xfId="0" applyNumberFormat="1" applyFont="1" applyBorder="1" applyAlignment="1">
      <alignment horizontal="center" vertical="center" wrapText="1"/>
    </xf>
    <xf numFmtId="165" fontId="3" fillId="0" borderId="9" xfId="0" applyNumberFormat="1" applyFont="1" applyBorder="1" applyAlignment="1">
      <alignment horizontal="center" vertical="center" wrapText="1"/>
    </xf>
    <xf numFmtId="0" fontId="3" fillId="0" borderId="10" xfId="0" applyFont="1" applyBorder="1" applyAlignment="1">
      <alignment horizontal="center" vertical="center" wrapText="1"/>
    </xf>
    <xf numFmtId="0" fontId="10" fillId="2" borderId="6" xfId="0" applyFont="1" applyFill="1" applyBorder="1" applyAlignment="1">
      <alignment horizontal="center" vertical="center" wrapText="1"/>
    </xf>
    <xf numFmtId="0" fontId="3" fillId="0" borderId="4" xfId="0" applyFont="1" applyBorder="1" applyAlignment="1">
      <alignment horizontal="left" vertical="center" wrapText="1"/>
    </xf>
    <xf numFmtId="22" fontId="0" fillId="0" borderId="0" xfId="0" applyNumberFormat="1"/>
    <xf numFmtId="14" fontId="0" fillId="0" borderId="0" xfId="0" applyNumberFormat="1"/>
    <xf numFmtId="0" fontId="13" fillId="7" borderId="12" xfId="0" applyFont="1" applyFill="1" applyBorder="1" applyAlignment="1">
      <alignment horizontal="center"/>
    </xf>
    <xf numFmtId="0" fontId="2" fillId="7" borderId="13" xfId="0" applyFont="1" applyFill="1" applyBorder="1" applyAlignment="1">
      <alignment horizontal="center"/>
    </xf>
    <xf numFmtId="0" fontId="2" fillId="7" borderId="14" xfId="0" applyFont="1" applyFill="1" applyBorder="1" applyAlignment="1">
      <alignment horizontal="center"/>
    </xf>
    <xf numFmtId="0" fontId="3" fillId="0" borderId="15" xfId="0" applyFont="1" applyBorder="1"/>
    <xf numFmtId="0" fontId="3" fillId="0" borderId="11" xfId="0" applyFont="1" applyBorder="1"/>
    <xf numFmtId="166" fontId="3" fillId="0" borderId="11" xfId="0" applyNumberFormat="1" applyFont="1" applyBorder="1"/>
    <xf numFmtId="167" fontId="3" fillId="0" borderId="11" xfId="0" applyNumberFormat="1" applyFont="1" applyBorder="1"/>
    <xf numFmtId="168" fontId="3" fillId="0" borderId="16" xfId="0" applyNumberFormat="1" applyFont="1" applyBorder="1"/>
    <xf numFmtId="0" fontId="3" fillId="0" borderId="17" xfId="0" applyFont="1" applyBorder="1"/>
    <xf numFmtId="0" fontId="3" fillId="0" borderId="18" xfId="0" applyFont="1" applyBorder="1"/>
    <xf numFmtId="166" fontId="3" fillId="0" borderId="18" xfId="0" applyNumberFormat="1" applyFont="1" applyBorder="1"/>
    <xf numFmtId="167" fontId="3" fillId="0" borderId="18" xfId="0" applyNumberFormat="1" applyFont="1" applyBorder="1"/>
    <xf numFmtId="168" fontId="3" fillId="0" borderId="19" xfId="0" applyNumberFormat="1" applyFont="1" applyBorder="1"/>
    <xf numFmtId="0" fontId="0" fillId="0" borderId="11" xfId="0" applyBorder="1"/>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9" xfId="0" applyFont="1" applyBorder="1" applyAlignment="1">
      <alignment horizontal="left" vertical="center" wrapText="1"/>
    </xf>
    <xf numFmtId="0" fontId="9" fillId="0" borderId="10" xfId="0" applyFont="1" applyBorder="1" applyAlignment="1">
      <alignment horizontal="center" vertical="center" wrapText="1"/>
    </xf>
    <xf numFmtId="0" fontId="10" fillId="10" borderId="6" xfId="0" applyFont="1" applyFill="1" applyBorder="1" applyAlignment="1">
      <alignment horizontal="center" vertical="center" wrapText="1"/>
    </xf>
    <xf numFmtId="0" fontId="11" fillId="2" borderId="0" xfId="0" applyFont="1" applyFill="1" applyAlignment="1">
      <alignment horizontal="center" vertical="center" wrapText="1"/>
    </xf>
    <xf numFmtId="0" fontId="0" fillId="0" borderId="0" xfId="0"/>
    <xf numFmtId="0" fontId="12" fillId="5" borderId="0" xfId="0" applyFont="1" applyFill="1" applyAlignment="1">
      <alignment horizontal="center"/>
    </xf>
    <xf numFmtId="0" fontId="0" fillId="0" borderId="0" xfId="0" applyAlignment="1">
      <alignment horizontal="center"/>
    </xf>
    <xf numFmtId="0" fontId="0" fillId="5" borderId="1" xfId="0" applyFill="1" applyBorder="1"/>
    <xf numFmtId="0" fontId="1" fillId="2" borderId="1" xfId="0" applyFont="1" applyFill="1" applyBorder="1" applyAlignment="1">
      <alignment horizontal="center" vertical="center" wrapText="1"/>
    </xf>
    <xf numFmtId="0" fontId="0" fillId="2" borderId="1" xfId="0" applyFill="1" applyBorder="1"/>
    <xf numFmtId="0" fontId="3" fillId="0" borderId="1" xfId="0" applyFont="1" applyBorder="1" applyAlignment="1">
      <alignment horizontal="left" vertical="top" wrapText="1"/>
    </xf>
    <xf numFmtId="0" fontId="0" fillId="0" borderId="1" xfId="0" applyBorder="1"/>
    <xf numFmtId="0" fontId="7" fillId="5" borderId="1" xfId="0" applyFont="1" applyFill="1" applyBorder="1"/>
    <xf numFmtId="0" fontId="2" fillId="7" borderId="1" xfId="0" applyFont="1" applyFill="1" applyBorder="1"/>
    <xf numFmtId="0" fontId="7" fillId="0" borderId="0" xfId="0" applyFont="1"/>
    <xf numFmtId="0" fontId="2" fillId="4" borderId="1" xfId="0" applyFont="1" applyFill="1" applyBorder="1"/>
    <xf numFmtId="0" fontId="0" fillId="4" borderId="1" xfId="0" applyFill="1" applyBorder="1"/>
    <xf numFmtId="0" fontId="4" fillId="8" borderId="0" xfId="0" applyFont="1" applyFill="1" applyAlignment="1">
      <alignment horizontal="center" vertical="center" wrapText="1"/>
    </xf>
    <xf numFmtId="0" fontId="0" fillId="8" borderId="0" xfId="0" applyFill="1"/>
    <xf numFmtId="0" fontId="5" fillId="0" borderId="0" xfId="0" applyFont="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0" fillId="0" borderId="3" xfId="0" applyBorder="1"/>
    <xf numFmtId="0" fontId="7" fillId="5" borderId="0" xfId="0" applyFont="1" applyFill="1"/>
    <xf numFmtId="0" fontId="6" fillId="2" borderId="0" xfId="0" applyFont="1" applyFill="1" applyAlignment="1">
      <alignment horizontal="center" vertical="center" wrapText="1"/>
    </xf>
    <xf numFmtId="0" fontId="4" fillId="9" borderId="0" xfId="0" applyFont="1" applyFill="1" applyAlignment="1">
      <alignment horizontal="center" vertical="center" wrapText="1"/>
    </xf>
    <xf numFmtId="0" fontId="0" fillId="9" borderId="0" xfId="0" applyFill="1"/>
    <xf numFmtId="0" fontId="7" fillId="5" borderId="4" xfId="0" applyFont="1" applyFill="1" applyBorder="1"/>
    <xf numFmtId="0" fontId="7" fillId="5" borderId="2" xfId="0" applyFont="1" applyFill="1" applyBorder="1"/>
    <xf numFmtId="0" fontId="7" fillId="5" borderId="3" xfId="0" applyFont="1" applyFill="1" applyBorder="1"/>
    <xf numFmtId="0" fontId="7" fillId="6" borderId="0" xfId="0" applyFont="1" applyFill="1"/>
    <xf numFmtId="0" fontId="4" fillId="0" borderId="0" xfId="0" applyFont="1" applyAlignment="1">
      <alignment horizontal="center" vertical="center" wrapText="1"/>
    </xf>
    <xf numFmtId="0" fontId="3" fillId="0" borderId="1" xfId="0" applyFont="1" applyBorder="1"/>
    <xf numFmtId="0" fontId="3" fillId="6" borderId="1" xfId="0" applyFont="1" applyFill="1" applyBorder="1"/>
    <xf numFmtId="0" fontId="3" fillId="7" borderId="1" xfId="0" applyFont="1" applyFill="1" applyBorder="1"/>
    <xf numFmtId="0" fontId="8" fillId="2" borderId="0" xfId="0" applyFont="1" applyFill="1" applyAlignment="1">
      <alignment horizontal="center" vertical="center" wrapText="1"/>
    </xf>
    <xf numFmtId="0" fontId="3" fillId="7" borderId="1" xfId="0" applyFont="1" applyFill="1" applyBorder="1" applyAlignment="1">
      <alignment horizontal="left" vertical="top" wrapText="1"/>
    </xf>
    <xf numFmtId="0" fontId="9" fillId="7" borderId="1" xfId="0" applyFont="1" applyFill="1" applyBorder="1"/>
    <xf numFmtId="0" fontId="9" fillId="0" borderId="1" xfId="0" applyFont="1" applyBorder="1"/>
    <xf numFmtId="0" fontId="3" fillId="4" borderId="1" xfId="0" applyFont="1" applyFill="1" applyBorder="1"/>
    <xf numFmtId="0" fontId="3" fillId="6" borderId="1" xfId="0" applyFont="1" applyFill="1" applyBorder="1" applyAlignment="1">
      <alignment horizontal="left" vertical="top" wrapText="1"/>
    </xf>
    <xf numFmtId="0" fontId="2" fillId="3" borderId="1" xfId="0" applyFont="1" applyFill="1" applyBorder="1"/>
    <xf numFmtId="0" fontId="0" fillId="0" borderId="11" xfId="0" applyBorder="1" applyAlignment="1">
      <alignment horizontal="center"/>
    </xf>
    <xf numFmtId="0" fontId="0" fillId="0" borderId="20" xfId="0" applyBorder="1" applyAlignment="1">
      <alignment horizontal="center"/>
    </xf>
    <xf numFmtId="0" fontId="0" fillId="0" borderId="0" xfId="0" applyBorder="1" applyAlignment="1">
      <alignment horizontal="center"/>
    </xf>
  </cellXfs>
  <cellStyles count="1">
    <cellStyle name="Normal" xfId="0" builtinId="0"/>
  </cellStyles>
  <dxfs count="63">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val="0"/>
        <i val="0"/>
        <strike val="0"/>
        <condense val="0"/>
        <extend val="0"/>
        <outline val="0"/>
        <shadow val="0"/>
        <u val="none"/>
        <vertAlign val="baseline"/>
        <sz val="10"/>
        <color auto="1"/>
        <name val="Arial"/>
        <scheme val="none"/>
      </font>
      <numFmt numFmtId="164" formatCode="\₹#,##0.00"/>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outline="0">
        <left style="thin">
          <color rgb="FFB0B0B0"/>
        </left>
        <right/>
        <top style="thin">
          <color rgb="FFB0B0B0"/>
        </top>
        <bottom/>
      </border>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outline="0">
        <left/>
        <right style="thin">
          <color rgb="FFB0B0B0"/>
        </right>
        <top style="thin">
          <color rgb="FFB0B0B0"/>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00B050"/>
        </patternFill>
      </fill>
    </dxf>
    <dxf>
      <fill>
        <patternFill>
          <bgColor theme="8" tint="0.39994506668294322"/>
        </patternFill>
      </fill>
    </dxf>
    <dxf>
      <fill>
        <patternFill>
          <bgColor theme="0" tint="-0.499984740745262"/>
        </patternFill>
      </fill>
    </dxf>
    <dxf>
      <font>
        <color rgb="FF9C0006"/>
      </font>
      <fill>
        <patternFill>
          <bgColor rgb="FFFFC7CE"/>
        </patternFill>
      </fill>
    </dxf>
    <dxf>
      <font>
        <color rgb="FF006100"/>
      </font>
      <fill>
        <patternFill>
          <bgColor rgb="FFC6EFCE"/>
        </patternFill>
      </fill>
    </dxf>
    <dxf>
      <numFmt numFmtId="164" formatCode="\₹#,##0.00"/>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rgb="FFB0B0B0"/>
        </left>
        <right/>
        <top style="thin">
          <color rgb="FFB0B0B0"/>
        </top>
        <bottom style="thin">
          <color rgb="FFB0B0B0"/>
        </bottom>
        <vertical/>
        <horizontal/>
      </border>
    </dxf>
    <dxf>
      <font>
        <b val="0"/>
        <i val="0"/>
        <strike val="0"/>
        <condense val="0"/>
        <extend val="0"/>
        <outline val="0"/>
        <shadow val="0"/>
        <u val="none"/>
        <vertAlign val="baseline"/>
        <sz val="10"/>
        <color auto="1"/>
        <name val="Arial"/>
        <scheme val="none"/>
      </font>
      <numFmt numFmtId="0" formatCode="General"/>
      <alignment horizontal="left" vertical="center" textRotation="0" wrapText="1" indent="0" justifyLastLine="0" shrinkToFit="0" readingOrder="0"/>
      <border diagonalUp="0" diagonalDown="0">
        <left style="thin">
          <color rgb="FFB0B0B0"/>
        </left>
        <right/>
        <top style="thin">
          <color rgb="FFB0B0B0"/>
        </top>
        <bottom style="thin">
          <color rgb="FFB0B0B0"/>
        </bottom>
        <vertical/>
        <horizontal/>
      </border>
    </dxf>
    <dxf>
      <font>
        <b val="0"/>
        <i val="0"/>
        <strike val="0"/>
        <condense val="0"/>
        <extend val="0"/>
        <outline val="0"/>
        <shadow val="0"/>
        <u val="none"/>
        <vertAlign val="baseline"/>
        <sz val="10"/>
        <color auto="1"/>
        <name val="Arial"/>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scheme val="none"/>
      </font>
      <numFmt numFmtId="165" formatCode="0&quot;%&quot;"/>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scheme val="none"/>
      </font>
      <numFmt numFmtId="164" formatCode="\₹#,##0.00"/>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scheme val="none"/>
      </font>
      <numFmt numFmtId="164" formatCode="\₹#,##0.00"/>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scheme val="none"/>
      </font>
      <numFmt numFmtId="0" formatCode="Genera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border outline="0">
        <bottom style="thin">
          <color rgb="FFB0B0B0"/>
        </bottom>
      </border>
    </dxf>
    <dxf>
      <font>
        <b/>
        <i val="0"/>
        <strike val="0"/>
        <condense val="0"/>
        <extend val="0"/>
        <outline val="0"/>
        <shadow val="0"/>
        <u val="none"/>
        <vertAlign val="baseline"/>
        <sz val="14"/>
        <color rgb="FFFFFFFF"/>
        <name val="Arial"/>
        <scheme val="none"/>
      </font>
      <fill>
        <patternFill patternType="solid">
          <fgColor indexed="64"/>
          <bgColor rgb="FF1F4E79"/>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b val="0"/>
        <i val="0"/>
        <strike val="0"/>
        <condense val="0"/>
        <extend val="0"/>
        <outline val="0"/>
        <shadow val="0"/>
        <u val="none"/>
        <vertAlign val="baseline"/>
        <sz val="10"/>
        <color auto="1"/>
        <name val="Arial"/>
        <scheme val="none"/>
      </font>
      <numFmt numFmtId="168" formatCode="0.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numFmt numFmtId="167" formatCode="0.0&quot;%&quo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numFmt numFmtId="166"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numFmt numFmtId="166"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dxf>
    <dxf>
      <border>
        <bottom style="thin">
          <color indexed="64"/>
        </bottom>
      </border>
    </dxf>
    <dxf>
      <font>
        <b/>
        <i val="0"/>
        <strike val="0"/>
        <condense val="0"/>
        <extend val="0"/>
        <outline val="0"/>
        <shadow val="0"/>
        <u val="none"/>
        <vertAlign val="baseline"/>
        <sz val="10"/>
        <color auto="1"/>
        <name val="Arial"/>
        <scheme val="none"/>
      </font>
      <fill>
        <patternFill patternType="solid">
          <fgColor indexed="64"/>
          <bgColor rgb="FFF2F2F2"/>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70DFB8-E872-4D1B-BA05-5378BC75F223}" name="Table1" displayName="Table1" ref="A3:P44" totalsRowCount="1" headerRowDxfId="47" headerRowBorderDxfId="46" tableBorderDxfId="45" totalsRowBorderDxfId="44">
  <autoFilter ref="A3:P43" xr:uid="{00000000-0001-0000-0300-000000000000}"/>
  <sortState xmlns:xlrd2="http://schemas.microsoft.com/office/spreadsheetml/2017/richdata2" ref="A4:O43">
    <sortCondition ref="A3:A43"/>
  </sortState>
  <tableColumns count="16">
    <tableColumn id="1" xr3:uid="{11431B50-E949-4D64-83EE-F1E562C8A814}" name="OrderID" totalsRowLabel="Total" dataDxfId="43" totalsRowDxfId="19"/>
    <tableColumn id="2" xr3:uid="{5FE1EED0-A98C-4E4A-942C-703AC758C860}" name="OrderDate" dataDxfId="42" totalsRowDxfId="18"/>
    <tableColumn id="3" xr3:uid="{AA136061-DADD-4DAD-B36B-0FD2178EE164}" name="Region" dataDxfId="41" totalsRowDxfId="17"/>
    <tableColumn id="4" xr3:uid="{70E33312-2F5B-488C-ACE5-502D08B2C841}" name="Product" dataDxfId="40" totalsRowDxfId="16"/>
    <tableColumn id="5" xr3:uid="{3E118BAE-A477-4FD0-B0BE-AB27DC190D61}" name="Category" dataDxfId="39" totalsRowDxfId="15"/>
    <tableColumn id="6" xr3:uid="{643EF3B6-1759-45BC-8E02-C67D8D02490A}" name="Quantity" dataDxfId="38" totalsRowDxfId="14"/>
    <tableColumn id="16" xr3:uid="{A09422B1-B5DD-407C-8025-2B52408EBC99}" name="cost price[sp-(sp*discount/100)]" dataDxfId="37" totalsRowDxfId="13">
      <calculatedColumnFormula>Table1[[#This Row],[SalesAmount]]-(Table1[[#This Row],[SalesAmount]]*Table1[[#This Row],[Discount%]]/100)</calculatedColumnFormula>
    </tableColumn>
    <tableColumn id="7" xr3:uid="{4F14B96D-B296-412C-89D3-8CB3B5E05167}" name="UnitPrice" dataDxfId="36" totalsRowDxfId="12"/>
    <tableColumn id="8" xr3:uid="{97C045CC-163E-4E74-915A-DB256CBBF5A4}" name="SalesAmount" dataDxfId="35" totalsRowDxfId="11"/>
    <tableColumn id="13" xr3:uid="{C136EAD7-3BD6-4933-9AFB-8EE597CA2AB2}" name="Rating " dataDxfId="3" totalsRowDxfId="10">
      <calculatedColumnFormula>IF(Table1[[#This Row],[SalesAmount]]&gt;120000,"H1",
IF(AND(Table1[[#This Row],[SalesAmount]]&gt;80000,Table1[[#This Row],[SalesAmount]]&lt;=120000),"H2",
IF(AND(Table1[[#This Row],[SalesAmount]]&gt;50000,Table1[[#This Row],[SalesAmount]]&lt;=80000),"H3",
IF(AND(Table1[[#This Row],[SalesAmount]]&gt;0,Table1[[#This Row],[SalesAmount]]&lt;=50000),"H4",
"L1"))))</calculatedColumnFormula>
    </tableColumn>
    <tableColumn id="9" xr3:uid="{5E7685D2-FB76-430C-9CA5-6DB9417139BB}" name="CustomerType" dataDxfId="34" totalsRowDxfId="9"/>
    <tableColumn id="10" xr3:uid="{7E73043D-D88C-4694-A4DD-546D9B12D8A7}" name="Discount%" dataDxfId="33" totalsRowDxfId="8"/>
    <tableColumn id="11" xr3:uid="{05629DCF-81C2-47F2-A652-2879B9514E37}" name="PaymentMode" dataDxfId="32" totalsRowDxfId="7"/>
    <tableColumn id="14" xr3:uid="{259DF8C3-DABD-4ACA-81F1-6C128EF7BC58}" name="Helper 1" dataDxfId="31" totalsRowDxfId="6">
      <calculatedColumnFormula>AND(Table1[[#This Row],[PaymentMode]]="CASH ON DELIVERY",Table1[[#This Row],[Category]]="ELECTRONICS")</calculatedColumnFormula>
    </tableColumn>
    <tableColumn id="12" xr3:uid="{15BB454D-C3A4-4C8E-AC67-D75556540F97}" name="Rating" totalsRowFunction="sum" dataDxfId="30" totalsRowDxfId="5"/>
    <tableColumn id="15" xr3:uid="{18AECBEC-9AC5-405F-80F6-04C21C39DA2F}" name="Profit " dataDxfId="29" totalsRowDxfId="4">
      <calculatedColumnFormula>Table1[[#This Row],[SalesAmount]]-Table1[[#This Row],[cost price'[sp-(sp*discount/100)']]]</calculatedColumnFormula>
    </tableColumn>
  </tableColumns>
  <tableStyleInfo name="TableStyleMedium7"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E94F7A-9985-4907-B669-C323532BD5E5}" name="Table2" displayName="Table2" ref="A9:E14" totalsRowShown="0">
  <autoFilter ref="A9:E14" xr:uid="{F0E94F7A-9985-4907-B669-C323532BD5E5}"/>
  <tableColumns count="5">
    <tableColumn id="1" xr3:uid="{6257EF6A-29A9-4C5F-9A22-F9B294AAD59F}" name="Column1"/>
    <tableColumn id="2" xr3:uid="{CDAD6B69-1716-4486-B4F5-2B44D9112D1C}" name="Column2"/>
    <tableColumn id="4" xr3:uid="{637A7CB5-1F83-4DB6-B990-275F67E6D732}" name="Column3"/>
    <tableColumn id="6" xr3:uid="{10B04660-D10C-4BB6-B557-666142516D14}" name="Column4"/>
    <tableColumn id="8" xr3:uid="{3D80CBC5-37EB-4096-ACDB-E54163524631}" name="Column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D206D9-D398-4508-941C-235F802E050A}" name="Table3" displayName="Table3" ref="E18:G22" headerRowCount="0">
  <tableColumns count="3">
    <tableColumn id="1" xr3:uid="{F5F7EEB1-BF52-4008-89BD-6A7CA9E2F299}" name="Column1" totalsRowLabel="Total"/>
    <tableColumn id="2" xr3:uid="{4EE9AEE9-BD79-427A-9552-EC66E166DDE9}" name="Column2"/>
    <tableColumn id="3" xr3:uid="{73F24FCB-A553-4DCA-83C6-19621141B773}" name="Column3" totalsRowFunction="count"/>
  </tableColumns>
  <tableStyleInfo name="TableStyleMedium9"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15E20B-389D-4663-B53C-931A28EA0F1E}" name="Table4" displayName="Table4" ref="B5:K77" totalsRowShown="0" headerRowDxfId="62" dataDxfId="60" headerRowBorderDxfId="61" tableBorderDxfId="59" totalsRowBorderDxfId="58">
  <autoFilter ref="B5:K77" xr:uid="{8415E20B-389D-4663-B53C-931A28EA0F1E}"/>
  <tableColumns count="10">
    <tableColumn id="1" xr3:uid="{341441AC-CB97-4141-86D2-D0D505467DDC}" name="Month" dataDxfId="57"/>
    <tableColumn id="2" xr3:uid="{FE9A5481-3EEA-4F5F-AE82-8D954B52473E}" name="Region" dataDxfId="56"/>
    <tableColumn id="3" xr3:uid="{D04679D5-F349-4D01-9201-4F6F3743111B}" name="StoreID" dataDxfId="55"/>
    <tableColumn id="4" xr3:uid="{2F89BDA9-E47C-42F6-A61D-E4E08A9A4F7B}" name="Category" dataDxfId="54"/>
    <tableColumn id="5" xr3:uid="{74C425AF-5EE9-4972-ACFE-F425ED3EFCE5}" name="UnitsSold" dataDxfId="53"/>
    <tableColumn id="6" xr3:uid="{CA56AB9E-FA76-4ED7-AC4A-9647B1C66A72}" name="Revenue" dataDxfId="52"/>
    <tableColumn id="7" xr3:uid="{B368D72E-0063-4128-BF3F-0C2B09CB0C6F}" name="Target" dataDxfId="51"/>
    <tableColumn id="8" xr3:uid="{6C1125C4-A788-4BA3-920F-493FC0102273}" name="Achievement%" dataDxfId="50"/>
    <tableColumn id="9" xr3:uid="{F4C5E622-5303-4CE3-83A1-72E5A46FC170}" name="Returns" dataDxfId="49"/>
    <tableColumn id="10" xr3:uid="{F5C5A06F-277F-449A-B5C6-61A832667835}" name="CustomerSatisfaction" dataDxfId="48"/>
  </tableColumns>
  <tableStyleInfo name="TableStyleDark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pageSetUpPr fitToPage="1"/>
  </sheetPr>
  <dimension ref="B2:F45"/>
  <sheetViews>
    <sheetView topLeftCell="A6" zoomScale="132" workbookViewId="0">
      <selection activeCell="Y43" sqref="Y43"/>
    </sheetView>
  </sheetViews>
  <sheetFormatPr defaultRowHeight="15" x14ac:dyDescent="0.25"/>
  <cols>
    <col min="1" max="1" width="3" customWidth="1"/>
    <col min="2" max="2" width="28" customWidth="1"/>
    <col min="3" max="3" width="55" customWidth="1"/>
    <col min="4" max="5" width="35" customWidth="1"/>
    <col min="6" max="6" width="20" customWidth="1"/>
  </cols>
  <sheetData>
    <row r="2" spans="2:6" x14ac:dyDescent="0.25">
      <c r="B2" s="64" t="s">
        <v>0</v>
      </c>
      <c r="C2" s="65"/>
      <c r="D2" s="65"/>
      <c r="E2" s="65"/>
      <c r="F2" s="65"/>
    </row>
    <row r="3" spans="2:6" x14ac:dyDescent="0.25">
      <c r="B3" s="66" t="s">
        <v>1</v>
      </c>
      <c r="C3" s="51"/>
      <c r="D3" s="51"/>
      <c r="E3" s="51"/>
      <c r="F3" s="51"/>
    </row>
    <row r="5" spans="2:6" x14ac:dyDescent="0.25">
      <c r="B5" s="55" t="s">
        <v>2</v>
      </c>
      <c r="C5" s="56"/>
      <c r="D5" s="56"/>
      <c r="E5" s="56"/>
      <c r="F5" s="56"/>
    </row>
    <row r="6" spans="2:6" ht="18" x14ac:dyDescent="0.25">
      <c r="B6" s="5" t="s">
        <v>3</v>
      </c>
      <c r="C6" s="5" t="s">
        <v>4</v>
      </c>
      <c r="D6" s="67" t="s">
        <v>5</v>
      </c>
      <c r="E6" s="68"/>
      <c r="F6" s="69"/>
    </row>
    <row r="7" spans="2:6" ht="37.9" customHeight="1" x14ac:dyDescent="0.25">
      <c r="B7" s="6" t="s">
        <v>6</v>
      </c>
      <c r="C7" s="57" t="s">
        <v>7</v>
      </c>
      <c r="D7" s="57" t="s">
        <v>8</v>
      </c>
      <c r="E7" s="58"/>
      <c r="F7" s="58"/>
    </row>
    <row r="8" spans="2:6" ht="37.9" customHeight="1" x14ac:dyDescent="0.25">
      <c r="B8" s="6" t="s">
        <v>9</v>
      </c>
      <c r="C8" s="57" t="s">
        <v>10</v>
      </c>
      <c r="D8" s="57" t="s">
        <v>11</v>
      </c>
      <c r="E8" s="58"/>
      <c r="F8" s="58"/>
    </row>
    <row r="9" spans="2:6" ht="37.9" customHeight="1" x14ac:dyDescent="0.25">
      <c r="B9" s="6" t="s">
        <v>12</v>
      </c>
      <c r="C9" s="57" t="s">
        <v>13</v>
      </c>
      <c r="D9" s="57" t="s">
        <v>14</v>
      </c>
      <c r="E9" s="58"/>
      <c r="F9" s="58"/>
    </row>
    <row r="10" spans="2:6" ht="37.9" customHeight="1" x14ac:dyDescent="0.25">
      <c r="B10" s="6" t="s">
        <v>15</v>
      </c>
      <c r="C10" s="57" t="s">
        <v>16</v>
      </c>
      <c r="D10" s="57" t="s">
        <v>17</v>
      </c>
      <c r="E10" s="58"/>
      <c r="F10" s="58"/>
    </row>
    <row r="11" spans="2:6" ht="37.9" customHeight="1" x14ac:dyDescent="0.25">
      <c r="B11" s="6" t="s">
        <v>18</v>
      </c>
      <c r="C11" s="57" t="s">
        <v>19</v>
      </c>
      <c r="D11" s="57" t="s">
        <v>20</v>
      </c>
      <c r="E11" s="58"/>
      <c r="F11" s="58"/>
    </row>
    <row r="12" spans="2:6" ht="37.9" customHeight="1" x14ac:dyDescent="0.25">
      <c r="B12" s="6" t="s">
        <v>21</v>
      </c>
      <c r="C12" s="57" t="s">
        <v>22</v>
      </c>
      <c r="D12" s="57" t="s">
        <v>23</v>
      </c>
      <c r="E12" s="58"/>
      <c r="F12" s="58"/>
    </row>
    <row r="13" spans="2:6" ht="37.9" customHeight="1" x14ac:dyDescent="0.25">
      <c r="B13" s="6" t="s">
        <v>24</v>
      </c>
      <c r="C13" s="57" t="s">
        <v>25</v>
      </c>
      <c r="D13" s="57" t="s">
        <v>26</v>
      </c>
      <c r="E13" s="58"/>
      <c r="F13" s="58"/>
    </row>
    <row r="14" spans="2:6" ht="37.9" customHeight="1" x14ac:dyDescent="0.25">
      <c r="B14" s="6" t="s">
        <v>27</v>
      </c>
      <c r="C14" s="57" t="s">
        <v>28</v>
      </c>
      <c r="D14" s="57" t="s">
        <v>29</v>
      </c>
      <c r="E14" s="58"/>
      <c r="F14" s="58"/>
    </row>
    <row r="15" spans="2:6" ht="37.9" customHeight="1" x14ac:dyDescent="0.25">
      <c r="B15" s="6" t="s">
        <v>30</v>
      </c>
      <c r="C15" s="57" t="s">
        <v>31</v>
      </c>
      <c r="D15" s="57" t="s">
        <v>32</v>
      </c>
      <c r="E15" s="58"/>
      <c r="F15" s="58"/>
    </row>
    <row r="16" spans="2:6" ht="37.9" customHeight="1" x14ac:dyDescent="0.25">
      <c r="B16" s="6" t="s">
        <v>33</v>
      </c>
      <c r="C16" s="57" t="s">
        <v>34</v>
      </c>
      <c r="D16" s="57" t="s">
        <v>35</v>
      </c>
      <c r="E16" s="58"/>
      <c r="F16" s="58"/>
    </row>
    <row r="18" spans="2:6" x14ac:dyDescent="0.25">
      <c r="B18" s="55" t="s">
        <v>36</v>
      </c>
      <c r="C18" s="56"/>
      <c r="D18" s="56"/>
      <c r="E18" s="56"/>
      <c r="F18" s="56"/>
    </row>
    <row r="19" spans="2:6" x14ac:dyDescent="0.25">
      <c r="B19" s="60" t="s">
        <v>37</v>
      </c>
      <c r="C19" s="58"/>
      <c r="D19" s="58"/>
      <c r="E19" s="58"/>
      <c r="F19" s="58"/>
    </row>
    <row r="20" spans="2:6" ht="45" customHeight="1" x14ac:dyDescent="0.25">
      <c r="B20" s="59"/>
      <c r="C20" s="54"/>
      <c r="D20" s="54"/>
      <c r="E20" s="54"/>
      <c r="F20" s="54"/>
    </row>
    <row r="21" spans="2:6" x14ac:dyDescent="0.25">
      <c r="B21" s="60" t="s">
        <v>38</v>
      </c>
      <c r="C21" s="58"/>
      <c r="D21" s="58"/>
      <c r="E21" s="58"/>
      <c r="F21" s="58"/>
    </row>
    <row r="22" spans="2:6" ht="45" customHeight="1" x14ac:dyDescent="0.25">
      <c r="B22" s="59"/>
      <c r="C22" s="54"/>
      <c r="D22" s="54"/>
      <c r="E22" s="54"/>
      <c r="F22" s="54"/>
    </row>
    <row r="23" spans="2:6" x14ac:dyDescent="0.25">
      <c r="B23" s="60" t="s">
        <v>39</v>
      </c>
      <c r="C23" s="58"/>
      <c r="D23" s="58"/>
      <c r="E23" s="58"/>
      <c r="F23" s="58"/>
    </row>
    <row r="24" spans="2:6" ht="45" customHeight="1" x14ac:dyDescent="0.25">
      <c r="B24" s="59"/>
      <c r="C24" s="54"/>
      <c r="D24" s="54"/>
      <c r="E24" s="54"/>
      <c r="F24" s="54"/>
    </row>
    <row r="25" spans="2:6" x14ac:dyDescent="0.25">
      <c r="B25" s="60" t="s">
        <v>40</v>
      </c>
      <c r="C25" s="58"/>
      <c r="D25" s="58"/>
      <c r="E25" s="58"/>
      <c r="F25" s="58"/>
    </row>
    <row r="26" spans="2:6" ht="45" customHeight="1" x14ac:dyDescent="0.25">
      <c r="B26" s="59"/>
      <c r="C26" s="54"/>
      <c r="D26" s="54"/>
      <c r="E26" s="54"/>
      <c r="F26" s="54"/>
    </row>
    <row r="27" spans="2:6" x14ac:dyDescent="0.25">
      <c r="B27" s="60" t="s">
        <v>41</v>
      </c>
      <c r="C27" s="58"/>
      <c r="D27" s="58"/>
      <c r="E27" s="58"/>
      <c r="F27" s="58"/>
    </row>
    <row r="28" spans="2:6" ht="45" customHeight="1" x14ac:dyDescent="0.25">
      <c r="B28" s="59"/>
      <c r="C28" s="54"/>
      <c r="D28" s="54"/>
      <c r="E28" s="54"/>
      <c r="F28" s="54"/>
    </row>
    <row r="29" spans="2:6" x14ac:dyDescent="0.25">
      <c r="B29" s="55" t="s">
        <v>42</v>
      </c>
      <c r="C29" s="56"/>
      <c r="D29" s="56"/>
      <c r="E29" s="56"/>
      <c r="F29" s="56"/>
    </row>
    <row r="30" spans="2:6" x14ac:dyDescent="0.25">
      <c r="B30" s="61" t="s">
        <v>43</v>
      </c>
      <c r="C30" s="51"/>
      <c r="D30" s="51"/>
      <c r="E30" s="51"/>
      <c r="F30" s="51"/>
    </row>
    <row r="31" spans="2:6" x14ac:dyDescent="0.25">
      <c r="B31" s="62" t="s">
        <v>44</v>
      </c>
      <c r="C31" s="63"/>
      <c r="D31" s="63"/>
      <c r="E31" s="63"/>
      <c r="F31" s="63"/>
    </row>
    <row r="32" spans="2:6" ht="49.9" customHeight="1" x14ac:dyDescent="0.25">
      <c r="B32" s="57" t="s">
        <v>45</v>
      </c>
      <c r="C32" s="58"/>
      <c r="D32" s="58"/>
      <c r="E32" s="58"/>
      <c r="F32" s="58"/>
    </row>
    <row r="33" spans="2:6" ht="28.15" customHeight="1" x14ac:dyDescent="0.25">
      <c r="B33" s="1" t="s">
        <v>46</v>
      </c>
      <c r="C33" s="54"/>
      <c r="D33" s="54"/>
      <c r="E33" s="54"/>
      <c r="F33" s="54"/>
    </row>
    <row r="34" spans="2:6" ht="28.15" customHeight="1" x14ac:dyDescent="0.25">
      <c r="B34" s="1" t="s">
        <v>47</v>
      </c>
      <c r="C34" s="54"/>
      <c r="D34" s="54"/>
      <c r="E34" s="54"/>
      <c r="F34" s="54"/>
    </row>
    <row r="35" spans="2:6" ht="28.15" customHeight="1" x14ac:dyDescent="0.25">
      <c r="B35" s="1" t="s">
        <v>48</v>
      </c>
      <c r="C35" s="54"/>
      <c r="D35" s="54"/>
      <c r="E35" s="54"/>
      <c r="F35" s="54"/>
    </row>
    <row r="36" spans="2:6" ht="28.15" customHeight="1" x14ac:dyDescent="0.25">
      <c r="B36" s="1" t="s">
        <v>49</v>
      </c>
      <c r="C36" s="54"/>
      <c r="D36" s="54"/>
      <c r="E36" s="54"/>
      <c r="F36" s="54"/>
    </row>
    <row r="37" spans="2:6" ht="28.15" customHeight="1" x14ac:dyDescent="0.25">
      <c r="B37" s="1" t="s">
        <v>50</v>
      </c>
      <c r="C37" s="54"/>
      <c r="D37" s="54"/>
      <c r="E37" s="54"/>
      <c r="F37" s="54"/>
    </row>
    <row r="39" spans="2:6" x14ac:dyDescent="0.25">
      <c r="B39" s="62" t="s">
        <v>51</v>
      </c>
      <c r="C39" s="63"/>
      <c r="D39" s="63"/>
      <c r="E39" s="63"/>
      <c r="F39" s="63"/>
    </row>
    <row r="40" spans="2:6" ht="49.9" customHeight="1" x14ac:dyDescent="0.25">
      <c r="B40" s="57" t="s">
        <v>52</v>
      </c>
      <c r="C40" s="58"/>
      <c r="D40" s="58"/>
      <c r="E40" s="58"/>
      <c r="F40" s="58"/>
    </row>
    <row r="41" spans="2:6" ht="28.15" customHeight="1" x14ac:dyDescent="0.25">
      <c r="B41" s="1" t="s">
        <v>46</v>
      </c>
      <c r="C41" s="54" t="s">
        <v>337</v>
      </c>
      <c r="D41" s="54"/>
      <c r="E41" s="54"/>
      <c r="F41" s="54"/>
    </row>
    <row r="42" spans="2:6" ht="28.15" customHeight="1" x14ac:dyDescent="0.25">
      <c r="B42" s="1" t="s">
        <v>47</v>
      </c>
      <c r="C42" s="54" t="s">
        <v>336</v>
      </c>
      <c r="D42" s="54"/>
      <c r="E42" s="54"/>
      <c r="F42" s="54"/>
    </row>
    <row r="43" spans="2:6" ht="28.15" customHeight="1" x14ac:dyDescent="0.25">
      <c r="B43" s="1" t="s">
        <v>48</v>
      </c>
      <c r="C43" s="54"/>
      <c r="D43" s="54"/>
      <c r="E43" s="54"/>
      <c r="F43" s="54"/>
    </row>
    <row r="44" spans="2:6" ht="28.15" customHeight="1" x14ac:dyDescent="0.25">
      <c r="B44" s="1" t="s">
        <v>49</v>
      </c>
      <c r="C44" s="54"/>
      <c r="D44" s="54"/>
      <c r="E44" s="54"/>
      <c r="F44" s="54"/>
    </row>
    <row r="45" spans="2:6" ht="28.15" customHeight="1" x14ac:dyDescent="0.25">
      <c r="B45" s="1" t="s">
        <v>50</v>
      </c>
      <c r="C45" s="54"/>
      <c r="D45" s="54"/>
      <c r="E45" s="54"/>
      <c r="F45" s="54"/>
    </row>
  </sheetData>
  <mergeCells count="51">
    <mergeCell ref="C7"/>
    <mergeCell ref="B3:F3"/>
    <mergeCell ref="B31:F31"/>
    <mergeCell ref="B22:F22"/>
    <mergeCell ref="D7:F7"/>
    <mergeCell ref="C11"/>
    <mergeCell ref="D6:F6"/>
    <mergeCell ref="C8"/>
    <mergeCell ref="D11:F11"/>
    <mergeCell ref="C37:F37"/>
    <mergeCell ref="C13"/>
    <mergeCell ref="D16:F16"/>
    <mergeCell ref="B18:F18"/>
    <mergeCell ref="B27:F27"/>
    <mergeCell ref="B21:F21"/>
    <mergeCell ref="B26:F26"/>
    <mergeCell ref="C36:F36"/>
    <mergeCell ref="D13:F13"/>
    <mergeCell ref="B25:F25"/>
    <mergeCell ref="B39:F39"/>
    <mergeCell ref="B2:F2"/>
    <mergeCell ref="C34:F34"/>
    <mergeCell ref="D12:F12"/>
    <mergeCell ref="C15"/>
    <mergeCell ref="D9:F9"/>
    <mergeCell ref="B23:F23"/>
    <mergeCell ref="C33:F33"/>
    <mergeCell ref="C14"/>
    <mergeCell ref="D8:F8"/>
    <mergeCell ref="D15:F15"/>
    <mergeCell ref="C10"/>
    <mergeCell ref="C9"/>
    <mergeCell ref="D10:F10"/>
    <mergeCell ref="C12"/>
    <mergeCell ref="B5:F5"/>
    <mergeCell ref="C42:F42"/>
    <mergeCell ref="B29:F29"/>
    <mergeCell ref="D14:F14"/>
    <mergeCell ref="C45:F45"/>
    <mergeCell ref="C35:F35"/>
    <mergeCell ref="B28:F28"/>
    <mergeCell ref="B19:F19"/>
    <mergeCell ref="C16"/>
    <mergeCell ref="C41:F41"/>
    <mergeCell ref="B40:F40"/>
    <mergeCell ref="B30:F30"/>
    <mergeCell ref="C44:F44"/>
    <mergeCell ref="B24:F24"/>
    <mergeCell ref="B20:F20"/>
    <mergeCell ref="C43:F43"/>
    <mergeCell ref="B32:F32"/>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R48"/>
  <sheetViews>
    <sheetView tabSelected="1" topLeftCell="A3" zoomScale="69" zoomScaleNormal="175" workbookViewId="0">
      <selection activeCell="W12" sqref="W12"/>
    </sheetView>
  </sheetViews>
  <sheetFormatPr defaultRowHeight="15" x14ac:dyDescent="0.25"/>
  <cols>
    <col min="1" max="1" width="12.140625" customWidth="1"/>
    <col min="2" max="2" width="15.28515625" customWidth="1"/>
    <col min="3" max="3" width="12" customWidth="1"/>
    <col min="4" max="4" width="18" customWidth="1"/>
    <col min="5" max="5" width="14" customWidth="1"/>
    <col min="6" max="6" width="12.85546875" customWidth="1"/>
    <col min="7" max="7" width="26" customWidth="1"/>
    <col min="8" max="8" width="19" customWidth="1"/>
    <col min="9" max="9" width="20.5703125" customWidth="1"/>
    <col min="10" max="10" width="15.42578125" customWidth="1"/>
    <col min="11" max="11" width="16.140625" customWidth="1"/>
    <col min="12" max="12" width="14.140625" customWidth="1"/>
    <col min="14" max="14" width="11" customWidth="1"/>
    <col min="15" max="15" width="18.7109375" customWidth="1"/>
    <col min="16" max="16" width="17.28515625" customWidth="1"/>
  </cols>
  <sheetData>
    <row r="1" spans="1:18" ht="28.15" customHeight="1" x14ac:dyDescent="0.25">
      <c r="A1" s="71" t="s">
        <v>110</v>
      </c>
      <c r="B1" s="51"/>
      <c r="C1" s="51"/>
      <c r="D1" s="51"/>
      <c r="E1" s="51"/>
      <c r="F1" s="51"/>
      <c r="G1" s="51"/>
      <c r="H1" s="51"/>
      <c r="I1" s="51"/>
      <c r="J1" s="51"/>
      <c r="K1" s="51"/>
      <c r="L1" s="51"/>
    </row>
    <row r="2" spans="1:18" x14ac:dyDescent="0.25">
      <c r="A2" s="70"/>
      <c r="B2" s="51"/>
      <c r="C2" s="51"/>
      <c r="D2" s="51"/>
      <c r="E2" s="51"/>
      <c r="F2" s="51"/>
      <c r="G2" s="51"/>
      <c r="H2" s="51"/>
      <c r="I2" s="51"/>
      <c r="J2" s="51"/>
      <c r="K2" s="51"/>
      <c r="L2" s="51"/>
    </row>
    <row r="3" spans="1:18" ht="54" x14ac:dyDescent="0.25">
      <c r="A3" s="18" t="s">
        <v>111</v>
      </c>
      <c r="B3" s="19" t="s">
        <v>112</v>
      </c>
      <c r="C3" s="19" t="s">
        <v>113</v>
      </c>
      <c r="D3" s="19" t="s">
        <v>114</v>
      </c>
      <c r="E3" s="19" t="s">
        <v>115</v>
      </c>
      <c r="F3" s="19" t="s">
        <v>116</v>
      </c>
      <c r="G3" s="27" t="s">
        <v>375</v>
      </c>
      <c r="H3" s="27" t="s">
        <v>117</v>
      </c>
      <c r="I3" s="19" t="s">
        <v>118</v>
      </c>
      <c r="J3" s="19" t="s">
        <v>398</v>
      </c>
      <c r="K3" s="19" t="s">
        <v>119</v>
      </c>
      <c r="L3" s="19" t="s">
        <v>120</v>
      </c>
      <c r="M3" s="19" t="s">
        <v>121</v>
      </c>
      <c r="N3" s="20" t="s">
        <v>372</v>
      </c>
      <c r="O3" s="20" t="s">
        <v>122</v>
      </c>
      <c r="P3" s="49" t="s">
        <v>376</v>
      </c>
    </row>
    <row r="4" spans="1:18" x14ac:dyDescent="0.25">
      <c r="A4" s="16" t="s">
        <v>123</v>
      </c>
      <c r="B4" s="9" t="s">
        <v>377</v>
      </c>
      <c r="C4" s="9" t="s">
        <v>124</v>
      </c>
      <c r="D4" s="2" t="s">
        <v>125</v>
      </c>
      <c r="E4" s="2" t="s">
        <v>126</v>
      </c>
      <c r="F4" s="9">
        <v>2</v>
      </c>
      <c r="G4" s="9">
        <f>Table1[[#This Row],[SalesAmount]]-(Table1[[#This Row],[SalesAmount]]*Table1[[#This Row],[Discount%]]/100)</f>
        <v>48633.599999999999</v>
      </c>
      <c r="H4" s="10">
        <v>199</v>
      </c>
      <c r="I4" s="10">
        <v>60792</v>
      </c>
      <c r="J4" s="10" t="str">
        <f>IF(Table1[[#This Row],[SalesAmount]]&gt;120000,"H1",
IF(AND(Table1[[#This Row],[SalesAmount]]&gt;80000,Table1[[#This Row],[SalesAmount]]&lt;=120000),"H2",
IF(AND(Table1[[#This Row],[SalesAmount]]&gt;50000,Table1[[#This Row],[SalesAmount]]&lt;=80000),"H3",
IF(AND(Table1[[#This Row],[SalesAmount]]&gt;0,Table1[[#This Row],[SalesAmount]]&lt;=50000),"H4",
"L1"))))</f>
        <v>H3</v>
      </c>
      <c r="K4" s="2" t="s">
        <v>127</v>
      </c>
      <c r="L4" s="11">
        <v>20</v>
      </c>
      <c r="M4" s="2" t="s">
        <v>128</v>
      </c>
      <c r="N4" s="28" t="b">
        <f>AND(Table1[[#This Row],[PaymentMode]]="CASH ON DELIVERY",Table1[[#This Row],[Category]]="ELECTRONICS")</f>
        <v>0</v>
      </c>
      <c r="O4" s="17">
        <v>2</v>
      </c>
      <c r="P4" s="15">
        <f>Table1[[#This Row],[SalesAmount]]-Table1[[#This Row],[cost price'[sp-(sp*discount/100)']]]</f>
        <v>12158.400000000001</v>
      </c>
      <c r="R4">
        <f>SUMIF(Table1[Helper 1],"TRUE",Table1[SalesAmount])</f>
        <v>66935.7</v>
      </c>
    </row>
    <row r="5" spans="1:18" x14ac:dyDescent="0.25">
      <c r="A5" s="16" t="s">
        <v>129</v>
      </c>
      <c r="B5" s="9" t="s">
        <v>130</v>
      </c>
      <c r="C5" s="9" t="s">
        <v>131</v>
      </c>
      <c r="D5" s="2" t="s">
        <v>125</v>
      </c>
      <c r="E5" s="2" t="s">
        <v>126</v>
      </c>
      <c r="F5" s="9">
        <v>2</v>
      </c>
      <c r="G5" s="9">
        <f>Table1[[#This Row],[SalesAmount]]-(Table1[[#This Row],[SalesAmount]]*Table1[[#This Row],[Discount%]]/100)</f>
        <v>160.38</v>
      </c>
      <c r="H5" s="10">
        <v>99</v>
      </c>
      <c r="I5" s="10">
        <v>178.2</v>
      </c>
      <c r="J5" s="10" t="str">
        <f>IF(Table1[[#This Row],[SalesAmount]]&gt;120000,"H1",
IF(AND(Table1[[#This Row],[SalesAmount]]&gt;80000,Table1[[#This Row],[SalesAmount]]&lt;=120000),"H2",
IF(AND(Table1[[#This Row],[SalesAmount]]&gt;50000,Table1[[#This Row],[SalesAmount]]&lt;=80000),"H3",
IF(AND(Table1[[#This Row],[SalesAmount]]&gt;0,Table1[[#This Row],[SalesAmount]]&lt;=50000),"H4",
"L1"))))</f>
        <v>H4</v>
      </c>
      <c r="K5" s="2" t="s">
        <v>127</v>
      </c>
      <c r="L5" s="11">
        <v>10</v>
      </c>
      <c r="M5" s="2" t="s">
        <v>128</v>
      </c>
      <c r="N5" s="28" t="b">
        <f>AND(Table1[[#This Row],[PaymentMode]]="CASH ON DELIVERY",Table1[[#This Row],[Category]]="ELECTRONICS")</f>
        <v>0</v>
      </c>
      <c r="O5" s="17">
        <v>3</v>
      </c>
      <c r="P5" s="15">
        <f>Table1[[#This Row],[SalesAmount]]-Table1[[#This Row],[cost price'[sp-(sp*discount/100)']]]</f>
        <v>17.819999999999993</v>
      </c>
      <c r="R5">
        <f>AVERAGEIF(Table1[Helper 1],"TRUE",Table1[SalesAmount])</f>
        <v>22311.899999999998</v>
      </c>
    </row>
    <row r="6" spans="1:18" ht="25.5" x14ac:dyDescent="0.25">
      <c r="A6" s="16" t="s">
        <v>132</v>
      </c>
      <c r="B6" s="9" t="s">
        <v>133</v>
      </c>
      <c r="C6" s="9" t="s">
        <v>134</v>
      </c>
      <c r="D6" s="2" t="s">
        <v>135</v>
      </c>
      <c r="E6" s="2" t="s">
        <v>136</v>
      </c>
      <c r="F6" s="9">
        <v>1</v>
      </c>
      <c r="G6" s="9">
        <f>Table1[[#This Row],[SalesAmount]]-(Table1[[#This Row],[SalesAmount]]*Table1[[#This Row],[Discount%]]/100)</f>
        <v>1899</v>
      </c>
      <c r="H6" s="9">
        <v>1899</v>
      </c>
      <c r="I6" s="10">
        <v>1899</v>
      </c>
      <c r="J6" s="10" t="str">
        <f>IF(Table1[[#This Row],[SalesAmount]]&gt;120000,"H1",
IF(AND(Table1[[#This Row],[SalesAmount]]&gt;80000,Table1[[#This Row],[SalesAmount]]&lt;=120000),"H2",
IF(AND(Table1[[#This Row],[SalesAmount]]&gt;50000,Table1[[#This Row],[SalesAmount]]&lt;=80000),"H3",
IF(AND(Table1[[#This Row],[SalesAmount]]&gt;0,Table1[[#This Row],[SalesAmount]]&lt;=50000),"H4",
"L1"))))</f>
        <v>H4</v>
      </c>
      <c r="K6" s="2" t="s">
        <v>127</v>
      </c>
      <c r="L6" s="11">
        <v>0</v>
      </c>
      <c r="M6" s="2" t="s">
        <v>137</v>
      </c>
      <c r="N6" s="28" t="b">
        <f>AND(Table1[[#This Row],[PaymentMode]]="CASH ON DELIVERY",Table1[[#This Row],[Category]]="ELECTRONICS")</f>
        <v>0</v>
      </c>
      <c r="O6" s="17">
        <v>4</v>
      </c>
      <c r="P6" s="15">
        <f>Table1[[#This Row],[SalesAmount]]-Table1[[#This Row],[cost price'[sp-(sp*discount/100)']]]</f>
        <v>0</v>
      </c>
    </row>
    <row r="7" spans="1:18" ht="25.5" x14ac:dyDescent="0.25">
      <c r="A7" s="16" t="s">
        <v>138</v>
      </c>
      <c r="B7" s="9" t="s">
        <v>139</v>
      </c>
      <c r="C7" s="9" t="s">
        <v>134</v>
      </c>
      <c r="D7" s="2" t="s">
        <v>140</v>
      </c>
      <c r="E7" s="2" t="s">
        <v>141</v>
      </c>
      <c r="F7" s="9">
        <v>1</v>
      </c>
      <c r="G7" s="9">
        <f>Table1[[#This Row],[SalesAmount]]-(Table1[[#This Row],[SalesAmount]]*Table1[[#This Row],[Discount%]]/100)</f>
        <v>3499</v>
      </c>
      <c r="H7" s="10">
        <v>3499</v>
      </c>
      <c r="I7" s="10">
        <v>3499</v>
      </c>
      <c r="J7" s="10" t="str">
        <f>IF(Table1[[#This Row],[SalesAmount]]&gt;120000,"H1",
IF(AND(Table1[[#This Row],[SalesAmount]]&gt;80000,Table1[[#This Row],[SalesAmount]]&lt;=120000),"H2",
IF(AND(Table1[[#This Row],[SalesAmount]]&gt;50000,Table1[[#This Row],[SalesAmount]]&lt;=80000),"H3",
IF(AND(Table1[[#This Row],[SalesAmount]]&gt;0,Table1[[#This Row],[SalesAmount]]&lt;=50000),"H4",
"L1"))))</f>
        <v>H4</v>
      </c>
      <c r="K7" s="2" t="s">
        <v>142</v>
      </c>
      <c r="L7" s="11">
        <v>0</v>
      </c>
      <c r="M7" s="2" t="s">
        <v>143</v>
      </c>
      <c r="N7" s="28" t="b">
        <f>AND(Table1[[#This Row],[PaymentMode]]="CASH ON DELIVERY",Table1[[#This Row],[Category]]="ELECTRONICS")</f>
        <v>0</v>
      </c>
      <c r="O7" s="17">
        <v>3</v>
      </c>
      <c r="P7" s="15">
        <f>Table1[[#This Row],[SalesAmount]]-Table1[[#This Row],[cost price'[sp-(sp*discount/100)']]]</f>
        <v>0</v>
      </c>
    </row>
    <row r="8" spans="1:18" ht="25.5" x14ac:dyDescent="0.25">
      <c r="A8" s="16" t="s">
        <v>144</v>
      </c>
      <c r="B8" s="9" t="s">
        <v>145</v>
      </c>
      <c r="C8" s="9" t="s">
        <v>131</v>
      </c>
      <c r="D8" s="2" t="s">
        <v>146</v>
      </c>
      <c r="E8" s="2" t="s">
        <v>136</v>
      </c>
      <c r="F8" s="9">
        <v>6</v>
      </c>
      <c r="G8" s="9">
        <f>Table1[[#This Row],[SalesAmount]]-(Table1[[#This Row],[SalesAmount]]*Table1[[#This Row],[Discount%]]/100)</f>
        <v>32994</v>
      </c>
      <c r="H8" s="10">
        <v>5499</v>
      </c>
      <c r="I8" s="10">
        <v>32994</v>
      </c>
      <c r="J8" s="10" t="str">
        <f>IF(Table1[[#This Row],[SalesAmount]]&gt;120000,"H1",
IF(AND(Table1[[#This Row],[SalesAmount]]&gt;80000,Table1[[#This Row],[SalesAmount]]&lt;=120000),"H2",
IF(AND(Table1[[#This Row],[SalesAmount]]&gt;50000,Table1[[#This Row],[SalesAmount]]&lt;=80000),"H3",
IF(AND(Table1[[#This Row],[SalesAmount]]&gt;0,Table1[[#This Row],[SalesAmount]]&lt;=50000),"H4",
"L1"))))</f>
        <v>H4</v>
      </c>
      <c r="K8" s="2" t="s">
        <v>142</v>
      </c>
      <c r="L8" s="11">
        <v>0</v>
      </c>
      <c r="M8" s="2" t="s">
        <v>143</v>
      </c>
      <c r="N8" s="28" t="b">
        <f>AND(Table1[[#This Row],[PaymentMode]]="CASH ON DELIVERY",Table1[[#This Row],[Category]]="ELECTRONICS")</f>
        <v>0</v>
      </c>
      <c r="O8" s="17">
        <v>4</v>
      </c>
      <c r="P8" s="15">
        <f>Table1[[#This Row],[SalesAmount]]-Table1[[#This Row],[cost price'[sp-(sp*discount/100)']]]</f>
        <v>0</v>
      </c>
    </row>
    <row r="9" spans="1:18" ht="25.5" x14ac:dyDescent="0.25">
      <c r="A9" s="16" t="s">
        <v>147</v>
      </c>
      <c r="B9" s="9" t="s">
        <v>148</v>
      </c>
      <c r="C9" s="9" t="s">
        <v>131</v>
      </c>
      <c r="D9" s="2" t="s">
        <v>140</v>
      </c>
      <c r="E9" s="2" t="s">
        <v>141</v>
      </c>
      <c r="F9" s="9">
        <v>1</v>
      </c>
      <c r="G9" s="9">
        <f>Table1[[#This Row],[SalesAmount]]-(Table1[[#This Row],[SalesAmount]]*Table1[[#This Row],[Discount%]]/100)</f>
        <v>6479.1900000000005</v>
      </c>
      <c r="H9" s="10">
        <v>7999</v>
      </c>
      <c r="I9" s="10">
        <v>7199.1</v>
      </c>
      <c r="J9" s="10" t="str">
        <f>IF(Table1[[#This Row],[SalesAmount]]&gt;120000,"H1",
IF(AND(Table1[[#This Row],[SalesAmount]]&gt;80000,Table1[[#This Row],[SalesAmount]]&lt;=120000),"H2",
IF(AND(Table1[[#This Row],[SalesAmount]]&gt;50000,Table1[[#This Row],[SalesAmount]]&lt;=80000),"H3",
IF(AND(Table1[[#This Row],[SalesAmount]]&gt;0,Table1[[#This Row],[SalesAmount]]&lt;=50000),"H4",
"L1"))))</f>
        <v>H4</v>
      </c>
      <c r="K9" s="2" t="s">
        <v>142</v>
      </c>
      <c r="L9" s="11">
        <v>10</v>
      </c>
      <c r="M9" s="2" t="s">
        <v>149</v>
      </c>
      <c r="N9" s="28" t="b">
        <f>AND(Table1[[#This Row],[PaymentMode]]="CASH ON DELIVERY",Table1[[#This Row],[Category]]="ELECTRONICS")</f>
        <v>0</v>
      </c>
      <c r="O9" s="17">
        <v>4</v>
      </c>
      <c r="P9" s="15">
        <f>Table1[[#This Row],[SalesAmount]]-Table1[[#This Row],[cost price'[sp-(sp*discount/100)']]]</f>
        <v>719.90999999999985</v>
      </c>
    </row>
    <row r="10" spans="1:18" ht="25.5" x14ac:dyDescent="0.25">
      <c r="A10" s="16" t="s">
        <v>150</v>
      </c>
      <c r="B10" s="9" t="s">
        <v>151</v>
      </c>
      <c r="C10" s="9" t="s">
        <v>131</v>
      </c>
      <c r="D10" s="2" t="s">
        <v>152</v>
      </c>
      <c r="E10" s="2" t="s">
        <v>141</v>
      </c>
      <c r="F10" s="9">
        <v>6</v>
      </c>
      <c r="G10" s="9">
        <f>Table1[[#This Row],[SalesAmount]]-(Table1[[#This Row],[SalesAmount]]*Table1[[#This Row],[Discount%]]/100)</f>
        <v>113994</v>
      </c>
      <c r="H10" s="10">
        <v>18999</v>
      </c>
      <c r="I10" s="10">
        <v>113994</v>
      </c>
      <c r="J10" s="10" t="str">
        <f>IF(Table1[[#This Row],[SalesAmount]]&gt;120000,"H1",
IF(AND(Table1[[#This Row],[SalesAmount]]&gt;80000,Table1[[#This Row],[SalesAmount]]&lt;=120000),"H2",
IF(AND(Table1[[#This Row],[SalesAmount]]&gt;50000,Table1[[#This Row],[SalesAmount]]&lt;=80000),"H3",
IF(AND(Table1[[#This Row],[SalesAmount]]&gt;0,Table1[[#This Row],[SalesAmount]]&lt;=50000),"H4",
"L1"))))</f>
        <v>H2</v>
      </c>
      <c r="K10" s="2" t="s">
        <v>127</v>
      </c>
      <c r="L10" s="11">
        <v>0</v>
      </c>
      <c r="M10" s="2" t="s">
        <v>128</v>
      </c>
      <c r="N10" s="28" t="b">
        <f>AND(Table1[[#This Row],[PaymentMode]]="CASH ON DELIVERY",Table1[[#This Row],[Category]]="ELECTRONICS")</f>
        <v>0</v>
      </c>
      <c r="O10" s="17">
        <v>4</v>
      </c>
      <c r="P10" s="15">
        <f>Table1[[#This Row],[SalesAmount]]-Table1[[#This Row],[cost price'[sp-(sp*discount/100)']]]</f>
        <v>0</v>
      </c>
    </row>
    <row r="11" spans="1:18" ht="25.5" x14ac:dyDescent="0.25">
      <c r="A11" s="16" t="s">
        <v>153</v>
      </c>
      <c r="B11" s="9" t="s">
        <v>145</v>
      </c>
      <c r="C11" s="9" t="s">
        <v>154</v>
      </c>
      <c r="D11" s="2" t="s">
        <v>155</v>
      </c>
      <c r="E11" s="2" t="s">
        <v>141</v>
      </c>
      <c r="F11" s="9">
        <v>4</v>
      </c>
      <c r="G11" s="9">
        <f>Table1[[#This Row],[SalesAmount]]-(Table1[[#This Row],[SalesAmount]]*Table1[[#This Row],[Discount%]]/100)</f>
        <v>13996</v>
      </c>
      <c r="H11" s="10">
        <v>3499</v>
      </c>
      <c r="I11" s="10">
        <v>13996</v>
      </c>
      <c r="J11" s="10" t="str">
        <f>IF(Table1[[#This Row],[SalesAmount]]&gt;120000,"H1",
IF(AND(Table1[[#This Row],[SalesAmount]]&gt;80000,Table1[[#This Row],[SalesAmount]]&lt;=120000),"H2",
IF(AND(Table1[[#This Row],[SalesAmount]]&gt;50000,Table1[[#This Row],[SalesAmount]]&lt;=80000),"H3",
IF(AND(Table1[[#This Row],[SalesAmount]]&gt;0,Table1[[#This Row],[SalesAmount]]&lt;=50000),"H4",
"L1"))))</f>
        <v>H4</v>
      </c>
      <c r="K11" s="2" t="s">
        <v>142</v>
      </c>
      <c r="L11" s="11">
        <v>0</v>
      </c>
      <c r="M11" s="2" t="s">
        <v>143</v>
      </c>
      <c r="N11" s="28" t="b">
        <f>AND(Table1[[#This Row],[PaymentMode]]="CASH ON DELIVERY",Table1[[#This Row],[Category]]="ELECTRONICS")</f>
        <v>0</v>
      </c>
      <c r="O11" s="17">
        <v>3</v>
      </c>
      <c r="P11" s="15">
        <f>Table1[[#This Row],[SalesAmount]]-Table1[[#This Row],[cost price'[sp-(sp*discount/100)']]]</f>
        <v>0</v>
      </c>
    </row>
    <row r="12" spans="1:18" ht="25.5" x14ac:dyDescent="0.25">
      <c r="A12" s="16" t="s">
        <v>156</v>
      </c>
      <c r="B12" s="9" t="s">
        <v>157</v>
      </c>
      <c r="C12" s="9" t="s">
        <v>131</v>
      </c>
      <c r="D12" s="2" t="s">
        <v>158</v>
      </c>
      <c r="E12" s="2" t="s">
        <v>126</v>
      </c>
      <c r="F12" s="9">
        <v>6</v>
      </c>
      <c r="G12" s="9">
        <f>Table1[[#This Row],[SalesAmount]]-(Table1[[#This Row],[SalesAmount]]*Table1[[#This Row],[Discount%]]/100)</f>
        <v>1340.16</v>
      </c>
      <c r="H12" s="10">
        <v>349</v>
      </c>
      <c r="I12" s="10">
        <v>1675.2</v>
      </c>
      <c r="J12" s="10" t="str">
        <f>IF(Table1[[#This Row],[SalesAmount]]&gt;120000,"H1",
IF(AND(Table1[[#This Row],[SalesAmount]]&gt;80000,Table1[[#This Row],[SalesAmount]]&lt;=120000),"H2",
IF(AND(Table1[[#This Row],[SalesAmount]]&gt;50000,Table1[[#This Row],[SalesAmount]]&lt;=80000),"H3",
IF(AND(Table1[[#This Row],[SalesAmount]]&gt;0,Table1[[#This Row],[SalesAmount]]&lt;=50000),"H4",
"L1"))))</f>
        <v>H4</v>
      </c>
      <c r="K12" s="2" t="s">
        <v>159</v>
      </c>
      <c r="L12" s="11">
        <v>20</v>
      </c>
      <c r="M12" s="2" t="s">
        <v>128</v>
      </c>
      <c r="N12" s="28" t="b">
        <f>AND(Table1[[#This Row],[PaymentMode]]="CASH ON DELIVERY",Table1[[#This Row],[Category]]="ELECTRONICS")</f>
        <v>0</v>
      </c>
      <c r="O12" s="17">
        <v>3</v>
      </c>
      <c r="P12" s="15">
        <f>Table1[[#This Row],[SalesAmount]]-Table1[[#This Row],[cost price'[sp-(sp*discount/100)']]]</f>
        <v>335.03999999999996</v>
      </c>
      <c r="Q12" t="s">
        <v>348</v>
      </c>
    </row>
    <row r="13" spans="1:18" ht="25.5" x14ac:dyDescent="0.25">
      <c r="A13" s="16" t="s">
        <v>160</v>
      </c>
      <c r="B13" s="9" t="s">
        <v>161</v>
      </c>
      <c r="C13" s="9" t="s">
        <v>124</v>
      </c>
      <c r="D13" s="2" t="s">
        <v>162</v>
      </c>
      <c r="E13" s="2" t="s">
        <v>136</v>
      </c>
      <c r="F13" s="9">
        <v>8</v>
      </c>
      <c r="G13" s="9">
        <f>Table1[[#This Row],[SalesAmount]]-(Table1[[#This Row],[SalesAmount]]*Table1[[#This Row],[Discount%]]/100)</f>
        <v>41792.400000000001</v>
      </c>
      <c r="H13" s="10">
        <v>7999</v>
      </c>
      <c r="I13" s="10">
        <v>43992</v>
      </c>
      <c r="J13" s="10" t="str">
        <f>IF(Table1[[#This Row],[SalesAmount]]&gt;120000,"H1",
IF(AND(Table1[[#This Row],[SalesAmount]]&gt;80000,Table1[[#This Row],[SalesAmount]]&lt;=120000),"H2",
IF(AND(Table1[[#This Row],[SalesAmount]]&gt;50000,Table1[[#This Row],[SalesAmount]]&lt;=80000),"H3",
IF(AND(Table1[[#This Row],[SalesAmount]]&gt;0,Table1[[#This Row],[SalesAmount]]&lt;=50000),"H4",
"L1"))))</f>
        <v>H4</v>
      </c>
      <c r="K13" s="2" t="s">
        <v>159</v>
      </c>
      <c r="L13" s="11">
        <v>5</v>
      </c>
      <c r="M13" s="2" t="s">
        <v>143</v>
      </c>
      <c r="N13" s="28" t="b">
        <f>AND(Table1[[#This Row],[PaymentMode]]="CASH ON DELIVERY",Table1[[#This Row],[Category]]="ELECTRONICS")</f>
        <v>0</v>
      </c>
      <c r="O13" s="17">
        <v>2</v>
      </c>
      <c r="P13" s="15">
        <f>Table1[[#This Row],[SalesAmount]]-Table1[[#This Row],[cost price'[sp-(sp*discount/100)']]]</f>
        <v>2199.5999999999985</v>
      </c>
    </row>
    <row r="14" spans="1:18" ht="25.5" x14ac:dyDescent="0.25">
      <c r="A14" s="16" t="s">
        <v>163</v>
      </c>
      <c r="B14" s="9" t="s">
        <v>157</v>
      </c>
      <c r="C14" s="9" t="s">
        <v>131</v>
      </c>
      <c r="D14" s="2" t="s">
        <v>146</v>
      </c>
      <c r="E14" s="2" t="s">
        <v>136</v>
      </c>
      <c r="F14" s="9">
        <v>1</v>
      </c>
      <c r="G14" s="9">
        <f>Table1[[#This Row],[SalesAmount]]-(Table1[[#This Row],[SalesAmount]]*Table1[[#This Row],[Discount%]]/100)</f>
        <v>2429.19</v>
      </c>
      <c r="H14" s="10">
        <v>2999</v>
      </c>
      <c r="I14" s="10">
        <v>2699.1</v>
      </c>
      <c r="J14" s="10" t="str">
        <f>IF(Table1[[#This Row],[SalesAmount]]&gt;120000,"H1",
IF(AND(Table1[[#This Row],[SalesAmount]]&gt;80000,Table1[[#This Row],[SalesAmount]]&lt;=120000),"H2",
IF(AND(Table1[[#This Row],[SalesAmount]]&gt;50000,Table1[[#This Row],[SalesAmount]]&lt;=80000),"H3",
IF(AND(Table1[[#This Row],[SalesAmount]]&gt;0,Table1[[#This Row],[SalesAmount]]&lt;=50000),"H4",
"L1"))))</f>
        <v>H4</v>
      </c>
      <c r="K14" s="2" t="s">
        <v>127</v>
      </c>
      <c r="L14" s="11">
        <v>10</v>
      </c>
      <c r="M14" s="2" t="s">
        <v>143</v>
      </c>
      <c r="N14" s="28" t="b">
        <f>AND(Table1[[#This Row],[PaymentMode]]="CASH ON DELIVERY",Table1[[#This Row],[Category]]="ELECTRONICS")</f>
        <v>0</v>
      </c>
      <c r="O14" s="17">
        <v>3</v>
      </c>
      <c r="P14" s="15">
        <f>Table1[[#This Row],[SalesAmount]]-Table1[[#This Row],[cost price'[sp-(sp*discount/100)']]]</f>
        <v>269.90999999999985</v>
      </c>
    </row>
    <row r="15" spans="1:18" x14ac:dyDescent="0.25">
      <c r="A15" s="16" t="s">
        <v>164</v>
      </c>
      <c r="B15" s="9" t="s">
        <v>165</v>
      </c>
      <c r="C15" s="9" t="s">
        <v>124</v>
      </c>
      <c r="D15" s="2" t="s">
        <v>125</v>
      </c>
      <c r="E15" s="2" t="s">
        <v>126</v>
      </c>
      <c r="F15" s="9">
        <v>8</v>
      </c>
      <c r="G15" s="9">
        <f>Table1[[#This Row],[SalesAmount]]-(Table1[[#This Row],[SalesAmount]]*Table1[[#This Row],[Discount%]]/100)</f>
        <v>28154.879999999997</v>
      </c>
      <c r="H15" s="10">
        <v>499</v>
      </c>
      <c r="I15" s="10">
        <v>35193.599999999999</v>
      </c>
      <c r="J15" s="10" t="str">
        <f>IF(Table1[[#This Row],[SalesAmount]]&gt;120000,"H1",
IF(AND(Table1[[#This Row],[SalesAmount]]&gt;80000,Table1[[#This Row],[SalesAmount]]&lt;=120000),"H2",
IF(AND(Table1[[#This Row],[SalesAmount]]&gt;50000,Table1[[#This Row],[SalesAmount]]&lt;=80000),"H3",
IF(AND(Table1[[#This Row],[SalesAmount]]&gt;0,Table1[[#This Row],[SalesAmount]]&lt;=50000),"H4",
"L1"))))</f>
        <v>H4</v>
      </c>
      <c r="K15" s="2" t="s">
        <v>142</v>
      </c>
      <c r="L15" s="11">
        <v>20</v>
      </c>
      <c r="M15" s="2" t="s">
        <v>128</v>
      </c>
      <c r="N15" s="28" t="b">
        <f>AND(Table1[[#This Row],[PaymentMode]]="CASH ON DELIVERY",Table1[[#This Row],[Category]]="ELECTRONICS")</f>
        <v>0</v>
      </c>
      <c r="O15" s="17">
        <v>3</v>
      </c>
      <c r="P15" s="15">
        <f>Table1[[#This Row],[SalesAmount]]-Table1[[#This Row],[cost price'[sp-(sp*discount/100)']]]</f>
        <v>7038.7200000000012</v>
      </c>
    </row>
    <row r="16" spans="1:18" x14ac:dyDescent="0.25">
      <c r="A16" s="16" t="s">
        <v>166</v>
      </c>
      <c r="B16" s="9" t="s">
        <v>167</v>
      </c>
      <c r="C16" s="9" t="s">
        <v>134</v>
      </c>
      <c r="D16" s="2" t="s">
        <v>168</v>
      </c>
      <c r="E16" s="2" t="s">
        <v>126</v>
      </c>
      <c r="F16" s="9">
        <v>5</v>
      </c>
      <c r="G16" s="9">
        <f>Table1[[#This Row],[SalesAmount]]-(Table1[[#This Row],[SalesAmount]]*Table1[[#This Row],[Discount%]]/100)</f>
        <v>400.95</v>
      </c>
      <c r="H16" s="10">
        <v>99</v>
      </c>
      <c r="I16" s="10">
        <v>445.5</v>
      </c>
      <c r="J16" s="10" t="str">
        <f>IF(Table1[[#This Row],[SalesAmount]]&gt;120000,"H1",
IF(AND(Table1[[#This Row],[SalesAmount]]&gt;80000,Table1[[#This Row],[SalesAmount]]&lt;=120000),"H2",
IF(AND(Table1[[#This Row],[SalesAmount]]&gt;50000,Table1[[#This Row],[SalesAmount]]&lt;=80000),"H3",
IF(AND(Table1[[#This Row],[SalesAmount]]&gt;0,Table1[[#This Row],[SalesAmount]]&lt;=50000),"H4",
"L1"))))</f>
        <v>H4</v>
      </c>
      <c r="K16" s="2" t="s">
        <v>142</v>
      </c>
      <c r="L16" s="11">
        <v>10</v>
      </c>
      <c r="M16" s="2" t="s">
        <v>128</v>
      </c>
      <c r="N16" s="28" t="b">
        <f>AND(Table1[[#This Row],[PaymentMode]]="CASH ON DELIVERY",Table1[[#This Row],[Category]]="ELECTRONICS")</f>
        <v>0</v>
      </c>
      <c r="O16" s="17">
        <v>3</v>
      </c>
      <c r="P16" s="15">
        <f>Table1[[#This Row],[SalesAmount]]-Table1[[#This Row],[cost price'[sp-(sp*discount/100)']]]</f>
        <v>44.550000000000011</v>
      </c>
    </row>
    <row r="17" spans="1:16" x14ac:dyDescent="0.25">
      <c r="A17" s="16" t="s">
        <v>169</v>
      </c>
      <c r="B17" s="9" t="s">
        <v>170</v>
      </c>
      <c r="C17" s="9" t="s">
        <v>124</v>
      </c>
      <c r="D17" s="2" t="s">
        <v>135</v>
      </c>
      <c r="E17" s="2" t="s">
        <v>136</v>
      </c>
      <c r="F17" s="9">
        <v>8</v>
      </c>
      <c r="G17" s="9">
        <f>Table1[[#This Row],[SalesAmount]]-(Table1[[#This Row],[SalesAmount]]*Table1[[#This Row],[Discount%]]/100)</f>
        <v>10448</v>
      </c>
      <c r="H17" s="10">
        <v>5499</v>
      </c>
      <c r="I17" s="10">
        <v>10448</v>
      </c>
      <c r="J17" s="10" t="str">
        <f>IF(Table1[[#This Row],[SalesAmount]]&gt;120000,"H1",
IF(AND(Table1[[#This Row],[SalesAmount]]&gt;80000,Table1[[#This Row],[SalesAmount]]&lt;=120000),"H2",
IF(AND(Table1[[#This Row],[SalesAmount]]&gt;50000,Table1[[#This Row],[SalesAmount]]&lt;=80000),"H3",
IF(AND(Table1[[#This Row],[SalesAmount]]&gt;0,Table1[[#This Row],[SalesAmount]]&lt;=50000),"H4",
"L1"))))</f>
        <v>H4</v>
      </c>
      <c r="K17" s="2" t="s">
        <v>159</v>
      </c>
      <c r="L17" s="11">
        <v>0</v>
      </c>
      <c r="M17" s="2" t="s">
        <v>128</v>
      </c>
      <c r="N17" s="28" t="b">
        <f>AND(Table1[[#This Row],[PaymentMode]]="CASH ON DELIVERY",Table1[[#This Row],[Category]]="ELECTRONICS")</f>
        <v>0</v>
      </c>
      <c r="O17" s="17">
        <v>5</v>
      </c>
      <c r="P17" s="15">
        <f>Table1[[#This Row],[SalesAmount]]-Table1[[#This Row],[cost price'[sp-(sp*discount/100)']]]</f>
        <v>0</v>
      </c>
    </row>
    <row r="18" spans="1:16" ht="25.5" x14ac:dyDescent="0.25">
      <c r="A18" s="16" t="s">
        <v>171</v>
      </c>
      <c r="B18" s="9" t="s">
        <v>172</v>
      </c>
      <c r="C18" s="9" t="s">
        <v>134</v>
      </c>
      <c r="D18" s="2" t="s">
        <v>173</v>
      </c>
      <c r="E18" s="2" t="s">
        <v>136</v>
      </c>
      <c r="F18" s="9">
        <v>2</v>
      </c>
      <c r="G18" s="9">
        <f>Table1[[#This Row],[SalesAmount]]-(Table1[[#This Row],[SalesAmount]]*Table1[[#This Row],[Discount%]]/100)</f>
        <v>12958.380000000001</v>
      </c>
      <c r="H18" s="10">
        <v>7999</v>
      </c>
      <c r="I18" s="10">
        <v>14398.2</v>
      </c>
      <c r="J18" s="10" t="str">
        <f>IF(Table1[[#This Row],[SalesAmount]]&gt;120000,"H1",
IF(AND(Table1[[#This Row],[SalesAmount]]&gt;80000,Table1[[#This Row],[SalesAmount]]&lt;=120000),"H2",
IF(AND(Table1[[#This Row],[SalesAmount]]&gt;50000,Table1[[#This Row],[SalesAmount]]&lt;=80000),"H3",
IF(AND(Table1[[#This Row],[SalesAmount]]&gt;0,Table1[[#This Row],[SalesAmount]]&lt;=50000),"H4",
"L1"))))</f>
        <v>H4</v>
      </c>
      <c r="K18" s="2" t="s">
        <v>159</v>
      </c>
      <c r="L18" s="11">
        <v>10</v>
      </c>
      <c r="M18" s="2" t="s">
        <v>143</v>
      </c>
      <c r="N18" s="28" t="b">
        <f>AND(Table1[[#This Row],[PaymentMode]]="CASH ON DELIVERY",Table1[[#This Row],[Category]]="ELECTRONICS")</f>
        <v>0</v>
      </c>
      <c r="O18" s="17">
        <v>2</v>
      </c>
      <c r="P18" s="15">
        <f>Table1[[#This Row],[SalesAmount]]-Table1[[#This Row],[cost price'[sp-(sp*discount/100)']]]</f>
        <v>1439.8199999999997</v>
      </c>
    </row>
    <row r="19" spans="1:16" ht="25.5" x14ac:dyDescent="0.25">
      <c r="A19" s="16" t="s">
        <v>174</v>
      </c>
      <c r="B19" s="9" t="s">
        <v>175</v>
      </c>
      <c r="C19" s="9" t="s">
        <v>154</v>
      </c>
      <c r="D19" s="2" t="s">
        <v>125</v>
      </c>
      <c r="E19" s="2" t="s">
        <v>126</v>
      </c>
      <c r="F19" s="9">
        <v>2</v>
      </c>
      <c r="G19" s="9">
        <f>Table1[[#This Row],[SalesAmount]]-(Table1[[#This Row],[SalesAmount]]*Table1[[#This Row],[Discount%]]/100)</f>
        <v>178.69499999999999</v>
      </c>
      <c r="H19" s="10">
        <v>99</v>
      </c>
      <c r="I19" s="10">
        <v>188.1</v>
      </c>
      <c r="J19" s="10" t="str">
        <f>IF(Table1[[#This Row],[SalesAmount]]&gt;120000,"H1",
IF(AND(Table1[[#This Row],[SalesAmount]]&gt;80000,Table1[[#This Row],[SalesAmount]]&lt;=120000),"H2",
IF(AND(Table1[[#This Row],[SalesAmount]]&gt;50000,Table1[[#This Row],[SalesAmount]]&lt;=80000),"H3",
IF(AND(Table1[[#This Row],[SalesAmount]]&gt;0,Table1[[#This Row],[SalesAmount]]&lt;=50000),"H4",
"L1"))))</f>
        <v>H4</v>
      </c>
      <c r="K19" s="2" t="s">
        <v>127</v>
      </c>
      <c r="L19" s="11">
        <v>5</v>
      </c>
      <c r="M19" s="2" t="s">
        <v>143</v>
      </c>
      <c r="N19" s="28" t="b">
        <f>AND(Table1[[#This Row],[PaymentMode]]="CASH ON DELIVERY",Table1[[#This Row],[Category]]="ELECTRONICS")</f>
        <v>0</v>
      </c>
      <c r="O19" s="17">
        <v>5</v>
      </c>
      <c r="P19" s="15">
        <f>Table1[[#This Row],[SalesAmount]]-Table1[[#This Row],[cost price'[sp-(sp*discount/100)']]]</f>
        <v>9.4050000000000011</v>
      </c>
    </row>
    <row r="20" spans="1:16" ht="25.5" x14ac:dyDescent="0.25">
      <c r="A20" s="16" t="s">
        <v>176</v>
      </c>
      <c r="B20" s="9" t="s">
        <v>177</v>
      </c>
      <c r="C20" s="9" t="s">
        <v>124</v>
      </c>
      <c r="D20" s="2" t="s">
        <v>162</v>
      </c>
      <c r="E20" s="2" t="s">
        <v>136</v>
      </c>
      <c r="F20" s="9">
        <v>8</v>
      </c>
      <c r="G20" s="9">
        <f>Table1[[#This Row],[SalesAmount]]-(Table1[[#This Row],[SalesAmount]]*Table1[[#This Row],[Discount%]]/100)</f>
        <v>5697.92</v>
      </c>
      <c r="H20" s="10">
        <v>5499</v>
      </c>
      <c r="I20" s="10">
        <v>7122.4</v>
      </c>
      <c r="J20" s="10" t="str">
        <f>IF(Table1[[#This Row],[SalesAmount]]&gt;120000,"H1",
IF(AND(Table1[[#This Row],[SalesAmount]]&gt;80000,Table1[[#This Row],[SalesAmount]]&lt;=120000),"H2",
IF(AND(Table1[[#This Row],[SalesAmount]]&gt;50000,Table1[[#This Row],[SalesAmount]]&lt;=80000),"H3",
IF(AND(Table1[[#This Row],[SalesAmount]]&gt;0,Table1[[#This Row],[SalesAmount]]&lt;=50000),"H4",
"L1"))))</f>
        <v>H4</v>
      </c>
      <c r="K20" s="2" t="s">
        <v>159</v>
      </c>
      <c r="L20" s="11">
        <v>20</v>
      </c>
      <c r="M20" s="2" t="s">
        <v>149</v>
      </c>
      <c r="N20" s="28" t="b">
        <f>AND(Table1[[#This Row],[PaymentMode]]="CASH ON DELIVERY",Table1[[#This Row],[Category]]="ELECTRONICS")</f>
        <v>0</v>
      </c>
      <c r="O20" s="17">
        <v>4</v>
      </c>
      <c r="P20" s="15">
        <f>Table1[[#This Row],[SalesAmount]]-Table1[[#This Row],[cost price'[sp-(sp*discount/100)']]]</f>
        <v>1424.4799999999996</v>
      </c>
    </row>
    <row r="21" spans="1:16" ht="25.5" x14ac:dyDescent="0.25">
      <c r="A21" s="16" t="s">
        <v>178</v>
      </c>
      <c r="B21" s="9" t="s">
        <v>179</v>
      </c>
      <c r="C21" s="9" t="s">
        <v>131</v>
      </c>
      <c r="D21" s="2" t="s">
        <v>152</v>
      </c>
      <c r="E21" s="2" t="s">
        <v>141</v>
      </c>
      <c r="F21" s="9">
        <v>4</v>
      </c>
      <c r="G21" s="9">
        <f>Table1[[#This Row],[SalesAmount]]-(Table1[[#This Row],[SalesAmount]]*Table1[[#This Row],[Discount%]]/100)</f>
        <v>46926.39</v>
      </c>
      <c r="H21" s="10">
        <v>12999</v>
      </c>
      <c r="I21" s="10">
        <v>49396.2</v>
      </c>
      <c r="J21" s="10" t="str">
        <f>IF(Table1[[#This Row],[SalesAmount]]&gt;120000,"H1",
IF(AND(Table1[[#This Row],[SalesAmount]]&gt;80000,Table1[[#This Row],[SalesAmount]]&lt;=120000),"H2",
IF(AND(Table1[[#This Row],[SalesAmount]]&gt;50000,Table1[[#This Row],[SalesAmount]]&lt;=80000),"H3",
IF(AND(Table1[[#This Row],[SalesAmount]]&gt;0,Table1[[#This Row],[SalesAmount]]&lt;=50000),"H4",
"L1"))))</f>
        <v>H4</v>
      </c>
      <c r="K21" s="2" t="s">
        <v>159</v>
      </c>
      <c r="L21" s="11">
        <v>5</v>
      </c>
      <c r="M21" s="2" t="s">
        <v>143</v>
      </c>
      <c r="N21" s="28" t="b">
        <f>AND(Table1[[#This Row],[PaymentMode]]="CASH ON DELIVERY",Table1[[#This Row],[Category]]="ELECTRONICS")</f>
        <v>0</v>
      </c>
      <c r="O21" s="17">
        <v>5</v>
      </c>
      <c r="P21" s="15">
        <f>Table1[[#This Row],[SalesAmount]]-Table1[[#This Row],[cost price'[sp-(sp*discount/100)']]]</f>
        <v>2469.8099999999977</v>
      </c>
    </row>
    <row r="22" spans="1:16" ht="25.5" x14ac:dyDescent="0.25">
      <c r="A22" s="16" t="s">
        <v>180</v>
      </c>
      <c r="B22" s="9" t="s">
        <v>181</v>
      </c>
      <c r="C22" s="9" t="s">
        <v>131</v>
      </c>
      <c r="D22" s="2" t="s">
        <v>182</v>
      </c>
      <c r="E22" s="2" t="s">
        <v>141</v>
      </c>
      <c r="F22" s="9">
        <v>2</v>
      </c>
      <c r="G22" s="9">
        <f>Table1[[#This Row],[SalesAmount]]-(Table1[[#This Row],[SalesAmount]]*Table1[[#This Row],[Discount%]]/100)</f>
        <v>4510.6950000000006</v>
      </c>
      <c r="H22" s="10">
        <v>2499</v>
      </c>
      <c r="I22" s="10">
        <v>4748.1000000000004</v>
      </c>
      <c r="J22" s="10" t="str">
        <f>IF(Table1[[#This Row],[SalesAmount]]&gt;120000,"H1",
IF(AND(Table1[[#This Row],[SalesAmount]]&gt;80000,Table1[[#This Row],[SalesAmount]]&lt;=120000),"H2",
IF(AND(Table1[[#This Row],[SalesAmount]]&gt;50000,Table1[[#This Row],[SalesAmount]]&lt;=80000),"H3",
IF(AND(Table1[[#This Row],[SalesAmount]]&gt;0,Table1[[#This Row],[SalesAmount]]&lt;=50000),"H4",
"L1"))))</f>
        <v>H4</v>
      </c>
      <c r="K22" s="2" t="s">
        <v>127</v>
      </c>
      <c r="L22" s="11">
        <v>5</v>
      </c>
      <c r="M22" s="2" t="s">
        <v>149</v>
      </c>
      <c r="N22" s="28" t="b">
        <f>AND(Table1[[#This Row],[PaymentMode]]="CASH ON DELIVERY",Table1[[#This Row],[Category]]="ELECTRONICS")</f>
        <v>0</v>
      </c>
      <c r="O22" s="17">
        <v>2</v>
      </c>
      <c r="P22" s="15">
        <f>Table1[[#This Row],[SalesAmount]]-Table1[[#This Row],[cost price'[sp-(sp*discount/100)']]]</f>
        <v>237.40499999999975</v>
      </c>
    </row>
    <row r="23" spans="1:16" ht="25.5" x14ac:dyDescent="0.25">
      <c r="A23" s="16" t="s">
        <v>183</v>
      </c>
      <c r="B23" s="9" t="s">
        <v>184</v>
      </c>
      <c r="C23" s="9" t="s">
        <v>124</v>
      </c>
      <c r="D23" s="2" t="s">
        <v>168</v>
      </c>
      <c r="E23" s="2" t="s">
        <v>126</v>
      </c>
      <c r="F23" s="9">
        <v>8</v>
      </c>
      <c r="G23" s="9">
        <f>Table1[[#This Row],[SalesAmount]]-(Table1[[#This Row],[SalesAmount]]*Table1[[#This Row],[Discount%]]/100)</f>
        <v>4116.21</v>
      </c>
      <c r="H23" s="10">
        <v>199</v>
      </c>
      <c r="I23" s="10">
        <v>4842.6000000000004</v>
      </c>
      <c r="J23" s="10" t="str">
        <f>IF(Table1[[#This Row],[SalesAmount]]&gt;120000,"H1",
IF(AND(Table1[[#This Row],[SalesAmount]]&gt;80000,Table1[[#This Row],[SalesAmount]]&lt;=120000),"H2",
IF(AND(Table1[[#This Row],[SalesAmount]]&gt;50000,Table1[[#This Row],[SalesAmount]]&lt;=80000),"H3",
IF(AND(Table1[[#This Row],[SalesAmount]]&gt;0,Table1[[#This Row],[SalesAmount]]&lt;=50000),"H4",
"L1"))))</f>
        <v>H4</v>
      </c>
      <c r="K23" s="2" t="s">
        <v>159</v>
      </c>
      <c r="L23" s="11">
        <v>15</v>
      </c>
      <c r="M23" s="2" t="s">
        <v>137</v>
      </c>
      <c r="N23" s="28" t="b">
        <f>AND(Table1[[#This Row],[PaymentMode]]="CASH ON DELIVERY",Table1[[#This Row],[Category]]="ELECTRONICS")</f>
        <v>0</v>
      </c>
      <c r="O23" s="17">
        <v>3</v>
      </c>
      <c r="P23" s="15">
        <f>Table1[[#This Row],[SalesAmount]]-Table1[[#This Row],[cost price'[sp-(sp*discount/100)']]]</f>
        <v>726.39000000000033</v>
      </c>
    </row>
    <row r="24" spans="1:16" ht="25.5" x14ac:dyDescent="0.25">
      <c r="A24" s="16" t="s">
        <v>185</v>
      </c>
      <c r="B24" s="9" t="s">
        <v>186</v>
      </c>
      <c r="C24" s="9" t="s">
        <v>124</v>
      </c>
      <c r="D24" s="2" t="s">
        <v>187</v>
      </c>
      <c r="E24" s="2" t="s">
        <v>126</v>
      </c>
      <c r="F24" s="9">
        <v>7</v>
      </c>
      <c r="G24" s="9">
        <f>Table1[[#This Row],[SalesAmount]]-(Table1[[#This Row],[SalesAmount]]*Table1[[#This Row],[Discount%]]/100)</f>
        <v>2714.56</v>
      </c>
      <c r="H24" s="10">
        <v>349</v>
      </c>
      <c r="I24" s="10">
        <v>3193.6</v>
      </c>
      <c r="J24" s="10" t="str">
        <f>IF(Table1[[#This Row],[SalesAmount]]&gt;120000,"H1",
IF(AND(Table1[[#This Row],[SalesAmount]]&gt;80000,Table1[[#This Row],[SalesAmount]]&lt;=120000),"H2",
IF(AND(Table1[[#This Row],[SalesAmount]]&gt;50000,Table1[[#This Row],[SalesAmount]]&lt;=80000),"H3",
IF(AND(Table1[[#This Row],[SalesAmount]]&gt;0,Table1[[#This Row],[SalesAmount]]&lt;=50000),"H4",
"L1"))))</f>
        <v>H4</v>
      </c>
      <c r="K24" s="2" t="s">
        <v>159</v>
      </c>
      <c r="L24" s="11">
        <v>15</v>
      </c>
      <c r="M24" s="2" t="s">
        <v>143</v>
      </c>
      <c r="N24" s="28" t="b">
        <f>AND(Table1[[#This Row],[PaymentMode]]="CASH ON DELIVERY",Table1[[#This Row],[Category]]="ELECTRONICS")</f>
        <v>0</v>
      </c>
      <c r="O24" s="17">
        <v>5</v>
      </c>
      <c r="P24" s="15">
        <f>Table1[[#This Row],[SalesAmount]]-Table1[[#This Row],[cost price'[sp-(sp*discount/100)']]]</f>
        <v>479.03999999999996</v>
      </c>
    </row>
    <row r="25" spans="1:16" x14ac:dyDescent="0.25">
      <c r="A25" s="16" t="s">
        <v>188</v>
      </c>
      <c r="B25" s="9" t="s">
        <v>189</v>
      </c>
      <c r="C25" s="9" t="s">
        <v>131</v>
      </c>
      <c r="D25" s="2" t="s">
        <v>125</v>
      </c>
      <c r="E25" s="2" t="s">
        <v>126</v>
      </c>
      <c r="F25" s="9">
        <v>6</v>
      </c>
      <c r="G25" s="9">
        <f>Table1[[#This Row],[SalesAmount]]-(Table1[[#This Row],[SalesAmount]]*Table1[[#This Row],[Discount%]]/100)</f>
        <v>2163.165</v>
      </c>
      <c r="H25" s="10">
        <v>499</v>
      </c>
      <c r="I25" s="10">
        <v>2544.9</v>
      </c>
      <c r="J25" s="10" t="str">
        <f>IF(Table1[[#This Row],[SalesAmount]]&gt;120000,"H1",
IF(AND(Table1[[#This Row],[SalesAmount]]&gt;80000,Table1[[#This Row],[SalesAmount]]&lt;=120000),"H2",
IF(AND(Table1[[#This Row],[SalesAmount]]&gt;50000,Table1[[#This Row],[SalesAmount]]&lt;=80000),"H3",
IF(AND(Table1[[#This Row],[SalesAmount]]&gt;0,Table1[[#This Row],[SalesAmount]]&lt;=50000),"H4",
"L1"))))</f>
        <v>H4</v>
      </c>
      <c r="K25" s="2" t="s">
        <v>127</v>
      </c>
      <c r="L25" s="11">
        <v>15</v>
      </c>
      <c r="M25" s="2" t="s">
        <v>128</v>
      </c>
      <c r="N25" s="28" t="b">
        <f>AND(Table1[[#This Row],[PaymentMode]]="CASH ON DELIVERY",Table1[[#This Row],[Category]]="ELECTRONICS")</f>
        <v>0</v>
      </c>
      <c r="O25" s="17">
        <v>2</v>
      </c>
      <c r="P25" s="15">
        <f>Table1[[#This Row],[SalesAmount]]-Table1[[#This Row],[cost price'[sp-(sp*discount/100)']]]</f>
        <v>381.73500000000013</v>
      </c>
    </row>
    <row r="26" spans="1:16" ht="25.5" x14ac:dyDescent="0.25">
      <c r="A26" s="16" t="s">
        <v>190</v>
      </c>
      <c r="B26" s="9" t="s">
        <v>191</v>
      </c>
      <c r="C26" s="9" t="s">
        <v>124</v>
      </c>
      <c r="D26" s="2" t="s">
        <v>158</v>
      </c>
      <c r="E26" s="2" t="s">
        <v>126</v>
      </c>
      <c r="F26" s="9">
        <v>1</v>
      </c>
      <c r="G26" s="9">
        <f>Table1[[#This Row],[SalesAmount]]-(Table1[[#This Row],[SalesAmount]]*Table1[[#This Row],[Discount%]]/100)</f>
        <v>1765.0250000000001</v>
      </c>
      <c r="H26" s="10">
        <v>99</v>
      </c>
      <c r="I26" s="10">
        <v>2076.5</v>
      </c>
      <c r="J26" s="10" t="str">
        <f>IF(Table1[[#This Row],[SalesAmount]]&gt;120000,"H1",
IF(AND(Table1[[#This Row],[SalesAmount]]&gt;80000,Table1[[#This Row],[SalesAmount]]&lt;=120000),"H2",
IF(AND(Table1[[#This Row],[SalesAmount]]&gt;50000,Table1[[#This Row],[SalesAmount]]&lt;=80000),"H3",
IF(AND(Table1[[#This Row],[SalesAmount]]&gt;0,Table1[[#This Row],[SalesAmount]]&lt;=50000),"H4",
"L1"))))</f>
        <v>H4</v>
      </c>
      <c r="K26" s="2" t="s">
        <v>127</v>
      </c>
      <c r="L26" s="11">
        <v>15</v>
      </c>
      <c r="M26" s="2" t="s">
        <v>149</v>
      </c>
      <c r="N26" s="28" t="b">
        <f>AND(Table1[[#This Row],[PaymentMode]]="CASH ON DELIVERY",Table1[[#This Row],[Category]]="ELECTRONICS")</f>
        <v>0</v>
      </c>
      <c r="O26" s="17">
        <v>2</v>
      </c>
      <c r="P26" s="15">
        <f>Table1[[#This Row],[SalesAmount]]-Table1[[#This Row],[cost price'[sp-(sp*discount/100)']]]</f>
        <v>311.47499999999991</v>
      </c>
    </row>
    <row r="27" spans="1:16" ht="25.5" x14ac:dyDescent="0.25">
      <c r="A27" s="16" t="s">
        <v>192</v>
      </c>
      <c r="B27" s="9" t="s">
        <v>193</v>
      </c>
      <c r="C27" s="9" t="s">
        <v>124</v>
      </c>
      <c r="D27" s="2" t="s">
        <v>146</v>
      </c>
      <c r="E27" s="2" t="s">
        <v>136</v>
      </c>
      <c r="F27" s="9">
        <v>2</v>
      </c>
      <c r="G27" s="9">
        <f>Table1[[#This Row],[SalesAmount]]-(Table1[[#This Row],[SalesAmount]]*Table1[[#This Row],[Discount%]]/100)</f>
        <v>1285.54</v>
      </c>
      <c r="H27" s="10">
        <v>5499</v>
      </c>
      <c r="I27" s="10">
        <v>1353.2</v>
      </c>
      <c r="J27" s="10" t="str">
        <f>IF(Table1[[#This Row],[SalesAmount]]&gt;120000,"H1",
IF(AND(Table1[[#This Row],[SalesAmount]]&gt;80000,Table1[[#This Row],[SalesAmount]]&lt;=120000),"H2",
IF(AND(Table1[[#This Row],[SalesAmount]]&gt;50000,Table1[[#This Row],[SalesAmount]]&lt;=80000),"H3",
IF(AND(Table1[[#This Row],[SalesAmount]]&gt;0,Table1[[#This Row],[SalesAmount]]&lt;=50000),"H4",
"L1"))))</f>
        <v>H4</v>
      </c>
      <c r="K27" s="2" t="s">
        <v>142</v>
      </c>
      <c r="L27" s="11">
        <v>5</v>
      </c>
      <c r="M27" s="2" t="s">
        <v>137</v>
      </c>
      <c r="N27" s="28" t="b">
        <f>AND(Table1[[#This Row],[PaymentMode]]="CASH ON DELIVERY",Table1[[#This Row],[Category]]="ELECTRONICS")</f>
        <v>0</v>
      </c>
      <c r="O27" s="17">
        <v>3</v>
      </c>
      <c r="P27" s="15">
        <f>Table1[[#This Row],[SalesAmount]]-Table1[[#This Row],[cost price'[sp-(sp*discount/100)']]]</f>
        <v>67.660000000000082</v>
      </c>
    </row>
    <row r="28" spans="1:16" ht="25.5" x14ac:dyDescent="0.25">
      <c r="A28" s="16" t="s">
        <v>194</v>
      </c>
      <c r="B28" s="9" t="s">
        <v>195</v>
      </c>
      <c r="C28" s="9" t="s">
        <v>124</v>
      </c>
      <c r="D28" s="2" t="s">
        <v>135</v>
      </c>
      <c r="E28" s="2" t="s">
        <v>136</v>
      </c>
      <c r="F28" s="9">
        <v>3</v>
      </c>
      <c r="G28" s="9">
        <f>Table1[[#This Row],[SalesAmount]]-(Table1[[#This Row],[SalesAmount]]*Table1[[#This Row],[Discount%]]/100)</f>
        <v>270.64</v>
      </c>
      <c r="H28" s="10">
        <v>1899</v>
      </c>
      <c r="I28" s="10">
        <v>318.39999999999998</v>
      </c>
      <c r="J28" s="10" t="str">
        <f>IF(Table1[[#This Row],[SalesAmount]]&gt;120000,"H1",
IF(AND(Table1[[#This Row],[SalesAmount]]&gt;80000,Table1[[#This Row],[SalesAmount]]&lt;=120000),"H2",
IF(AND(Table1[[#This Row],[SalesAmount]]&gt;50000,Table1[[#This Row],[SalesAmount]]&lt;=80000),"H3",
IF(AND(Table1[[#This Row],[SalesAmount]]&gt;0,Table1[[#This Row],[SalesAmount]]&lt;=50000),"H4",
"L1"))))</f>
        <v>H4</v>
      </c>
      <c r="K28" s="2" t="s">
        <v>142</v>
      </c>
      <c r="L28" s="11">
        <v>15</v>
      </c>
      <c r="M28" s="2" t="s">
        <v>137</v>
      </c>
      <c r="N28" s="28" t="b">
        <f>AND(Table1[[#This Row],[PaymentMode]]="CASH ON DELIVERY",Table1[[#This Row],[Category]]="ELECTRONICS")</f>
        <v>0</v>
      </c>
      <c r="O28" s="17">
        <v>3</v>
      </c>
      <c r="P28" s="15">
        <f>Table1[[#This Row],[SalesAmount]]-Table1[[#This Row],[cost price'[sp-(sp*discount/100)']]]</f>
        <v>47.759999999999991</v>
      </c>
    </row>
    <row r="29" spans="1:16" ht="25.5" x14ac:dyDescent="0.25">
      <c r="A29" s="16" t="s">
        <v>196</v>
      </c>
      <c r="B29" s="9" t="s">
        <v>197</v>
      </c>
      <c r="C29" s="9" t="s">
        <v>134</v>
      </c>
      <c r="D29" s="2" t="s">
        <v>155</v>
      </c>
      <c r="E29" s="2" t="s">
        <v>141</v>
      </c>
      <c r="F29" s="9">
        <v>2</v>
      </c>
      <c r="G29" s="9">
        <f>Table1[[#This Row],[SalesAmount]]-(Table1[[#This Row],[SalesAmount]]*Table1[[#This Row],[Discount%]]/100)</f>
        <v>12958.380000000001</v>
      </c>
      <c r="H29" s="10">
        <v>7999</v>
      </c>
      <c r="I29" s="10">
        <v>14398.2</v>
      </c>
      <c r="J29" s="10" t="str">
        <f>IF(Table1[[#This Row],[SalesAmount]]&gt;120000,"H1",
IF(AND(Table1[[#This Row],[SalesAmount]]&gt;80000,Table1[[#This Row],[SalesAmount]]&lt;=120000),"H2",
IF(AND(Table1[[#This Row],[SalesAmount]]&gt;50000,Table1[[#This Row],[SalesAmount]]&lt;=80000),"H3",
IF(AND(Table1[[#This Row],[SalesAmount]]&gt;0,Table1[[#This Row],[SalesAmount]]&lt;=50000),"H4",
"L1"))))</f>
        <v>H4</v>
      </c>
      <c r="K29" s="2" t="s">
        <v>142</v>
      </c>
      <c r="L29" s="11">
        <v>10</v>
      </c>
      <c r="M29" s="2" t="s">
        <v>137</v>
      </c>
      <c r="N29" s="28" t="b">
        <f>AND(Table1[[#This Row],[PaymentMode]]="CASH ON DELIVERY",Table1[[#This Row],[Category]]="ELECTRONICS")</f>
        <v>1</v>
      </c>
      <c r="O29" s="17">
        <v>2</v>
      </c>
      <c r="P29" s="15">
        <f>Table1[[#This Row],[SalesAmount]]-Table1[[#This Row],[cost price'[sp-(sp*discount/100)']]]</f>
        <v>1439.8199999999997</v>
      </c>
    </row>
    <row r="30" spans="1:16" x14ac:dyDescent="0.25">
      <c r="A30" s="16" t="s">
        <v>198</v>
      </c>
      <c r="B30" s="9" t="s">
        <v>199</v>
      </c>
      <c r="C30" s="9" t="s">
        <v>131</v>
      </c>
      <c r="D30" s="2" t="s">
        <v>125</v>
      </c>
      <c r="E30" s="2" t="s">
        <v>126</v>
      </c>
      <c r="F30" s="9">
        <v>2</v>
      </c>
      <c r="G30" s="9">
        <f>Table1[[#This Row],[SalesAmount]]-(Table1[[#This Row],[SalesAmount]]*Table1[[#This Row],[Discount%]]/100)</f>
        <v>322.38</v>
      </c>
      <c r="H30" s="10">
        <v>199</v>
      </c>
      <c r="I30" s="10">
        <v>358.2</v>
      </c>
      <c r="J30" s="10" t="str">
        <f>IF(Table1[[#This Row],[SalesAmount]]&gt;120000,"H1",
IF(AND(Table1[[#This Row],[SalesAmount]]&gt;80000,Table1[[#This Row],[SalesAmount]]&lt;=120000),"H2",
IF(AND(Table1[[#This Row],[SalesAmount]]&gt;50000,Table1[[#This Row],[SalesAmount]]&lt;=80000),"H3",
IF(AND(Table1[[#This Row],[SalesAmount]]&gt;0,Table1[[#This Row],[SalesAmount]]&lt;=50000),"H4",
"L1"))))</f>
        <v>H4</v>
      </c>
      <c r="K30" s="2" t="s">
        <v>127</v>
      </c>
      <c r="L30" s="11">
        <v>10</v>
      </c>
      <c r="M30" s="2" t="s">
        <v>128</v>
      </c>
      <c r="N30" s="28" t="b">
        <f>AND(Table1[[#This Row],[PaymentMode]]="CASH ON DELIVERY",Table1[[#This Row],[Category]]="ELECTRONICS")</f>
        <v>0</v>
      </c>
      <c r="O30" s="17">
        <v>3</v>
      </c>
      <c r="P30" s="15">
        <f>Table1[[#This Row],[SalesAmount]]-Table1[[#This Row],[cost price'[sp-(sp*discount/100)']]]</f>
        <v>35.819999999999993</v>
      </c>
    </row>
    <row r="31" spans="1:16" x14ac:dyDescent="0.25">
      <c r="A31" s="16" t="s">
        <v>200</v>
      </c>
      <c r="B31" s="9" t="s">
        <v>201</v>
      </c>
      <c r="C31" s="9" t="s">
        <v>154</v>
      </c>
      <c r="D31" s="2" t="s">
        <v>135</v>
      </c>
      <c r="E31" s="2" t="s">
        <v>136</v>
      </c>
      <c r="F31" s="9">
        <v>8</v>
      </c>
      <c r="G31" s="9">
        <f>Table1[[#This Row],[SalesAmount]]-(Table1[[#This Row],[SalesAmount]]*Table1[[#This Row],[Discount%]]/100)</f>
        <v>84233.52</v>
      </c>
      <c r="H31" s="10">
        <v>12999</v>
      </c>
      <c r="I31" s="10">
        <v>93592.8</v>
      </c>
      <c r="J31" s="10" t="str">
        <f>IF(Table1[[#This Row],[SalesAmount]]&gt;120000,"H1",
IF(AND(Table1[[#This Row],[SalesAmount]]&gt;80000,Table1[[#This Row],[SalesAmount]]&lt;=120000),"H2",
IF(AND(Table1[[#This Row],[SalesAmount]]&gt;50000,Table1[[#This Row],[SalesAmount]]&lt;=80000),"H3",
IF(AND(Table1[[#This Row],[SalesAmount]]&gt;0,Table1[[#This Row],[SalesAmount]]&lt;=50000),"H4",
"L1"))))</f>
        <v>H2</v>
      </c>
      <c r="K31" s="2" t="s">
        <v>142</v>
      </c>
      <c r="L31" s="11">
        <v>10</v>
      </c>
      <c r="M31" s="2" t="s">
        <v>128</v>
      </c>
      <c r="N31" s="28" t="b">
        <f>AND(Table1[[#This Row],[PaymentMode]]="CASH ON DELIVERY",Table1[[#This Row],[Category]]="ELECTRONICS")</f>
        <v>0</v>
      </c>
      <c r="O31" s="17">
        <v>2</v>
      </c>
      <c r="P31" s="15">
        <f>Table1[[#This Row],[SalesAmount]]-Table1[[#This Row],[cost price'[sp-(sp*discount/100)']]]</f>
        <v>9359.2799999999988</v>
      </c>
    </row>
    <row r="32" spans="1:16" x14ac:dyDescent="0.25">
      <c r="A32" s="16" t="s">
        <v>202</v>
      </c>
      <c r="B32" s="9" t="s">
        <v>203</v>
      </c>
      <c r="C32" s="9" t="s">
        <v>131</v>
      </c>
      <c r="D32" s="2" t="s">
        <v>204</v>
      </c>
      <c r="E32" s="2" t="s">
        <v>141</v>
      </c>
      <c r="F32" s="9">
        <v>2</v>
      </c>
      <c r="G32" s="9">
        <f>Table1[[#This Row],[SalesAmount]]-(Table1[[#This Row],[SalesAmount]]*Table1[[#This Row],[Discount%]]/100)</f>
        <v>11518.72</v>
      </c>
      <c r="H32" s="10">
        <v>8999</v>
      </c>
      <c r="I32" s="10">
        <v>14398.4</v>
      </c>
      <c r="J32" s="10" t="str">
        <f>IF(Table1[[#This Row],[SalesAmount]]&gt;120000,"H1",
IF(AND(Table1[[#This Row],[SalesAmount]]&gt;80000,Table1[[#This Row],[SalesAmount]]&lt;=120000),"H2",
IF(AND(Table1[[#This Row],[SalesAmount]]&gt;50000,Table1[[#This Row],[SalesAmount]]&lt;=80000),"H3",
IF(AND(Table1[[#This Row],[SalesAmount]]&gt;0,Table1[[#This Row],[SalesAmount]]&lt;=50000),"H4",
"L1"))))</f>
        <v>H4</v>
      </c>
      <c r="K32" s="2" t="s">
        <v>127</v>
      </c>
      <c r="L32" s="11">
        <v>20</v>
      </c>
      <c r="M32" s="2" t="s">
        <v>128</v>
      </c>
      <c r="N32" s="28" t="b">
        <f>AND(Table1[[#This Row],[PaymentMode]]="CASH ON DELIVERY",Table1[[#This Row],[Category]]="ELECTRONICS")</f>
        <v>0</v>
      </c>
      <c r="O32" s="17">
        <v>3</v>
      </c>
      <c r="P32" s="15">
        <f>Table1[[#This Row],[SalesAmount]]-Table1[[#This Row],[cost price'[sp-(sp*discount/100)']]]</f>
        <v>2879.6800000000003</v>
      </c>
    </row>
    <row r="33" spans="1:16" ht="25.5" x14ac:dyDescent="0.25">
      <c r="A33" s="16" t="s">
        <v>205</v>
      </c>
      <c r="B33" s="9" t="s">
        <v>206</v>
      </c>
      <c r="C33" s="9" t="s">
        <v>131</v>
      </c>
      <c r="D33" s="2" t="s">
        <v>207</v>
      </c>
      <c r="E33" s="2" t="s">
        <v>141</v>
      </c>
      <c r="F33" s="9">
        <v>8</v>
      </c>
      <c r="G33" s="9">
        <f>Table1[[#This Row],[SalesAmount]]-(Table1[[#This Row],[SalesAmount]]*Table1[[#This Row],[Discount%]]/100)</f>
        <v>36792</v>
      </c>
      <c r="H33" s="10">
        <v>4599</v>
      </c>
      <c r="I33" s="10">
        <v>36792</v>
      </c>
      <c r="J33" s="10" t="str">
        <f>IF(Table1[[#This Row],[SalesAmount]]&gt;120000,"H1",
IF(AND(Table1[[#This Row],[SalesAmount]]&gt;80000,Table1[[#This Row],[SalesAmount]]&lt;=120000),"H2",
IF(AND(Table1[[#This Row],[SalesAmount]]&gt;50000,Table1[[#This Row],[SalesAmount]]&lt;=80000),"H3",
IF(AND(Table1[[#This Row],[SalesAmount]]&gt;0,Table1[[#This Row],[SalesAmount]]&lt;=50000),"H4",
"L1"))))</f>
        <v>H4</v>
      </c>
      <c r="K33" s="2" t="s">
        <v>127</v>
      </c>
      <c r="L33" s="11">
        <v>0</v>
      </c>
      <c r="M33" s="2" t="s">
        <v>137</v>
      </c>
      <c r="N33" s="28" t="b">
        <f>AND(Table1[[#This Row],[PaymentMode]]="CASH ON DELIVERY",Table1[[#This Row],[Category]]="ELECTRONICS")</f>
        <v>1</v>
      </c>
      <c r="O33" s="17">
        <v>2</v>
      </c>
      <c r="P33" s="15">
        <f>Table1[[#This Row],[SalesAmount]]-Table1[[#This Row],[cost price'[sp-(sp*discount/100)']]]</f>
        <v>0</v>
      </c>
    </row>
    <row r="34" spans="1:16" ht="25.5" x14ac:dyDescent="0.25">
      <c r="A34" s="16" t="s">
        <v>208</v>
      </c>
      <c r="B34" s="9" t="s">
        <v>209</v>
      </c>
      <c r="C34" s="9" t="s">
        <v>134</v>
      </c>
      <c r="D34" s="2" t="s">
        <v>207</v>
      </c>
      <c r="E34" s="2" t="s">
        <v>141</v>
      </c>
      <c r="F34" s="9">
        <v>5</v>
      </c>
      <c r="G34" s="9">
        <f>Table1[[#This Row],[SalesAmount]]-(Table1[[#This Row],[SalesAmount]]*Table1[[#This Row],[Discount%]]/100)</f>
        <v>14170.95</v>
      </c>
      <c r="H34" s="10">
        <v>3499</v>
      </c>
      <c r="I34" s="10">
        <v>15745.5</v>
      </c>
      <c r="J34" s="10" t="str">
        <f>IF(Table1[[#This Row],[SalesAmount]]&gt;120000,"H1",
IF(AND(Table1[[#This Row],[SalesAmount]]&gt;80000,Table1[[#This Row],[SalesAmount]]&lt;=120000),"H2",
IF(AND(Table1[[#This Row],[SalesAmount]]&gt;50000,Table1[[#This Row],[SalesAmount]]&lt;=80000),"H3",
IF(AND(Table1[[#This Row],[SalesAmount]]&gt;0,Table1[[#This Row],[SalesAmount]]&lt;=50000),"H4",
"L1"))))</f>
        <v>H4</v>
      </c>
      <c r="K34" s="2" t="s">
        <v>159</v>
      </c>
      <c r="L34" s="11">
        <v>10</v>
      </c>
      <c r="M34" s="2" t="s">
        <v>137</v>
      </c>
      <c r="N34" s="28" t="b">
        <f>AND(Table1[[#This Row],[PaymentMode]]="CASH ON DELIVERY",Table1[[#This Row],[Category]]="ELECTRONICS")</f>
        <v>1</v>
      </c>
      <c r="O34" s="17">
        <v>3</v>
      </c>
      <c r="P34" s="15">
        <f>Table1[[#This Row],[SalesAmount]]-Table1[[#This Row],[cost price'[sp-(sp*discount/100)']]]</f>
        <v>1574.5499999999993</v>
      </c>
    </row>
    <row r="35" spans="1:16" ht="25.5" x14ac:dyDescent="0.25">
      <c r="A35" s="16" t="s">
        <v>210</v>
      </c>
      <c r="B35" s="9" t="s">
        <v>167</v>
      </c>
      <c r="C35" s="9" t="s">
        <v>131</v>
      </c>
      <c r="D35" s="2" t="s">
        <v>146</v>
      </c>
      <c r="E35" s="2" t="s">
        <v>136</v>
      </c>
      <c r="F35" s="9">
        <v>5</v>
      </c>
      <c r="G35" s="9">
        <f>Table1[[#This Row],[SalesAmount]]-(Table1[[#This Row],[SalesAmount]]*Table1[[#This Row],[Discount%]]/100)</f>
        <v>64995</v>
      </c>
      <c r="H35" s="10">
        <v>12999</v>
      </c>
      <c r="I35" s="10">
        <v>64995</v>
      </c>
      <c r="J35" s="10" t="str">
        <f>IF(Table1[[#This Row],[SalesAmount]]&gt;120000,"H1",
IF(AND(Table1[[#This Row],[SalesAmount]]&gt;80000,Table1[[#This Row],[SalesAmount]]&lt;=120000),"H2",
IF(AND(Table1[[#This Row],[SalesAmount]]&gt;50000,Table1[[#This Row],[SalesAmount]]&lt;=80000),"H3",
IF(AND(Table1[[#This Row],[SalesAmount]]&gt;0,Table1[[#This Row],[SalesAmount]]&lt;=50000),"H4",
"L1"))))</f>
        <v>H3</v>
      </c>
      <c r="K35" s="2" t="s">
        <v>159</v>
      </c>
      <c r="L35" s="11">
        <v>0</v>
      </c>
      <c r="M35" s="2" t="s">
        <v>143</v>
      </c>
      <c r="N35" s="28" t="b">
        <f>AND(Table1[[#This Row],[PaymentMode]]="CASH ON DELIVERY",Table1[[#This Row],[Category]]="ELECTRONICS")</f>
        <v>0</v>
      </c>
      <c r="O35" s="17">
        <v>2</v>
      </c>
      <c r="P35" s="15">
        <f>Table1[[#This Row],[SalesAmount]]-Table1[[#This Row],[cost price'[sp-(sp*discount/100)']]]</f>
        <v>0</v>
      </c>
    </row>
    <row r="36" spans="1:16" ht="25.5" x14ac:dyDescent="0.25">
      <c r="A36" s="16" t="s">
        <v>211</v>
      </c>
      <c r="B36" s="9" t="s">
        <v>179</v>
      </c>
      <c r="C36" s="9" t="s">
        <v>131</v>
      </c>
      <c r="D36" s="2" t="s">
        <v>182</v>
      </c>
      <c r="E36" s="2" t="s">
        <v>141</v>
      </c>
      <c r="F36" s="9">
        <v>8</v>
      </c>
      <c r="G36" s="9">
        <f>Table1[[#This Row],[SalesAmount]]-(Table1[[#This Row],[SalesAmount]]*Table1[[#This Row],[Discount%]]/100)</f>
        <v>109814.22</v>
      </c>
      <c r="H36" s="10">
        <v>18999</v>
      </c>
      <c r="I36" s="10">
        <v>129193.2</v>
      </c>
      <c r="J36" s="10" t="str">
        <f>IF(Table1[[#This Row],[SalesAmount]]&gt;120000,"H1",
IF(AND(Table1[[#This Row],[SalesAmount]]&gt;80000,Table1[[#This Row],[SalesAmount]]&lt;=120000),"H2",
IF(AND(Table1[[#This Row],[SalesAmount]]&gt;50000,Table1[[#This Row],[SalesAmount]]&lt;=80000),"H3",
IF(AND(Table1[[#This Row],[SalesAmount]]&gt;0,Table1[[#This Row],[SalesAmount]]&lt;=50000),"H4",
"L1"))))</f>
        <v>H1</v>
      </c>
      <c r="K36" s="2" t="s">
        <v>159</v>
      </c>
      <c r="L36" s="11">
        <v>15</v>
      </c>
      <c r="M36" s="2" t="s">
        <v>149</v>
      </c>
      <c r="N36" s="28" t="b">
        <f>AND(Table1[[#This Row],[PaymentMode]]="CASH ON DELIVERY",Table1[[#This Row],[Category]]="ELECTRONICS")</f>
        <v>0</v>
      </c>
      <c r="O36" s="17">
        <v>3</v>
      </c>
      <c r="P36" s="15">
        <f>Table1[[#This Row],[SalesAmount]]-Table1[[#This Row],[cost price'[sp-(sp*discount/100)']]]</f>
        <v>19378.979999999996</v>
      </c>
    </row>
    <row r="37" spans="1:16" x14ac:dyDescent="0.25">
      <c r="A37" s="16" t="s">
        <v>212</v>
      </c>
      <c r="B37" s="9" t="s">
        <v>206</v>
      </c>
      <c r="C37" s="9" t="s">
        <v>131</v>
      </c>
      <c r="D37" s="2" t="s">
        <v>155</v>
      </c>
      <c r="E37" s="2" t="s">
        <v>141</v>
      </c>
      <c r="F37" s="9">
        <v>2</v>
      </c>
      <c r="G37" s="9">
        <f>Table1[[#This Row],[SalesAmount]]-(Table1[[#This Row],[SalesAmount]]*Table1[[#This Row],[Discount%]]/100)</f>
        <v>15998</v>
      </c>
      <c r="H37" s="10">
        <v>7999</v>
      </c>
      <c r="I37" s="10">
        <v>15998</v>
      </c>
      <c r="J37" s="10" t="str">
        <f>IF(Table1[[#This Row],[SalesAmount]]&gt;120000,"H1",
IF(AND(Table1[[#This Row],[SalesAmount]]&gt;80000,Table1[[#This Row],[SalesAmount]]&lt;=120000),"H2",
IF(AND(Table1[[#This Row],[SalesAmount]]&gt;50000,Table1[[#This Row],[SalesAmount]]&lt;=80000),"H3",
IF(AND(Table1[[#This Row],[SalesAmount]]&gt;0,Table1[[#This Row],[SalesAmount]]&lt;=50000),"H4",
"L1"))))</f>
        <v>H4</v>
      </c>
      <c r="K37" s="2" t="s">
        <v>159</v>
      </c>
      <c r="L37" s="11">
        <v>0</v>
      </c>
      <c r="M37" s="2" t="s">
        <v>128</v>
      </c>
      <c r="N37" s="28" t="b">
        <f>AND(Table1[[#This Row],[PaymentMode]]="CASH ON DELIVERY",Table1[[#This Row],[Category]]="ELECTRONICS")</f>
        <v>0</v>
      </c>
      <c r="O37" s="17">
        <v>2</v>
      </c>
      <c r="P37" s="15">
        <f>Table1[[#This Row],[SalesAmount]]-Table1[[#This Row],[cost price'[sp-(sp*discount/100)']]]</f>
        <v>0</v>
      </c>
    </row>
    <row r="38" spans="1:16" x14ac:dyDescent="0.25">
      <c r="A38" s="16" t="s">
        <v>213</v>
      </c>
      <c r="B38" s="9" t="s">
        <v>167</v>
      </c>
      <c r="C38" s="9" t="s">
        <v>154</v>
      </c>
      <c r="D38" s="2" t="s">
        <v>173</v>
      </c>
      <c r="E38" s="2" t="s">
        <v>136</v>
      </c>
      <c r="F38" s="9">
        <v>2</v>
      </c>
      <c r="G38" s="9">
        <f>Table1[[#This Row],[SalesAmount]]-(Table1[[#This Row],[SalesAmount]]*Table1[[#This Row],[Discount%]]/100)</f>
        <v>10238.719999999999</v>
      </c>
      <c r="H38" s="10">
        <v>7999</v>
      </c>
      <c r="I38" s="10">
        <v>12798.4</v>
      </c>
      <c r="J38" s="10" t="str">
        <f>IF(Table1[[#This Row],[SalesAmount]]&gt;120000,"H1",
IF(AND(Table1[[#This Row],[SalesAmount]]&gt;80000,Table1[[#This Row],[SalesAmount]]&lt;=120000),"H2",
IF(AND(Table1[[#This Row],[SalesAmount]]&gt;50000,Table1[[#This Row],[SalesAmount]]&lt;=80000),"H3",
IF(AND(Table1[[#This Row],[SalesAmount]]&gt;0,Table1[[#This Row],[SalesAmount]]&lt;=50000),"H4",
"L1"))))</f>
        <v>H4</v>
      </c>
      <c r="K38" s="2" t="s">
        <v>142</v>
      </c>
      <c r="L38" s="11">
        <v>20</v>
      </c>
      <c r="M38" s="2" t="s">
        <v>128</v>
      </c>
      <c r="N38" s="28" t="b">
        <f>AND(Table1[[#This Row],[PaymentMode]]="CASH ON DELIVERY",Table1[[#This Row],[Category]]="ELECTRONICS")</f>
        <v>0</v>
      </c>
      <c r="O38" s="17">
        <v>4</v>
      </c>
      <c r="P38" s="15">
        <f>Table1[[#This Row],[SalesAmount]]-Table1[[#This Row],[cost price'[sp-(sp*discount/100)']]]</f>
        <v>2559.6800000000003</v>
      </c>
    </row>
    <row r="39" spans="1:16" ht="25.5" x14ac:dyDescent="0.25">
      <c r="A39" s="16" t="s">
        <v>214</v>
      </c>
      <c r="B39" s="9" t="s">
        <v>215</v>
      </c>
      <c r="C39" s="9" t="s">
        <v>154</v>
      </c>
      <c r="D39" s="2" t="s">
        <v>146</v>
      </c>
      <c r="E39" s="2" t="s">
        <v>136</v>
      </c>
      <c r="F39" s="9">
        <v>5</v>
      </c>
      <c r="G39" s="9">
        <f>Table1[[#This Row],[SalesAmount]]-(Table1[[#This Row],[SalesAmount]]*Table1[[#This Row],[Discount%]]/100)</f>
        <v>39995</v>
      </c>
      <c r="H39" s="10">
        <v>7999</v>
      </c>
      <c r="I39" s="10">
        <v>39995</v>
      </c>
      <c r="J39" s="10" t="str">
        <f>IF(Table1[[#This Row],[SalesAmount]]&gt;120000,"H1",
IF(AND(Table1[[#This Row],[SalesAmount]]&gt;80000,Table1[[#This Row],[SalesAmount]]&lt;=120000),"H2",
IF(AND(Table1[[#This Row],[SalesAmount]]&gt;50000,Table1[[#This Row],[SalesAmount]]&lt;=80000),"H3",
IF(AND(Table1[[#This Row],[SalesAmount]]&gt;0,Table1[[#This Row],[SalesAmount]]&lt;=50000),"H4",
"L1"))))</f>
        <v>H4</v>
      </c>
      <c r="K39" s="2" t="s">
        <v>142</v>
      </c>
      <c r="L39" s="11">
        <v>0</v>
      </c>
      <c r="M39" s="2" t="s">
        <v>143</v>
      </c>
      <c r="N39" s="28" t="b">
        <f>AND(Table1[[#This Row],[PaymentMode]]="CASH ON DELIVERY",Table1[[#This Row],[Category]]="ELECTRONICS")</f>
        <v>0</v>
      </c>
      <c r="O39" s="17">
        <v>2</v>
      </c>
      <c r="P39" s="15">
        <f>Table1[[#This Row],[SalesAmount]]-Table1[[#This Row],[cost price'[sp-(sp*discount/100)']]]</f>
        <v>0</v>
      </c>
    </row>
    <row r="40" spans="1:16" x14ac:dyDescent="0.25">
      <c r="A40" s="16" t="s">
        <v>216</v>
      </c>
      <c r="B40" s="9" t="s">
        <v>217</v>
      </c>
      <c r="C40" s="9" t="s">
        <v>131</v>
      </c>
      <c r="D40" s="2" t="s">
        <v>182</v>
      </c>
      <c r="E40" s="2" t="s">
        <v>141</v>
      </c>
      <c r="F40" s="9">
        <v>8</v>
      </c>
      <c r="G40" s="9">
        <f>Table1[[#This Row],[SalesAmount]]-(Table1[[#This Row],[SalesAmount]]*Table1[[#This Row],[Discount%]]/100)</f>
        <v>109814.22</v>
      </c>
      <c r="H40" s="10">
        <v>18999</v>
      </c>
      <c r="I40" s="10">
        <v>129193.2</v>
      </c>
      <c r="J40" s="10" t="str">
        <f>IF(Table1[[#This Row],[SalesAmount]]&gt;120000,"H1",
IF(AND(Table1[[#This Row],[SalesAmount]]&gt;80000,Table1[[#This Row],[SalesAmount]]&lt;=120000),"H2",
IF(AND(Table1[[#This Row],[SalesAmount]]&gt;50000,Table1[[#This Row],[SalesAmount]]&lt;=80000),"H3",
IF(AND(Table1[[#This Row],[SalesAmount]]&gt;0,Table1[[#This Row],[SalesAmount]]&lt;=50000),"H4",
"L1"))))</f>
        <v>H1</v>
      </c>
      <c r="K40" s="2" t="s">
        <v>159</v>
      </c>
      <c r="L40" s="11">
        <v>15</v>
      </c>
      <c r="M40" s="2" t="s">
        <v>128</v>
      </c>
      <c r="N40" s="28" t="b">
        <f>AND(Table1[[#This Row],[PaymentMode]]="CASH ON DELIVERY",Table1[[#This Row],[Category]]="ELECTRONICS")</f>
        <v>0</v>
      </c>
      <c r="O40" s="17">
        <v>4</v>
      </c>
      <c r="P40" s="15">
        <f>Table1[[#This Row],[SalesAmount]]-Table1[[#This Row],[cost price'[sp-(sp*discount/100)']]]</f>
        <v>19378.979999999996</v>
      </c>
    </row>
    <row r="41" spans="1:16" ht="25.5" x14ac:dyDescent="0.25">
      <c r="A41" s="16" t="s">
        <v>218</v>
      </c>
      <c r="B41" s="9" t="s">
        <v>219</v>
      </c>
      <c r="C41" s="9" t="s">
        <v>154</v>
      </c>
      <c r="D41" s="2" t="s">
        <v>162</v>
      </c>
      <c r="E41" s="2" t="s">
        <v>136</v>
      </c>
      <c r="F41" s="9">
        <v>6</v>
      </c>
      <c r="G41" s="9">
        <f>Table1[[#This Row],[SalesAmount]]-(Table1[[#This Row],[SalesAmount]]*Table1[[#This Row],[Discount%]]/100)</f>
        <v>32994</v>
      </c>
      <c r="H41" s="10">
        <v>5499</v>
      </c>
      <c r="I41" s="10">
        <v>32994</v>
      </c>
      <c r="J41" s="10" t="str">
        <f>IF(Table1[[#This Row],[SalesAmount]]&gt;120000,"H1",
IF(AND(Table1[[#This Row],[SalesAmount]]&gt;80000,Table1[[#This Row],[SalesAmount]]&lt;=120000),"H2",
IF(AND(Table1[[#This Row],[SalesAmount]]&gt;50000,Table1[[#This Row],[SalesAmount]]&lt;=80000),"H3",
IF(AND(Table1[[#This Row],[SalesAmount]]&gt;0,Table1[[#This Row],[SalesAmount]]&lt;=50000),"H4",
"L1"))))</f>
        <v>H4</v>
      </c>
      <c r="K41" s="2" t="s">
        <v>127</v>
      </c>
      <c r="L41" s="11">
        <v>0</v>
      </c>
      <c r="M41" s="2" t="s">
        <v>137</v>
      </c>
      <c r="N41" s="28" t="b">
        <f>AND(Table1[[#This Row],[PaymentMode]]="CASH ON DELIVERY",Table1[[#This Row],[Category]]="ELECTRONICS")</f>
        <v>0</v>
      </c>
      <c r="O41" s="17">
        <v>4</v>
      </c>
      <c r="P41" s="15">
        <f>Table1[[#This Row],[SalesAmount]]-Table1[[#This Row],[cost price'[sp-(sp*discount/100)']]]</f>
        <v>0</v>
      </c>
    </row>
    <row r="42" spans="1:16" ht="25.5" x14ac:dyDescent="0.25">
      <c r="A42" s="16" t="s">
        <v>220</v>
      </c>
      <c r="B42" s="9" t="s">
        <v>221</v>
      </c>
      <c r="C42" s="9" t="s">
        <v>131</v>
      </c>
      <c r="D42" s="2" t="s">
        <v>173</v>
      </c>
      <c r="E42" s="2" t="s">
        <v>136</v>
      </c>
      <c r="F42" s="9">
        <v>1</v>
      </c>
      <c r="G42" s="9">
        <f>Table1[[#This Row],[SalesAmount]]-(Table1[[#This Row],[SalesAmount]]*Table1[[#This Row],[Discount%]]/100)</f>
        <v>1713.8474999999999</v>
      </c>
      <c r="H42" s="10">
        <v>1899</v>
      </c>
      <c r="I42" s="10">
        <v>1804.05</v>
      </c>
      <c r="J42" s="10" t="str">
        <f>IF(Table1[[#This Row],[SalesAmount]]&gt;120000,"H1",
IF(AND(Table1[[#This Row],[SalesAmount]]&gt;80000,Table1[[#This Row],[SalesAmount]]&lt;=120000),"H2",
IF(AND(Table1[[#This Row],[SalesAmount]]&gt;50000,Table1[[#This Row],[SalesAmount]]&lt;=80000),"H3",
IF(AND(Table1[[#This Row],[SalesAmount]]&gt;0,Table1[[#This Row],[SalesAmount]]&lt;=50000),"H4",
"L1"))))</f>
        <v>H4</v>
      </c>
      <c r="K42" s="2" t="s">
        <v>127</v>
      </c>
      <c r="L42" s="11">
        <v>5</v>
      </c>
      <c r="M42" s="2" t="s">
        <v>143</v>
      </c>
      <c r="N42" s="28" t="b">
        <f>AND(Table1[[#This Row],[PaymentMode]]="CASH ON DELIVERY",Table1[[#This Row],[Category]]="ELECTRONICS")</f>
        <v>0</v>
      </c>
      <c r="O42" s="17">
        <v>2</v>
      </c>
      <c r="P42" s="15">
        <f>Table1[[#This Row],[SalesAmount]]-Table1[[#This Row],[cost price'[sp-(sp*discount/100)']]]</f>
        <v>90.2025000000001</v>
      </c>
    </row>
    <row r="43" spans="1:16" ht="25.5" x14ac:dyDescent="0.25">
      <c r="A43" s="21" t="s">
        <v>222</v>
      </c>
      <c r="B43" s="22" t="s">
        <v>223</v>
      </c>
      <c r="C43" s="22" t="s">
        <v>124</v>
      </c>
      <c r="D43" s="23" t="s">
        <v>155</v>
      </c>
      <c r="E43" s="23" t="s">
        <v>141</v>
      </c>
      <c r="F43" s="22">
        <v>3</v>
      </c>
      <c r="G43" s="22">
        <f>Table1[[#This Row],[SalesAmount]]-(Table1[[#This Row],[SalesAmount]]*Table1[[#This Row],[Discount%]]/100)</f>
        <v>80.275000000000006</v>
      </c>
      <c r="H43" s="24">
        <v>2499</v>
      </c>
      <c r="I43" s="24">
        <v>84.5</v>
      </c>
      <c r="J43" s="24" t="str">
        <f>IF(Table1[[#This Row],[SalesAmount]]&gt;120000,"H1",
IF(AND(Table1[[#This Row],[SalesAmount]]&gt;80000,Table1[[#This Row],[SalesAmount]]&lt;=120000),"H2",
IF(AND(Table1[[#This Row],[SalesAmount]]&gt;50000,Table1[[#This Row],[SalesAmount]]&lt;=80000),"H3",
IF(AND(Table1[[#This Row],[SalesAmount]]&gt;0,Table1[[#This Row],[SalesAmount]]&lt;=50000),"H4",
"L1"))))</f>
        <v>H4</v>
      </c>
      <c r="K43" s="23" t="s">
        <v>159</v>
      </c>
      <c r="L43" s="25">
        <v>5</v>
      </c>
      <c r="M43" s="23" t="s">
        <v>143</v>
      </c>
      <c r="N43" s="28" t="b">
        <f>AND(Table1[[#This Row],[PaymentMode]]="CASH ON DELIVERY",Table1[[#This Row],[Category]]="ELECTRONICS")</f>
        <v>0</v>
      </c>
      <c r="O43" s="26">
        <v>3</v>
      </c>
      <c r="P43" s="15">
        <f>Table1[[#This Row],[SalesAmount]]-Table1[[#This Row],[cost price'[sp-(sp*discount/100)']]]</f>
        <v>4.2249999999999943</v>
      </c>
    </row>
    <row r="44" spans="1:16" x14ac:dyDescent="0.25">
      <c r="A44" s="45" t="s">
        <v>345</v>
      </c>
      <c r="B44" s="46"/>
      <c r="C44" s="46"/>
      <c r="D44" s="47"/>
      <c r="E44" s="47"/>
      <c r="F44" s="46"/>
      <c r="G44" s="46"/>
      <c r="H44" s="46"/>
      <c r="I44" s="46"/>
      <c r="J44" s="46"/>
      <c r="K44" s="47"/>
      <c r="L44" s="46"/>
      <c r="M44" s="47"/>
      <c r="N44" s="47"/>
      <c r="O44" s="48">
        <f>SUBTOTAL(109,Table1[Rating])</f>
        <v>123</v>
      </c>
      <c r="P44" s="47"/>
    </row>
    <row r="45" spans="1:16" x14ac:dyDescent="0.25">
      <c r="A45" s="61"/>
      <c r="B45" s="51"/>
      <c r="C45" s="51"/>
      <c r="D45" s="51"/>
      <c r="E45" s="51"/>
      <c r="F45" s="51"/>
      <c r="G45" s="51"/>
      <c r="H45" s="51"/>
      <c r="I45" s="51"/>
      <c r="J45" s="51"/>
      <c r="K45" s="51"/>
      <c r="L45" s="51"/>
    </row>
    <row r="48" spans="1:16" x14ac:dyDescent="0.25">
      <c r="D48" s="15"/>
    </row>
  </sheetData>
  <sortState xmlns:xlrd2="http://schemas.microsoft.com/office/spreadsheetml/2017/richdata2" ref="A4:O43">
    <sortCondition ref="A3:A43"/>
  </sortState>
  <mergeCells count="3">
    <mergeCell ref="A45:L45"/>
    <mergeCell ref="A2:L2"/>
    <mergeCell ref="A1:L1"/>
  </mergeCells>
  <phoneticPr fontId="14" type="noConversion"/>
  <conditionalFormatting sqref="F3:G43">
    <cfRule type="cellIs" dxfId="2" priority="11" operator="lessThan">
      <formula>2</formula>
    </cfRule>
    <cfRule type="cellIs" dxfId="1" priority="12" operator="equal">
      <formula>4</formula>
    </cfRule>
    <cfRule type="cellIs" dxfId="0" priority="13" operator="equal">
      <formula>3</formula>
    </cfRule>
  </conditionalFormatting>
  <conditionalFormatting sqref="H3:H43">
    <cfRule type="top10" dxfId="28" priority="6" rank="10"/>
    <cfRule type="top10" dxfId="27" priority="7" percent="1" rank="10"/>
  </conditionalFormatting>
  <conditionalFormatting sqref="I3:J43">
    <cfRule type="top10" dxfId="26" priority="8" percent="1" bottom="1" rank="10"/>
    <cfRule type="top10" dxfId="25" priority="9" percent="1" rank="10"/>
  </conditionalFormatting>
  <conditionalFormatting sqref="M3:N43">
    <cfRule type="cellIs" dxfId="24" priority="10" operator="equal">
      <formula>"Cash on Delivery"</formula>
    </cfRule>
  </conditionalFormatting>
  <conditionalFormatting sqref="N3:N43">
    <cfRule type="cellIs" dxfId="23" priority="3" operator="equal">
      <formula>TRUE</formula>
    </cfRule>
    <cfRule type="cellIs" dxfId="22" priority="4" operator="equal">
      <formula>TRUE</formula>
    </cfRule>
  </conditionalFormatting>
  <conditionalFormatting sqref="N4:N43">
    <cfRule type="containsText" dxfId="21" priority="1" operator="containsText" text="TRUE">
      <formula>NOT(ISERROR(SEARCH("TRUE",N4)))</formula>
    </cfRule>
    <cfRule type="cellIs" dxfId="20" priority="2" operator="equal">
      <formula>"""TRUE"""</formula>
    </cfRule>
  </conditionalFormatting>
  <pageMargins left="0.75" right="0.75" top="1" bottom="1" header="0.5" footer="0.5"/>
  <pageSetup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33A0C-2664-4744-A27D-F0EEB326CBAC}">
  <dimension ref="A1:M62"/>
  <sheetViews>
    <sheetView topLeftCell="A37" zoomScale="137" workbookViewId="0">
      <selection activeCell="E58" sqref="E58"/>
    </sheetView>
  </sheetViews>
  <sheetFormatPr defaultRowHeight="15" x14ac:dyDescent="0.25"/>
  <cols>
    <col min="1" max="6" width="11" customWidth="1"/>
    <col min="7" max="7" width="11.7109375" customWidth="1"/>
    <col min="8" max="8" width="9.7109375" customWidth="1"/>
  </cols>
  <sheetData>
    <row r="1" spans="1:5" x14ac:dyDescent="0.25">
      <c r="A1" t="s">
        <v>349</v>
      </c>
    </row>
    <row r="9" spans="1:5" x14ac:dyDescent="0.25">
      <c r="A9" t="s">
        <v>355</v>
      </c>
      <c r="B9" t="s">
        <v>356</v>
      </c>
      <c r="C9" t="s">
        <v>357</v>
      </c>
      <c r="D9" t="s">
        <v>358</v>
      </c>
      <c r="E9" t="s">
        <v>359</v>
      </c>
    </row>
    <row r="10" spans="1:5" x14ac:dyDescent="0.25">
      <c r="B10" t="s">
        <v>137</v>
      </c>
      <c r="C10" t="s">
        <v>143</v>
      </c>
      <c r="D10" t="s">
        <v>128</v>
      </c>
      <c r="E10" t="s">
        <v>350</v>
      </c>
    </row>
    <row r="11" spans="1:5" x14ac:dyDescent="0.25">
      <c r="A11" t="s">
        <v>351</v>
      </c>
      <c r="C11">
        <f>SUBTOTAL(9,'DATA DUMP - I'!I7:I42)</f>
        <v>958573.65</v>
      </c>
      <c r="D11">
        <f>SUBTOTAL(9,'DATA DUMP - I'!I4:I41)</f>
        <v>1019638.7999999999</v>
      </c>
    </row>
    <row r="12" spans="1:5" x14ac:dyDescent="0.25">
      <c r="A12" t="s">
        <v>352</v>
      </c>
      <c r="B12" s="15"/>
      <c r="C12">
        <f>SUBTOTAL(1,'DATA DUMP - I'!I7:I42)</f>
        <v>26627.045833333334</v>
      </c>
      <c r="D12">
        <f>SUBTOTAL(1,'DATA DUMP - I'!I4:I41)</f>
        <v>26832.6</v>
      </c>
    </row>
    <row r="13" spans="1:5" x14ac:dyDescent="0.25">
      <c r="A13" t="s">
        <v>353</v>
      </c>
      <c r="C13">
        <f>SUBTOTAL(5,'DATA DUMP - I'!I7:I42)</f>
        <v>188.1</v>
      </c>
      <c r="D13">
        <f>SUBTOTAL(5,'DATA DUMP - I'!I4:I41)</f>
        <v>178.2</v>
      </c>
    </row>
    <row r="14" spans="1:5" x14ac:dyDescent="0.25">
      <c r="A14" t="s">
        <v>354</v>
      </c>
      <c r="C14">
        <f>SUBTOTAL(4,'DATA DUMP - I'!I7:I42)</f>
        <v>129193.2</v>
      </c>
      <c r="D14">
        <f>SUBTOTAL(4,'DATA DUMP - I'!I4:I41)</f>
        <v>129193.2</v>
      </c>
    </row>
    <row r="18" spans="1:9" x14ac:dyDescent="0.25">
      <c r="A18" t="s">
        <v>360</v>
      </c>
      <c r="F18" t="s">
        <v>365</v>
      </c>
      <c r="G18" t="s">
        <v>366</v>
      </c>
    </row>
    <row r="19" spans="1:9" x14ac:dyDescent="0.25">
      <c r="E19" t="s">
        <v>361</v>
      </c>
      <c r="F19">
        <f>SUMIF(Table1[Region],"north",Table1[SalesAmount])</f>
        <v>608160.85000000009</v>
      </c>
      <c r="G19">
        <f>AVERAGEIF(Table1[Region],"north",Table1[SalesAmount])</f>
        <v>35774.167647058828</v>
      </c>
    </row>
    <row r="20" spans="1:9" x14ac:dyDescent="0.25">
      <c r="E20" t="s">
        <v>362</v>
      </c>
      <c r="F20">
        <f>SUMIF(Table1[Region],"south",Table1[SalesAmount])</f>
        <v>169416.80000000002</v>
      </c>
      <c r="G20">
        <f>AVERAGEIF(Table1[Region],"south",Table1[SalesAmount])</f>
        <v>15401.527272727275</v>
      </c>
    </row>
    <row r="21" spans="1:9" x14ac:dyDescent="0.25">
      <c r="E21" t="s">
        <v>363</v>
      </c>
      <c r="F21">
        <f>SUMIF(Table1[Region],"east",Table1[SalesAmount])</f>
        <v>193564.3</v>
      </c>
      <c r="G21">
        <f>AVERAGEIF(Table1[Region],"east",Table1[SalesAmount])</f>
        <v>32260.716666666664</v>
      </c>
    </row>
    <row r="22" spans="1:9" x14ac:dyDescent="0.25">
      <c r="E22" t="s">
        <v>364</v>
      </c>
      <c r="F22">
        <f>SUMIF(Table1[Region],"west",Table1[SalesAmount])</f>
        <v>50385.4</v>
      </c>
      <c r="G22">
        <f>AVERAGEIF(Table1[Region],"west",Table1[SalesAmount])</f>
        <v>8397.5666666666675</v>
      </c>
    </row>
    <row r="25" spans="1:9" x14ac:dyDescent="0.25">
      <c r="A25" t="s">
        <v>367</v>
      </c>
      <c r="G25" t="s">
        <v>368</v>
      </c>
      <c r="H25" t="s">
        <v>369</v>
      </c>
      <c r="I25" t="s">
        <v>365</v>
      </c>
    </row>
    <row r="30" spans="1:9" x14ac:dyDescent="0.25">
      <c r="A30" s="53" t="s">
        <v>370</v>
      </c>
      <c r="B30" s="53"/>
      <c r="C30" s="53"/>
      <c r="D30" s="53"/>
      <c r="E30" s="53"/>
      <c r="F30" s="53"/>
      <c r="G30" s="53"/>
      <c r="H30" s="53"/>
      <c r="I30">
        <v>66935.7</v>
      </c>
    </row>
    <row r="34" spans="1:13" x14ac:dyDescent="0.25">
      <c r="A34" s="53" t="s">
        <v>371</v>
      </c>
      <c r="B34" s="53"/>
      <c r="C34" s="53"/>
      <c r="D34" s="53"/>
      <c r="E34" s="53"/>
      <c r="F34" s="53"/>
      <c r="G34" s="53"/>
      <c r="H34" s="53"/>
      <c r="I34" s="53"/>
      <c r="J34" s="53"/>
      <c r="K34" s="53"/>
      <c r="L34" s="44" t="s">
        <v>363</v>
      </c>
      <c r="M34" s="44">
        <f>AVERAGEIF(Table1[Region],"EAST",Table1[[Profit ]])</f>
        <v>1988.0608333333332</v>
      </c>
    </row>
    <row r="35" spans="1:13" x14ac:dyDescent="0.25">
      <c r="L35" s="44" t="s">
        <v>364</v>
      </c>
      <c r="M35" s="44">
        <f>AVERAGEIF(Table1[Region],"WEST",Table1[[Profit ]])</f>
        <v>749.78999999999985</v>
      </c>
    </row>
    <row r="36" spans="1:13" x14ac:dyDescent="0.25">
      <c r="L36" s="44" t="s">
        <v>361</v>
      </c>
      <c r="M36" s="44">
        <f>AVERAGEIF(Table1[Region],"NORTH",Table1[[Profit ]])</f>
        <v>2717.370147058823</v>
      </c>
    </row>
    <row r="37" spans="1:13" x14ac:dyDescent="0.25">
      <c r="L37" s="44" t="s">
        <v>362</v>
      </c>
      <c r="M37" s="44">
        <f>AVERAGEIF(Table1[Region],"SOUTH",Table1[[Profit ]])</f>
        <v>2223.431818181818</v>
      </c>
    </row>
    <row r="43" spans="1:13" x14ac:dyDescent="0.25">
      <c r="A43" s="53" t="s">
        <v>378</v>
      </c>
      <c r="B43" s="53"/>
      <c r="C43" s="53"/>
    </row>
    <row r="47" spans="1:13" x14ac:dyDescent="0.25">
      <c r="A47" t="s">
        <v>379</v>
      </c>
    </row>
    <row r="48" spans="1:13" x14ac:dyDescent="0.25">
      <c r="B48" t="s">
        <v>380</v>
      </c>
      <c r="C48" t="s">
        <v>381</v>
      </c>
      <c r="D48" t="s">
        <v>382</v>
      </c>
      <c r="F48" t="s">
        <v>387</v>
      </c>
    </row>
    <row r="49" spans="1:6" x14ac:dyDescent="0.25">
      <c r="B49" t="s">
        <v>383</v>
      </c>
      <c r="C49">
        <v>15</v>
      </c>
      <c r="F49" t="s">
        <v>388</v>
      </c>
    </row>
    <row r="50" spans="1:6" x14ac:dyDescent="0.25">
      <c r="B50" t="s">
        <v>384</v>
      </c>
      <c r="C50">
        <v>14</v>
      </c>
      <c r="F50" t="s">
        <v>389</v>
      </c>
    </row>
    <row r="51" spans="1:6" x14ac:dyDescent="0.25">
      <c r="B51" t="s">
        <v>385</v>
      </c>
      <c r="C51">
        <v>9</v>
      </c>
      <c r="F51" t="s">
        <v>390</v>
      </c>
    </row>
    <row r="52" spans="1:6" x14ac:dyDescent="0.25">
      <c r="B52" t="s">
        <v>386</v>
      </c>
      <c r="C52">
        <v>18</v>
      </c>
    </row>
    <row r="56" spans="1:6" x14ac:dyDescent="0.25">
      <c r="A56" t="s">
        <v>391</v>
      </c>
    </row>
    <row r="57" spans="1:6" x14ac:dyDescent="0.25">
      <c r="A57" s="90" t="s">
        <v>392</v>
      </c>
      <c r="B57" s="91"/>
    </row>
    <row r="58" spans="1:6" x14ac:dyDescent="0.25">
      <c r="A58" s="89" t="s">
        <v>393</v>
      </c>
      <c r="B58" s="89"/>
      <c r="C58" s="89"/>
    </row>
    <row r="59" spans="1:6" x14ac:dyDescent="0.25">
      <c r="A59" s="89" t="s">
        <v>394</v>
      </c>
      <c r="B59" s="89"/>
      <c r="C59" s="89"/>
    </row>
    <row r="60" spans="1:6" x14ac:dyDescent="0.25">
      <c r="A60" s="89" t="s">
        <v>395</v>
      </c>
      <c r="B60" s="89"/>
      <c r="C60" s="89"/>
    </row>
    <row r="61" spans="1:6" x14ac:dyDescent="0.25">
      <c r="A61" s="89" t="s">
        <v>396</v>
      </c>
      <c r="B61" s="89"/>
      <c r="C61" s="89"/>
    </row>
    <row r="62" spans="1:6" x14ac:dyDescent="0.25">
      <c r="A62" s="89" t="s">
        <v>397</v>
      </c>
      <c r="B62" s="89"/>
      <c r="C62" s="89"/>
    </row>
  </sheetData>
  <mergeCells count="9">
    <mergeCell ref="A59:C59"/>
    <mergeCell ref="A60:C60"/>
    <mergeCell ref="A58:C58"/>
    <mergeCell ref="A61:C61"/>
    <mergeCell ref="A62:C62"/>
    <mergeCell ref="A30:H30"/>
    <mergeCell ref="A34:K34"/>
    <mergeCell ref="A43:C43"/>
    <mergeCell ref="A57:B57"/>
  </mergeCells>
  <conditionalFormatting sqref="E18:G22">
    <cfRule type="colorScale" priority="1">
      <colorScale>
        <cfvo type="min"/>
        <cfvo type="percentile" val="50"/>
        <cfvo type="max"/>
        <color rgb="FFF8696B"/>
        <color rgb="FFFCFCFF"/>
        <color rgb="FF63BE7B"/>
      </colorScale>
    </cfRule>
  </conditionalFormatting>
  <conditionalFormatting sqref="J20">
    <cfRule type="colorScale" priority="2">
      <colorScale>
        <cfvo type="min"/>
        <cfvo type="percentile" val="50"/>
        <cfvo type="max"/>
        <color rgb="FFF8696B"/>
        <color rgb="FFFCFCFF"/>
        <color rgb="FF63BE7B"/>
      </colorScale>
    </cfRule>
  </conditionalFormatting>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B2:H35"/>
  <sheetViews>
    <sheetView topLeftCell="A9" zoomScale="124" workbookViewId="0">
      <selection activeCell="H32" sqref="H32"/>
    </sheetView>
  </sheetViews>
  <sheetFormatPr defaultRowHeight="15" x14ac:dyDescent="0.25"/>
  <cols>
    <col min="1" max="1" width="3" customWidth="1"/>
    <col min="2" max="2" width="75" customWidth="1"/>
    <col min="3" max="3" width="40" customWidth="1"/>
    <col min="4" max="4" width="46.140625" customWidth="1"/>
  </cols>
  <sheetData>
    <row r="2" spans="2:4" x14ac:dyDescent="0.25">
      <c r="B2" s="72" t="s">
        <v>224</v>
      </c>
      <c r="C2" s="73"/>
      <c r="D2" s="73"/>
    </row>
    <row r="5" spans="2:4" x14ac:dyDescent="0.25">
      <c r="B5" s="55" t="s">
        <v>225</v>
      </c>
      <c r="C5" s="56"/>
      <c r="D5" s="56"/>
    </row>
    <row r="6" spans="2:4" x14ac:dyDescent="0.25">
      <c r="B6" s="60" t="s">
        <v>226</v>
      </c>
      <c r="C6" s="58"/>
      <c r="D6" s="58"/>
    </row>
    <row r="7" spans="2:4" ht="40.15" customHeight="1" x14ac:dyDescent="0.25">
      <c r="B7" s="59">
        <v>499</v>
      </c>
      <c r="C7" s="54"/>
      <c r="D7" s="54"/>
    </row>
    <row r="8" spans="2:4" x14ac:dyDescent="0.25">
      <c r="B8" s="60" t="s">
        <v>227</v>
      </c>
      <c r="C8" s="58"/>
      <c r="D8" s="58"/>
    </row>
    <row r="9" spans="2:4" ht="40.15" customHeight="1" x14ac:dyDescent="0.25">
      <c r="B9" s="59"/>
      <c r="C9" s="54"/>
      <c r="D9" s="54"/>
    </row>
    <row r="10" spans="2:4" x14ac:dyDescent="0.25">
      <c r="B10" s="60" t="s">
        <v>228</v>
      </c>
      <c r="C10" s="58"/>
      <c r="D10" s="58"/>
    </row>
    <row r="11" spans="2:4" ht="40.15" customHeight="1" x14ac:dyDescent="0.25">
      <c r="B11" s="59" t="s">
        <v>344</v>
      </c>
      <c r="C11" s="54"/>
      <c r="D11" s="54"/>
    </row>
    <row r="12" spans="2:4" x14ac:dyDescent="0.25">
      <c r="B12" s="55" t="s">
        <v>229</v>
      </c>
      <c r="C12" s="56"/>
      <c r="D12" s="56"/>
    </row>
    <row r="13" spans="2:4" x14ac:dyDescent="0.25">
      <c r="B13" s="60" t="s">
        <v>230</v>
      </c>
      <c r="C13" s="58"/>
      <c r="D13" s="58"/>
    </row>
    <row r="14" spans="2:4" ht="45" customHeight="1" x14ac:dyDescent="0.25">
      <c r="B14" s="59" t="s">
        <v>346</v>
      </c>
      <c r="C14" s="54"/>
      <c r="D14" s="54"/>
    </row>
    <row r="15" spans="2:4" x14ac:dyDescent="0.25">
      <c r="B15" s="60" t="s">
        <v>231</v>
      </c>
      <c r="C15" s="58"/>
      <c r="D15" s="58"/>
    </row>
    <row r="16" spans="2:4" ht="45" customHeight="1" x14ac:dyDescent="0.25">
      <c r="B16" s="59" t="s">
        <v>338</v>
      </c>
      <c r="C16" s="54"/>
      <c r="D16" s="54"/>
    </row>
    <row r="17" spans="2:8" x14ac:dyDescent="0.25">
      <c r="B17" s="60" t="s">
        <v>232</v>
      </c>
      <c r="C17" s="58"/>
      <c r="D17" s="58"/>
    </row>
    <row r="18" spans="2:8" ht="45" customHeight="1" x14ac:dyDescent="0.25">
      <c r="B18" s="59" t="s">
        <v>340</v>
      </c>
      <c r="C18" s="54">
        <v>11</v>
      </c>
      <c r="D18" s="54">
        <v>11</v>
      </c>
    </row>
    <row r="19" spans="2:8" x14ac:dyDescent="0.25">
      <c r="B19" s="55" t="s">
        <v>233</v>
      </c>
      <c r="C19" s="56"/>
      <c r="D19" s="56"/>
    </row>
    <row r="20" spans="2:8" x14ac:dyDescent="0.25">
      <c r="B20" s="60" t="s">
        <v>234</v>
      </c>
      <c r="C20" s="58"/>
      <c r="D20" s="58"/>
    </row>
    <row r="21" spans="2:8" ht="45" customHeight="1" x14ac:dyDescent="0.25">
      <c r="B21" s="74" t="s">
        <v>339</v>
      </c>
      <c r="C21" s="75"/>
      <c r="D21" s="76"/>
      <c r="F21" s="15"/>
    </row>
    <row r="22" spans="2:8" x14ac:dyDescent="0.25">
      <c r="B22" s="60" t="s">
        <v>235</v>
      </c>
      <c r="C22" s="58"/>
      <c r="D22" s="58"/>
    </row>
    <row r="23" spans="2:8" ht="45" customHeight="1" x14ac:dyDescent="0.25">
      <c r="B23" s="59" t="s">
        <v>341</v>
      </c>
      <c r="C23" s="54"/>
      <c r="D23" s="54"/>
    </row>
    <row r="24" spans="2:8" x14ac:dyDescent="0.25">
      <c r="B24" s="60" t="s">
        <v>236</v>
      </c>
      <c r="C24" s="58"/>
      <c r="D24" s="58"/>
    </row>
    <row r="25" spans="2:8" ht="45" customHeight="1" x14ac:dyDescent="0.25">
      <c r="B25" s="59" t="s">
        <v>342</v>
      </c>
      <c r="C25" s="54"/>
      <c r="D25" s="54"/>
      <c r="F25" t="s">
        <v>208</v>
      </c>
    </row>
    <row r="26" spans="2:8" x14ac:dyDescent="0.25">
      <c r="B26" s="60" t="s">
        <v>237</v>
      </c>
      <c r="C26" s="58"/>
      <c r="D26" s="58"/>
    </row>
    <row r="27" spans="2:8" ht="45" customHeight="1" x14ac:dyDescent="0.25">
      <c r="B27" s="59" t="s">
        <v>347</v>
      </c>
      <c r="C27" s="54"/>
      <c r="D27" s="54"/>
      <c r="F27">
        <f>COUNTA('DATA DUMP - I'!A6:A42)</f>
        <v>37</v>
      </c>
    </row>
    <row r="28" spans="2:8" x14ac:dyDescent="0.25">
      <c r="B28" s="60" t="s">
        <v>238</v>
      </c>
      <c r="C28" s="58"/>
      <c r="D28" s="58"/>
      <c r="F28">
        <f>COUNTA('DATA DUMP - I'!A6:A42)</f>
        <v>37</v>
      </c>
    </row>
    <row r="29" spans="2:8" ht="45" customHeight="1" x14ac:dyDescent="0.25">
      <c r="B29" s="59" t="s">
        <v>343</v>
      </c>
      <c r="C29" s="54"/>
      <c r="D29" s="54"/>
      <c r="F29">
        <f>SUBTOTAL(3,'DATA DUMP - I'!A6:A42)</f>
        <v>37</v>
      </c>
    </row>
    <row r="30" spans="2:8" x14ac:dyDescent="0.25">
      <c r="B30" s="77"/>
      <c r="C30" s="51"/>
      <c r="D30" s="51"/>
      <c r="H30" t="s">
        <v>349</v>
      </c>
    </row>
    <row r="35" spans="4:4" x14ac:dyDescent="0.25">
      <c r="D35">
        <f>SUBTOTAL(9,'DATA DUMP - I'!I6:I41)</f>
        <v>958668.6</v>
      </c>
    </row>
  </sheetData>
  <mergeCells count="27">
    <mergeCell ref="B30:D30"/>
    <mergeCell ref="B15:D15"/>
    <mergeCell ref="B6:D6"/>
    <mergeCell ref="B24:D24"/>
    <mergeCell ref="B20:D20"/>
    <mergeCell ref="B29:D29"/>
    <mergeCell ref="B10:D10"/>
    <mergeCell ref="B28:D28"/>
    <mergeCell ref="B19:D19"/>
    <mergeCell ref="B9:D9"/>
    <mergeCell ref="B11:D11"/>
    <mergeCell ref="B14:D14"/>
    <mergeCell ref="B23:D23"/>
    <mergeCell ref="B8:D8"/>
    <mergeCell ref="B17:D17"/>
    <mergeCell ref="B13:D13"/>
    <mergeCell ref="B2:D2"/>
    <mergeCell ref="B22:D22"/>
    <mergeCell ref="B18:D18"/>
    <mergeCell ref="B27:D27"/>
    <mergeCell ref="B21:D21"/>
    <mergeCell ref="B12:D12"/>
    <mergeCell ref="B5:D5"/>
    <mergeCell ref="B26:D26"/>
    <mergeCell ref="B7:D7"/>
    <mergeCell ref="B25:D25"/>
    <mergeCell ref="B16:D16"/>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B2:E38"/>
  <sheetViews>
    <sheetView zoomScale="121" workbookViewId="0">
      <selection activeCell="C47" sqref="C47"/>
    </sheetView>
  </sheetViews>
  <sheetFormatPr defaultRowHeight="15" x14ac:dyDescent="0.25"/>
  <cols>
    <col min="1" max="1" width="3" customWidth="1"/>
    <col min="2" max="2" width="30" customWidth="1"/>
    <col min="3" max="3" width="60" customWidth="1"/>
    <col min="4" max="4" width="25" customWidth="1"/>
    <col min="5" max="5" width="20" customWidth="1"/>
  </cols>
  <sheetData>
    <row r="2" spans="2:5" x14ac:dyDescent="0.25">
      <c r="B2" s="78" t="s">
        <v>53</v>
      </c>
      <c r="C2" s="51"/>
      <c r="D2" s="51"/>
      <c r="E2" s="51"/>
    </row>
    <row r="3" spans="2:5" x14ac:dyDescent="0.25">
      <c r="B3" s="66" t="s">
        <v>54</v>
      </c>
      <c r="C3" s="51"/>
      <c r="D3" s="51"/>
      <c r="E3" s="51"/>
    </row>
    <row r="5" spans="2:5" x14ac:dyDescent="0.25">
      <c r="B5" s="55" t="s">
        <v>55</v>
      </c>
      <c r="C5" s="56"/>
      <c r="D5" s="56"/>
      <c r="E5" s="56"/>
    </row>
    <row r="6" spans="2:5" ht="18" x14ac:dyDescent="0.25">
      <c r="B6" s="5" t="s">
        <v>56</v>
      </c>
      <c r="C6" s="67" t="s">
        <v>57</v>
      </c>
      <c r="D6" s="68"/>
      <c r="E6" s="69"/>
    </row>
    <row r="7" spans="2:5" ht="31.9" customHeight="1" x14ac:dyDescent="0.25">
      <c r="B7" s="1" t="s">
        <v>58</v>
      </c>
      <c r="C7" s="57" t="s">
        <v>59</v>
      </c>
      <c r="D7" s="58"/>
      <c r="E7" s="58"/>
    </row>
    <row r="8" spans="2:5" ht="31.9" customHeight="1" x14ac:dyDescent="0.25">
      <c r="B8" s="1" t="s">
        <v>60</v>
      </c>
      <c r="C8" s="57" t="s">
        <v>61</v>
      </c>
      <c r="D8" s="58"/>
      <c r="E8" s="58"/>
    </row>
    <row r="9" spans="2:5" ht="31.9" customHeight="1" x14ac:dyDescent="0.25">
      <c r="B9" s="1" t="s">
        <v>62</v>
      </c>
      <c r="C9" s="57" t="s">
        <v>63</v>
      </c>
      <c r="D9" s="58"/>
      <c r="E9" s="58"/>
    </row>
    <row r="10" spans="2:5" ht="31.9" customHeight="1" x14ac:dyDescent="0.25">
      <c r="B10" s="1" t="s">
        <v>64</v>
      </c>
      <c r="C10" s="57" t="s">
        <v>65</v>
      </c>
      <c r="D10" s="58"/>
      <c r="E10" s="58"/>
    </row>
    <row r="11" spans="2:5" ht="31.9" customHeight="1" x14ac:dyDescent="0.25">
      <c r="B11" s="1" t="s">
        <v>66</v>
      </c>
      <c r="C11" s="57" t="s">
        <v>67</v>
      </c>
      <c r="D11" s="58"/>
      <c r="E11" s="58"/>
    </row>
    <row r="12" spans="2:5" ht="31.9" customHeight="1" x14ac:dyDescent="0.25">
      <c r="B12" s="1" t="s">
        <v>68</v>
      </c>
      <c r="C12" s="57" t="s">
        <v>69</v>
      </c>
      <c r="D12" s="58"/>
      <c r="E12" s="58"/>
    </row>
    <row r="13" spans="2:5" ht="31.9" customHeight="1" x14ac:dyDescent="0.25">
      <c r="B13" s="1" t="s">
        <v>70</v>
      </c>
      <c r="C13" s="57" t="s">
        <v>71</v>
      </c>
      <c r="D13" s="58"/>
      <c r="E13" s="58"/>
    </row>
    <row r="15" spans="2:5" x14ac:dyDescent="0.25">
      <c r="B15" s="55" t="s">
        <v>72</v>
      </c>
      <c r="C15" s="56"/>
      <c r="D15" s="56"/>
      <c r="E15" s="56"/>
    </row>
    <row r="16" spans="2:5" ht="18" x14ac:dyDescent="0.25">
      <c r="B16" s="5" t="s">
        <v>3</v>
      </c>
      <c r="C16" s="67" t="s">
        <v>73</v>
      </c>
      <c r="D16" s="68"/>
      <c r="E16" s="69"/>
    </row>
    <row r="17" spans="2:5" ht="30" customHeight="1" x14ac:dyDescent="0.25">
      <c r="B17" s="3" t="s">
        <v>74</v>
      </c>
      <c r="C17" s="79" t="s">
        <v>75</v>
      </c>
      <c r="D17" s="58"/>
      <c r="E17" s="58"/>
    </row>
    <row r="18" spans="2:5" ht="30" customHeight="1" x14ac:dyDescent="0.25">
      <c r="B18" s="3" t="s">
        <v>76</v>
      </c>
      <c r="C18" s="79" t="s">
        <v>77</v>
      </c>
      <c r="D18" s="58"/>
      <c r="E18" s="58"/>
    </row>
    <row r="19" spans="2:5" ht="30" customHeight="1" x14ac:dyDescent="0.25">
      <c r="B19" s="3" t="s">
        <v>78</v>
      </c>
      <c r="C19" s="79" t="s">
        <v>79</v>
      </c>
      <c r="D19" s="58"/>
      <c r="E19" s="58"/>
    </row>
    <row r="20" spans="2:5" ht="30" customHeight="1" x14ac:dyDescent="0.25">
      <c r="B20" s="3" t="s">
        <v>80</v>
      </c>
      <c r="C20" s="79" t="s">
        <v>81</v>
      </c>
      <c r="D20" s="58"/>
      <c r="E20" s="58"/>
    </row>
    <row r="22" spans="2:5" x14ac:dyDescent="0.25">
      <c r="B22" s="55" t="s">
        <v>82</v>
      </c>
      <c r="C22" s="56"/>
      <c r="D22" s="56"/>
      <c r="E22" s="56"/>
    </row>
    <row r="23" spans="2:5" ht="18" x14ac:dyDescent="0.25">
      <c r="B23" s="5" t="s">
        <v>3</v>
      </c>
      <c r="C23" s="67" t="s">
        <v>73</v>
      </c>
      <c r="D23" s="68"/>
      <c r="E23" s="69"/>
    </row>
    <row r="24" spans="2:5" ht="31.9" customHeight="1" x14ac:dyDescent="0.25">
      <c r="B24" s="8" t="s">
        <v>83</v>
      </c>
      <c r="C24" s="79" t="s">
        <v>84</v>
      </c>
      <c r="D24" s="58"/>
      <c r="E24" s="58"/>
    </row>
    <row r="25" spans="2:5" ht="31.9" customHeight="1" x14ac:dyDescent="0.25">
      <c r="B25" s="8" t="s">
        <v>85</v>
      </c>
      <c r="C25" s="79" t="s">
        <v>86</v>
      </c>
      <c r="D25" s="58"/>
      <c r="E25" s="58"/>
    </row>
    <row r="26" spans="2:5" ht="31.9" customHeight="1" x14ac:dyDescent="0.25">
      <c r="B26" s="8" t="s">
        <v>87</v>
      </c>
      <c r="C26" s="79" t="s">
        <v>88</v>
      </c>
      <c r="D26" s="58"/>
      <c r="E26" s="58"/>
    </row>
    <row r="27" spans="2:5" ht="31.9" customHeight="1" x14ac:dyDescent="0.25">
      <c r="B27" s="8" t="s">
        <v>89</v>
      </c>
      <c r="C27" s="79" t="s">
        <v>90</v>
      </c>
      <c r="D27" s="58"/>
      <c r="E27" s="58"/>
    </row>
    <row r="28" spans="2:5" ht="31.9" customHeight="1" x14ac:dyDescent="0.25">
      <c r="B28" s="8" t="s">
        <v>91</v>
      </c>
      <c r="C28" s="79" t="s">
        <v>92</v>
      </c>
      <c r="D28" s="58"/>
      <c r="E28" s="58"/>
    </row>
    <row r="30" spans="2:5" x14ac:dyDescent="0.25">
      <c r="B30" s="55" t="s">
        <v>93</v>
      </c>
      <c r="C30" s="56"/>
      <c r="D30" s="56"/>
      <c r="E30" s="56"/>
    </row>
    <row r="31" spans="2:5" ht="18" x14ac:dyDescent="0.25">
      <c r="B31" s="5" t="s">
        <v>94</v>
      </c>
      <c r="C31" s="67" t="s">
        <v>95</v>
      </c>
      <c r="D31" s="68"/>
      <c r="E31" s="69"/>
    </row>
    <row r="32" spans="2:5" x14ac:dyDescent="0.25">
      <c r="B32" s="7" t="s">
        <v>96</v>
      </c>
      <c r="C32" s="79" t="s">
        <v>97</v>
      </c>
      <c r="D32" s="58"/>
      <c r="E32" s="58"/>
    </row>
    <row r="33" spans="2:5" x14ac:dyDescent="0.25">
      <c r="B33" s="7" t="s">
        <v>98</v>
      </c>
      <c r="C33" s="79" t="s">
        <v>99</v>
      </c>
      <c r="D33" s="58"/>
      <c r="E33" s="58"/>
    </row>
    <row r="34" spans="2:5" x14ac:dyDescent="0.25">
      <c r="B34" s="7" t="s">
        <v>100</v>
      </c>
      <c r="C34" s="79" t="s">
        <v>101</v>
      </c>
      <c r="D34" s="58"/>
      <c r="E34" s="58"/>
    </row>
    <row r="35" spans="2:5" x14ac:dyDescent="0.25">
      <c r="B35" s="7" t="s">
        <v>102</v>
      </c>
      <c r="C35" s="79" t="s">
        <v>103</v>
      </c>
      <c r="D35" s="58"/>
      <c r="E35" s="58"/>
    </row>
    <row r="36" spans="2:5" x14ac:dyDescent="0.25">
      <c r="B36" s="7" t="s">
        <v>104</v>
      </c>
      <c r="C36" s="79" t="s">
        <v>105</v>
      </c>
      <c r="D36" s="58"/>
      <c r="E36" s="58"/>
    </row>
    <row r="37" spans="2:5" x14ac:dyDescent="0.25">
      <c r="B37" s="7" t="s">
        <v>106</v>
      </c>
      <c r="C37" s="79" t="s">
        <v>107</v>
      </c>
      <c r="D37" s="58"/>
      <c r="E37" s="58"/>
    </row>
    <row r="38" spans="2:5" x14ac:dyDescent="0.25">
      <c r="B38" s="7" t="s">
        <v>108</v>
      </c>
      <c r="C38" s="79" t="s">
        <v>109</v>
      </c>
      <c r="D38" s="58"/>
      <c r="E38" s="58"/>
    </row>
  </sheetData>
  <mergeCells count="33">
    <mergeCell ref="C8:E8"/>
    <mergeCell ref="C17:E17"/>
    <mergeCell ref="C16:E16"/>
    <mergeCell ref="C31:E31"/>
    <mergeCell ref="B30:E30"/>
    <mergeCell ref="C9:E9"/>
    <mergeCell ref="B15:E15"/>
    <mergeCell ref="C38:E38"/>
    <mergeCell ref="C28:E28"/>
    <mergeCell ref="C13:E13"/>
    <mergeCell ref="C19:E19"/>
    <mergeCell ref="C37:E37"/>
    <mergeCell ref="C18:E18"/>
    <mergeCell ref="C35:E35"/>
    <mergeCell ref="C36:E36"/>
    <mergeCell ref="C27:E27"/>
    <mergeCell ref="C23:E23"/>
    <mergeCell ref="B2:E2"/>
    <mergeCell ref="C34:E34"/>
    <mergeCell ref="C6:E6"/>
    <mergeCell ref="C24:E24"/>
    <mergeCell ref="C33:E33"/>
    <mergeCell ref="C26:E26"/>
    <mergeCell ref="C20:E20"/>
    <mergeCell ref="C25:E25"/>
    <mergeCell ref="C10:E10"/>
    <mergeCell ref="B3:E3"/>
    <mergeCell ref="C7:E7"/>
    <mergeCell ref="B22:E22"/>
    <mergeCell ref="C32:E32"/>
    <mergeCell ref="B5:E5"/>
    <mergeCell ref="C12:E12"/>
    <mergeCell ref="C11:E11"/>
  </mergeCell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B2:D31"/>
  <sheetViews>
    <sheetView workbookViewId="0">
      <selection activeCell="L11" sqref="L10:M11"/>
    </sheetView>
  </sheetViews>
  <sheetFormatPr defaultRowHeight="15" x14ac:dyDescent="0.25"/>
  <cols>
    <col min="1" max="1" width="3" customWidth="1"/>
    <col min="2" max="2" width="32" customWidth="1"/>
    <col min="3" max="3" width="65" customWidth="1"/>
    <col min="4" max="4" width="25" customWidth="1"/>
  </cols>
  <sheetData>
    <row r="2" spans="2:4" x14ac:dyDescent="0.25">
      <c r="B2" s="78" t="s">
        <v>239</v>
      </c>
      <c r="C2" s="51"/>
      <c r="D2" s="51"/>
    </row>
    <row r="3" spans="2:4" x14ac:dyDescent="0.25">
      <c r="B3" s="66"/>
      <c r="C3" s="51"/>
      <c r="D3" s="51"/>
    </row>
    <row r="5" spans="2:4" x14ac:dyDescent="0.25">
      <c r="B5" s="55" t="s">
        <v>240</v>
      </c>
      <c r="C5" s="56"/>
      <c r="D5" s="56"/>
    </row>
    <row r="6" spans="2:4" ht="18" x14ac:dyDescent="0.25">
      <c r="B6" s="5" t="s">
        <v>241</v>
      </c>
      <c r="C6" s="67" t="s">
        <v>242</v>
      </c>
      <c r="D6" s="69"/>
    </row>
    <row r="7" spans="2:4" ht="37.9" customHeight="1" x14ac:dyDescent="0.25">
      <c r="B7" s="1" t="s">
        <v>243</v>
      </c>
      <c r="C7" s="57" t="s">
        <v>244</v>
      </c>
      <c r="D7" s="58"/>
    </row>
    <row r="8" spans="2:4" ht="37.9" customHeight="1" x14ac:dyDescent="0.25">
      <c r="B8" s="1" t="s">
        <v>245</v>
      </c>
      <c r="C8" s="57" t="s">
        <v>246</v>
      </c>
      <c r="D8" s="58"/>
    </row>
    <row r="9" spans="2:4" ht="37.9" customHeight="1" x14ac:dyDescent="0.25">
      <c r="B9" s="1" t="s">
        <v>247</v>
      </c>
      <c r="C9" s="57" t="s">
        <v>248</v>
      </c>
      <c r="D9" s="58"/>
    </row>
    <row r="10" spans="2:4" ht="37.9" customHeight="1" x14ac:dyDescent="0.25">
      <c r="B10" s="1" t="s">
        <v>249</v>
      </c>
      <c r="C10" s="57" t="s">
        <v>250</v>
      </c>
      <c r="D10" s="58"/>
    </row>
    <row r="11" spans="2:4" ht="37.9" customHeight="1" x14ac:dyDescent="0.25">
      <c r="B11" s="1" t="s">
        <v>251</v>
      </c>
      <c r="C11" s="57" t="s">
        <v>252</v>
      </c>
      <c r="D11" s="58"/>
    </row>
    <row r="12" spans="2:4" ht="37.9" customHeight="1" x14ac:dyDescent="0.25">
      <c r="B12" s="1" t="s">
        <v>253</v>
      </c>
      <c r="C12" s="57" t="s">
        <v>254</v>
      </c>
      <c r="D12" s="58"/>
    </row>
    <row r="13" spans="2:4" ht="37.9" customHeight="1" x14ac:dyDescent="0.25">
      <c r="B13" s="1" t="s">
        <v>255</v>
      </c>
      <c r="C13" s="57" t="s">
        <v>256</v>
      </c>
      <c r="D13" s="58"/>
    </row>
    <row r="15" spans="2:4" x14ac:dyDescent="0.25">
      <c r="B15" s="55" t="s">
        <v>257</v>
      </c>
      <c r="C15" s="56"/>
      <c r="D15" s="56"/>
    </row>
    <row r="16" spans="2:4" x14ac:dyDescent="0.25">
      <c r="B16" s="80" t="s">
        <v>258</v>
      </c>
      <c r="C16" s="58"/>
      <c r="D16" s="58"/>
    </row>
    <row r="17" spans="2:4" x14ac:dyDescent="0.25">
      <c r="B17" s="81" t="s">
        <v>259</v>
      </c>
      <c r="C17" s="58"/>
      <c r="D17" s="58"/>
    </row>
    <row r="18" spans="2:4" x14ac:dyDescent="0.25">
      <c r="B18" s="80" t="s">
        <v>260</v>
      </c>
      <c r="C18" s="58"/>
      <c r="D18" s="58"/>
    </row>
    <row r="19" spans="2:4" x14ac:dyDescent="0.25">
      <c r="B19" s="81" t="s">
        <v>261</v>
      </c>
      <c r="C19" s="58"/>
      <c r="D19" s="58"/>
    </row>
    <row r="20" spans="2:4" x14ac:dyDescent="0.25">
      <c r="B20" s="80" t="s">
        <v>262</v>
      </c>
      <c r="C20" s="58"/>
      <c r="D20" s="58"/>
    </row>
    <row r="21" spans="2:4" x14ac:dyDescent="0.25">
      <c r="B21" s="81" t="s">
        <v>263</v>
      </c>
      <c r="C21" s="58"/>
      <c r="D21" s="58"/>
    </row>
    <row r="23" spans="2:4" x14ac:dyDescent="0.25">
      <c r="B23" s="55" t="s">
        <v>264</v>
      </c>
      <c r="C23" s="56"/>
      <c r="D23" s="56"/>
    </row>
    <row r="24" spans="2:4" ht="18" x14ac:dyDescent="0.25">
      <c r="B24" s="5" t="s">
        <v>265</v>
      </c>
      <c r="C24" s="67" t="s">
        <v>266</v>
      </c>
      <c r="D24" s="69"/>
    </row>
    <row r="25" spans="2:4" ht="36" customHeight="1" x14ac:dyDescent="0.25">
      <c r="B25" s="8" t="s">
        <v>267</v>
      </c>
      <c r="C25" s="57" t="s">
        <v>268</v>
      </c>
      <c r="D25" s="58"/>
    </row>
    <row r="26" spans="2:4" ht="36" customHeight="1" x14ac:dyDescent="0.25">
      <c r="B26" s="8" t="s">
        <v>269</v>
      </c>
      <c r="C26" s="57" t="s">
        <v>270</v>
      </c>
      <c r="D26" s="58"/>
    </row>
    <row r="27" spans="2:4" ht="36" customHeight="1" x14ac:dyDescent="0.25">
      <c r="B27" s="8" t="s">
        <v>271</v>
      </c>
      <c r="C27" s="57" t="s">
        <v>272</v>
      </c>
      <c r="D27" s="58"/>
    </row>
    <row r="28" spans="2:4" ht="36" customHeight="1" x14ac:dyDescent="0.25">
      <c r="B28" s="8" t="s">
        <v>273</v>
      </c>
      <c r="C28" s="57" t="s">
        <v>274</v>
      </c>
      <c r="D28" s="58"/>
    </row>
    <row r="29" spans="2:4" ht="36" customHeight="1" x14ac:dyDescent="0.25">
      <c r="B29" s="8" t="s">
        <v>275</v>
      </c>
      <c r="C29" s="57" t="s">
        <v>276</v>
      </c>
      <c r="D29" s="58"/>
    </row>
    <row r="30" spans="2:4" ht="36" customHeight="1" x14ac:dyDescent="0.25">
      <c r="B30" s="8" t="s">
        <v>277</v>
      </c>
      <c r="C30" s="57" t="s">
        <v>278</v>
      </c>
      <c r="D30" s="58"/>
    </row>
    <row r="31" spans="2:4" ht="36" customHeight="1" x14ac:dyDescent="0.25">
      <c r="B31" s="8" t="s">
        <v>279</v>
      </c>
      <c r="C31" s="57" t="s">
        <v>280</v>
      </c>
      <c r="D31" s="58"/>
    </row>
  </sheetData>
  <mergeCells count="27">
    <mergeCell ref="C31:D31"/>
    <mergeCell ref="B20:D20"/>
    <mergeCell ref="C12:D12"/>
    <mergeCell ref="B5:D5"/>
    <mergeCell ref="C11:D11"/>
    <mergeCell ref="C27:D27"/>
    <mergeCell ref="C8:D8"/>
    <mergeCell ref="B16:D16"/>
    <mergeCell ref="C6:D6"/>
    <mergeCell ref="C24:D24"/>
    <mergeCell ref="C30:D30"/>
    <mergeCell ref="B23:D23"/>
    <mergeCell ref="B17:D17"/>
    <mergeCell ref="C26:D26"/>
    <mergeCell ref="B19:D19"/>
    <mergeCell ref="C29:D29"/>
    <mergeCell ref="B2:D2"/>
    <mergeCell ref="B3:D3"/>
    <mergeCell ref="C7:D7"/>
    <mergeCell ref="B18:D18"/>
    <mergeCell ref="C28:D28"/>
    <mergeCell ref="C13:D13"/>
    <mergeCell ref="B21:D21"/>
    <mergeCell ref="C10:D10"/>
    <mergeCell ref="C25:D25"/>
    <mergeCell ref="C9:D9"/>
    <mergeCell ref="B15:D15"/>
  </mergeCell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J76"/>
  <sheetViews>
    <sheetView zoomScale="116" zoomScaleNormal="116" workbookViewId="0">
      <pane ySplit="3" topLeftCell="A42" activePane="bottomLeft" state="frozen"/>
      <selection pane="bottomLeft" activeCell="M66" sqref="M66"/>
    </sheetView>
  </sheetViews>
  <sheetFormatPr defaultRowHeight="15" x14ac:dyDescent="0.25"/>
  <cols>
    <col min="1" max="1" width="12" customWidth="1"/>
    <col min="2" max="2" width="14" customWidth="1"/>
    <col min="3" max="3" width="12" customWidth="1"/>
    <col min="4" max="4" width="20" customWidth="1"/>
    <col min="5" max="5" width="14" customWidth="1"/>
    <col min="6" max="6" width="10" customWidth="1"/>
    <col min="7" max="7" width="12" customWidth="1"/>
    <col min="8" max="8" width="13" customWidth="1"/>
    <col min="9" max="9" width="14" customWidth="1"/>
    <col min="10" max="10" width="16.85546875" customWidth="1"/>
  </cols>
  <sheetData>
    <row r="1" spans="1:10" ht="25.9" customHeight="1" x14ac:dyDescent="0.25">
      <c r="A1" s="82" t="s">
        <v>281</v>
      </c>
      <c r="B1" s="51"/>
      <c r="C1" s="51"/>
      <c r="D1" s="51"/>
      <c r="E1" s="51"/>
      <c r="F1" s="51"/>
      <c r="G1" s="51"/>
      <c r="H1" s="51"/>
      <c r="I1" s="51"/>
      <c r="J1" s="51"/>
    </row>
    <row r="2" spans="1:10" x14ac:dyDescent="0.25">
      <c r="A2" s="70"/>
      <c r="B2" s="51"/>
      <c r="C2" s="51"/>
      <c r="D2" s="51"/>
      <c r="E2" s="51"/>
      <c r="F2" s="51"/>
      <c r="G2" s="51"/>
      <c r="H2" s="51"/>
      <c r="I2" s="51"/>
      <c r="J2" s="51"/>
    </row>
    <row r="3" spans="1:10" x14ac:dyDescent="0.25">
      <c r="A3" s="7" t="s">
        <v>282</v>
      </c>
      <c r="B3" s="7" t="s">
        <v>113</v>
      </c>
      <c r="C3" s="7" t="s">
        <v>283</v>
      </c>
      <c r="D3" s="7" t="s">
        <v>115</v>
      </c>
      <c r="E3" s="7" t="s">
        <v>284</v>
      </c>
      <c r="F3" s="7" t="s">
        <v>285</v>
      </c>
      <c r="G3" s="7" t="s">
        <v>286</v>
      </c>
      <c r="H3" s="7" t="s">
        <v>287</v>
      </c>
      <c r="I3" s="7" t="s">
        <v>288</v>
      </c>
      <c r="J3" s="7" t="s">
        <v>289</v>
      </c>
    </row>
    <row r="4" spans="1:10" x14ac:dyDescent="0.25">
      <c r="A4" s="4" t="s">
        <v>290</v>
      </c>
      <c r="B4" s="4" t="s">
        <v>131</v>
      </c>
      <c r="C4" s="4" t="s">
        <v>291</v>
      </c>
      <c r="D4" s="4" t="s">
        <v>141</v>
      </c>
      <c r="E4" s="4">
        <v>143</v>
      </c>
      <c r="F4" s="12">
        <v>1392534</v>
      </c>
      <c r="G4" s="12">
        <v>1295099</v>
      </c>
      <c r="H4" s="13">
        <v>107.5</v>
      </c>
      <c r="I4" s="4">
        <v>5</v>
      </c>
      <c r="J4" s="14">
        <v>3.6</v>
      </c>
    </row>
    <row r="5" spans="1:10" x14ac:dyDescent="0.25">
      <c r="A5" s="4" t="s">
        <v>290</v>
      </c>
      <c r="B5" s="4" t="s">
        <v>131</v>
      </c>
      <c r="C5" s="4" t="s">
        <v>291</v>
      </c>
      <c r="D5" s="4" t="s">
        <v>136</v>
      </c>
      <c r="E5" s="4">
        <v>74</v>
      </c>
      <c r="F5" s="12">
        <v>200466</v>
      </c>
      <c r="G5" s="12">
        <v>195524</v>
      </c>
      <c r="H5" s="13">
        <v>102.5</v>
      </c>
      <c r="I5" s="4">
        <v>6</v>
      </c>
      <c r="J5" s="14">
        <v>4.0999999999999996</v>
      </c>
    </row>
    <row r="6" spans="1:10" x14ac:dyDescent="0.25">
      <c r="A6" s="4" t="s">
        <v>290</v>
      </c>
      <c r="B6" s="4" t="s">
        <v>131</v>
      </c>
      <c r="C6" s="4" t="s">
        <v>291</v>
      </c>
      <c r="D6" s="4" t="s">
        <v>126</v>
      </c>
      <c r="E6" s="4">
        <v>219</v>
      </c>
      <c r="F6" s="12">
        <v>93075</v>
      </c>
      <c r="G6" s="12">
        <v>90094</v>
      </c>
      <c r="H6" s="13">
        <v>103.3</v>
      </c>
      <c r="I6" s="4">
        <v>19</v>
      </c>
      <c r="J6" s="14">
        <v>4</v>
      </c>
    </row>
    <row r="7" spans="1:10" x14ac:dyDescent="0.25">
      <c r="A7" s="4" t="s">
        <v>290</v>
      </c>
      <c r="B7" s="4" t="s">
        <v>131</v>
      </c>
      <c r="C7" s="4" t="s">
        <v>292</v>
      </c>
      <c r="D7" s="4" t="s">
        <v>141</v>
      </c>
      <c r="E7" s="4">
        <v>147</v>
      </c>
      <c r="F7" s="12">
        <v>1036350</v>
      </c>
      <c r="G7" s="12">
        <v>1209468</v>
      </c>
      <c r="H7" s="13">
        <v>85.7</v>
      </c>
      <c r="I7" s="4">
        <v>11</v>
      </c>
      <c r="J7" s="14">
        <v>4.5999999999999996</v>
      </c>
    </row>
    <row r="8" spans="1:10" x14ac:dyDescent="0.25">
      <c r="A8" s="4" t="s">
        <v>290</v>
      </c>
      <c r="B8" s="4" t="s">
        <v>131</v>
      </c>
      <c r="C8" s="4" t="s">
        <v>292</v>
      </c>
      <c r="D8" s="4" t="s">
        <v>136</v>
      </c>
      <c r="E8" s="4">
        <v>214</v>
      </c>
      <c r="F8" s="12">
        <v>800574</v>
      </c>
      <c r="G8" s="12">
        <v>757089</v>
      </c>
      <c r="H8" s="13">
        <v>105.7</v>
      </c>
      <c r="I8" s="4">
        <v>21</v>
      </c>
      <c r="J8" s="14">
        <v>3.5</v>
      </c>
    </row>
    <row r="9" spans="1:10" x14ac:dyDescent="0.25">
      <c r="A9" s="4" t="s">
        <v>290</v>
      </c>
      <c r="B9" s="4" t="s">
        <v>131</v>
      </c>
      <c r="C9" s="4" t="s">
        <v>292</v>
      </c>
      <c r="D9" s="4" t="s">
        <v>126</v>
      </c>
      <c r="E9" s="4">
        <v>185</v>
      </c>
      <c r="F9" s="12">
        <v>59755</v>
      </c>
      <c r="G9" s="12">
        <v>57759</v>
      </c>
      <c r="H9" s="13">
        <v>103.5</v>
      </c>
      <c r="I9" s="4">
        <v>22</v>
      </c>
      <c r="J9" s="14">
        <v>4.0999999999999996</v>
      </c>
    </row>
    <row r="10" spans="1:10" x14ac:dyDescent="0.25">
      <c r="A10" s="4" t="s">
        <v>290</v>
      </c>
      <c r="B10" s="4" t="s">
        <v>124</v>
      </c>
      <c r="C10" s="4" t="s">
        <v>293</v>
      </c>
      <c r="D10" s="4" t="s">
        <v>141</v>
      </c>
      <c r="E10" s="4">
        <v>62</v>
      </c>
      <c r="F10" s="12">
        <v>693408</v>
      </c>
      <c r="G10" s="12">
        <v>677149</v>
      </c>
      <c r="H10" s="13">
        <v>102.4</v>
      </c>
      <c r="I10" s="4">
        <v>0</v>
      </c>
      <c r="J10" s="14">
        <v>3.7</v>
      </c>
    </row>
    <row r="11" spans="1:10" x14ac:dyDescent="0.25">
      <c r="A11" s="4" t="s">
        <v>290</v>
      </c>
      <c r="B11" s="4" t="s">
        <v>124</v>
      </c>
      <c r="C11" s="4" t="s">
        <v>293</v>
      </c>
      <c r="D11" s="4" t="s">
        <v>136</v>
      </c>
      <c r="E11" s="4">
        <v>41</v>
      </c>
      <c r="F11" s="12">
        <v>224803</v>
      </c>
      <c r="G11" s="12">
        <v>216065</v>
      </c>
      <c r="H11" s="13">
        <v>104</v>
      </c>
      <c r="I11" s="4">
        <v>4</v>
      </c>
      <c r="J11" s="14">
        <v>3.3</v>
      </c>
    </row>
    <row r="12" spans="1:10" x14ac:dyDescent="0.25">
      <c r="A12" s="4" t="s">
        <v>290</v>
      </c>
      <c r="B12" s="4" t="s">
        <v>124</v>
      </c>
      <c r="C12" s="4" t="s">
        <v>293</v>
      </c>
      <c r="D12" s="4" t="s">
        <v>126</v>
      </c>
      <c r="E12" s="4">
        <v>172</v>
      </c>
      <c r="F12" s="12">
        <v>43172</v>
      </c>
      <c r="G12" s="12">
        <v>46242</v>
      </c>
      <c r="H12" s="13">
        <v>93.4</v>
      </c>
      <c r="I12" s="4">
        <v>1</v>
      </c>
      <c r="J12" s="14">
        <v>3.8</v>
      </c>
    </row>
    <row r="13" spans="1:10" x14ac:dyDescent="0.25">
      <c r="A13" s="4" t="s">
        <v>290</v>
      </c>
      <c r="B13" s="4" t="s">
        <v>124</v>
      </c>
      <c r="C13" s="4" t="s">
        <v>294</v>
      </c>
      <c r="D13" s="4" t="s">
        <v>141</v>
      </c>
      <c r="E13" s="4">
        <v>95</v>
      </c>
      <c r="F13" s="12">
        <v>582730</v>
      </c>
      <c r="G13" s="12">
        <v>669559</v>
      </c>
      <c r="H13" s="13">
        <v>87</v>
      </c>
      <c r="I13" s="4">
        <v>7</v>
      </c>
      <c r="J13" s="14">
        <v>4.2</v>
      </c>
    </row>
    <row r="14" spans="1:10" x14ac:dyDescent="0.25">
      <c r="A14" s="4" t="s">
        <v>290</v>
      </c>
      <c r="B14" s="4" t="s">
        <v>124</v>
      </c>
      <c r="C14" s="4" t="s">
        <v>294</v>
      </c>
      <c r="D14" s="4" t="s">
        <v>136</v>
      </c>
      <c r="E14" s="4">
        <v>85</v>
      </c>
      <c r="F14" s="12">
        <v>520370</v>
      </c>
      <c r="G14" s="12">
        <v>571413</v>
      </c>
      <c r="H14" s="13">
        <v>91.1</v>
      </c>
      <c r="I14" s="4">
        <v>0</v>
      </c>
      <c r="J14" s="14">
        <v>3.4</v>
      </c>
    </row>
    <row r="15" spans="1:10" x14ac:dyDescent="0.25">
      <c r="A15" s="4" t="s">
        <v>290</v>
      </c>
      <c r="B15" s="4" t="s">
        <v>124</v>
      </c>
      <c r="C15" s="4" t="s">
        <v>294</v>
      </c>
      <c r="D15" s="4" t="s">
        <v>126</v>
      </c>
      <c r="E15" s="4">
        <v>83</v>
      </c>
      <c r="F15" s="12">
        <v>32536</v>
      </c>
      <c r="G15" s="12">
        <v>35359</v>
      </c>
      <c r="H15" s="13">
        <v>92</v>
      </c>
      <c r="I15" s="4">
        <v>6</v>
      </c>
      <c r="J15" s="14">
        <v>3.3</v>
      </c>
    </row>
    <row r="16" spans="1:10" x14ac:dyDescent="0.25">
      <c r="A16" s="4" t="s">
        <v>290</v>
      </c>
      <c r="B16" s="4" t="s">
        <v>154</v>
      </c>
      <c r="C16" s="4" t="s">
        <v>295</v>
      </c>
      <c r="D16" s="4" t="s">
        <v>141</v>
      </c>
      <c r="E16" s="4">
        <v>148</v>
      </c>
      <c r="F16" s="12">
        <v>726532</v>
      </c>
      <c r="G16" s="12">
        <v>659084</v>
      </c>
      <c r="H16" s="13">
        <v>110.2</v>
      </c>
      <c r="I16" s="4">
        <v>0</v>
      </c>
      <c r="J16" s="14">
        <v>3.8</v>
      </c>
    </row>
    <row r="17" spans="1:10" x14ac:dyDescent="0.25">
      <c r="A17" s="4" t="s">
        <v>290</v>
      </c>
      <c r="B17" s="4" t="s">
        <v>154</v>
      </c>
      <c r="C17" s="4" t="s">
        <v>295</v>
      </c>
      <c r="D17" s="4" t="s">
        <v>136</v>
      </c>
      <c r="E17" s="4">
        <v>74</v>
      </c>
      <c r="F17" s="12">
        <v>465238</v>
      </c>
      <c r="G17" s="12">
        <v>475287</v>
      </c>
      <c r="H17" s="13">
        <v>97.9</v>
      </c>
      <c r="I17" s="4">
        <v>0</v>
      </c>
      <c r="J17" s="14">
        <v>4.3</v>
      </c>
    </row>
    <row r="18" spans="1:10" x14ac:dyDescent="0.25">
      <c r="A18" s="4" t="s">
        <v>290</v>
      </c>
      <c r="B18" s="4" t="s">
        <v>154</v>
      </c>
      <c r="C18" s="4" t="s">
        <v>295</v>
      </c>
      <c r="D18" s="4" t="s">
        <v>126</v>
      </c>
      <c r="E18" s="4">
        <v>153</v>
      </c>
      <c r="F18" s="12">
        <v>42993</v>
      </c>
      <c r="G18" s="12">
        <v>45534</v>
      </c>
      <c r="H18" s="13">
        <v>94.4</v>
      </c>
      <c r="I18" s="4">
        <v>4</v>
      </c>
      <c r="J18" s="14">
        <v>3.8</v>
      </c>
    </row>
    <row r="19" spans="1:10" x14ac:dyDescent="0.25">
      <c r="A19" s="4" t="s">
        <v>290</v>
      </c>
      <c r="B19" s="4" t="s">
        <v>154</v>
      </c>
      <c r="C19" s="4" t="s">
        <v>296</v>
      </c>
      <c r="D19" s="4" t="s">
        <v>141</v>
      </c>
      <c r="E19" s="4">
        <v>217</v>
      </c>
      <c r="F19" s="12">
        <v>2452317</v>
      </c>
      <c r="G19" s="12">
        <v>2989080</v>
      </c>
      <c r="H19" s="13">
        <v>82</v>
      </c>
      <c r="I19" s="4">
        <v>4</v>
      </c>
      <c r="J19" s="14">
        <v>4.5</v>
      </c>
    </row>
    <row r="20" spans="1:10" x14ac:dyDescent="0.25">
      <c r="A20" s="4" t="s">
        <v>290</v>
      </c>
      <c r="B20" s="4" t="s">
        <v>154</v>
      </c>
      <c r="C20" s="4" t="s">
        <v>296</v>
      </c>
      <c r="D20" s="4" t="s">
        <v>136</v>
      </c>
      <c r="E20" s="4">
        <v>193</v>
      </c>
      <c r="F20" s="12">
        <v>623776</v>
      </c>
      <c r="G20" s="12">
        <v>675182</v>
      </c>
      <c r="H20" s="13">
        <v>92.4</v>
      </c>
      <c r="I20" s="4">
        <v>13</v>
      </c>
      <c r="J20" s="14">
        <v>3.4</v>
      </c>
    </row>
    <row r="21" spans="1:10" x14ac:dyDescent="0.25">
      <c r="A21" s="4" t="s">
        <v>290</v>
      </c>
      <c r="B21" s="4" t="s">
        <v>154</v>
      </c>
      <c r="C21" s="4" t="s">
        <v>296</v>
      </c>
      <c r="D21" s="4" t="s">
        <v>126</v>
      </c>
      <c r="E21" s="4">
        <v>70</v>
      </c>
      <c r="F21" s="12">
        <v>15610</v>
      </c>
      <c r="G21" s="12">
        <v>15754</v>
      </c>
      <c r="H21" s="13">
        <v>99.1</v>
      </c>
      <c r="I21" s="4">
        <v>2</v>
      </c>
      <c r="J21" s="14">
        <v>3.9</v>
      </c>
    </row>
    <row r="22" spans="1:10" x14ac:dyDescent="0.25">
      <c r="A22" s="4" t="s">
        <v>290</v>
      </c>
      <c r="B22" s="4" t="s">
        <v>134</v>
      </c>
      <c r="C22" s="4" t="s">
        <v>297</v>
      </c>
      <c r="D22" s="4" t="s">
        <v>141</v>
      </c>
      <c r="E22" s="4">
        <v>93</v>
      </c>
      <c r="F22" s="12">
        <v>811704</v>
      </c>
      <c r="G22" s="12">
        <v>940137</v>
      </c>
      <c r="H22" s="13">
        <v>86.3</v>
      </c>
      <c r="I22" s="4">
        <v>3</v>
      </c>
      <c r="J22" s="14">
        <v>4.5999999999999996</v>
      </c>
    </row>
    <row r="23" spans="1:10" x14ac:dyDescent="0.25">
      <c r="A23" s="4" t="s">
        <v>290</v>
      </c>
      <c r="B23" s="4" t="s">
        <v>134</v>
      </c>
      <c r="C23" s="4" t="s">
        <v>297</v>
      </c>
      <c r="D23" s="4" t="s">
        <v>136</v>
      </c>
      <c r="E23" s="4">
        <v>70</v>
      </c>
      <c r="F23" s="12">
        <v>347410</v>
      </c>
      <c r="G23" s="12">
        <v>332049</v>
      </c>
      <c r="H23" s="13">
        <v>104.6</v>
      </c>
      <c r="I23" s="4">
        <v>1</v>
      </c>
      <c r="J23" s="14">
        <v>4.0999999999999996</v>
      </c>
    </row>
    <row r="24" spans="1:10" x14ac:dyDescent="0.25">
      <c r="A24" s="4" t="s">
        <v>290</v>
      </c>
      <c r="B24" s="4" t="s">
        <v>134</v>
      </c>
      <c r="C24" s="4" t="s">
        <v>297</v>
      </c>
      <c r="D24" s="4" t="s">
        <v>126</v>
      </c>
      <c r="E24" s="4">
        <v>42</v>
      </c>
      <c r="F24" s="12">
        <v>18858</v>
      </c>
      <c r="G24" s="12">
        <v>21055</v>
      </c>
      <c r="H24" s="13">
        <v>89.6</v>
      </c>
      <c r="I24" s="4">
        <v>2</v>
      </c>
      <c r="J24" s="14">
        <v>3.6</v>
      </c>
    </row>
    <row r="25" spans="1:10" x14ac:dyDescent="0.25">
      <c r="A25" s="4" t="s">
        <v>290</v>
      </c>
      <c r="B25" s="4" t="s">
        <v>134</v>
      </c>
      <c r="C25" s="4" t="s">
        <v>298</v>
      </c>
      <c r="D25" s="4" t="s">
        <v>141</v>
      </c>
      <c r="E25" s="4">
        <v>142</v>
      </c>
      <c r="F25" s="12">
        <v>1280414</v>
      </c>
      <c r="G25" s="12">
        <v>1509540</v>
      </c>
      <c r="H25" s="13">
        <v>84.8</v>
      </c>
      <c r="I25" s="4">
        <v>12</v>
      </c>
      <c r="J25" s="14">
        <v>3.9</v>
      </c>
    </row>
    <row r="26" spans="1:10" x14ac:dyDescent="0.25">
      <c r="A26" s="4" t="s">
        <v>290</v>
      </c>
      <c r="B26" s="4" t="s">
        <v>134</v>
      </c>
      <c r="C26" s="4" t="s">
        <v>298</v>
      </c>
      <c r="D26" s="4" t="s">
        <v>136</v>
      </c>
      <c r="E26" s="4">
        <v>134</v>
      </c>
      <c r="F26" s="12">
        <v>854518</v>
      </c>
      <c r="G26" s="12">
        <v>792821</v>
      </c>
      <c r="H26" s="13">
        <v>107.8</v>
      </c>
      <c r="I26" s="4">
        <v>1</v>
      </c>
      <c r="J26" s="14">
        <v>4.8</v>
      </c>
    </row>
    <row r="27" spans="1:10" x14ac:dyDescent="0.25">
      <c r="A27" s="4" t="s">
        <v>290</v>
      </c>
      <c r="B27" s="4" t="s">
        <v>134</v>
      </c>
      <c r="C27" s="4" t="s">
        <v>298</v>
      </c>
      <c r="D27" s="4" t="s">
        <v>126</v>
      </c>
      <c r="E27" s="4">
        <v>142</v>
      </c>
      <c r="F27" s="12">
        <v>77248</v>
      </c>
      <c r="G27" s="12">
        <v>80245</v>
      </c>
      <c r="H27" s="13">
        <v>96.3</v>
      </c>
      <c r="I27" s="4">
        <v>9</v>
      </c>
      <c r="J27" s="14">
        <v>4.7</v>
      </c>
    </row>
    <row r="28" spans="1:10" x14ac:dyDescent="0.25">
      <c r="A28" s="4" t="s">
        <v>299</v>
      </c>
      <c r="B28" s="4" t="s">
        <v>131</v>
      </c>
      <c r="C28" s="4" t="s">
        <v>291</v>
      </c>
      <c r="D28" s="4" t="s">
        <v>141</v>
      </c>
      <c r="E28" s="4">
        <v>97</v>
      </c>
      <c r="F28" s="12">
        <v>833133</v>
      </c>
      <c r="G28" s="12">
        <v>743404</v>
      </c>
      <c r="H28" s="13">
        <v>112.1</v>
      </c>
      <c r="I28" s="4">
        <v>11</v>
      </c>
      <c r="J28" s="14">
        <v>4.4000000000000004</v>
      </c>
    </row>
    <row r="29" spans="1:10" x14ac:dyDescent="0.25">
      <c r="A29" s="4" t="s">
        <v>299</v>
      </c>
      <c r="B29" s="4" t="s">
        <v>131</v>
      </c>
      <c r="C29" s="4" t="s">
        <v>291</v>
      </c>
      <c r="D29" s="4" t="s">
        <v>136</v>
      </c>
      <c r="E29" s="4">
        <v>95</v>
      </c>
      <c r="F29" s="12">
        <v>743660</v>
      </c>
      <c r="G29" s="12">
        <v>819728</v>
      </c>
      <c r="H29" s="13">
        <v>90.7</v>
      </c>
      <c r="I29" s="4">
        <v>3</v>
      </c>
      <c r="J29" s="14">
        <v>3.9</v>
      </c>
    </row>
    <row r="30" spans="1:10" x14ac:dyDescent="0.25">
      <c r="A30" s="4" t="s">
        <v>299</v>
      </c>
      <c r="B30" s="4" t="s">
        <v>131</v>
      </c>
      <c r="C30" s="4" t="s">
        <v>291</v>
      </c>
      <c r="D30" s="4" t="s">
        <v>126</v>
      </c>
      <c r="E30" s="4">
        <v>152</v>
      </c>
      <c r="F30" s="12">
        <v>81168</v>
      </c>
      <c r="G30" s="12">
        <v>92679</v>
      </c>
      <c r="H30" s="13">
        <v>87.6</v>
      </c>
      <c r="I30" s="4">
        <v>14</v>
      </c>
      <c r="J30" s="14">
        <v>3.9</v>
      </c>
    </row>
    <row r="31" spans="1:10" x14ac:dyDescent="0.25">
      <c r="A31" s="4" t="s">
        <v>299</v>
      </c>
      <c r="B31" s="4" t="s">
        <v>131</v>
      </c>
      <c r="C31" s="4" t="s">
        <v>292</v>
      </c>
      <c r="D31" s="4" t="s">
        <v>141</v>
      </c>
      <c r="E31" s="4">
        <v>105</v>
      </c>
      <c r="F31" s="12">
        <v>487305</v>
      </c>
      <c r="G31" s="12">
        <v>512284</v>
      </c>
      <c r="H31" s="13">
        <v>95.1</v>
      </c>
      <c r="I31" s="4">
        <v>10</v>
      </c>
      <c r="J31" s="14">
        <v>4.7</v>
      </c>
    </row>
    <row r="32" spans="1:10" x14ac:dyDescent="0.25">
      <c r="A32" s="4" t="s">
        <v>299</v>
      </c>
      <c r="B32" s="4" t="s">
        <v>131</v>
      </c>
      <c r="C32" s="4" t="s">
        <v>292</v>
      </c>
      <c r="D32" s="4" t="s">
        <v>136</v>
      </c>
      <c r="E32" s="4">
        <v>162</v>
      </c>
      <c r="F32" s="12">
        <v>1031616</v>
      </c>
      <c r="G32" s="12">
        <v>967846</v>
      </c>
      <c r="H32" s="13">
        <v>106.6</v>
      </c>
      <c r="I32" s="4">
        <v>8</v>
      </c>
      <c r="J32" s="14">
        <v>3.9</v>
      </c>
    </row>
    <row r="33" spans="1:10" x14ac:dyDescent="0.25">
      <c r="A33" s="4" t="s">
        <v>299</v>
      </c>
      <c r="B33" s="4" t="s">
        <v>131</v>
      </c>
      <c r="C33" s="4" t="s">
        <v>292</v>
      </c>
      <c r="D33" s="4" t="s">
        <v>126</v>
      </c>
      <c r="E33" s="4">
        <v>114</v>
      </c>
      <c r="F33" s="12">
        <v>40926</v>
      </c>
      <c r="G33" s="12">
        <v>46804</v>
      </c>
      <c r="H33" s="13">
        <v>87.4</v>
      </c>
      <c r="I33" s="4">
        <v>13</v>
      </c>
      <c r="J33" s="14">
        <v>4.2</v>
      </c>
    </row>
    <row r="34" spans="1:10" x14ac:dyDescent="0.25">
      <c r="A34" s="4" t="s">
        <v>299</v>
      </c>
      <c r="B34" s="4" t="s">
        <v>124</v>
      </c>
      <c r="C34" s="4" t="s">
        <v>293</v>
      </c>
      <c r="D34" s="4" t="s">
        <v>141</v>
      </c>
      <c r="E34" s="4">
        <v>112</v>
      </c>
      <c r="F34" s="12">
        <v>1087296</v>
      </c>
      <c r="G34" s="12">
        <v>1219182</v>
      </c>
      <c r="H34" s="13">
        <v>89.2</v>
      </c>
      <c r="I34" s="4">
        <v>9</v>
      </c>
      <c r="J34" s="14">
        <v>4.7</v>
      </c>
    </row>
    <row r="35" spans="1:10" x14ac:dyDescent="0.25">
      <c r="A35" s="4" t="s">
        <v>299</v>
      </c>
      <c r="B35" s="4" t="s">
        <v>124</v>
      </c>
      <c r="C35" s="4" t="s">
        <v>293</v>
      </c>
      <c r="D35" s="4" t="s">
        <v>136</v>
      </c>
      <c r="E35" s="4">
        <v>198</v>
      </c>
      <c r="F35" s="12">
        <v>1477476</v>
      </c>
      <c r="G35" s="12">
        <v>1646570</v>
      </c>
      <c r="H35" s="13">
        <v>89.7</v>
      </c>
      <c r="I35" s="4">
        <v>6</v>
      </c>
      <c r="J35" s="14">
        <v>3.8</v>
      </c>
    </row>
    <row r="36" spans="1:10" x14ac:dyDescent="0.25">
      <c r="A36" s="4" t="s">
        <v>299</v>
      </c>
      <c r="B36" s="4" t="s">
        <v>124</v>
      </c>
      <c r="C36" s="4" t="s">
        <v>293</v>
      </c>
      <c r="D36" s="4" t="s">
        <v>126</v>
      </c>
      <c r="E36" s="4">
        <v>90</v>
      </c>
      <c r="F36" s="12">
        <v>29340</v>
      </c>
      <c r="G36" s="12">
        <v>27898</v>
      </c>
      <c r="H36" s="13">
        <v>105.2</v>
      </c>
      <c r="I36" s="4">
        <v>5</v>
      </c>
      <c r="J36" s="14">
        <v>4.4000000000000004</v>
      </c>
    </row>
    <row r="37" spans="1:10" x14ac:dyDescent="0.25">
      <c r="A37" s="4" t="s">
        <v>299</v>
      </c>
      <c r="B37" s="4" t="s">
        <v>124</v>
      </c>
      <c r="C37" s="4" t="s">
        <v>294</v>
      </c>
      <c r="D37" s="4" t="s">
        <v>141</v>
      </c>
      <c r="E37" s="4">
        <v>89</v>
      </c>
      <c r="F37" s="12">
        <v>561768</v>
      </c>
      <c r="G37" s="12">
        <v>654907</v>
      </c>
      <c r="H37" s="13">
        <v>85.8</v>
      </c>
      <c r="I37" s="4">
        <v>4</v>
      </c>
      <c r="J37" s="14">
        <v>4.3</v>
      </c>
    </row>
    <row r="38" spans="1:10" x14ac:dyDescent="0.25">
      <c r="A38" s="4" t="s">
        <v>299</v>
      </c>
      <c r="B38" s="4" t="s">
        <v>124</v>
      </c>
      <c r="C38" s="4" t="s">
        <v>294</v>
      </c>
      <c r="D38" s="4" t="s">
        <v>136</v>
      </c>
      <c r="E38" s="4">
        <v>220</v>
      </c>
      <c r="F38" s="12">
        <v>856680</v>
      </c>
      <c r="G38" s="12">
        <v>875933</v>
      </c>
      <c r="H38" s="13">
        <v>97.8</v>
      </c>
      <c r="I38" s="4">
        <v>11</v>
      </c>
      <c r="J38" s="14">
        <v>4.3</v>
      </c>
    </row>
    <row r="39" spans="1:10" x14ac:dyDescent="0.25">
      <c r="A39" s="4" t="s">
        <v>299</v>
      </c>
      <c r="B39" s="4" t="s">
        <v>124</v>
      </c>
      <c r="C39" s="4" t="s">
        <v>294</v>
      </c>
      <c r="D39" s="4" t="s">
        <v>126</v>
      </c>
      <c r="E39" s="4">
        <v>40</v>
      </c>
      <c r="F39" s="12">
        <v>8280</v>
      </c>
      <c r="G39" s="12">
        <v>8697</v>
      </c>
      <c r="H39" s="13">
        <v>95.2</v>
      </c>
      <c r="I39" s="4">
        <v>1</v>
      </c>
      <c r="J39" s="14">
        <v>3.2</v>
      </c>
    </row>
    <row r="40" spans="1:10" x14ac:dyDescent="0.25">
      <c r="A40" s="4" t="s">
        <v>299</v>
      </c>
      <c r="B40" s="4" t="s">
        <v>154</v>
      </c>
      <c r="C40" s="4" t="s">
        <v>295</v>
      </c>
      <c r="D40" s="4" t="s">
        <v>141</v>
      </c>
      <c r="E40" s="4">
        <v>119</v>
      </c>
      <c r="F40" s="12">
        <v>742798</v>
      </c>
      <c r="G40" s="12">
        <v>783241</v>
      </c>
      <c r="H40" s="13">
        <v>94.8</v>
      </c>
      <c r="I40" s="4">
        <v>12</v>
      </c>
      <c r="J40" s="14">
        <v>4</v>
      </c>
    </row>
    <row r="41" spans="1:10" x14ac:dyDescent="0.25">
      <c r="A41" s="4" t="s">
        <v>299</v>
      </c>
      <c r="B41" s="4" t="s">
        <v>154</v>
      </c>
      <c r="C41" s="4" t="s">
        <v>295</v>
      </c>
      <c r="D41" s="4" t="s">
        <v>136</v>
      </c>
      <c r="E41" s="4">
        <v>92</v>
      </c>
      <c r="F41" s="12">
        <v>382812</v>
      </c>
      <c r="G41" s="12">
        <v>430500</v>
      </c>
      <c r="H41" s="13">
        <v>88.9</v>
      </c>
      <c r="I41" s="4">
        <v>11</v>
      </c>
      <c r="J41" s="14">
        <v>3.9</v>
      </c>
    </row>
    <row r="42" spans="1:10" x14ac:dyDescent="0.25">
      <c r="A42" s="4" t="s">
        <v>299</v>
      </c>
      <c r="B42" s="4" t="s">
        <v>154</v>
      </c>
      <c r="C42" s="4" t="s">
        <v>295</v>
      </c>
      <c r="D42" s="4" t="s">
        <v>126</v>
      </c>
      <c r="E42" s="4">
        <v>183</v>
      </c>
      <c r="F42" s="12">
        <v>77043</v>
      </c>
      <c r="G42" s="12">
        <v>82836</v>
      </c>
      <c r="H42" s="13">
        <v>93</v>
      </c>
      <c r="I42" s="4">
        <v>20</v>
      </c>
      <c r="J42" s="14">
        <v>4.5999999999999996</v>
      </c>
    </row>
    <row r="43" spans="1:10" x14ac:dyDescent="0.25">
      <c r="A43" s="4" t="s">
        <v>299</v>
      </c>
      <c r="B43" s="4" t="s">
        <v>154</v>
      </c>
      <c r="C43" s="4" t="s">
        <v>296</v>
      </c>
      <c r="D43" s="4" t="s">
        <v>141</v>
      </c>
      <c r="E43" s="4">
        <v>195</v>
      </c>
      <c r="F43" s="12">
        <v>1600950</v>
      </c>
      <c r="G43" s="12">
        <v>1489066</v>
      </c>
      <c r="H43" s="13">
        <v>107.5</v>
      </c>
      <c r="I43" s="4">
        <v>0</v>
      </c>
      <c r="J43" s="14">
        <v>4.9000000000000004</v>
      </c>
    </row>
    <row r="44" spans="1:10" x14ac:dyDescent="0.25">
      <c r="A44" s="4" t="s">
        <v>299</v>
      </c>
      <c r="B44" s="4" t="s">
        <v>154</v>
      </c>
      <c r="C44" s="4" t="s">
        <v>296</v>
      </c>
      <c r="D44" s="4" t="s">
        <v>136</v>
      </c>
      <c r="E44" s="4">
        <v>118</v>
      </c>
      <c r="F44" s="12">
        <v>309042</v>
      </c>
      <c r="G44" s="12">
        <v>331958</v>
      </c>
      <c r="H44" s="13">
        <v>93.1</v>
      </c>
      <c r="I44" s="4">
        <v>0</v>
      </c>
      <c r="J44" s="14">
        <v>3.9</v>
      </c>
    </row>
    <row r="45" spans="1:10" x14ac:dyDescent="0.25">
      <c r="A45" s="4" t="s">
        <v>299</v>
      </c>
      <c r="B45" s="4" t="s">
        <v>154</v>
      </c>
      <c r="C45" s="4" t="s">
        <v>296</v>
      </c>
      <c r="D45" s="4" t="s">
        <v>126</v>
      </c>
      <c r="E45" s="4">
        <v>134</v>
      </c>
      <c r="F45" s="12">
        <v>58290</v>
      </c>
      <c r="G45" s="12">
        <v>62678</v>
      </c>
      <c r="H45" s="13">
        <v>93</v>
      </c>
      <c r="I45" s="4">
        <v>9</v>
      </c>
      <c r="J45" s="14">
        <v>3.5</v>
      </c>
    </row>
    <row r="46" spans="1:10" x14ac:dyDescent="0.25">
      <c r="A46" s="4" t="s">
        <v>299</v>
      </c>
      <c r="B46" s="4" t="s">
        <v>134</v>
      </c>
      <c r="C46" s="4" t="s">
        <v>297</v>
      </c>
      <c r="D46" s="4" t="s">
        <v>141</v>
      </c>
      <c r="E46" s="4">
        <v>65</v>
      </c>
      <c r="F46" s="12">
        <v>647790</v>
      </c>
      <c r="G46" s="12">
        <v>653865</v>
      </c>
      <c r="H46" s="13">
        <v>99.1</v>
      </c>
      <c r="I46" s="4">
        <v>2</v>
      </c>
      <c r="J46" s="14">
        <v>3.7</v>
      </c>
    </row>
    <row r="47" spans="1:10" x14ac:dyDescent="0.25">
      <c r="A47" s="4" t="s">
        <v>299</v>
      </c>
      <c r="B47" s="4" t="s">
        <v>134</v>
      </c>
      <c r="C47" s="4" t="s">
        <v>297</v>
      </c>
      <c r="D47" s="4" t="s">
        <v>136</v>
      </c>
      <c r="E47" s="4">
        <v>124</v>
      </c>
      <c r="F47" s="12">
        <v>378448</v>
      </c>
      <c r="G47" s="12">
        <v>440272</v>
      </c>
      <c r="H47" s="13">
        <v>86</v>
      </c>
      <c r="I47" s="4">
        <v>14</v>
      </c>
      <c r="J47" s="14">
        <v>4</v>
      </c>
    </row>
    <row r="48" spans="1:10" x14ac:dyDescent="0.25">
      <c r="A48" s="4" t="s">
        <v>299</v>
      </c>
      <c r="B48" s="4" t="s">
        <v>134</v>
      </c>
      <c r="C48" s="4" t="s">
        <v>297</v>
      </c>
      <c r="D48" s="4" t="s">
        <v>126</v>
      </c>
      <c r="E48" s="4">
        <v>217</v>
      </c>
      <c r="F48" s="12">
        <v>110453</v>
      </c>
      <c r="G48" s="12">
        <v>113524</v>
      </c>
      <c r="H48" s="13">
        <v>97.3</v>
      </c>
      <c r="I48" s="4">
        <v>17</v>
      </c>
      <c r="J48" s="14">
        <v>4.8</v>
      </c>
    </row>
    <row r="49" spans="1:10" x14ac:dyDescent="0.25">
      <c r="A49" s="4" t="s">
        <v>299</v>
      </c>
      <c r="B49" s="4" t="s">
        <v>134</v>
      </c>
      <c r="C49" s="4" t="s">
        <v>298</v>
      </c>
      <c r="D49" s="4" t="s">
        <v>141</v>
      </c>
      <c r="E49" s="4">
        <v>85</v>
      </c>
      <c r="F49" s="12">
        <v>798575</v>
      </c>
      <c r="G49" s="12">
        <v>758700</v>
      </c>
      <c r="H49" s="13">
        <v>105.3</v>
      </c>
      <c r="I49" s="4">
        <v>4</v>
      </c>
      <c r="J49" s="14">
        <v>4</v>
      </c>
    </row>
    <row r="50" spans="1:10" x14ac:dyDescent="0.25">
      <c r="A50" s="4" t="s">
        <v>299</v>
      </c>
      <c r="B50" s="4" t="s">
        <v>134</v>
      </c>
      <c r="C50" s="4" t="s">
        <v>298</v>
      </c>
      <c r="D50" s="4" t="s">
        <v>136</v>
      </c>
      <c r="E50" s="4">
        <v>219</v>
      </c>
      <c r="F50" s="12">
        <v>1124346</v>
      </c>
      <c r="G50" s="12">
        <v>1073862</v>
      </c>
      <c r="H50" s="13">
        <v>104.7</v>
      </c>
      <c r="I50" s="4">
        <v>15</v>
      </c>
      <c r="J50" s="14">
        <v>4.2</v>
      </c>
    </row>
    <row r="51" spans="1:10" x14ac:dyDescent="0.25">
      <c r="A51" s="4" t="s">
        <v>299</v>
      </c>
      <c r="B51" s="4" t="s">
        <v>134</v>
      </c>
      <c r="C51" s="4" t="s">
        <v>298</v>
      </c>
      <c r="D51" s="4" t="s">
        <v>126</v>
      </c>
      <c r="E51" s="4">
        <v>200</v>
      </c>
      <c r="F51" s="12">
        <v>78600</v>
      </c>
      <c r="G51" s="12">
        <v>85124</v>
      </c>
      <c r="H51" s="13">
        <v>92.3</v>
      </c>
      <c r="I51" s="4">
        <v>2</v>
      </c>
      <c r="J51" s="14">
        <v>4.0999999999999996</v>
      </c>
    </row>
    <row r="52" spans="1:10" x14ac:dyDescent="0.25">
      <c r="A52" s="4" t="s">
        <v>300</v>
      </c>
      <c r="B52" s="4" t="s">
        <v>131</v>
      </c>
      <c r="C52" s="4" t="s">
        <v>291</v>
      </c>
      <c r="D52" s="4" t="s">
        <v>141</v>
      </c>
      <c r="E52" s="4">
        <v>157</v>
      </c>
      <c r="F52" s="12">
        <v>589064</v>
      </c>
      <c r="G52" s="12">
        <v>527770</v>
      </c>
      <c r="H52" s="13">
        <v>111.6</v>
      </c>
      <c r="I52" s="4">
        <v>15</v>
      </c>
      <c r="J52" s="14">
        <v>3.3</v>
      </c>
    </row>
    <row r="53" spans="1:10" x14ac:dyDescent="0.25">
      <c r="A53" s="4" t="s">
        <v>300</v>
      </c>
      <c r="B53" s="4" t="s">
        <v>131</v>
      </c>
      <c r="C53" s="4" t="s">
        <v>291</v>
      </c>
      <c r="D53" s="4" t="s">
        <v>136</v>
      </c>
      <c r="E53" s="4">
        <v>207</v>
      </c>
      <c r="F53" s="12">
        <v>420624</v>
      </c>
      <c r="G53" s="12">
        <v>450440</v>
      </c>
      <c r="H53" s="13">
        <v>93.4</v>
      </c>
      <c r="I53" s="4">
        <v>17</v>
      </c>
      <c r="J53" s="14">
        <v>3.7</v>
      </c>
    </row>
    <row r="54" spans="1:10" x14ac:dyDescent="0.25">
      <c r="A54" s="4" t="s">
        <v>300</v>
      </c>
      <c r="B54" s="4" t="s">
        <v>131</v>
      </c>
      <c r="C54" s="4" t="s">
        <v>291</v>
      </c>
      <c r="D54" s="4" t="s">
        <v>126</v>
      </c>
      <c r="E54" s="4">
        <v>43</v>
      </c>
      <c r="F54" s="12">
        <v>19264</v>
      </c>
      <c r="G54" s="12">
        <v>19530</v>
      </c>
      <c r="H54" s="13">
        <v>98.6</v>
      </c>
      <c r="I54" s="4">
        <v>2</v>
      </c>
      <c r="J54" s="14">
        <v>3.5</v>
      </c>
    </row>
    <row r="55" spans="1:10" x14ac:dyDescent="0.25">
      <c r="A55" s="4" t="s">
        <v>300</v>
      </c>
      <c r="B55" s="4" t="s">
        <v>131</v>
      </c>
      <c r="C55" s="4" t="s">
        <v>292</v>
      </c>
      <c r="D55" s="4" t="s">
        <v>141</v>
      </c>
      <c r="E55" s="4">
        <v>190</v>
      </c>
      <c r="F55" s="12">
        <v>812820</v>
      </c>
      <c r="G55" s="12">
        <v>820058</v>
      </c>
      <c r="H55" s="13">
        <v>99.1</v>
      </c>
      <c r="I55" s="4">
        <v>1</v>
      </c>
      <c r="J55" s="14">
        <v>3.8</v>
      </c>
    </row>
    <row r="56" spans="1:10" x14ac:dyDescent="0.25">
      <c r="A56" s="4" t="s">
        <v>300</v>
      </c>
      <c r="B56" s="4" t="s">
        <v>131</v>
      </c>
      <c r="C56" s="4" t="s">
        <v>292</v>
      </c>
      <c r="D56" s="4" t="s">
        <v>136</v>
      </c>
      <c r="E56" s="4">
        <v>98</v>
      </c>
      <c r="F56" s="12">
        <v>641704</v>
      </c>
      <c r="G56" s="12">
        <v>722979</v>
      </c>
      <c r="H56" s="13">
        <v>88.8</v>
      </c>
      <c r="I56" s="4">
        <v>2</v>
      </c>
      <c r="J56" s="14">
        <v>4.5999999999999996</v>
      </c>
    </row>
    <row r="57" spans="1:10" x14ac:dyDescent="0.25">
      <c r="A57" s="4" t="s">
        <v>300</v>
      </c>
      <c r="B57" s="4" t="s">
        <v>131</v>
      </c>
      <c r="C57" s="4" t="s">
        <v>292</v>
      </c>
      <c r="D57" s="4" t="s">
        <v>126</v>
      </c>
      <c r="E57" s="4">
        <v>54</v>
      </c>
      <c r="F57" s="12">
        <v>27324</v>
      </c>
      <c r="G57" s="12">
        <v>30193</v>
      </c>
      <c r="H57" s="13">
        <v>90.5</v>
      </c>
      <c r="I57" s="4">
        <v>1</v>
      </c>
      <c r="J57" s="14">
        <v>4.5999999999999996</v>
      </c>
    </row>
    <row r="58" spans="1:10" x14ac:dyDescent="0.25">
      <c r="A58" s="4" t="s">
        <v>300</v>
      </c>
      <c r="B58" s="4" t="s">
        <v>124</v>
      </c>
      <c r="C58" s="4" t="s">
        <v>293</v>
      </c>
      <c r="D58" s="4" t="s">
        <v>141</v>
      </c>
      <c r="E58" s="4">
        <v>69</v>
      </c>
      <c r="F58" s="12">
        <v>789360</v>
      </c>
      <c r="G58" s="12">
        <v>725212</v>
      </c>
      <c r="H58" s="13">
        <v>108.8</v>
      </c>
      <c r="I58" s="4">
        <v>4</v>
      </c>
      <c r="J58" s="14">
        <v>4.3</v>
      </c>
    </row>
    <row r="59" spans="1:10" x14ac:dyDescent="0.25">
      <c r="A59" s="4" t="s">
        <v>300</v>
      </c>
      <c r="B59" s="4" t="s">
        <v>124</v>
      </c>
      <c r="C59" s="4" t="s">
        <v>293</v>
      </c>
      <c r="D59" s="4" t="s">
        <v>136</v>
      </c>
      <c r="E59" s="4">
        <v>58</v>
      </c>
      <c r="F59" s="12">
        <v>381930</v>
      </c>
      <c r="G59" s="12">
        <v>449013</v>
      </c>
      <c r="H59" s="13">
        <v>85.1</v>
      </c>
      <c r="I59" s="4">
        <v>6</v>
      </c>
      <c r="J59" s="14">
        <v>4.2</v>
      </c>
    </row>
    <row r="60" spans="1:10" x14ac:dyDescent="0.25">
      <c r="A60" s="4" t="s">
        <v>300</v>
      </c>
      <c r="B60" s="4" t="s">
        <v>124</v>
      </c>
      <c r="C60" s="4" t="s">
        <v>293</v>
      </c>
      <c r="D60" s="4" t="s">
        <v>126</v>
      </c>
      <c r="E60" s="4">
        <v>219</v>
      </c>
      <c r="F60" s="12">
        <v>72489</v>
      </c>
      <c r="G60" s="12">
        <v>78326</v>
      </c>
      <c r="H60" s="13">
        <v>92.5</v>
      </c>
      <c r="I60" s="4">
        <v>26</v>
      </c>
      <c r="J60" s="14">
        <v>4.0999999999999996</v>
      </c>
    </row>
    <row r="61" spans="1:10" x14ac:dyDescent="0.25">
      <c r="A61" s="4" t="s">
        <v>300</v>
      </c>
      <c r="B61" s="4" t="s">
        <v>124</v>
      </c>
      <c r="C61" s="4" t="s">
        <v>294</v>
      </c>
      <c r="D61" s="4" t="s">
        <v>141</v>
      </c>
      <c r="E61" s="4">
        <v>213</v>
      </c>
      <c r="F61" s="12">
        <v>1141680</v>
      </c>
      <c r="G61" s="12">
        <v>1301400</v>
      </c>
      <c r="H61" s="13">
        <v>87.7</v>
      </c>
      <c r="I61" s="4">
        <v>4</v>
      </c>
      <c r="J61" s="14">
        <v>3.5</v>
      </c>
    </row>
    <row r="62" spans="1:10" x14ac:dyDescent="0.25">
      <c r="A62" s="4" t="s">
        <v>300</v>
      </c>
      <c r="B62" s="4" t="s">
        <v>124</v>
      </c>
      <c r="C62" s="4" t="s">
        <v>294</v>
      </c>
      <c r="D62" s="4" t="s">
        <v>136</v>
      </c>
      <c r="E62" s="4">
        <v>62</v>
      </c>
      <c r="F62" s="12">
        <v>140802</v>
      </c>
      <c r="G62" s="12">
        <v>158790</v>
      </c>
      <c r="H62" s="13">
        <v>88.7</v>
      </c>
      <c r="I62" s="4">
        <v>6</v>
      </c>
      <c r="J62" s="14">
        <v>3.5</v>
      </c>
    </row>
    <row r="63" spans="1:10" x14ac:dyDescent="0.25">
      <c r="A63" s="4" t="s">
        <v>300</v>
      </c>
      <c r="B63" s="4" t="s">
        <v>124</v>
      </c>
      <c r="C63" s="4" t="s">
        <v>294</v>
      </c>
      <c r="D63" s="4" t="s">
        <v>126</v>
      </c>
      <c r="E63" s="4">
        <v>99</v>
      </c>
      <c r="F63" s="12">
        <v>45936</v>
      </c>
      <c r="G63" s="12">
        <v>49227</v>
      </c>
      <c r="H63" s="13">
        <v>93.3</v>
      </c>
      <c r="I63" s="4">
        <v>9</v>
      </c>
      <c r="J63" s="14">
        <v>3.5</v>
      </c>
    </row>
    <row r="64" spans="1:10" x14ac:dyDescent="0.25">
      <c r="A64" s="4" t="s">
        <v>300</v>
      </c>
      <c r="B64" s="4" t="s">
        <v>154</v>
      </c>
      <c r="C64" s="4" t="s">
        <v>295</v>
      </c>
      <c r="D64" s="4" t="s">
        <v>141</v>
      </c>
      <c r="E64" s="4">
        <v>53</v>
      </c>
      <c r="F64" s="12">
        <v>482777</v>
      </c>
      <c r="G64" s="12">
        <v>566670</v>
      </c>
      <c r="H64" s="13">
        <v>85.2</v>
      </c>
      <c r="I64" s="4">
        <v>3</v>
      </c>
      <c r="J64" s="14">
        <v>3.5</v>
      </c>
    </row>
    <row r="65" spans="1:10" x14ac:dyDescent="0.25">
      <c r="A65" s="4" t="s">
        <v>300</v>
      </c>
      <c r="B65" s="4" t="s">
        <v>154</v>
      </c>
      <c r="C65" s="4" t="s">
        <v>295</v>
      </c>
      <c r="D65" s="4" t="s">
        <v>136</v>
      </c>
      <c r="E65" s="4">
        <v>85</v>
      </c>
      <c r="F65" s="12">
        <v>247350</v>
      </c>
      <c r="G65" s="12">
        <v>233491</v>
      </c>
      <c r="H65" s="13">
        <v>105.9</v>
      </c>
      <c r="I65" s="4">
        <v>10</v>
      </c>
      <c r="J65" s="14">
        <v>4.8</v>
      </c>
    </row>
    <row r="66" spans="1:10" x14ac:dyDescent="0.25">
      <c r="A66" s="4" t="s">
        <v>300</v>
      </c>
      <c r="B66" s="4" t="s">
        <v>154</v>
      </c>
      <c r="C66" s="4" t="s">
        <v>295</v>
      </c>
      <c r="D66" s="4" t="s">
        <v>126</v>
      </c>
      <c r="E66" s="4">
        <v>43</v>
      </c>
      <c r="F66" s="12">
        <v>11524</v>
      </c>
      <c r="G66" s="12">
        <v>11816</v>
      </c>
      <c r="H66" s="13">
        <v>97.5</v>
      </c>
      <c r="I66" s="4">
        <v>5</v>
      </c>
      <c r="J66" s="14">
        <v>4.5</v>
      </c>
    </row>
    <row r="67" spans="1:10" x14ac:dyDescent="0.25">
      <c r="A67" s="4" t="s">
        <v>300</v>
      </c>
      <c r="B67" s="4" t="s">
        <v>154</v>
      </c>
      <c r="C67" s="4" t="s">
        <v>296</v>
      </c>
      <c r="D67" s="4" t="s">
        <v>141</v>
      </c>
      <c r="E67" s="4">
        <v>100</v>
      </c>
      <c r="F67" s="12">
        <v>1077200</v>
      </c>
      <c r="G67" s="12">
        <v>1231456</v>
      </c>
      <c r="H67" s="13">
        <v>87.5</v>
      </c>
      <c r="I67" s="4">
        <v>9</v>
      </c>
      <c r="J67" s="14">
        <v>4.7</v>
      </c>
    </row>
    <row r="68" spans="1:10" x14ac:dyDescent="0.25">
      <c r="A68" s="4" t="s">
        <v>300</v>
      </c>
      <c r="B68" s="4" t="s">
        <v>154</v>
      </c>
      <c r="C68" s="4" t="s">
        <v>296</v>
      </c>
      <c r="D68" s="4" t="s">
        <v>136</v>
      </c>
      <c r="E68" s="4">
        <v>60</v>
      </c>
      <c r="F68" s="12">
        <v>199320</v>
      </c>
      <c r="G68" s="12">
        <v>231735</v>
      </c>
      <c r="H68" s="13">
        <v>86</v>
      </c>
      <c r="I68" s="4">
        <v>2</v>
      </c>
      <c r="J68" s="14">
        <v>4.5</v>
      </c>
    </row>
    <row r="69" spans="1:10" x14ac:dyDescent="0.25">
      <c r="A69" s="4" t="s">
        <v>300</v>
      </c>
      <c r="B69" s="4" t="s">
        <v>154</v>
      </c>
      <c r="C69" s="4" t="s">
        <v>296</v>
      </c>
      <c r="D69" s="4" t="s">
        <v>126</v>
      </c>
      <c r="E69" s="4">
        <v>135</v>
      </c>
      <c r="F69" s="12">
        <v>37665</v>
      </c>
      <c r="G69" s="12">
        <v>38143</v>
      </c>
      <c r="H69" s="13">
        <v>98.7</v>
      </c>
      <c r="I69" s="4">
        <v>1</v>
      </c>
      <c r="J69" s="14">
        <v>4.2</v>
      </c>
    </row>
    <row r="70" spans="1:10" x14ac:dyDescent="0.25">
      <c r="A70" s="4" t="s">
        <v>300</v>
      </c>
      <c r="B70" s="4" t="s">
        <v>134</v>
      </c>
      <c r="C70" s="4" t="s">
        <v>297</v>
      </c>
      <c r="D70" s="4" t="s">
        <v>141</v>
      </c>
      <c r="E70" s="4">
        <v>45</v>
      </c>
      <c r="F70" s="12">
        <v>379125</v>
      </c>
      <c r="G70" s="12">
        <v>466110</v>
      </c>
      <c r="H70" s="13">
        <v>81.3</v>
      </c>
      <c r="I70" s="4">
        <v>1</v>
      </c>
      <c r="J70" s="14">
        <v>4.8</v>
      </c>
    </row>
    <row r="71" spans="1:10" x14ac:dyDescent="0.25">
      <c r="A71" s="4" t="s">
        <v>300</v>
      </c>
      <c r="B71" s="4" t="s">
        <v>134</v>
      </c>
      <c r="C71" s="4" t="s">
        <v>297</v>
      </c>
      <c r="D71" s="4" t="s">
        <v>136</v>
      </c>
      <c r="E71" s="4">
        <v>113</v>
      </c>
      <c r="F71" s="12">
        <v>740602</v>
      </c>
      <c r="G71" s="12">
        <v>732248</v>
      </c>
      <c r="H71" s="13">
        <v>101.1</v>
      </c>
      <c r="I71" s="4">
        <v>1</v>
      </c>
      <c r="J71" s="14">
        <v>4</v>
      </c>
    </row>
    <row r="72" spans="1:10" x14ac:dyDescent="0.25">
      <c r="A72" s="4" t="s">
        <v>300</v>
      </c>
      <c r="B72" s="4" t="s">
        <v>134</v>
      </c>
      <c r="C72" s="4" t="s">
        <v>297</v>
      </c>
      <c r="D72" s="4" t="s">
        <v>126</v>
      </c>
      <c r="E72" s="4">
        <v>58</v>
      </c>
      <c r="F72" s="12">
        <v>9860</v>
      </c>
      <c r="G72" s="12">
        <v>10065</v>
      </c>
      <c r="H72" s="13">
        <v>98</v>
      </c>
      <c r="I72" s="4">
        <v>4</v>
      </c>
      <c r="J72" s="14">
        <v>4.4000000000000004</v>
      </c>
    </row>
    <row r="73" spans="1:10" x14ac:dyDescent="0.25">
      <c r="A73" s="4" t="s">
        <v>300</v>
      </c>
      <c r="B73" s="4" t="s">
        <v>134</v>
      </c>
      <c r="C73" s="4" t="s">
        <v>298</v>
      </c>
      <c r="D73" s="4" t="s">
        <v>141</v>
      </c>
      <c r="E73" s="4">
        <v>125</v>
      </c>
      <c r="F73" s="12">
        <v>1107000</v>
      </c>
      <c r="G73" s="12">
        <v>1297620</v>
      </c>
      <c r="H73" s="13">
        <v>85.3</v>
      </c>
      <c r="I73" s="4">
        <v>1</v>
      </c>
      <c r="J73" s="14">
        <v>3.8</v>
      </c>
    </row>
    <row r="74" spans="1:10" x14ac:dyDescent="0.25">
      <c r="A74" s="4" t="s">
        <v>300</v>
      </c>
      <c r="B74" s="4" t="s">
        <v>134</v>
      </c>
      <c r="C74" s="4" t="s">
        <v>298</v>
      </c>
      <c r="D74" s="4" t="s">
        <v>136</v>
      </c>
      <c r="E74" s="4">
        <v>109</v>
      </c>
      <c r="F74" s="12">
        <v>762891</v>
      </c>
      <c r="G74" s="12">
        <v>738471</v>
      </c>
      <c r="H74" s="13">
        <v>103.3</v>
      </c>
      <c r="I74" s="4">
        <v>2</v>
      </c>
      <c r="J74" s="14">
        <v>4.4000000000000004</v>
      </c>
    </row>
    <row r="75" spans="1:10" x14ac:dyDescent="0.25">
      <c r="A75" s="4" t="s">
        <v>300</v>
      </c>
      <c r="B75" s="4" t="s">
        <v>134</v>
      </c>
      <c r="C75" s="4" t="s">
        <v>298</v>
      </c>
      <c r="D75" s="4" t="s">
        <v>126</v>
      </c>
      <c r="E75" s="4">
        <v>44</v>
      </c>
      <c r="F75" s="12">
        <v>23804</v>
      </c>
      <c r="G75" s="12">
        <v>26723</v>
      </c>
      <c r="H75" s="13">
        <v>89.1</v>
      </c>
      <c r="I75" s="4">
        <v>2</v>
      </c>
      <c r="J75" s="14">
        <v>4.5</v>
      </c>
    </row>
    <row r="76" spans="1:10" x14ac:dyDescent="0.25">
      <c r="A76" s="61" t="s">
        <v>301</v>
      </c>
      <c r="B76" s="51"/>
      <c r="C76" s="51"/>
      <c r="D76" s="51"/>
      <c r="E76" s="51"/>
      <c r="F76" s="51"/>
      <c r="G76" s="51"/>
      <c r="H76" s="51"/>
      <c r="I76" s="51"/>
      <c r="J76" s="51"/>
    </row>
  </sheetData>
  <mergeCells count="3">
    <mergeCell ref="A1:J1"/>
    <mergeCell ref="A76:J76"/>
    <mergeCell ref="A2:J2"/>
  </mergeCells>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pageSetUpPr fitToPage="1"/>
  </sheetPr>
  <dimension ref="B2:C29"/>
  <sheetViews>
    <sheetView zoomScale="102" workbookViewId="0">
      <selection activeCell="B7" sqref="B7:C7"/>
    </sheetView>
  </sheetViews>
  <sheetFormatPr defaultRowHeight="15" x14ac:dyDescent="0.25"/>
  <cols>
    <col min="1" max="1" width="3" customWidth="1"/>
    <col min="2" max="2" width="80" customWidth="1"/>
    <col min="3" max="3" width="35" customWidth="1"/>
  </cols>
  <sheetData>
    <row r="2" spans="2:3" x14ac:dyDescent="0.25">
      <c r="B2" s="78" t="s">
        <v>302</v>
      </c>
      <c r="C2" s="51"/>
    </row>
    <row r="3" spans="2:3" x14ac:dyDescent="0.25">
      <c r="B3" s="70"/>
      <c r="C3" s="51"/>
    </row>
    <row r="5" spans="2:3" x14ac:dyDescent="0.25">
      <c r="B5" s="55" t="s">
        <v>303</v>
      </c>
      <c r="C5" s="56"/>
    </row>
    <row r="6" spans="2:3" x14ac:dyDescent="0.25">
      <c r="B6" s="84" t="s">
        <v>304</v>
      </c>
      <c r="C6" s="58"/>
    </row>
    <row r="7" spans="2:3" x14ac:dyDescent="0.25">
      <c r="B7" s="85" t="s">
        <v>305</v>
      </c>
      <c r="C7" s="58"/>
    </row>
    <row r="8" spans="2:3" x14ac:dyDescent="0.25">
      <c r="B8" s="81" t="s">
        <v>306</v>
      </c>
      <c r="C8" s="58"/>
    </row>
    <row r="9" spans="2:3" x14ac:dyDescent="0.25">
      <c r="B9" s="79" t="s">
        <v>307</v>
      </c>
      <c r="C9" s="58"/>
    </row>
    <row r="10" spans="2:3" x14ac:dyDescent="0.25">
      <c r="B10" s="84" t="s">
        <v>308</v>
      </c>
      <c r="C10" s="58"/>
    </row>
    <row r="11" spans="2:3" x14ac:dyDescent="0.25">
      <c r="B11" s="79" t="s">
        <v>309</v>
      </c>
      <c r="C11" s="58"/>
    </row>
    <row r="12" spans="2:3" x14ac:dyDescent="0.25">
      <c r="B12" s="81" t="s">
        <v>310</v>
      </c>
      <c r="C12" s="58"/>
    </row>
    <row r="13" spans="2:3" ht="34.9" customHeight="1" x14ac:dyDescent="0.25">
      <c r="B13" s="74"/>
      <c r="C13" s="76"/>
    </row>
    <row r="15" spans="2:3" x14ac:dyDescent="0.25">
      <c r="B15" s="55" t="s">
        <v>311</v>
      </c>
      <c r="C15" s="56"/>
    </row>
    <row r="16" spans="2:3" ht="48" customHeight="1" x14ac:dyDescent="0.25">
      <c r="B16" s="87" t="s">
        <v>312</v>
      </c>
      <c r="C16" s="58"/>
    </row>
    <row r="17" spans="2:3" ht="31.9" customHeight="1" x14ac:dyDescent="0.25">
      <c r="B17" s="83" t="s">
        <v>313</v>
      </c>
      <c r="C17" s="58"/>
    </row>
    <row r="18" spans="2:3" ht="31.9" customHeight="1" x14ac:dyDescent="0.25">
      <c r="B18" s="87" t="s">
        <v>314</v>
      </c>
      <c r="C18" s="58"/>
    </row>
    <row r="19" spans="2:3" ht="31.9" customHeight="1" x14ac:dyDescent="0.25">
      <c r="B19" s="83" t="s">
        <v>315</v>
      </c>
      <c r="C19" s="58"/>
    </row>
    <row r="20" spans="2:3" ht="34.9" customHeight="1" x14ac:dyDescent="0.25">
      <c r="B20" s="59"/>
      <c r="C20" s="54"/>
    </row>
    <row r="22" spans="2:3" x14ac:dyDescent="0.25">
      <c r="B22" s="55" t="s">
        <v>316</v>
      </c>
      <c r="C22" s="56"/>
    </row>
    <row r="23" spans="2:3" x14ac:dyDescent="0.25">
      <c r="B23" s="79" t="s">
        <v>317</v>
      </c>
      <c r="C23" s="58"/>
    </row>
    <row r="24" spans="2:3" x14ac:dyDescent="0.25">
      <c r="B24" s="81" t="s">
        <v>318</v>
      </c>
      <c r="C24" s="58"/>
    </row>
    <row r="25" spans="2:3" x14ac:dyDescent="0.25">
      <c r="B25" s="79" t="s">
        <v>319</v>
      </c>
      <c r="C25" s="58"/>
    </row>
    <row r="26" spans="2:3" x14ac:dyDescent="0.25">
      <c r="B26" s="81" t="s">
        <v>320</v>
      </c>
      <c r="C26" s="58"/>
    </row>
    <row r="27" spans="2:3" x14ac:dyDescent="0.25">
      <c r="B27" s="79" t="s">
        <v>321</v>
      </c>
      <c r="C27" s="58"/>
    </row>
    <row r="28" spans="2:3" x14ac:dyDescent="0.25">
      <c r="B28" s="86" t="s">
        <v>322</v>
      </c>
      <c r="C28" s="58"/>
    </row>
    <row r="29" spans="2:3" ht="34.9" customHeight="1" x14ac:dyDescent="0.25">
      <c r="B29" s="59"/>
      <c r="C29" s="54"/>
    </row>
  </sheetData>
  <mergeCells count="25">
    <mergeCell ref="B29:C29"/>
    <mergeCell ref="B19:C19"/>
    <mergeCell ref="B10:C10"/>
    <mergeCell ref="B28:C28"/>
    <mergeCell ref="B9:C9"/>
    <mergeCell ref="B16:C16"/>
    <mergeCell ref="B25:C25"/>
    <mergeCell ref="B22:C22"/>
    <mergeCell ref="B24:C24"/>
    <mergeCell ref="B15:C15"/>
    <mergeCell ref="B20:C20"/>
    <mergeCell ref="B26:C26"/>
    <mergeCell ref="B18:C18"/>
    <mergeCell ref="B27:C27"/>
    <mergeCell ref="B12:C12"/>
    <mergeCell ref="B2:C2"/>
    <mergeCell ref="B11:C11"/>
    <mergeCell ref="B23:C23"/>
    <mergeCell ref="B17:C17"/>
    <mergeCell ref="B8:C8"/>
    <mergeCell ref="B13:C13"/>
    <mergeCell ref="B6:C6"/>
    <mergeCell ref="B7:C7"/>
    <mergeCell ref="B3:C3"/>
    <mergeCell ref="B5:C5"/>
  </mergeCells>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72FB8-103F-48EA-BE52-4F1069BD2F05}">
  <dimension ref="B3:M77"/>
  <sheetViews>
    <sheetView zoomScale="103" zoomScaleNormal="164" workbookViewId="0">
      <selection activeCell="O16" sqref="O16"/>
    </sheetView>
  </sheetViews>
  <sheetFormatPr defaultRowHeight="15" x14ac:dyDescent="0.25"/>
  <cols>
    <col min="2" max="2" width="15" customWidth="1"/>
    <col min="3" max="3" width="9.85546875" customWidth="1"/>
    <col min="4" max="4" width="9.42578125" customWidth="1"/>
    <col min="5" max="5" width="13.42578125" customWidth="1"/>
    <col min="6" max="6" width="13" customWidth="1"/>
    <col min="7" max="7" width="12.85546875" customWidth="1"/>
    <col min="8" max="8" width="15.5703125" customWidth="1"/>
    <col min="9" max="9" width="15" customWidth="1"/>
    <col min="10" max="10" width="10" customWidth="1"/>
    <col min="11" max="11" width="21.42578125" customWidth="1"/>
    <col min="13" max="13" width="15.5703125" bestFit="1" customWidth="1"/>
  </cols>
  <sheetData>
    <row r="3" spans="2:13" x14ac:dyDescent="0.25">
      <c r="B3" s="50" t="s">
        <v>373</v>
      </c>
      <c r="C3" s="51"/>
      <c r="D3" s="51"/>
      <c r="E3" s="51"/>
      <c r="F3" s="51"/>
      <c r="G3" s="51"/>
      <c r="H3" s="51"/>
      <c r="I3" s="51"/>
      <c r="J3" s="51"/>
      <c r="K3" s="51"/>
    </row>
    <row r="4" spans="2:13" x14ac:dyDescent="0.25">
      <c r="B4" s="52" t="s">
        <v>374</v>
      </c>
      <c r="C4" s="53"/>
      <c r="D4" s="53"/>
      <c r="E4" s="53"/>
      <c r="F4" s="53"/>
      <c r="G4" s="53"/>
      <c r="H4" s="53"/>
      <c r="I4" s="53"/>
      <c r="J4" s="53"/>
      <c r="K4" s="53"/>
      <c r="M4" s="29"/>
    </row>
    <row r="5" spans="2:13" x14ac:dyDescent="0.25">
      <c r="B5" s="31" t="s">
        <v>282</v>
      </c>
      <c r="C5" s="32" t="s">
        <v>113</v>
      </c>
      <c r="D5" s="32" t="s">
        <v>283</v>
      </c>
      <c r="E5" s="32" t="s">
        <v>115</v>
      </c>
      <c r="F5" s="32" t="s">
        <v>284</v>
      </c>
      <c r="G5" s="32" t="s">
        <v>285</v>
      </c>
      <c r="H5" s="32" t="s">
        <v>286</v>
      </c>
      <c r="I5" s="32" t="s">
        <v>287</v>
      </c>
      <c r="J5" s="32" t="s">
        <v>288</v>
      </c>
      <c r="K5" s="33" t="s">
        <v>289</v>
      </c>
    </row>
    <row r="6" spans="2:13" x14ac:dyDescent="0.25">
      <c r="B6" s="34" t="s">
        <v>290</v>
      </c>
      <c r="C6" s="35" t="s">
        <v>131</v>
      </c>
      <c r="D6" s="35" t="s">
        <v>291</v>
      </c>
      <c r="E6" s="35" t="s">
        <v>141</v>
      </c>
      <c r="F6" s="35">
        <v>143</v>
      </c>
      <c r="G6" s="36">
        <v>1392534</v>
      </c>
      <c r="H6" s="36">
        <v>1295099</v>
      </c>
      <c r="I6" s="37">
        <v>107.5</v>
      </c>
      <c r="J6" s="35">
        <v>5</v>
      </c>
      <c r="K6" s="38">
        <v>3.6</v>
      </c>
    </row>
    <row r="7" spans="2:13" x14ac:dyDescent="0.25">
      <c r="B7" s="34" t="s">
        <v>290</v>
      </c>
      <c r="C7" s="35" t="s">
        <v>131</v>
      </c>
      <c r="D7" s="35" t="s">
        <v>291</v>
      </c>
      <c r="E7" s="35" t="s">
        <v>136</v>
      </c>
      <c r="F7" s="35">
        <v>74</v>
      </c>
      <c r="G7" s="36">
        <v>200466</v>
      </c>
      <c r="H7" s="36">
        <v>195524</v>
      </c>
      <c r="I7" s="37">
        <v>102.5</v>
      </c>
      <c r="J7" s="35">
        <v>6</v>
      </c>
      <c r="K7" s="38">
        <v>4.0999999999999996</v>
      </c>
      <c r="M7" s="30"/>
    </row>
    <row r="8" spans="2:13" x14ac:dyDescent="0.25">
      <c r="B8" s="34" t="s">
        <v>290</v>
      </c>
      <c r="C8" s="35" t="s">
        <v>131</v>
      </c>
      <c r="D8" s="35" t="s">
        <v>291</v>
      </c>
      <c r="E8" s="35" t="s">
        <v>126</v>
      </c>
      <c r="F8" s="35">
        <v>219</v>
      </c>
      <c r="G8" s="36">
        <v>93075</v>
      </c>
      <c r="H8" s="36">
        <v>90094</v>
      </c>
      <c r="I8" s="37">
        <v>103.3</v>
      </c>
      <c r="J8" s="35">
        <v>19</v>
      </c>
      <c r="K8" s="38">
        <v>4</v>
      </c>
    </row>
    <row r="9" spans="2:13" x14ac:dyDescent="0.25">
      <c r="B9" s="34" t="s">
        <v>290</v>
      </c>
      <c r="C9" s="35" t="s">
        <v>131</v>
      </c>
      <c r="D9" s="35" t="s">
        <v>292</v>
      </c>
      <c r="E9" s="35" t="s">
        <v>141</v>
      </c>
      <c r="F9" s="35">
        <v>147</v>
      </c>
      <c r="G9" s="36">
        <v>1036350</v>
      </c>
      <c r="H9" s="36">
        <v>1209468</v>
      </c>
      <c r="I9" s="37">
        <v>85.7</v>
      </c>
      <c r="J9" s="35">
        <v>11</v>
      </c>
      <c r="K9" s="38">
        <v>4.5999999999999996</v>
      </c>
    </row>
    <row r="10" spans="2:13" x14ac:dyDescent="0.25">
      <c r="B10" s="34" t="s">
        <v>290</v>
      </c>
      <c r="C10" s="35" t="s">
        <v>131</v>
      </c>
      <c r="D10" s="35" t="s">
        <v>292</v>
      </c>
      <c r="E10" s="35" t="s">
        <v>136</v>
      </c>
      <c r="F10" s="35">
        <v>214</v>
      </c>
      <c r="G10" s="36">
        <v>800574</v>
      </c>
      <c r="H10" s="36">
        <v>757089</v>
      </c>
      <c r="I10" s="37">
        <v>105.7</v>
      </c>
      <c r="J10" s="35">
        <v>21</v>
      </c>
      <c r="K10" s="38">
        <v>3.5</v>
      </c>
    </row>
    <row r="11" spans="2:13" x14ac:dyDescent="0.25">
      <c r="B11" s="34" t="s">
        <v>290</v>
      </c>
      <c r="C11" s="35" t="s">
        <v>131</v>
      </c>
      <c r="D11" s="35" t="s">
        <v>292</v>
      </c>
      <c r="E11" s="35" t="s">
        <v>126</v>
      </c>
      <c r="F11" s="35">
        <v>185</v>
      </c>
      <c r="G11" s="36">
        <v>59755</v>
      </c>
      <c r="H11" s="36">
        <v>57759</v>
      </c>
      <c r="I11" s="37">
        <v>103.5</v>
      </c>
      <c r="J11" s="35">
        <v>22</v>
      </c>
      <c r="K11" s="38">
        <v>4.0999999999999996</v>
      </c>
    </row>
    <row r="12" spans="2:13" x14ac:dyDescent="0.25">
      <c r="B12" s="34" t="s">
        <v>290</v>
      </c>
      <c r="C12" s="35" t="s">
        <v>124</v>
      </c>
      <c r="D12" s="35" t="s">
        <v>293</v>
      </c>
      <c r="E12" s="35" t="s">
        <v>141</v>
      </c>
      <c r="F12" s="35">
        <v>62</v>
      </c>
      <c r="G12" s="36">
        <v>693408</v>
      </c>
      <c r="H12" s="36">
        <v>677149</v>
      </c>
      <c r="I12" s="37">
        <v>102.4</v>
      </c>
      <c r="J12" s="35">
        <v>0</v>
      </c>
      <c r="K12" s="38">
        <v>3.7</v>
      </c>
    </row>
    <row r="13" spans="2:13" x14ac:dyDescent="0.25">
      <c r="B13" s="34" t="s">
        <v>290</v>
      </c>
      <c r="C13" s="35" t="s">
        <v>124</v>
      </c>
      <c r="D13" s="35" t="s">
        <v>293</v>
      </c>
      <c r="E13" s="35" t="s">
        <v>136</v>
      </c>
      <c r="F13" s="35">
        <v>41</v>
      </c>
      <c r="G13" s="36">
        <v>224803</v>
      </c>
      <c r="H13" s="36">
        <v>216065</v>
      </c>
      <c r="I13" s="37">
        <v>104</v>
      </c>
      <c r="J13" s="35">
        <v>4</v>
      </c>
      <c r="K13" s="38">
        <v>3.3</v>
      </c>
    </row>
    <row r="14" spans="2:13" x14ac:dyDescent="0.25">
      <c r="B14" s="34" t="s">
        <v>290</v>
      </c>
      <c r="C14" s="35" t="s">
        <v>124</v>
      </c>
      <c r="D14" s="35" t="s">
        <v>293</v>
      </c>
      <c r="E14" s="35" t="s">
        <v>126</v>
      </c>
      <c r="F14" s="35">
        <v>172</v>
      </c>
      <c r="G14" s="36">
        <v>43172</v>
      </c>
      <c r="H14" s="36">
        <v>46242</v>
      </c>
      <c r="I14" s="37">
        <v>93.4</v>
      </c>
      <c r="J14" s="35">
        <v>1</v>
      </c>
      <c r="K14" s="38">
        <v>3.8</v>
      </c>
    </row>
    <row r="15" spans="2:13" x14ac:dyDescent="0.25">
      <c r="B15" s="34" t="s">
        <v>290</v>
      </c>
      <c r="C15" s="35" t="s">
        <v>124</v>
      </c>
      <c r="D15" s="35" t="s">
        <v>294</v>
      </c>
      <c r="E15" s="35" t="s">
        <v>141</v>
      </c>
      <c r="F15" s="35">
        <v>95</v>
      </c>
      <c r="G15" s="36">
        <v>582730</v>
      </c>
      <c r="H15" s="36">
        <v>669559</v>
      </c>
      <c r="I15" s="37">
        <v>87</v>
      </c>
      <c r="J15" s="35">
        <v>7</v>
      </c>
      <c r="K15" s="38">
        <v>4.2</v>
      </c>
    </row>
    <row r="16" spans="2:13" x14ac:dyDescent="0.25">
      <c r="B16" s="34" t="s">
        <v>290</v>
      </c>
      <c r="C16" s="35" t="s">
        <v>124</v>
      </c>
      <c r="D16" s="35" t="s">
        <v>294</v>
      </c>
      <c r="E16" s="35" t="s">
        <v>136</v>
      </c>
      <c r="F16" s="35">
        <v>85</v>
      </c>
      <c r="G16" s="36">
        <v>520370</v>
      </c>
      <c r="H16" s="36">
        <v>571413</v>
      </c>
      <c r="I16" s="37">
        <v>91.1</v>
      </c>
      <c r="J16" s="35">
        <v>0</v>
      </c>
      <c r="K16" s="38">
        <v>3.4</v>
      </c>
    </row>
    <row r="17" spans="2:11" x14ac:dyDescent="0.25">
      <c r="B17" s="34" t="s">
        <v>290</v>
      </c>
      <c r="C17" s="35" t="s">
        <v>124</v>
      </c>
      <c r="D17" s="35" t="s">
        <v>294</v>
      </c>
      <c r="E17" s="35" t="s">
        <v>126</v>
      </c>
      <c r="F17" s="35">
        <v>83</v>
      </c>
      <c r="G17" s="36">
        <v>32536</v>
      </c>
      <c r="H17" s="36">
        <v>35359</v>
      </c>
      <c r="I17" s="37">
        <v>92</v>
      </c>
      <c r="J17" s="35">
        <v>6</v>
      </c>
      <c r="K17" s="38">
        <v>3.3</v>
      </c>
    </row>
    <row r="18" spans="2:11" x14ac:dyDescent="0.25">
      <c r="B18" s="34" t="s">
        <v>290</v>
      </c>
      <c r="C18" s="35" t="s">
        <v>154</v>
      </c>
      <c r="D18" s="35" t="s">
        <v>295</v>
      </c>
      <c r="E18" s="35" t="s">
        <v>141</v>
      </c>
      <c r="F18" s="35">
        <v>148</v>
      </c>
      <c r="G18" s="36">
        <v>726532</v>
      </c>
      <c r="H18" s="36">
        <v>659084</v>
      </c>
      <c r="I18" s="37">
        <v>110.2</v>
      </c>
      <c r="J18" s="35">
        <v>0</v>
      </c>
      <c r="K18" s="38">
        <v>3.8</v>
      </c>
    </row>
    <row r="19" spans="2:11" x14ac:dyDescent="0.25">
      <c r="B19" s="34" t="s">
        <v>290</v>
      </c>
      <c r="C19" s="35" t="s">
        <v>154</v>
      </c>
      <c r="D19" s="35" t="s">
        <v>295</v>
      </c>
      <c r="E19" s="35" t="s">
        <v>136</v>
      </c>
      <c r="F19" s="35">
        <v>74</v>
      </c>
      <c r="G19" s="36">
        <v>465238</v>
      </c>
      <c r="H19" s="36">
        <v>475287</v>
      </c>
      <c r="I19" s="37">
        <v>97.9</v>
      </c>
      <c r="J19" s="35">
        <v>0</v>
      </c>
      <c r="K19" s="38">
        <v>4.3</v>
      </c>
    </row>
    <row r="20" spans="2:11" x14ac:dyDescent="0.25">
      <c r="B20" s="34" t="s">
        <v>290</v>
      </c>
      <c r="C20" s="35" t="s">
        <v>154</v>
      </c>
      <c r="D20" s="35" t="s">
        <v>295</v>
      </c>
      <c r="E20" s="35" t="s">
        <v>126</v>
      </c>
      <c r="F20" s="35">
        <v>153</v>
      </c>
      <c r="G20" s="36">
        <v>42993</v>
      </c>
      <c r="H20" s="36">
        <v>45534</v>
      </c>
      <c r="I20" s="37">
        <v>94.4</v>
      </c>
      <c r="J20" s="35">
        <v>4</v>
      </c>
      <c r="K20" s="38">
        <v>3.8</v>
      </c>
    </row>
    <row r="21" spans="2:11" x14ac:dyDescent="0.25">
      <c r="B21" s="34" t="s">
        <v>290</v>
      </c>
      <c r="C21" s="35" t="s">
        <v>154</v>
      </c>
      <c r="D21" s="35" t="s">
        <v>296</v>
      </c>
      <c r="E21" s="35" t="s">
        <v>141</v>
      </c>
      <c r="F21" s="35">
        <v>217</v>
      </c>
      <c r="G21" s="36">
        <v>2452317</v>
      </c>
      <c r="H21" s="36">
        <v>2989080</v>
      </c>
      <c r="I21" s="37">
        <v>82</v>
      </c>
      <c r="J21" s="35">
        <v>4</v>
      </c>
      <c r="K21" s="38">
        <v>4.5</v>
      </c>
    </row>
    <row r="22" spans="2:11" x14ac:dyDescent="0.25">
      <c r="B22" s="34" t="s">
        <v>290</v>
      </c>
      <c r="C22" s="35" t="s">
        <v>154</v>
      </c>
      <c r="D22" s="35" t="s">
        <v>296</v>
      </c>
      <c r="E22" s="35" t="s">
        <v>136</v>
      </c>
      <c r="F22" s="35">
        <v>193</v>
      </c>
      <c r="G22" s="36">
        <v>623776</v>
      </c>
      <c r="H22" s="36">
        <v>675182</v>
      </c>
      <c r="I22" s="37">
        <v>92.4</v>
      </c>
      <c r="J22" s="35">
        <v>13</v>
      </c>
      <c r="K22" s="38">
        <v>3.4</v>
      </c>
    </row>
    <row r="23" spans="2:11" x14ac:dyDescent="0.25">
      <c r="B23" s="34" t="s">
        <v>290</v>
      </c>
      <c r="C23" s="35" t="s">
        <v>154</v>
      </c>
      <c r="D23" s="35" t="s">
        <v>296</v>
      </c>
      <c r="E23" s="35" t="s">
        <v>126</v>
      </c>
      <c r="F23" s="35">
        <v>70</v>
      </c>
      <c r="G23" s="36">
        <v>15610</v>
      </c>
      <c r="H23" s="36">
        <v>15754</v>
      </c>
      <c r="I23" s="37">
        <v>99.1</v>
      </c>
      <c r="J23" s="35">
        <v>2</v>
      </c>
      <c r="K23" s="38">
        <v>3.9</v>
      </c>
    </row>
    <row r="24" spans="2:11" x14ac:dyDescent="0.25">
      <c r="B24" s="34" t="s">
        <v>290</v>
      </c>
      <c r="C24" s="35" t="s">
        <v>134</v>
      </c>
      <c r="D24" s="35" t="s">
        <v>297</v>
      </c>
      <c r="E24" s="35" t="s">
        <v>141</v>
      </c>
      <c r="F24" s="35">
        <v>93</v>
      </c>
      <c r="G24" s="36">
        <v>811704</v>
      </c>
      <c r="H24" s="36">
        <v>940137</v>
      </c>
      <c r="I24" s="37">
        <v>86.3</v>
      </c>
      <c r="J24" s="35">
        <v>3</v>
      </c>
      <c r="K24" s="38">
        <v>4.5999999999999996</v>
      </c>
    </row>
    <row r="25" spans="2:11" x14ac:dyDescent="0.25">
      <c r="B25" s="34" t="s">
        <v>290</v>
      </c>
      <c r="C25" s="35" t="s">
        <v>134</v>
      </c>
      <c r="D25" s="35" t="s">
        <v>297</v>
      </c>
      <c r="E25" s="35" t="s">
        <v>136</v>
      </c>
      <c r="F25" s="35">
        <v>70</v>
      </c>
      <c r="G25" s="36">
        <v>347410</v>
      </c>
      <c r="H25" s="36">
        <v>332049</v>
      </c>
      <c r="I25" s="37">
        <v>104.6</v>
      </c>
      <c r="J25" s="35">
        <v>1</v>
      </c>
      <c r="K25" s="38">
        <v>4.0999999999999996</v>
      </c>
    </row>
    <row r="26" spans="2:11" x14ac:dyDescent="0.25">
      <c r="B26" s="34" t="s">
        <v>290</v>
      </c>
      <c r="C26" s="35" t="s">
        <v>134</v>
      </c>
      <c r="D26" s="35" t="s">
        <v>297</v>
      </c>
      <c r="E26" s="35" t="s">
        <v>126</v>
      </c>
      <c r="F26" s="35">
        <v>42</v>
      </c>
      <c r="G26" s="36">
        <v>18858</v>
      </c>
      <c r="H26" s="36">
        <v>21055</v>
      </c>
      <c r="I26" s="37">
        <v>89.6</v>
      </c>
      <c r="J26" s="35">
        <v>2</v>
      </c>
      <c r="K26" s="38">
        <v>3.6</v>
      </c>
    </row>
    <row r="27" spans="2:11" x14ac:dyDescent="0.25">
      <c r="B27" s="34" t="s">
        <v>290</v>
      </c>
      <c r="C27" s="35" t="s">
        <v>134</v>
      </c>
      <c r="D27" s="35" t="s">
        <v>298</v>
      </c>
      <c r="E27" s="35" t="s">
        <v>141</v>
      </c>
      <c r="F27" s="35">
        <v>142</v>
      </c>
      <c r="G27" s="36">
        <v>1280414</v>
      </c>
      <c r="H27" s="36">
        <v>1509540</v>
      </c>
      <c r="I27" s="37">
        <v>84.8</v>
      </c>
      <c r="J27" s="35">
        <v>12</v>
      </c>
      <c r="K27" s="38">
        <v>3.9</v>
      </c>
    </row>
    <row r="28" spans="2:11" x14ac:dyDescent="0.25">
      <c r="B28" s="34" t="s">
        <v>290</v>
      </c>
      <c r="C28" s="35" t="s">
        <v>134</v>
      </c>
      <c r="D28" s="35" t="s">
        <v>298</v>
      </c>
      <c r="E28" s="35" t="s">
        <v>136</v>
      </c>
      <c r="F28" s="35">
        <v>134</v>
      </c>
      <c r="G28" s="36">
        <v>854518</v>
      </c>
      <c r="H28" s="36">
        <v>792821</v>
      </c>
      <c r="I28" s="37">
        <v>107.8</v>
      </c>
      <c r="J28" s="35">
        <v>1</v>
      </c>
      <c r="K28" s="38">
        <v>4.8</v>
      </c>
    </row>
    <row r="29" spans="2:11" x14ac:dyDescent="0.25">
      <c r="B29" s="34" t="s">
        <v>290</v>
      </c>
      <c r="C29" s="35" t="s">
        <v>134</v>
      </c>
      <c r="D29" s="35" t="s">
        <v>298</v>
      </c>
      <c r="E29" s="35" t="s">
        <v>126</v>
      </c>
      <c r="F29" s="35">
        <v>142</v>
      </c>
      <c r="G29" s="36">
        <v>77248</v>
      </c>
      <c r="H29" s="36">
        <v>80245</v>
      </c>
      <c r="I29" s="37">
        <v>96.3</v>
      </c>
      <c r="J29" s="35">
        <v>9</v>
      </c>
      <c r="K29" s="38">
        <v>4.7</v>
      </c>
    </row>
    <row r="30" spans="2:11" x14ac:dyDescent="0.25">
      <c r="B30" s="34" t="s">
        <v>299</v>
      </c>
      <c r="C30" s="35" t="s">
        <v>131</v>
      </c>
      <c r="D30" s="35" t="s">
        <v>291</v>
      </c>
      <c r="E30" s="35" t="s">
        <v>141</v>
      </c>
      <c r="F30" s="35">
        <v>97</v>
      </c>
      <c r="G30" s="36">
        <v>833133</v>
      </c>
      <c r="H30" s="36">
        <v>743404</v>
      </c>
      <c r="I30" s="37">
        <v>112.1</v>
      </c>
      <c r="J30" s="35">
        <v>11</v>
      </c>
      <c r="K30" s="38">
        <v>4.4000000000000004</v>
      </c>
    </row>
    <row r="31" spans="2:11" x14ac:dyDescent="0.25">
      <c r="B31" s="34" t="s">
        <v>299</v>
      </c>
      <c r="C31" s="35" t="s">
        <v>131</v>
      </c>
      <c r="D31" s="35" t="s">
        <v>291</v>
      </c>
      <c r="E31" s="35" t="s">
        <v>136</v>
      </c>
      <c r="F31" s="35">
        <v>95</v>
      </c>
      <c r="G31" s="36">
        <v>743660</v>
      </c>
      <c r="H31" s="36">
        <v>819728</v>
      </c>
      <c r="I31" s="37">
        <v>90.7</v>
      </c>
      <c r="J31" s="35">
        <v>3</v>
      </c>
      <c r="K31" s="38">
        <v>3.9</v>
      </c>
    </row>
    <row r="32" spans="2:11" x14ac:dyDescent="0.25">
      <c r="B32" s="34" t="s">
        <v>299</v>
      </c>
      <c r="C32" s="35" t="s">
        <v>131</v>
      </c>
      <c r="D32" s="35" t="s">
        <v>291</v>
      </c>
      <c r="E32" s="35" t="s">
        <v>126</v>
      </c>
      <c r="F32" s="35">
        <v>152</v>
      </c>
      <c r="G32" s="36">
        <v>81168</v>
      </c>
      <c r="H32" s="36">
        <v>92679</v>
      </c>
      <c r="I32" s="37">
        <v>87.6</v>
      </c>
      <c r="J32" s="35">
        <v>14</v>
      </c>
      <c r="K32" s="38">
        <v>3.9</v>
      </c>
    </row>
    <row r="33" spans="2:11" x14ac:dyDescent="0.25">
      <c r="B33" s="34" t="s">
        <v>299</v>
      </c>
      <c r="C33" s="35" t="s">
        <v>131</v>
      </c>
      <c r="D33" s="35" t="s">
        <v>292</v>
      </c>
      <c r="E33" s="35" t="s">
        <v>141</v>
      </c>
      <c r="F33" s="35">
        <v>105</v>
      </c>
      <c r="G33" s="36">
        <v>487305</v>
      </c>
      <c r="H33" s="36">
        <v>512284</v>
      </c>
      <c r="I33" s="37">
        <v>95.1</v>
      </c>
      <c r="J33" s="35">
        <v>10</v>
      </c>
      <c r="K33" s="38">
        <v>4.7</v>
      </c>
    </row>
    <row r="34" spans="2:11" x14ac:dyDescent="0.25">
      <c r="B34" s="34" t="s">
        <v>299</v>
      </c>
      <c r="C34" s="35" t="s">
        <v>131</v>
      </c>
      <c r="D34" s="35" t="s">
        <v>292</v>
      </c>
      <c r="E34" s="35" t="s">
        <v>136</v>
      </c>
      <c r="F34" s="35">
        <v>162</v>
      </c>
      <c r="G34" s="36">
        <v>1031616</v>
      </c>
      <c r="H34" s="36">
        <v>967846</v>
      </c>
      <c r="I34" s="37">
        <v>106.6</v>
      </c>
      <c r="J34" s="35">
        <v>8</v>
      </c>
      <c r="K34" s="38">
        <v>3.9</v>
      </c>
    </row>
    <row r="35" spans="2:11" x14ac:dyDescent="0.25">
      <c r="B35" s="34" t="s">
        <v>299</v>
      </c>
      <c r="C35" s="35" t="s">
        <v>131</v>
      </c>
      <c r="D35" s="35" t="s">
        <v>292</v>
      </c>
      <c r="E35" s="35" t="s">
        <v>126</v>
      </c>
      <c r="F35" s="35">
        <v>114</v>
      </c>
      <c r="G35" s="36">
        <v>40926</v>
      </c>
      <c r="H35" s="36">
        <v>46804</v>
      </c>
      <c r="I35" s="37">
        <v>87.4</v>
      </c>
      <c r="J35" s="35">
        <v>13</v>
      </c>
      <c r="K35" s="38">
        <v>4.2</v>
      </c>
    </row>
    <row r="36" spans="2:11" x14ac:dyDescent="0.25">
      <c r="B36" s="34" t="s">
        <v>299</v>
      </c>
      <c r="C36" s="35" t="s">
        <v>124</v>
      </c>
      <c r="D36" s="35" t="s">
        <v>293</v>
      </c>
      <c r="E36" s="35" t="s">
        <v>141</v>
      </c>
      <c r="F36" s="35">
        <v>112</v>
      </c>
      <c r="G36" s="36">
        <v>1087296</v>
      </c>
      <c r="H36" s="36">
        <v>1219182</v>
      </c>
      <c r="I36" s="37">
        <v>89.2</v>
      </c>
      <c r="J36" s="35">
        <v>9</v>
      </c>
      <c r="K36" s="38">
        <v>4.7</v>
      </c>
    </row>
    <row r="37" spans="2:11" x14ac:dyDescent="0.25">
      <c r="B37" s="34" t="s">
        <v>299</v>
      </c>
      <c r="C37" s="35" t="s">
        <v>124</v>
      </c>
      <c r="D37" s="35" t="s">
        <v>293</v>
      </c>
      <c r="E37" s="35" t="s">
        <v>136</v>
      </c>
      <c r="F37" s="35">
        <v>198</v>
      </c>
      <c r="G37" s="36">
        <v>1477476</v>
      </c>
      <c r="H37" s="36">
        <v>1646570</v>
      </c>
      <c r="I37" s="37">
        <v>89.7</v>
      </c>
      <c r="J37" s="35">
        <v>6</v>
      </c>
      <c r="K37" s="38">
        <v>3.8</v>
      </c>
    </row>
    <row r="38" spans="2:11" x14ac:dyDescent="0.25">
      <c r="B38" s="34" t="s">
        <v>299</v>
      </c>
      <c r="C38" s="35" t="s">
        <v>124</v>
      </c>
      <c r="D38" s="35" t="s">
        <v>293</v>
      </c>
      <c r="E38" s="35" t="s">
        <v>126</v>
      </c>
      <c r="F38" s="35">
        <v>90</v>
      </c>
      <c r="G38" s="36">
        <v>29340</v>
      </c>
      <c r="H38" s="36">
        <v>27898</v>
      </c>
      <c r="I38" s="37">
        <v>105.2</v>
      </c>
      <c r="J38" s="35">
        <v>5</v>
      </c>
      <c r="K38" s="38">
        <v>4.4000000000000004</v>
      </c>
    </row>
    <row r="39" spans="2:11" x14ac:dyDescent="0.25">
      <c r="B39" s="34" t="s">
        <v>299</v>
      </c>
      <c r="C39" s="35" t="s">
        <v>124</v>
      </c>
      <c r="D39" s="35" t="s">
        <v>294</v>
      </c>
      <c r="E39" s="35" t="s">
        <v>141</v>
      </c>
      <c r="F39" s="35">
        <v>89</v>
      </c>
      <c r="G39" s="36">
        <v>561768</v>
      </c>
      <c r="H39" s="36">
        <v>654907</v>
      </c>
      <c r="I39" s="37">
        <v>85.8</v>
      </c>
      <c r="J39" s="35">
        <v>4</v>
      </c>
      <c r="K39" s="38">
        <v>4.3</v>
      </c>
    </row>
    <row r="40" spans="2:11" x14ac:dyDescent="0.25">
      <c r="B40" s="34" t="s">
        <v>299</v>
      </c>
      <c r="C40" s="35" t="s">
        <v>124</v>
      </c>
      <c r="D40" s="35" t="s">
        <v>294</v>
      </c>
      <c r="E40" s="35" t="s">
        <v>136</v>
      </c>
      <c r="F40" s="35">
        <v>220</v>
      </c>
      <c r="G40" s="36">
        <v>856680</v>
      </c>
      <c r="H40" s="36">
        <v>875933</v>
      </c>
      <c r="I40" s="37">
        <v>97.8</v>
      </c>
      <c r="J40" s="35">
        <v>11</v>
      </c>
      <c r="K40" s="38">
        <v>4.3</v>
      </c>
    </row>
    <row r="41" spans="2:11" x14ac:dyDescent="0.25">
      <c r="B41" s="34" t="s">
        <v>299</v>
      </c>
      <c r="C41" s="35" t="s">
        <v>124</v>
      </c>
      <c r="D41" s="35" t="s">
        <v>294</v>
      </c>
      <c r="E41" s="35" t="s">
        <v>126</v>
      </c>
      <c r="F41" s="35">
        <v>40</v>
      </c>
      <c r="G41" s="36">
        <v>8280</v>
      </c>
      <c r="H41" s="36">
        <v>8697</v>
      </c>
      <c r="I41" s="37">
        <v>95.2</v>
      </c>
      <c r="J41" s="35">
        <v>1</v>
      </c>
      <c r="K41" s="38">
        <v>3.2</v>
      </c>
    </row>
    <row r="42" spans="2:11" x14ac:dyDescent="0.25">
      <c r="B42" s="34" t="s">
        <v>299</v>
      </c>
      <c r="C42" s="35" t="s">
        <v>154</v>
      </c>
      <c r="D42" s="35" t="s">
        <v>295</v>
      </c>
      <c r="E42" s="35" t="s">
        <v>141</v>
      </c>
      <c r="F42" s="35">
        <v>119</v>
      </c>
      <c r="G42" s="36">
        <v>742798</v>
      </c>
      <c r="H42" s="36">
        <v>783241</v>
      </c>
      <c r="I42" s="37">
        <v>94.8</v>
      </c>
      <c r="J42" s="35">
        <v>12</v>
      </c>
      <c r="K42" s="38">
        <v>4</v>
      </c>
    </row>
    <row r="43" spans="2:11" x14ac:dyDescent="0.25">
      <c r="B43" s="34" t="s">
        <v>299</v>
      </c>
      <c r="C43" s="35" t="s">
        <v>154</v>
      </c>
      <c r="D43" s="35" t="s">
        <v>295</v>
      </c>
      <c r="E43" s="35" t="s">
        <v>136</v>
      </c>
      <c r="F43" s="35">
        <v>92</v>
      </c>
      <c r="G43" s="36">
        <v>382812</v>
      </c>
      <c r="H43" s="36">
        <v>430500</v>
      </c>
      <c r="I43" s="37">
        <v>88.9</v>
      </c>
      <c r="J43" s="35">
        <v>11</v>
      </c>
      <c r="K43" s="38">
        <v>3.9</v>
      </c>
    </row>
    <row r="44" spans="2:11" x14ac:dyDescent="0.25">
      <c r="B44" s="34" t="s">
        <v>299</v>
      </c>
      <c r="C44" s="35" t="s">
        <v>154</v>
      </c>
      <c r="D44" s="35" t="s">
        <v>295</v>
      </c>
      <c r="E44" s="35" t="s">
        <v>126</v>
      </c>
      <c r="F44" s="35">
        <v>183</v>
      </c>
      <c r="G44" s="36">
        <v>77043</v>
      </c>
      <c r="H44" s="36">
        <v>82836</v>
      </c>
      <c r="I44" s="37">
        <v>93</v>
      </c>
      <c r="J44" s="35">
        <v>20</v>
      </c>
      <c r="K44" s="38">
        <v>4.5999999999999996</v>
      </c>
    </row>
    <row r="45" spans="2:11" x14ac:dyDescent="0.25">
      <c r="B45" s="34" t="s">
        <v>299</v>
      </c>
      <c r="C45" s="35" t="s">
        <v>154</v>
      </c>
      <c r="D45" s="35" t="s">
        <v>296</v>
      </c>
      <c r="E45" s="35" t="s">
        <v>141</v>
      </c>
      <c r="F45" s="35">
        <v>195</v>
      </c>
      <c r="G45" s="36">
        <v>1600950</v>
      </c>
      <c r="H45" s="36">
        <v>1489066</v>
      </c>
      <c r="I45" s="37">
        <v>107.5</v>
      </c>
      <c r="J45" s="35">
        <v>0</v>
      </c>
      <c r="K45" s="38">
        <v>4.9000000000000004</v>
      </c>
    </row>
    <row r="46" spans="2:11" x14ac:dyDescent="0.25">
      <c r="B46" s="34" t="s">
        <v>299</v>
      </c>
      <c r="C46" s="35" t="s">
        <v>154</v>
      </c>
      <c r="D46" s="35" t="s">
        <v>296</v>
      </c>
      <c r="E46" s="35" t="s">
        <v>136</v>
      </c>
      <c r="F46" s="35">
        <v>118</v>
      </c>
      <c r="G46" s="36">
        <v>309042</v>
      </c>
      <c r="H46" s="36">
        <v>331958</v>
      </c>
      <c r="I46" s="37">
        <v>93.1</v>
      </c>
      <c r="J46" s="35">
        <v>0</v>
      </c>
      <c r="K46" s="38">
        <v>3.9</v>
      </c>
    </row>
    <row r="47" spans="2:11" x14ac:dyDescent="0.25">
      <c r="B47" s="34" t="s">
        <v>299</v>
      </c>
      <c r="C47" s="35" t="s">
        <v>154</v>
      </c>
      <c r="D47" s="35" t="s">
        <v>296</v>
      </c>
      <c r="E47" s="35" t="s">
        <v>126</v>
      </c>
      <c r="F47" s="35">
        <v>134</v>
      </c>
      <c r="G47" s="36">
        <v>58290</v>
      </c>
      <c r="H47" s="36">
        <v>62678</v>
      </c>
      <c r="I47" s="37">
        <v>93</v>
      </c>
      <c r="J47" s="35">
        <v>9</v>
      </c>
      <c r="K47" s="38">
        <v>3.5</v>
      </c>
    </row>
    <row r="48" spans="2:11" x14ac:dyDescent="0.25">
      <c r="B48" s="34" t="s">
        <v>299</v>
      </c>
      <c r="C48" s="35" t="s">
        <v>134</v>
      </c>
      <c r="D48" s="35" t="s">
        <v>297</v>
      </c>
      <c r="E48" s="35" t="s">
        <v>141</v>
      </c>
      <c r="F48" s="35">
        <v>65</v>
      </c>
      <c r="G48" s="36">
        <v>647790</v>
      </c>
      <c r="H48" s="36">
        <v>653865</v>
      </c>
      <c r="I48" s="37">
        <v>99.1</v>
      </c>
      <c r="J48" s="35">
        <v>2</v>
      </c>
      <c r="K48" s="38">
        <v>3.7</v>
      </c>
    </row>
    <row r="49" spans="2:11" x14ac:dyDescent="0.25">
      <c r="B49" s="34" t="s">
        <v>299</v>
      </c>
      <c r="C49" s="35" t="s">
        <v>134</v>
      </c>
      <c r="D49" s="35" t="s">
        <v>297</v>
      </c>
      <c r="E49" s="35" t="s">
        <v>136</v>
      </c>
      <c r="F49" s="35">
        <v>124</v>
      </c>
      <c r="G49" s="36">
        <v>378448</v>
      </c>
      <c r="H49" s="36">
        <v>440272</v>
      </c>
      <c r="I49" s="37">
        <v>86</v>
      </c>
      <c r="J49" s="35">
        <v>14</v>
      </c>
      <c r="K49" s="38">
        <v>4</v>
      </c>
    </row>
    <row r="50" spans="2:11" x14ac:dyDescent="0.25">
      <c r="B50" s="34" t="s">
        <v>299</v>
      </c>
      <c r="C50" s="35" t="s">
        <v>134</v>
      </c>
      <c r="D50" s="35" t="s">
        <v>297</v>
      </c>
      <c r="E50" s="35" t="s">
        <v>126</v>
      </c>
      <c r="F50" s="35">
        <v>217</v>
      </c>
      <c r="G50" s="36">
        <v>110453</v>
      </c>
      <c r="H50" s="36">
        <v>113524</v>
      </c>
      <c r="I50" s="37">
        <v>97.3</v>
      </c>
      <c r="J50" s="35">
        <v>17</v>
      </c>
      <c r="K50" s="38">
        <v>4.8</v>
      </c>
    </row>
    <row r="51" spans="2:11" x14ac:dyDescent="0.25">
      <c r="B51" s="34" t="s">
        <v>299</v>
      </c>
      <c r="C51" s="35" t="s">
        <v>134</v>
      </c>
      <c r="D51" s="35" t="s">
        <v>298</v>
      </c>
      <c r="E51" s="35" t="s">
        <v>141</v>
      </c>
      <c r="F51" s="35">
        <v>85</v>
      </c>
      <c r="G51" s="36">
        <v>798575</v>
      </c>
      <c r="H51" s="36">
        <v>758700</v>
      </c>
      <c r="I51" s="37">
        <v>105.3</v>
      </c>
      <c r="J51" s="35">
        <v>4</v>
      </c>
      <c r="K51" s="38">
        <v>4</v>
      </c>
    </row>
    <row r="52" spans="2:11" x14ac:dyDescent="0.25">
      <c r="B52" s="34" t="s">
        <v>299</v>
      </c>
      <c r="C52" s="35" t="s">
        <v>134</v>
      </c>
      <c r="D52" s="35" t="s">
        <v>298</v>
      </c>
      <c r="E52" s="35" t="s">
        <v>136</v>
      </c>
      <c r="F52" s="35">
        <v>219</v>
      </c>
      <c r="G52" s="36">
        <v>1124346</v>
      </c>
      <c r="H52" s="36">
        <v>1073862</v>
      </c>
      <c r="I52" s="37">
        <v>104.7</v>
      </c>
      <c r="J52" s="35">
        <v>15</v>
      </c>
      <c r="K52" s="38">
        <v>4.2</v>
      </c>
    </row>
    <row r="53" spans="2:11" x14ac:dyDescent="0.25">
      <c r="B53" s="34" t="s">
        <v>299</v>
      </c>
      <c r="C53" s="35" t="s">
        <v>134</v>
      </c>
      <c r="D53" s="35" t="s">
        <v>298</v>
      </c>
      <c r="E53" s="35" t="s">
        <v>126</v>
      </c>
      <c r="F53" s="35">
        <v>200</v>
      </c>
      <c r="G53" s="36">
        <v>78600</v>
      </c>
      <c r="H53" s="36">
        <v>85124</v>
      </c>
      <c r="I53" s="37">
        <v>92.3</v>
      </c>
      <c r="J53" s="35">
        <v>2</v>
      </c>
      <c r="K53" s="38">
        <v>4.0999999999999996</v>
      </c>
    </row>
    <row r="54" spans="2:11" x14ac:dyDescent="0.25">
      <c r="B54" s="34" t="s">
        <v>300</v>
      </c>
      <c r="C54" s="35" t="s">
        <v>131</v>
      </c>
      <c r="D54" s="35" t="s">
        <v>291</v>
      </c>
      <c r="E54" s="35" t="s">
        <v>141</v>
      </c>
      <c r="F54" s="35">
        <v>157</v>
      </c>
      <c r="G54" s="36">
        <v>589064</v>
      </c>
      <c r="H54" s="36">
        <v>527770</v>
      </c>
      <c r="I54" s="37">
        <v>111.6</v>
      </c>
      <c r="J54" s="35">
        <v>15</v>
      </c>
      <c r="K54" s="38">
        <v>3.3</v>
      </c>
    </row>
    <row r="55" spans="2:11" x14ac:dyDescent="0.25">
      <c r="B55" s="34" t="s">
        <v>300</v>
      </c>
      <c r="C55" s="35" t="s">
        <v>131</v>
      </c>
      <c r="D55" s="35" t="s">
        <v>291</v>
      </c>
      <c r="E55" s="35" t="s">
        <v>136</v>
      </c>
      <c r="F55" s="35">
        <v>207</v>
      </c>
      <c r="G55" s="36">
        <v>420624</v>
      </c>
      <c r="H55" s="36">
        <v>450440</v>
      </c>
      <c r="I55" s="37">
        <v>93.4</v>
      </c>
      <c r="J55" s="35">
        <v>17</v>
      </c>
      <c r="K55" s="38">
        <v>3.7</v>
      </c>
    </row>
    <row r="56" spans="2:11" x14ac:dyDescent="0.25">
      <c r="B56" s="34" t="s">
        <v>300</v>
      </c>
      <c r="C56" s="35" t="s">
        <v>131</v>
      </c>
      <c r="D56" s="35" t="s">
        <v>291</v>
      </c>
      <c r="E56" s="35" t="s">
        <v>126</v>
      </c>
      <c r="F56" s="35">
        <v>43</v>
      </c>
      <c r="G56" s="36">
        <v>19264</v>
      </c>
      <c r="H56" s="36">
        <v>19530</v>
      </c>
      <c r="I56" s="37">
        <v>98.6</v>
      </c>
      <c r="J56" s="35">
        <v>2</v>
      </c>
      <c r="K56" s="38">
        <v>3.5</v>
      </c>
    </row>
    <row r="57" spans="2:11" x14ac:dyDescent="0.25">
      <c r="B57" s="34" t="s">
        <v>300</v>
      </c>
      <c r="C57" s="35" t="s">
        <v>131</v>
      </c>
      <c r="D57" s="35" t="s">
        <v>292</v>
      </c>
      <c r="E57" s="35" t="s">
        <v>141</v>
      </c>
      <c r="F57" s="35">
        <v>190</v>
      </c>
      <c r="G57" s="36">
        <v>812820</v>
      </c>
      <c r="H57" s="36">
        <v>820058</v>
      </c>
      <c r="I57" s="37">
        <v>99.1</v>
      </c>
      <c r="J57" s="35">
        <v>1</v>
      </c>
      <c r="K57" s="38">
        <v>3.8</v>
      </c>
    </row>
    <row r="58" spans="2:11" x14ac:dyDescent="0.25">
      <c r="B58" s="34" t="s">
        <v>300</v>
      </c>
      <c r="C58" s="35" t="s">
        <v>131</v>
      </c>
      <c r="D58" s="35" t="s">
        <v>292</v>
      </c>
      <c r="E58" s="35" t="s">
        <v>136</v>
      </c>
      <c r="F58" s="35">
        <v>98</v>
      </c>
      <c r="G58" s="36">
        <v>641704</v>
      </c>
      <c r="H58" s="36">
        <v>722979</v>
      </c>
      <c r="I58" s="37">
        <v>88.8</v>
      </c>
      <c r="J58" s="35">
        <v>2</v>
      </c>
      <c r="K58" s="38">
        <v>4.5999999999999996</v>
      </c>
    </row>
    <row r="59" spans="2:11" x14ac:dyDescent="0.25">
      <c r="B59" s="34" t="s">
        <v>300</v>
      </c>
      <c r="C59" s="35" t="s">
        <v>131</v>
      </c>
      <c r="D59" s="35" t="s">
        <v>292</v>
      </c>
      <c r="E59" s="35" t="s">
        <v>126</v>
      </c>
      <c r="F59" s="35">
        <v>54</v>
      </c>
      <c r="G59" s="36">
        <v>27324</v>
      </c>
      <c r="H59" s="36">
        <v>30193</v>
      </c>
      <c r="I59" s="37">
        <v>90.5</v>
      </c>
      <c r="J59" s="35">
        <v>1</v>
      </c>
      <c r="K59" s="38">
        <v>4.5999999999999996</v>
      </c>
    </row>
    <row r="60" spans="2:11" x14ac:dyDescent="0.25">
      <c r="B60" s="34" t="s">
        <v>300</v>
      </c>
      <c r="C60" s="35" t="s">
        <v>124</v>
      </c>
      <c r="D60" s="35" t="s">
        <v>293</v>
      </c>
      <c r="E60" s="35" t="s">
        <v>141</v>
      </c>
      <c r="F60" s="35">
        <v>69</v>
      </c>
      <c r="G60" s="36">
        <v>789360</v>
      </c>
      <c r="H60" s="36">
        <v>725212</v>
      </c>
      <c r="I60" s="37">
        <v>108.8</v>
      </c>
      <c r="J60" s="35">
        <v>4</v>
      </c>
      <c r="K60" s="38">
        <v>4.3</v>
      </c>
    </row>
    <row r="61" spans="2:11" x14ac:dyDescent="0.25">
      <c r="B61" s="34" t="s">
        <v>300</v>
      </c>
      <c r="C61" s="35" t="s">
        <v>124</v>
      </c>
      <c r="D61" s="35" t="s">
        <v>293</v>
      </c>
      <c r="E61" s="35" t="s">
        <v>136</v>
      </c>
      <c r="F61" s="35">
        <v>58</v>
      </c>
      <c r="G61" s="36">
        <v>381930</v>
      </c>
      <c r="H61" s="36">
        <v>449013</v>
      </c>
      <c r="I61" s="37">
        <v>85.1</v>
      </c>
      <c r="J61" s="35">
        <v>6</v>
      </c>
      <c r="K61" s="38">
        <v>4.2</v>
      </c>
    </row>
    <row r="62" spans="2:11" x14ac:dyDescent="0.25">
      <c r="B62" s="34" t="s">
        <v>300</v>
      </c>
      <c r="C62" s="35" t="s">
        <v>124</v>
      </c>
      <c r="D62" s="35" t="s">
        <v>293</v>
      </c>
      <c r="E62" s="35" t="s">
        <v>126</v>
      </c>
      <c r="F62" s="35">
        <v>219</v>
      </c>
      <c r="G62" s="36">
        <v>72489</v>
      </c>
      <c r="H62" s="36">
        <v>78326</v>
      </c>
      <c r="I62" s="37">
        <v>92.5</v>
      </c>
      <c r="J62" s="35">
        <v>26</v>
      </c>
      <c r="K62" s="38">
        <v>4.0999999999999996</v>
      </c>
    </row>
    <row r="63" spans="2:11" x14ac:dyDescent="0.25">
      <c r="B63" s="34" t="s">
        <v>300</v>
      </c>
      <c r="C63" s="35" t="s">
        <v>124</v>
      </c>
      <c r="D63" s="35" t="s">
        <v>294</v>
      </c>
      <c r="E63" s="35" t="s">
        <v>141</v>
      </c>
      <c r="F63" s="35">
        <v>213</v>
      </c>
      <c r="G63" s="36">
        <v>1141680</v>
      </c>
      <c r="H63" s="36">
        <v>1301400</v>
      </c>
      <c r="I63" s="37">
        <v>87.7</v>
      </c>
      <c r="J63" s="35">
        <v>4</v>
      </c>
      <c r="K63" s="38">
        <v>3.5</v>
      </c>
    </row>
    <row r="64" spans="2:11" x14ac:dyDescent="0.25">
      <c r="B64" s="34" t="s">
        <v>300</v>
      </c>
      <c r="C64" s="35" t="s">
        <v>124</v>
      </c>
      <c r="D64" s="35" t="s">
        <v>294</v>
      </c>
      <c r="E64" s="35" t="s">
        <v>136</v>
      </c>
      <c r="F64" s="35">
        <v>62</v>
      </c>
      <c r="G64" s="36">
        <v>140802</v>
      </c>
      <c r="H64" s="36">
        <v>158790</v>
      </c>
      <c r="I64" s="37">
        <v>88.7</v>
      </c>
      <c r="J64" s="35">
        <v>6</v>
      </c>
      <c r="K64" s="38">
        <v>3.5</v>
      </c>
    </row>
    <row r="65" spans="2:11" x14ac:dyDescent="0.25">
      <c r="B65" s="34" t="s">
        <v>300</v>
      </c>
      <c r="C65" s="35" t="s">
        <v>124</v>
      </c>
      <c r="D65" s="35" t="s">
        <v>294</v>
      </c>
      <c r="E65" s="35" t="s">
        <v>126</v>
      </c>
      <c r="F65" s="35">
        <v>99</v>
      </c>
      <c r="G65" s="36">
        <v>45936</v>
      </c>
      <c r="H65" s="36">
        <v>49227</v>
      </c>
      <c r="I65" s="37">
        <v>93.3</v>
      </c>
      <c r="J65" s="35">
        <v>9</v>
      </c>
      <c r="K65" s="38">
        <v>3.5</v>
      </c>
    </row>
    <row r="66" spans="2:11" x14ac:dyDescent="0.25">
      <c r="B66" s="34" t="s">
        <v>300</v>
      </c>
      <c r="C66" s="35" t="s">
        <v>154</v>
      </c>
      <c r="D66" s="35" t="s">
        <v>295</v>
      </c>
      <c r="E66" s="35" t="s">
        <v>141</v>
      </c>
      <c r="F66" s="35">
        <v>53</v>
      </c>
      <c r="G66" s="36">
        <v>482777</v>
      </c>
      <c r="H66" s="36">
        <v>566670</v>
      </c>
      <c r="I66" s="37">
        <v>85.2</v>
      </c>
      <c r="J66" s="35">
        <v>3</v>
      </c>
      <c r="K66" s="38">
        <v>3.5</v>
      </c>
    </row>
    <row r="67" spans="2:11" x14ac:dyDescent="0.25">
      <c r="B67" s="34" t="s">
        <v>300</v>
      </c>
      <c r="C67" s="35" t="s">
        <v>154</v>
      </c>
      <c r="D67" s="35" t="s">
        <v>295</v>
      </c>
      <c r="E67" s="35" t="s">
        <v>136</v>
      </c>
      <c r="F67" s="35">
        <v>85</v>
      </c>
      <c r="G67" s="36">
        <v>247350</v>
      </c>
      <c r="H67" s="36">
        <v>233491</v>
      </c>
      <c r="I67" s="37">
        <v>105.9</v>
      </c>
      <c r="J67" s="35">
        <v>10</v>
      </c>
      <c r="K67" s="38">
        <v>4.8</v>
      </c>
    </row>
    <row r="68" spans="2:11" x14ac:dyDescent="0.25">
      <c r="B68" s="34" t="s">
        <v>300</v>
      </c>
      <c r="C68" s="35" t="s">
        <v>154</v>
      </c>
      <c r="D68" s="35" t="s">
        <v>295</v>
      </c>
      <c r="E68" s="35" t="s">
        <v>126</v>
      </c>
      <c r="F68" s="35">
        <v>43</v>
      </c>
      <c r="G68" s="36">
        <v>11524</v>
      </c>
      <c r="H68" s="36">
        <v>11816</v>
      </c>
      <c r="I68" s="37">
        <v>97.5</v>
      </c>
      <c r="J68" s="35">
        <v>5</v>
      </c>
      <c r="K68" s="38">
        <v>4.5</v>
      </c>
    </row>
    <row r="69" spans="2:11" x14ac:dyDescent="0.25">
      <c r="B69" s="34" t="s">
        <v>300</v>
      </c>
      <c r="C69" s="35" t="s">
        <v>154</v>
      </c>
      <c r="D69" s="35" t="s">
        <v>296</v>
      </c>
      <c r="E69" s="35" t="s">
        <v>141</v>
      </c>
      <c r="F69" s="35">
        <v>100</v>
      </c>
      <c r="G69" s="36">
        <v>1077200</v>
      </c>
      <c r="H69" s="36">
        <v>1231456</v>
      </c>
      <c r="I69" s="37">
        <v>87.5</v>
      </c>
      <c r="J69" s="35">
        <v>9</v>
      </c>
      <c r="K69" s="38">
        <v>4.7</v>
      </c>
    </row>
    <row r="70" spans="2:11" x14ac:dyDescent="0.25">
      <c r="B70" s="34" t="s">
        <v>300</v>
      </c>
      <c r="C70" s="35" t="s">
        <v>154</v>
      </c>
      <c r="D70" s="35" t="s">
        <v>296</v>
      </c>
      <c r="E70" s="35" t="s">
        <v>136</v>
      </c>
      <c r="F70" s="35">
        <v>60</v>
      </c>
      <c r="G70" s="36">
        <v>199320</v>
      </c>
      <c r="H70" s="36">
        <v>231735</v>
      </c>
      <c r="I70" s="37">
        <v>86</v>
      </c>
      <c r="J70" s="35">
        <v>2</v>
      </c>
      <c r="K70" s="38">
        <v>4.5</v>
      </c>
    </row>
    <row r="71" spans="2:11" x14ac:dyDescent="0.25">
      <c r="B71" s="34" t="s">
        <v>300</v>
      </c>
      <c r="C71" s="35" t="s">
        <v>154</v>
      </c>
      <c r="D71" s="35" t="s">
        <v>296</v>
      </c>
      <c r="E71" s="35" t="s">
        <v>126</v>
      </c>
      <c r="F71" s="35">
        <v>135</v>
      </c>
      <c r="G71" s="36">
        <v>37665</v>
      </c>
      <c r="H71" s="36">
        <v>38143</v>
      </c>
      <c r="I71" s="37">
        <v>98.7</v>
      </c>
      <c r="J71" s="35">
        <v>1</v>
      </c>
      <c r="K71" s="38">
        <v>4.2</v>
      </c>
    </row>
    <row r="72" spans="2:11" x14ac:dyDescent="0.25">
      <c r="B72" s="34" t="s">
        <v>300</v>
      </c>
      <c r="C72" s="35" t="s">
        <v>134</v>
      </c>
      <c r="D72" s="35" t="s">
        <v>297</v>
      </c>
      <c r="E72" s="35" t="s">
        <v>141</v>
      </c>
      <c r="F72" s="35">
        <v>45</v>
      </c>
      <c r="G72" s="36">
        <v>379125</v>
      </c>
      <c r="H72" s="36">
        <v>466110</v>
      </c>
      <c r="I72" s="37">
        <v>81.3</v>
      </c>
      <c r="J72" s="35">
        <v>1</v>
      </c>
      <c r="K72" s="38">
        <v>4.8</v>
      </c>
    </row>
    <row r="73" spans="2:11" x14ac:dyDescent="0.25">
      <c r="B73" s="34" t="s">
        <v>300</v>
      </c>
      <c r="C73" s="35" t="s">
        <v>134</v>
      </c>
      <c r="D73" s="35" t="s">
        <v>297</v>
      </c>
      <c r="E73" s="35" t="s">
        <v>136</v>
      </c>
      <c r="F73" s="35">
        <v>113</v>
      </c>
      <c r="G73" s="36">
        <v>740602</v>
      </c>
      <c r="H73" s="36">
        <v>732248</v>
      </c>
      <c r="I73" s="37">
        <v>101.1</v>
      </c>
      <c r="J73" s="35">
        <v>1</v>
      </c>
      <c r="K73" s="38">
        <v>4</v>
      </c>
    </row>
    <row r="74" spans="2:11" x14ac:dyDescent="0.25">
      <c r="B74" s="34" t="s">
        <v>300</v>
      </c>
      <c r="C74" s="35" t="s">
        <v>134</v>
      </c>
      <c r="D74" s="35" t="s">
        <v>297</v>
      </c>
      <c r="E74" s="35" t="s">
        <v>126</v>
      </c>
      <c r="F74" s="35">
        <v>58</v>
      </c>
      <c r="G74" s="36">
        <v>9860</v>
      </c>
      <c r="H74" s="36">
        <v>10065</v>
      </c>
      <c r="I74" s="37">
        <v>98</v>
      </c>
      <c r="J74" s="35">
        <v>4</v>
      </c>
      <c r="K74" s="38">
        <v>4.4000000000000004</v>
      </c>
    </row>
    <row r="75" spans="2:11" x14ac:dyDescent="0.25">
      <c r="B75" s="34" t="s">
        <v>300</v>
      </c>
      <c r="C75" s="35" t="s">
        <v>134</v>
      </c>
      <c r="D75" s="35" t="s">
        <v>298</v>
      </c>
      <c r="E75" s="35" t="s">
        <v>141</v>
      </c>
      <c r="F75" s="35">
        <v>125</v>
      </c>
      <c r="G75" s="36">
        <v>1107000</v>
      </c>
      <c r="H75" s="36">
        <v>1297620</v>
      </c>
      <c r="I75" s="37">
        <v>85.3</v>
      </c>
      <c r="J75" s="35">
        <v>1</v>
      </c>
      <c r="K75" s="38">
        <v>3.8</v>
      </c>
    </row>
    <row r="76" spans="2:11" x14ac:dyDescent="0.25">
      <c r="B76" s="34" t="s">
        <v>300</v>
      </c>
      <c r="C76" s="35" t="s">
        <v>134</v>
      </c>
      <c r="D76" s="35" t="s">
        <v>298</v>
      </c>
      <c r="E76" s="35" t="s">
        <v>136</v>
      </c>
      <c r="F76" s="35">
        <v>109</v>
      </c>
      <c r="G76" s="36">
        <v>762891</v>
      </c>
      <c r="H76" s="36">
        <v>738471</v>
      </c>
      <c r="I76" s="37">
        <v>103.3</v>
      </c>
      <c r="J76" s="35">
        <v>2</v>
      </c>
      <c r="K76" s="38">
        <v>4.4000000000000004</v>
      </c>
    </row>
    <row r="77" spans="2:11" x14ac:dyDescent="0.25">
      <c r="B77" s="39" t="s">
        <v>300</v>
      </c>
      <c r="C77" s="40" t="s">
        <v>134</v>
      </c>
      <c r="D77" s="40" t="s">
        <v>298</v>
      </c>
      <c r="E77" s="40" t="s">
        <v>126</v>
      </c>
      <c r="F77" s="40">
        <v>44</v>
      </c>
      <c r="G77" s="41">
        <v>23804</v>
      </c>
      <c r="H77" s="41">
        <v>26723</v>
      </c>
      <c r="I77" s="42">
        <v>89.1</v>
      </c>
      <c r="J77" s="40">
        <v>2</v>
      </c>
      <c r="K77" s="43">
        <v>4.5</v>
      </c>
    </row>
  </sheetData>
  <mergeCells count="2">
    <mergeCell ref="B3:K3"/>
    <mergeCell ref="B4:K4"/>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pageSetUpPr fitToPage="1"/>
  </sheetPr>
  <dimension ref="B2:C28"/>
  <sheetViews>
    <sheetView zoomScale="107" workbookViewId="0">
      <selection activeCell="B1" sqref="B1"/>
    </sheetView>
  </sheetViews>
  <sheetFormatPr defaultRowHeight="15" x14ac:dyDescent="0.25"/>
  <cols>
    <col min="1" max="1" width="3" customWidth="1"/>
    <col min="2" max="2" width="85" customWidth="1"/>
    <col min="3" max="3" width="40" customWidth="1"/>
  </cols>
  <sheetData>
    <row r="2" spans="2:3" x14ac:dyDescent="0.25">
      <c r="B2" s="78" t="s">
        <v>323</v>
      </c>
      <c r="C2" s="51"/>
    </row>
    <row r="3" spans="2:3" x14ac:dyDescent="0.25">
      <c r="B3" s="70"/>
      <c r="C3" s="51"/>
    </row>
    <row r="5" spans="2:3" ht="40.15" customHeight="1" x14ac:dyDescent="0.25">
      <c r="B5" s="88" t="s">
        <v>324</v>
      </c>
      <c r="C5" s="58"/>
    </row>
    <row r="6" spans="2:3" ht="55.15" customHeight="1" x14ac:dyDescent="0.25">
      <c r="B6" s="59"/>
      <c r="C6" s="54"/>
    </row>
    <row r="7" spans="2:3" ht="40.15" customHeight="1" x14ac:dyDescent="0.25">
      <c r="B7" s="88" t="s">
        <v>325</v>
      </c>
      <c r="C7" s="58"/>
    </row>
    <row r="8" spans="2:3" ht="55.15" customHeight="1" x14ac:dyDescent="0.25">
      <c r="B8" s="59"/>
      <c r="C8" s="54"/>
    </row>
    <row r="9" spans="2:3" ht="40.15" customHeight="1" x14ac:dyDescent="0.25">
      <c r="B9" s="88" t="s">
        <v>326</v>
      </c>
      <c r="C9" s="58"/>
    </row>
    <row r="10" spans="2:3" ht="55.15" customHeight="1" x14ac:dyDescent="0.25">
      <c r="B10" s="59"/>
      <c r="C10" s="54"/>
    </row>
    <row r="11" spans="2:3" ht="40.15" customHeight="1" x14ac:dyDescent="0.25">
      <c r="B11" s="88" t="s">
        <v>327</v>
      </c>
      <c r="C11" s="58"/>
    </row>
    <row r="12" spans="2:3" ht="55.15" customHeight="1" x14ac:dyDescent="0.25">
      <c r="B12" s="59"/>
      <c r="C12" s="54"/>
    </row>
    <row r="13" spans="2:3" ht="40.15" customHeight="1" x14ac:dyDescent="0.25">
      <c r="B13" s="88" t="s">
        <v>328</v>
      </c>
      <c r="C13" s="58"/>
    </row>
    <row r="14" spans="2:3" ht="55.15" customHeight="1" x14ac:dyDescent="0.25">
      <c r="B14" s="59"/>
      <c r="C14" s="54"/>
    </row>
    <row r="15" spans="2:3" ht="40.15" customHeight="1" x14ac:dyDescent="0.25">
      <c r="B15" s="88" t="s">
        <v>329</v>
      </c>
      <c r="C15" s="58"/>
    </row>
    <row r="16" spans="2:3" ht="55.15" customHeight="1" x14ac:dyDescent="0.25">
      <c r="B16" s="59"/>
      <c r="C16" s="54"/>
    </row>
    <row r="17" spans="2:3" ht="40.15" customHeight="1" x14ac:dyDescent="0.25">
      <c r="B17" s="88" t="s">
        <v>330</v>
      </c>
      <c r="C17" s="58"/>
    </row>
    <row r="18" spans="2:3" ht="55.15" customHeight="1" x14ac:dyDescent="0.25">
      <c r="B18" s="59"/>
      <c r="C18" s="54"/>
    </row>
    <row r="19" spans="2:3" ht="40.15" customHeight="1" x14ac:dyDescent="0.25">
      <c r="B19" s="88" t="s">
        <v>331</v>
      </c>
      <c r="C19" s="58"/>
    </row>
    <row r="20" spans="2:3" ht="55.15" customHeight="1" x14ac:dyDescent="0.25">
      <c r="B20" s="59"/>
      <c r="C20" s="54"/>
    </row>
    <row r="21" spans="2:3" ht="40.15" customHeight="1" x14ac:dyDescent="0.25">
      <c r="B21" s="88" t="s">
        <v>332</v>
      </c>
      <c r="C21" s="58"/>
    </row>
    <row r="22" spans="2:3" ht="55.15" customHeight="1" x14ac:dyDescent="0.25">
      <c r="B22" s="59"/>
      <c r="C22" s="54"/>
    </row>
    <row r="23" spans="2:3" ht="40.15" customHeight="1" x14ac:dyDescent="0.25">
      <c r="B23" s="88" t="s">
        <v>333</v>
      </c>
      <c r="C23" s="58"/>
    </row>
    <row r="24" spans="2:3" ht="55.15" customHeight="1" x14ac:dyDescent="0.25">
      <c r="B24" s="59"/>
      <c r="C24" s="54"/>
    </row>
    <row r="25" spans="2:3" ht="40.15" customHeight="1" x14ac:dyDescent="0.25">
      <c r="B25" s="88" t="s">
        <v>334</v>
      </c>
      <c r="C25" s="58"/>
    </row>
    <row r="26" spans="2:3" ht="55.15" customHeight="1" x14ac:dyDescent="0.25">
      <c r="B26" s="59"/>
      <c r="C26" s="54"/>
    </row>
    <row r="27" spans="2:3" ht="40.15" customHeight="1" x14ac:dyDescent="0.25">
      <c r="B27" s="88" t="s">
        <v>335</v>
      </c>
      <c r="C27" s="58"/>
    </row>
    <row r="28" spans="2:3" ht="55.15" customHeight="1" x14ac:dyDescent="0.25">
      <c r="B28" s="59"/>
      <c r="C28" s="54"/>
    </row>
  </sheetData>
  <mergeCells count="26">
    <mergeCell ref="B2:C2"/>
    <mergeCell ref="B11:C11"/>
    <mergeCell ref="B23:C23"/>
    <mergeCell ref="B14:C14"/>
    <mergeCell ref="B17:C17"/>
    <mergeCell ref="B8:C8"/>
    <mergeCell ref="B13:C13"/>
    <mergeCell ref="B19:C19"/>
    <mergeCell ref="B10:C10"/>
    <mergeCell ref="B5:C5"/>
    <mergeCell ref="B16:C16"/>
    <mergeCell ref="B7:C7"/>
    <mergeCell ref="B3:C3"/>
    <mergeCell ref="B22:C22"/>
    <mergeCell ref="B18:C18"/>
    <mergeCell ref="B28:C28"/>
    <mergeCell ref="B9:C9"/>
    <mergeCell ref="B6:C6"/>
    <mergeCell ref="B24:C24"/>
    <mergeCell ref="B15:C15"/>
    <mergeCell ref="B20:C20"/>
    <mergeCell ref="B26:C26"/>
    <mergeCell ref="B27:C27"/>
    <mergeCell ref="B12:C12"/>
    <mergeCell ref="B21:C21"/>
    <mergeCell ref="B25:C25"/>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CRISP-DM</vt:lpstr>
      <vt:lpstr>DATA DUMP - I</vt:lpstr>
      <vt:lpstr>Sheet1</vt:lpstr>
      <vt:lpstr>BASIC FORMULAS - QUESTIONS</vt:lpstr>
      <vt:lpstr>BASIC FORMULAS NOTES</vt:lpstr>
      <vt:lpstr>CONDITIONAL FORMATTING</vt:lpstr>
      <vt:lpstr>DATA DUMP - II</vt:lpstr>
      <vt:lpstr>CF - QUESTIONS</vt:lpstr>
      <vt:lpstr>Sheet2</vt:lpstr>
      <vt:lpstr>DAILY ASSIGNMENT</vt:lpstr>
      <vt:lpstr>'DATA DUMP - I'!Print_Titles</vt:lpstr>
      <vt:lpstr>'DATA DUMP - II'!Print_Titles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BADAL LAD</cp:lastModifiedBy>
  <cp:revision/>
  <dcterms:created xsi:type="dcterms:W3CDTF">2026-08-02T05:45:37Z</dcterms:created>
  <dcterms:modified xsi:type="dcterms:W3CDTF">2026-08-06T12:37:49Z</dcterms:modified>
  <cp:category/>
  <cp:contentStatus/>
</cp:coreProperties>
</file>