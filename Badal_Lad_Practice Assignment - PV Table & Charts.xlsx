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Class-UpGrad\Excle\"/>
    </mc:Choice>
  </mc:AlternateContent>
  <xr:revisionPtr revIDLastSave="0" documentId="13_ncr:1_{D4CA0A37-BFEE-4581-9F7C-B4C4BDBE021B}" xr6:coauthVersionLast="47" xr6:coauthVersionMax="47" xr10:uidLastSave="{00000000-0000-0000-0000-000000000000}"/>
  <bookViews>
    <workbookView xWindow="-120" yWindow="-120" windowWidth="29040" windowHeight="15720" firstSheet="1" activeTab="4" xr2:uid="{00000000-000D-0000-FFFF-FFFF00000000}"/>
  </bookViews>
  <sheets>
    <sheet name="Instruction" sheetId="1" state="hidden" r:id="rId1"/>
    <sheet name="Detail1" sheetId="9" r:id="rId2"/>
    <sheet name="Sheet1" sheetId="6" r:id="rId3"/>
    <sheet name="Sales Data" sheetId="2" r:id="rId4"/>
    <sheet name="Questions" sheetId="4" r:id="rId5"/>
    <sheet name="Metric Data" sheetId="3" r:id="rId6"/>
    <sheet name="Workspace" sheetId="5" r:id="rId7"/>
  </sheets>
  <definedNames>
    <definedName name="_xlnm._FilterDatabase" localSheetId="4" hidden="1">Questions!$A$2:$E$24</definedName>
    <definedName name="_xlchart.v1.0" hidden="1">'Metric Data'!$C$2</definedName>
    <definedName name="_xlchart.v1.1" hidden="1">'Metric Data'!$C$3:$C$38</definedName>
    <definedName name="_xlchart.v1.10" hidden="1">'Metric Data'!$H$2</definedName>
    <definedName name="_xlchart.v1.11" hidden="1">'Metric Data'!$H$3:$H$38</definedName>
    <definedName name="_xlchart.v1.12" hidden="1">'Metric Data'!$I$2</definedName>
    <definedName name="_xlchart.v1.13" hidden="1">'Metric Data'!$I$3:$I$38</definedName>
    <definedName name="_xlchart.v1.14" hidden="1">'Metric Data'!$J$2</definedName>
    <definedName name="_xlchart.v1.15" hidden="1">'Metric Data'!$J$3:$J$38</definedName>
    <definedName name="_xlchart.v1.16" hidden="1">'Metric Data'!$K$2</definedName>
    <definedName name="_xlchart.v1.17" hidden="1">'Metric Data'!$K$3:$K$38</definedName>
    <definedName name="_xlchart.v1.2" hidden="1">'Metric Data'!$D$2</definedName>
    <definedName name="_xlchart.v1.3" hidden="1">'Metric Data'!$D$3:$D$38</definedName>
    <definedName name="_xlchart.v1.4" hidden="1">'Metric Data'!$E$2</definedName>
    <definedName name="_xlchart.v1.5" hidden="1">'Metric Data'!$E$3:$E$38</definedName>
    <definedName name="_xlchart.v1.6" hidden="1">'Metric Data'!$F$2</definedName>
    <definedName name="_xlchart.v1.7" hidden="1">'Metric Data'!$F$3:$F$38</definedName>
    <definedName name="_xlchart.v1.8" hidden="1">'Metric Data'!$G$2</definedName>
    <definedName name="_xlchart.v1.9" hidden="1">'Metric Data'!$G$3:$G$38</definedName>
    <definedName name="Slicer_Channel">#N/A</definedName>
    <definedName name="Slicer_Salesperson">#N/A</definedName>
  </definedNames>
  <calcPr calcId="191029"/>
  <pivotCaches>
    <pivotCache cacheId="3"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41" i="6" l="1"/>
  <c r="B342" i="6"/>
  <c r="B343" i="6"/>
  <c r="B344" i="6"/>
  <c r="B345" i="6"/>
  <c r="B346" i="6"/>
  <c r="B347" i="6"/>
  <c r="B348" i="6"/>
  <c r="B349" i="6"/>
  <c r="B350" i="6"/>
  <c r="B351" i="6"/>
  <c r="B352" i="6"/>
  <c r="B353" i="6"/>
  <c r="B354" i="6"/>
  <c r="B355" i="6"/>
  <c r="B356" i="6"/>
  <c r="B357" i="6"/>
  <c r="B358" i="6"/>
  <c r="B359" i="6"/>
  <c r="B360" i="6"/>
  <c r="B361" i="6"/>
  <c r="B362" i="6"/>
  <c r="B363" i="6"/>
  <c r="B364" i="6"/>
  <c r="B365" i="6"/>
  <c r="B366" i="6"/>
  <c r="B367" i="6"/>
  <c r="B368" i="6"/>
  <c r="B369" i="6"/>
  <c r="B370" i="6"/>
  <c r="B371" i="6"/>
  <c r="B372" i="6"/>
  <c r="B373" i="6"/>
  <c r="B374" i="6"/>
  <c r="B324" i="6"/>
  <c r="B323" i="6"/>
  <c r="M4" i="3"/>
  <c r="B322" i="6"/>
  <c r="B321" i="6"/>
  <c r="B320" i="6"/>
  <c r="M3" i="3" s="1"/>
  <c r="P5" i="3"/>
  <c r="P6" i="3"/>
  <c r="P7" i="3"/>
  <c r="P8" i="3"/>
  <c r="P9" i="3"/>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B251" i="6"/>
  <c r="D134" i="6"/>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M5" i="3" l="1"/>
</calcChain>
</file>

<file path=xl/sharedStrings.xml><?xml version="1.0" encoding="utf-8"?>
<sst xmlns="http://schemas.openxmlformats.org/spreadsheetml/2006/main" count="3260" uniqueCount="681">
  <si>
    <t>Excel Data Analyst Interview Practice Workbook</t>
  </si>
  <si>
    <t>Intermediate &amp; Advanced  |  Pivot Tables  •  Pivot Charts  •  Correlation  •  Data Analysis ToolPak</t>
  </si>
  <si>
    <t>Real-world interview-style questions for Master / Senior Data Analyst roles  |  Hints provided  •  No answers included</t>
  </si>
  <si>
    <t>HOW TO USE THIS WORKBOOK</t>
  </si>
  <si>
    <t>1. Review the sample datasets on sheets '02_SalesData' and '03_MetricsData'. Both are formatted as Excel Tables (best practice for Pivots).</t>
  </si>
  <si>
    <t>2. Open '04_Interview_Questions'. Questions are grouped by topic and marked Intermediate or Advanced.</t>
  </si>
  <si>
    <t>3. Treat every practical question as a live interview task. Build your solutions on the '05_Workspace' sheet (or create new sheets as needed).</t>
  </si>
  <si>
    <t>4. Use the Hint column only when you are stuck. Hints point you in the right direction without revealing the full solution.</t>
  </si>
  <si>
    <t>5. For Data Analysis ToolPak questions: Enable the add-in first → File → Options → Add-ins → Manage: Excel Add-ins → Go → check 'Analysis ToolPak'.</t>
  </si>
  <si>
    <t>6. Practice explaining your steps and insights out loud. Interviewers evaluate reasoning, communication, and business sense as much as technical skill.</t>
  </si>
  <si>
    <t>7. Time-box yourself: 8–12 minutes per practical question is realistic for most interview settings.</t>
  </si>
  <si>
    <t>8. After finishing, self-review: clean layout? professional number formats? used Excel Table as source? clear titles on charts?</t>
  </si>
  <si>
    <t>WHAT INTERVIEWERS TYPICALLY LOOK FOR</t>
  </si>
  <si>
    <t>• Correct and efficient use of Pivot Table features (date grouping, calculated fields/items, Show Values As, slicers, timelines)</t>
  </si>
  <si>
    <t>• Clean readable layouts and professional number formatting (currency, %, thousands separators, consistent alignment)</t>
  </si>
  <si>
    <t>• Clear understanding of Calculated Field vs Calculated Item vs helper columns in source data</t>
  </si>
  <si>
    <t>• Ability to use GETPIVOTDATA to pull values into summary dashboards or reports</t>
  </si>
  <si>
    <t>• Proper statistical interpretation: correlation ≠ causation, meaning of R², p-values, coefficients in regression</t>
  </si>
  <si>
    <t>• Awareness of ToolPak limitations and modern alternatives (dynamic array formulas, Power Query, Power Pivot)</t>
  </si>
  <si>
    <t>• Handling of real-world issues: blanks, mixed data types, date grouping quirks, refresh behavior, Table vs open range</t>
  </si>
  <si>
    <t>SHEETS IN THIS WORKBOOK</t>
  </si>
  <si>
    <t>Sheet Name</t>
  </si>
  <si>
    <t>Purpose</t>
  </si>
  <si>
    <t>01_Instructions</t>
  </si>
  <si>
    <t>This overview, how-to-use guidance, and interview tips</t>
  </si>
  <si>
    <t>02_SalesData</t>
  </si>
  <si>
    <t>300-row transactional sales dataset (Excel Table named SalesData) — primary source for all Pivot questions</t>
  </si>
  <si>
    <t>03_MetricsData</t>
  </si>
  <si>
    <t>36 months of marketing spend &amp; performance metrics — used for correlation, regression, descriptive stats &amp; histograms</t>
  </si>
  <si>
    <t>04_Interview_Questions</t>
  </si>
  <si>
    <t>Complete list of interview questions with Level, Topic, Scenario, Task and Hint columns</t>
  </si>
  <si>
    <t>05_Workspace</t>
  </si>
  <si>
    <t>Empty working area — build all your Pivot Tables, Pivot Charts and statistical outputs here</t>
  </si>
  <si>
    <t>QUICK TIPS FOR HIGH SCORES IN INTERVIEWS</t>
  </si>
  <si>
    <t>• Always convert source ranges to Excel Tables (Ctrl + T) before creating Pivot Tables — expansion and refresh become reliable.</t>
  </si>
  <si>
    <t>• Give every Pivot Table a meaningful name (PivotTable Analyze tab → PivotTable Name box).</t>
  </si>
  <si>
    <t>• Apply consistent number formats and add clear titles/captions to every chart and pivot you create.</t>
  </si>
  <si>
    <t>• For ToolPak Regression the independent variables (X) must be in contiguous columns; include header labels if the option is checked.</t>
  </si>
  <si>
    <t>• Be ready to discuss both the technical steps and the business insight the numbers reveal.</t>
  </si>
  <si>
    <t>SAMPLE SALES DATA  |  300 transactions  |  Jan 2023 – Jun 2025  |  Formatted as Excel Table 'SalesData'  |  Primary source for Pivot Table &amp; Pivot Chart questions</t>
  </si>
  <si>
    <t>OrderID</t>
  </si>
  <si>
    <t>OrderDate</t>
  </si>
  <si>
    <t>Region</t>
  </si>
  <si>
    <t>City</t>
  </si>
  <si>
    <t>Category</t>
  </si>
  <si>
    <t>Product</t>
  </si>
  <si>
    <t>Salesperson</t>
  </si>
  <si>
    <t>Quantity</t>
  </si>
  <si>
    <t>UnitPrice</t>
  </si>
  <si>
    <t>Revenue</t>
  </si>
  <si>
    <t>Cost</t>
  </si>
  <si>
    <t>Profit</t>
  </si>
  <si>
    <t>CustomerType</t>
  </si>
  <si>
    <t>Channel</t>
  </si>
  <si>
    <t>ORD-10001</t>
  </si>
  <si>
    <t>North</t>
  </si>
  <si>
    <t>Chicago</t>
  </si>
  <si>
    <t>Office Supplies</t>
  </si>
  <si>
    <t>Pen Set Premium</t>
  </si>
  <si>
    <t>Diana Patel</t>
  </si>
  <si>
    <t>B2B</t>
  </si>
  <si>
    <t>Partner</t>
  </si>
  <si>
    <t>ORD-10002</t>
  </si>
  <si>
    <t>Electronics</t>
  </si>
  <si>
    <t>Wireless Mouse</t>
  </si>
  <si>
    <t>B2C</t>
  </si>
  <si>
    <t>Online</t>
  </si>
  <si>
    <t>ORD-10003</t>
  </si>
  <si>
    <t>East</t>
  </si>
  <si>
    <t>New York</t>
  </si>
  <si>
    <t>Furniture</t>
  </si>
  <si>
    <t>Desk Lamp</t>
  </si>
  <si>
    <t>Gabriel Soto</t>
  </si>
  <si>
    <t>ORD-10004</t>
  </si>
  <si>
    <t>West</t>
  </si>
  <si>
    <t>Los Angeles</t>
  </si>
  <si>
    <t>Stapler Heavy</t>
  </si>
  <si>
    <t>Ethan Brooks</t>
  </si>
  <si>
    <t>ORD-10005</t>
  </si>
  <si>
    <t>Philadelphia</t>
  </si>
  <si>
    <t>Brian Lee</t>
  </si>
  <si>
    <t>ORD-10006</t>
  </si>
  <si>
    <t>Milwaukee</t>
  </si>
  <si>
    <t>Binder A4</t>
  </si>
  <si>
    <t>Fatima Noor</t>
  </si>
  <si>
    <t>ORD-10007</t>
  </si>
  <si>
    <t>Detroit</t>
  </si>
  <si>
    <t>Standing Desk</t>
  </si>
  <si>
    <t>Hana Kim</t>
  </si>
  <si>
    <t>ORD-10008</t>
  </si>
  <si>
    <t>USB-C Hub</t>
  </si>
  <si>
    <t>ORD-10009</t>
  </si>
  <si>
    <t>Phoenix</t>
  </si>
  <si>
    <t>Clothing</t>
  </si>
  <si>
    <t>Business Jacket</t>
  </si>
  <si>
    <t>ORD-10010</t>
  </si>
  <si>
    <t>Carlos Rivera</t>
  </si>
  <si>
    <t>ORD-10011</t>
  </si>
  <si>
    <t>South</t>
  </si>
  <si>
    <t>Dallas</t>
  </si>
  <si>
    <t>Monitor 27"</t>
  </si>
  <si>
    <t>ORD-10012</t>
  </si>
  <si>
    <t>Minneapolis</t>
  </si>
  <si>
    <t>Notebook Pack</t>
  </si>
  <si>
    <t>ORD-10013</t>
  </si>
  <si>
    <t>Houston</t>
  </si>
  <si>
    <t>Printer Paper</t>
  </si>
  <si>
    <t>ORD-10014</t>
  </si>
  <si>
    <t>ORD-10015</t>
  </si>
  <si>
    <t>ORD-10016</t>
  </si>
  <si>
    <t>Miami</t>
  </si>
  <si>
    <t>Belt Leather</t>
  </si>
  <si>
    <t>ORD-10017</t>
  </si>
  <si>
    <t>Filing Cabinet</t>
  </si>
  <si>
    <t>ORD-10018</t>
  </si>
  <si>
    <t>Bookshelf Oak</t>
  </si>
  <si>
    <t>ORD-10019</t>
  </si>
  <si>
    <t>Ergo Chair</t>
  </si>
  <si>
    <t>ORD-10020</t>
  </si>
  <si>
    <t>ORD-10021</t>
  </si>
  <si>
    <t>ORD-10022</t>
  </si>
  <si>
    <t>ORD-10023</t>
  </si>
  <si>
    <t>ORD-10024</t>
  </si>
  <si>
    <t>Boston</t>
  </si>
  <si>
    <t>Keyboard Mech</t>
  </si>
  <si>
    <t>Aisha Khan</t>
  </si>
  <si>
    <t>ORD-10025</t>
  </si>
  <si>
    <t>ORD-10026</t>
  </si>
  <si>
    <t>Retail</t>
  </si>
  <si>
    <t>ORD-10027</t>
  </si>
  <si>
    <t>Casual Trousers</t>
  </si>
  <si>
    <t>ORD-10028</t>
  </si>
  <si>
    <t>ORD-10029</t>
  </si>
  <si>
    <t>ORD-10030</t>
  </si>
  <si>
    <t>ORD-10031</t>
  </si>
  <si>
    <t>San Francisco</t>
  </si>
  <si>
    <t>Laptop Pro 15</t>
  </si>
  <si>
    <t>ORD-10032</t>
  </si>
  <si>
    <t>ORD-10033</t>
  </si>
  <si>
    <t>ORD-10034</t>
  </si>
  <si>
    <t>Seattle</t>
  </si>
  <si>
    <t>ORD-10035</t>
  </si>
  <si>
    <t>ORD-10036</t>
  </si>
  <si>
    <t>ORD-10037</t>
  </si>
  <si>
    <t>ORD-10038</t>
  </si>
  <si>
    <t>ORD-10039</t>
  </si>
  <si>
    <t>Polo Shirt</t>
  </si>
  <si>
    <t>ORD-10040</t>
  </si>
  <si>
    <t>ORD-10041</t>
  </si>
  <si>
    <t>ORD-10042</t>
  </si>
  <si>
    <t>ORD-10043</t>
  </si>
  <si>
    <t>ORD-10044</t>
  </si>
  <si>
    <t>Sneakers Pro</t>
  </si>
  <si>
    <t>ORD-10045</t>
  </si>
  <si>
    <t>ORD-10046</t>
  </si>
  <si>
    <t>ORD-10047</t>
  </si>
  <si>
    <t>ORD-10048</t>
  </si>
  <si>
    <t>ORD-10049</t>
  </si>
  <si>
    <t>Backpack Work</t>
  </si>
  <si>
    <t>ORD-10050</t>
  </si>
  <si>
    <t>Conference Table</t>
  </si>
  <si>
    <t>ORD-10051</t>
  </si>
  <si>
    <t>ORD-10052</t>
  </si>
  <si>
    <t>ORD-10053</t>
  </si>
  <si>
    <t>ORD-10054</t>
  </si>
  <si>
    <t>ORD-10055</t>
  </si>
  <si>
    <t>ORD-10056</t>
  </si>
  <si>
    <t>Sticky Notes</t>
  </si>
  <si>
    <t>ORD-10057</t>
  </si>
  <si>
    <t>ORD-10058</t>
  </si>
  <si>
    <t>ORD-10059</t>
  </si>
  <si>
    <t>Washington DC</t>
  </si>
  <si>
    <t>ORD-10060</t>
  </si>
  <si>
    <t>ORD-10061</t>
  </si>
  <si>
    <t>ORD-10062</t>
  </si>
  <si>
    <t>ORD-10063</t>
  </si>
  <si>
    <t>ORD-10064</t>
  </si>
  <si>
    <t>ORD-10065</t>
  </si>
  <si>
    <t>ORD-10066</t>
  </si>
  <si>
    <t>ORD-10067</t>
  </si>
  <si>
    <t>ORD-10068</t>
  </si>
  <si>
    <t>ORD-10069</t>
  </si>
  <si>
    <t>ORD-10070</t>
  </si>
  <si>
    <t>ORD-10071</t>
  </si>
  <si>
    <t>ORD-10072</t>
  </si>
  <si>
    <t>ORD-10073</t>
  </si>
  <si>
    <t>ORD-10074</t>
  </si>
  <si>
    <t>ORD-10075</t>
  </si>
  <si>
    <t>ORD-10076</t>
  </si>
  <si>
    <t>ORD-10077</t>
  </si>
  <si>
    <t>ORD-10078</t>
  </si>
  <si>
    <t>ORD-10079</t>
  </si>
  <si>
    <t>ORD-10080</t>
  </si>
  <si>
    <t>ORD-10081</t>
  </si>
  <si>
    <t>ORD-10082</t>
  </si>
  <si>
    <t>ORD-10083</t>
  </si>
  <si>
    <t>ORD-10084</t>
  </si>
  <si>
    <t>ORD-10085</t>
  </si>
  <si>
    <t>Atlanta</t>
  </si>
  <si>
    <t>ORD-10086</t>
  </si>
  <si>
    <t>ORD-10087</t>
  </si>
  <si>
    <t>ORD-10088</t>
  </si>
  <si>
    <t>ORD-10089</t>
  </si>
  <si>
    <t>Webcam HD</t>
  </si>
  <si>
    <t>ORD-10090</t>
  </si>
  <si>
    <t>ORD-10091</t>
  </si>
  <si>
    <t>ORD-10092</t>
  </si>
  <si>
    <t>ORD-10093</t>
  </si>
  <si>
    <t>ORD-10094</t>
  </si>
  <si>
    <t>ORD-10095</t>
  </si>
  <si>
    <t>ORD-10096</t>
  </si>
  <si>
    <t>ORD-10097</t>
  </si>
  <si>
    <t>ORD-10098</t>
  </si>
  <si>
    <t>ORD-10099</t>
  </si>
  <si>
    <t>ORD-10100</t>
  </si>
  <si>
    <t>ORD-10101</t>
  </si>
  <si>
    <t>ORD-10102</t>
  </si>
  <si>
    <t>ORD-10103</t>
  </si>
  <si>
    <t>ORD-10104</t>
  </si>
  <si>
    <t>ORD-10105</t>
  </si>
  <si>
    <t>ORD-10106</t>
  </si>
  <si>
    <t>ORD-10107</t>
  </si>
  <si>
    <t>ORD-10108</t>
  </si>
  <si>
    <t>ORD-10109</t>
  </si>
  <si>
    <t>ORD-10110</t>
  </si>
  <si>
    <t>ORD-10111</t>
  </si>
  <si>
    <t>ORD-10112</t>
  </si>
  <si>
    <t>ORD-10113</t>
  </si>
  <si>
    <t>ORD-10114</t>
  </si>
  <si>
    <t>ORD-10115</t>
  </si>
  <si>
    <t>ORD-10116</t>
  </si>
  <si>
    <t>ORD-10117</t>
  </si>
  <si>
    <t>ORD-10118</t>
  </si>
  <si>
    <t>ORD-10119</t>
  </si>
  <si>
    <t>ORD-10120</t>
  </si>
  <si>
    <t>ORD-10121</t>
  </si>
  <si>
    <t>ORD-10122</t>
  </si>
  <si>
    <t>ORD-10123</t>
  </si>
  <si>
    <t>ORD-10124</t>
  </si>
  <si>
    <t>ORD-10125</t>
  </si>
  <si>
    <t>ORD-10126</t>
  </si>
  <si>
    <t>ORD-10127</t>
  </si>
  <si>
    <t>ORD-10128</t>
  </si>
  <si>
    <t>ORD-10129</t>
  </si>
  <si>
    <t>ORD-10130</t>
  </si>
  <si>
    <t>ORD-10131</t>
  </si>
  <si>
    <t>ORD-10132</t>
  </si>
  <si>
    <t>ORD-10133</t>
  </si>
  <si>
    <t>ORD-10134</t>
  </si>
  <si>
    <t>ORD-10135</t>
  </si>
  <si>
    <t>ORD-10136</t>
  </si>
  <si>
    <t>ORD-10137</t>
  </si>
  <si>
    <t>ORD-10138</t>
  </si>
  <si>
    <t>ORD-10139</t>
  </si>
  <si>
    <t>ORD-10140</t>
  </si>
  <si>
    <t>ORD-10141</t>
  </si>
  <si>
    <t>ORD-10142</t>
  </si>
  <si>
    <t>ORD-10143</t>
  </si>
  <si>
    <t>ORD-10144</t>
  </si>
  <si>
    <t>ORD-10145</t>
  </si>
  <si>
    <t>ORD-10146</t>
  </si>
  <si>
    <t>ORD-10147</t>
  </si>
  <si>
    <t>ORD-10148</t>
  </si>
  <si>
    <t>ORD-10149</t>
  </si>
  <si>
    <t>ORD-10150</t>
  </si>
  <si>
    <t>ORD-10151</t>
  </si>
  <si>
    <t>ORD-10152</t>
  </si>
  <si>
    <t>ORD-10153</t>
  </si>
  <si>
    <t>ORD-10154</t>
  </si>
  <si>
    <t>ORD-10155</t>
  </si>
  <si>
    <t>ORD-10156</t>
  </si>
  <si>
    <t>ORD-10157</t>
  </si>
  <si>
    <t>ORD-10158</t>
  </si>
  <si>
    <t>ORD-10159</t>
  </si>
  <si>
    <t>ORD-10160</t>
  </si>
  <si>
    <t>ORD-10161</t>
  </si>
  <si>
    <t>ORD-10162</t>
  </si>
  <si>
    <t>ORD-10163</t>
  </si>
  <si>
    <t>ORD-10164</t>
  </si>
  <si>
    <t>ORD-10165</t>
  </si>
  <si>
    <t>ORD-10166</t>
  </si>
  <si>
    <t>ORD-10167</t>
  </si>
  <si>
    <t>ORD-10168</t>
  </si>
  <si>
    <t>ORD-10169</t>
  </si>
  <si>
    <t>ORD-10170</t>
  </si>
  <si>
    <t>ORD-10171</t>
  </si>
  <si>
    <t>ORD-10172</t>
  </si>
  <si>
    <t>ORD-10173</t>
  </si>
  <si>
    <t>ORD-10174</t>
  </si>
  <si>
    <t>ORD-10175</t>
  </si>
  <si>
    <t>ORD-10176</t>
  </si>
  <si>
    <t>ORD-10177</t>
  </si>
  <si>
    <t>ORD-10178</t>
  </si>
  <si>
    <t>ORD-10179</t>
  </si>
  <si>
    <t>ORD-10180</t>
  </si>
  <si>
    <t>ORD-10181</t>
  </si>
  <si>
    <t>ORD-10182</t>
  </si>
  <si>
    <t>ORD-10183</t>
  </si>
  <si>
    <t>ORD-10184</t>
  </si>
  <si>
    <t>ORD-10185</t>
  </si>
  <si>
    <t>ORD-10186</t>
  </si>
  <si>
    <t>ORD-10187</t>
  </si>
  <si>
    <t>ORD-10188</t>
  </si>
  <si>
    <t>ORD-10189</t>
  </si>
  <si>
    <t>ORD-10190</t>
  </si>
  <si>
    <t>ORD-10191</t>
  </si>
  <si>
    <t>ORD-10192</t>
  </si>
  <si>
    <t>ORD-10193</t>
  </si>
  <si>
    <t>ORD-10194</t>
  </si>
  <si>
    <t>ORD-10195</t>
  </si>
  <si>
    <t>ORD-10196</t>
  </si>
  <si>
    <t>ORD-10197</t>
  </si>
  <si>
    <t>ORD-10198</t>
  </si>
  <si>
    <t>ORD-10199</t>
  </si>
  <si>
    <t>ORD-10200</t>
  </si>
  <si>
    <t>ORD-10201</t>
  </si>
  <si>
    <t>ORD-10202</t>
  </si>
  <si>
    <t>ORD-10203</t>
  </si>
  <si>
    <t>ORD-10204</t>
  </si>
  <si>
    <t>ORD-10205</t>
  </si>
  <si>
    <t>ORD-10206</t>
  </si>
  <si>
    <t>ORD-10207</t>
  </si>
  <si>
    <t>ORD-10208</t>
  </si>
  <si>
    <t>ORD-10209</t>
  </si>
  <si>
    <t>ORD-10210</t>
  </si>
  <si>
    <t>ORD-10211</t>
  </si>
  <si>
    <t>ORD-10212</t>
  </si>
  <si>
    <t>ORD-10213</t>
  </si>
  <si>
    <t>ORD-10214</t>
  </si>
  <si>
    <t>ORD-10215</t>
  </si>
  <si>
    <t>ORD-10216</t>
  </si>
  <si>
    <t>ORD-10217</t>
  </si>
  <si>
    <t>ORD-10218</t>
  </si>
  <si>
    <t>ORD-10219</t>
  </si>
  <si>
    <t>ORD-10220</t>
  </si>
  <si>
    <t>ORD-10221</t>
  </si>
  <si>
    <t>ORD-10222</t>
  </si>
  <si>
    <t>ORD-10223</t>
  </si>
  <si>
    <t>ORD-10224</t>
  </si>
  <si>
    <t>ORD-10225</t>
  </si>
  <si>
    <t>ORD-10226</t>
  </si>
  <si>
    <t>ORD-10227</t>
  </si>
  <si>
    <t>ORD-10228</t>
  </si>
  <si>
    <t>ORD-10229</t>
  </si>
  <si>
    <t>ORD-10230</t>
  </si>
  <si>
    <t>ORD-10231</t>
  </si>
  <si>
    <t>ORD-10232</t>
  </si>
  <si>
    <t>ORD-10233</t>
  </si>
  <si>
    <t>ORD-10234</t>
  </si>
  <si>
    <t>ORD-10235</t>
  </si>
  <si>
    <t>ORD-10236</t>
  </si>
  <si>
    <t>ORD-10237</t>
  </si>
  <si>
    <t>ORD-10238</t>
  </si>
  <si>
    <t>ORD-10239</t>
  </si>
  <si>
    <t>ORD-10240</t>
  </si>
  <si>
    <t>ORD-10241</t>
  </si>
  <si>
    <t>ORD-10242</t>
  </si>
  <si>
    <t>ORD-10243</t>
  </si>
  <si>
    <t>ORD-10244</t>
  </si>
  <si>
    <t>ORD-10245</t>
  </si>
  <si>
    <t>ORD-10246</t>
  </si>
  <si>
    <t>ORD-10247</t>
  </si>
  <si>
    <t>ORD-10248</t>
  </si>
  <si>
    <t>ORD-10249</t>
  </si>
  <si>
    <t>ORD-10250</t>
  </si>
  <si>
    <t>ORD-10251</t>
  </si>
  <si>
    <t>ORD-10252</t>
  </si>
  <si>
    <t>ORD-10253</t>
  </si>
  <si>
    <t>ORD-10254</t>
  </si>
  <si>
    <t>ORD-10255</t>
  </si>
  <si>
    <t>ORD-10256</t>
  </si>
  <si>
    <t>ORD-10257</t>
  </si>
  <si>
    <t>ORD-10258</t>
  </si>
  <si>
    <t>ORD-10259</t>
  </si>
  <si>
    <t>ORD-10260</t>
  </si>
  <si>
    <t>ORD-10261</t>
  </si>
  <si>
    <t>ORD-10262</t>
  </si>
  <si>
    <t>ORD-10263</t>
  </si>
  <si>
    <t>ORD-10264</t>
  </si>
  <si>
    <t>ORD-10265</t>
  </si>
  <si>
    <t>ORD-10266</t>
  </si>
  <si>
    <t>ORD-10267</t>
  </si>
  <si>
    <t>ORD-10268</t>
  </si>
  <si>
    <t>ORD-10269</t>
  </si>
  <si>
    <t>ORD-10270</t>
  </si>
  <si>
    <t>ORD-10271</t>
  </si>
  <si>
    <t>ORD-10272</t>
  </si>
  <si>
    <t>ORD-10273</t>
  </si>
  <si>
    <t>ORD-10274</t>
  </si>
  <si>
    <t>ORD-10275</t>
  </si>
  <si>
    <t>ORD-10276</t>
  </si>
  <si>
    <t>ORD-10277</t>
  </si>
  <si>
    <t>ORD-10278</t>
  </si>
  <si>
    <t>ORD-10279</t>
  </si>
  <si>
    <t>ORD-10280</t>
  </si>
  <si>
    <t>ORD-10281</t>
  </si>
  <si>
    <t>ORD-10282</t>
  </si>
  <si>
    <t>ORD-10283</t>
  </si>
  <si>
    <t>ORD-10284</t>
  </si>
  <si>
    <t>ORD-10285</t>
  </si>
  <si>
    <t>ORD-10286</t>
  </si>
  <si>
    <t>ORD-10287</t>
  </si>
  <si>
    <t>ORD-10288</t>
  </si>
  <si>
    <t>ORD-10289</t>
  </si>
  <si>
    <t>ORD-10290</t>
  </si>
  <si>
    <t>ORD-10291</t>
  </si>
  <si>
    <t>ORD-10292</t>
  </si>
  <si>
    <t>ORD-10293</t>
  </si>
  <si>
    <t>ORD-10294</t>
  </si>
  <si>
    <t>ORD-10295</t>
  </si>
  <si>
    <t>ORD-10296</t>
  </si>
  <si>
    <t>ORD-10297</t>
  </si>
  <si>
    <t>ORD-10298</t>
  </si>
  <si>
    <t>ORD-10299</t>
  </si>
  <si>
    <t>ORD-10300</t>
  </si>
  <si>
    <t>MARKETING &amp; PERFORMANCE METRICS  |  36 monthly observations (Jan 2023 – Dec 2025)  |  Excel Table 'MetricsData'  |  Source for Correlation, Regression, Descriptive Stats &amp; Histogram questions</t>
  </si>
  <si>
    <t>Month</t>
  </si>
  <si>
    <t>YearMonth</t>
  </si>
  <si>
    <t>DigitalAdSpend</t>
  </si>
  <si>
    <t>TVSpend</t>
  </si>
  <si>
    <t>SocialSpend</t>
  </si>
  <si>
    <t>EmailCampaigns</t>
  </si>
  <si>
    <t>WebsiteVisits</t>
  </si>
  <si>
    <t>LeadsGenerated</t>
  </si>
  <si>
    <t>ClosedDeals</t>
  </si>
  <si>
    <t>Jan 2023</t>
  </si>
  <si>
    <t>2023-01</t>
  </si>
  <si>
    <t>Mar 2023</t>
  </si>
  <si>
    <t>2023-03</t>
  </si>
  <si>
    <t>Apr 2023</t>
  </si>
  <si>
    <t>2023-04</t>
  </si>
  <si>
    <t>May 2023</t>
  </si>
  <si>
    <t>2023-05</t>
  </si>
  <si>
    <t>Jun 2023</t>
  </si>
  <si>
    <t>2023-06</t>
  </si>
  <si>
    <t>Jul 2023</t>
  </si>
  <si>
    <t>2023-07</t>
  </si>
  <si>
    <t>Aug 2023</t>
  </si>
  <si>
    <t>2023-08</t>
  </si>
  <si>
    <t>Sep 2023</t>
  </si>
  <si>
    <t>2023-09</t>
  </si>
  <si>
    <t>Oct 2023</t>
  </si>
  <si>
    <t>2023-10</t>
  </si>
  <si>
    <t>Nov 2023</t>
  </si>
  <si>
    <t>2023-11</t>
  </si>
  <si>
    <t>Dec 2023</t>
  </si>
  <si>
    <t>2023-12</t>
  </si>
  <si>
    <t>Jan 2024</t>
  </si>
  <si>
    <t>2024-01</t>
  </si>
  <si>
    <t>Feb 2024</t>
  </si>
  <si>
    <t>2024-02</t>
  </si>
  <si>
    <t>Mar 2024</t>
  </si>
  <si>
    <t>2024-03</t>
  </si>
  <si>
    <t>Apr 2024</t>
  </si>
  <si>
    <t>2024-04</t>
  </si>
  <si>
    <t>May 2024</t>
  </si>
  <si>
    <t>2024-05</t>
  </si>
  <si>
    <t>Jun 2024</t>
  </si>
  <si>
    <t>2024-06</t>
  </si>
  <si>
    <t>Jul 2024</t>
  </si>
  <si>
    <t>2024-07</t>
  </si>
  <si>
    <t>Aug 2024</t>
  </si>
  <si>
    <t>2024-08</t>
  </si>
  <si>
    <t>Sep 2024</t>
  </si>
  <si>
    <t>2024-09</t>
  </si>
  <si>
    <t>Oct 2024</t>
  </si>
  <si>
    <t>2024-10</t>
  </si>
  <si>
    <t>Nov 2024</t>
  </si>
  <si>
    <t>2024-11</t>
  </si>
  <si>
    <t>Dec 2024</t>
  </si>
  <si>
    <t>2024-12</t>
  </si>
  <si>
    <t>Jan 2025</t>
  </si>
  <si>
    <t>2025-01</t>
  </si>
  <si>
    <t>Feb 2025</t>
  </si>
  <si>
    <t>2025-02</t>
  </si>
  <si>
    <t>Mar 2025</t>
  </si>
  <si>
    <t>2025-03</t>
  </si>
  <si>
    <t>Apr 2025</t>
  </si>
  <si>
    <t>2025-04</t>
  </si>
  <si>
    <t>May 2025</t>
  </si>
  <si>
    <t>2025-05</t>
  </si>
  <si>
    <t>Jun 2025</t>
  </si>
  <si>
    <t>2025-06</t>
  </si>
  <si>
    <t>Jul 2025</t>
  </si>
  <si>
    <t>2025-07</t>
  </si>
  <si>
    <t>Aug 2025</t>
  </si>
  <si>
    <t>2025-08</t>
  </si>
  <si>
    <t>Sep 2025</t>
  </si>
  <si>
    <t>2025-09</t>
  </si>
  <si>
    <t>Oct 2025</t>
  </si>
  <si>
    <t>2025-10</t>
  </si>
  <si>
    <t>Nov 2025</t>
  </si>
  <si>
    <t>2025-11</t>
  </si>
  <si>
    <t>#</t>
  </si>
  <si>
    <t>Topic</t>
  </si>
  <si>
    <t>Scenario (Interview Context)</t>
  </si>
  <si>
    <t>Task / Question</t>
  </si>
  <si>
    <t>Your Notes / Approach</t>
  </si>
  <si>
    <t>Pivot Tables</t>
  </si>
  <si>
    <t>Interviewer opens the SalesData sheet and says: 'We need a quick regional performance view for the leadership meeting.'</t>
  </si>
  <si>
    <t>Create a Pivot Table showing Total Revenue and Total Profit by Region and Category. Place it on the Workspace sheet. Format Revenue and Profit as currency.</t>
  </si>
  <si>
    <t>Follow-up: 'Can you also show me what share each Category contributes to overall Revenue?'</t>
  </si>
  <si>
    <t>Using the same (or a new) Pivot, display Revenue as % of Grand Total in addition to the absolute values.</t>
  </si>
  <si>
    <t>Interviewer: 'I need monthly trends for 2024 only so we can compare seasonality.'</t>
  </si>
  <si>
    <t>Create a Pivot of monthly Revenue for the year 2024. Group the OrderDate field appropriately and filter to 2024.</t>
  </si>
  <si>
    <t>Interviewer wants interactive filtering for a demo with the sales team.</t>
  </si>
  <si>
    <t>Add Slicers for Salesperson and Channel to one of your existing Pivot Tables. Demonstrate filtering to a single salesperson and then clearing the filter.</t>
  </si>
  <si>
    <t>Business question: 'Which products are driving the majority of revenue?'</t>
  </si>
  <si>
    <t>Create a Pivot that shows the Top 8 Products by Total Revenue. Display both Revenue and the count of orders.</t>
  </si>
  <si>
    <t>Interviewer asks about channel mix within customer types.</t>
  </si>
  <si>
    <t>Build a Pivot with CustomerType in Rows, Channel in Columns, and Quantity as values shown as % of Row Total.</t>
  </si>
  <si>
    <t>You are asked to surface profitability insight.</t>
  </si>
  <si>
    <t>Add a Calculated Field named 'ProfitMargin' that computes Profit / Revenue. Format it as a percentage. Show average margin by Category.</t>
  </si>
  <si>
    <t>Interviewer: 'I need a small executive summary that always pulls the latest North region total even if the pivot layout changes.'</t>
  </si>
  <si>
    <t>Create any Pivot that includes Region. Then on the Workspace sheet use GETPIVOTDATA to extract Total Revenue for the North region into a clean summary cell. Write a short note explaining why GETPIVOTDATA is preferable to direct cell references.</t>
  </si>
  <si>
    <t>Leadership wants to see cumulative performance through the year.</t>
  </si>
  <si>
    <t>Create a monthly Revenue Pivot for the full data range and apply a Running Total in the Values area so each month shows year-to-date revenue.</t>
  </si>
  <si>
    <t>Interviewer probes deeper knowledge of Pivot internals.</t>
  </si>
  <si>
    <t>Explain (and if possible demonstrate) the difference between a Calculated Field and a Calculated Item. Give one realistic business example of when you would use each. Note any important limitations of Calculated Items.</t>
  </si>
  <si>
    <t>You notice the Pivot source may grow next month with new rows.</t>
  </si>
  <si>
    <t>Describe the best practice for making a Pivot Table automatically include newly added rows of data. Demonstrate by converting the source (if not already) and showing the refresh behavior.</t>
  </si>
  <si>
    <t>Interviewer asks a design / performance question.</t>
  </si>
  <si>
    <t>Your source data has 500,000+ rows. What techniques or tools would you consider instead of (or in addition to) a classic Pivot Table on a worksheet? Briefly list pros/cons.</t>
  </si>
  <si>
    <t>Pivot Charts</t>
  </si>
  <si>
    <t>Interviewer: 'Visualize category performance for the deck.'</t>
  </si>
  <si>
    <t>From a Pivot of Revenue by Category (and optionally Region), create a Pivot Chart. Choose an appropriate chart type, add a clear chart title, and format the axis as currency.</t>
  </si>
  <si>
    <t>Follow-up: they want to see trend over time.</t>
  </si>
  <si>
    <t>Create a Pivot Chart showing monthly Revenue as a Line chart for the last 18 months of data. Add data labels for the last few points if useful, and a descriptive title.</t>
  </si>
  <si>
    <t>Interviewer notes that Pivot Charts have limitations compared with regular charts.</t>
  </si>
  <si>
    <t>Create a Pivot Chart and then explain at least three limitations of Pivot Charts versus regular Excel charts. How would you work around one of those limitations if the stakeholder insisted on a specific visual?</t>
  </si>
  <si>
    <t>Correlation</t>
  </si>
  <si>
    <t>Interviewer points to the MetricsData sheet: 'Is Digital Ad Spend related to Revenue?'</t>
  </si>
  <si>
    <t>Calculate the Pearson correlation coefficient between DigitalAdSpend and Revenue using the CORREL function. Place the result on the Workspace sheet with a clear label. Briefly interpret the strength and direction.</t>
  </si>
  <si>
    <t>Correlation / ToolPak</t>
  </si>
  <si>
    <t>They want the full picture of relationships among the numeric metrics.</t>
  </si>
  <si>
    <t>Using the Data Analysis ToolPak, generate a Correlation matrix for DigitalAdSpend, TVSpend, SocialSpend, WebsiteVisits, LeadsGenerated, ClosedDeals and Revenue. Interpret the strongest positive and any surprising relationships.</t>
  </si>
  <si>
    <t>Data Analysis ToolPak</t>
  </si>
  <si>
    <t>Interviewer asks for a statistical summary of Revenue and the three spend channels.</t>
  </si>
  <si>
    <t>Run Descriptive Statistics (ToolPak) on DigitalAdSpend, TVSpend, SocialSpend and Revenue. Request Summary statistics. On the Workspace note the mean, median, standard deviation and skewness for Revenue and comment on distribution shape.</t>
  </si>
  <si>
    <t>Leadership wants to understand drivers of Revenue.</t>
  </si>
  <si>
    <t>Perform a multiple linear Regression using ToolPak: Revenue as the Y (dependent) variable; DigitalAdSpend, TVSpend and SocialSpend as the X (independent) variables. On Workspace, record the R Square, Adjusted R Square, and the coefficients. Interpret in plain business language which spend appears most impactful and how much variation is explained.</t>
  </si>
  <si>
    <t>Interviewer asks about the distribution of deal sizes or volumes.</t>
  </si>
  <si>
    <t>Using either the ToolPak Histogram tool or the FREQUENCY function + a column chart, create a histogram of ClosedDeals (or of Revenue if you prefer). Choose reasonable bin sizes and label the chart clearly. What does the shape suggest?</t>
  </si>
  <si>
    <t>Data Analysis ToolPak / Formulas</t>
  </si>
  <si>
    <t>They want a smoothed view of monthly Revenue.</t>
  </si>
  <si>
    <t>Calculate a 3-month moving average of Revenue. You may use the ToolPak Moving Average tool or write AVERAGE formulas. Plot both actual Revenue and the moving average on a line chart for visual comparison.</t>
  </si>
  <si>
    <t>Mixed / Interview Deep Dive</t>
  </si>
  <si>
    <t>Final conceptual round — interviewer tests breadth.</t>
  </si>
  <si>
    <t>Answer the following in writing on the Workspace (or verbally in real interview):
(a) When would you choose Power Pivot / Data Model over a classic worksheet Pivot Table?
(b) What is the risk of interpreting a high correlation as a causal relationship?
(c) Name two modern Excel alternatives to the Analysis ToolPak for regression or correlation.</t>
  </si>
  <si>
    <t>YOUR WORKSPACE  |  Build all Pivot Tables, Pivot Charts, GETPIVOTDATA extracts, CORREL results, ToolPak outputs and written answers here</t>
  </si>
  <si>
    <t>Tip: Create new sheets if you prefer one analysis per sheet (e.g. PT_RegionCategory, Chart_MonthlyTrend, Regression_Output). Keep this area for quick calculations and notes.</t>
  </si>
  <si>
    <t>Quick reference — named Tables available:</t>
  </si>
  <si>
    <t>• SalesData  (sheet 02_SalesData)  —  columns: OrderID, OrderDate, Region, City, Category, Product, Salesperson, Quantity, UnitPrice, Revenue, Cost, Profit, CustomerType, Channel</t>
  </si>
  <si>
    <t>• MetricsData (sheet 03_MetricsData) — columns: Month, YearMonth, DigitalAdSpend, TVSpend, SocialSpend, EmailCampaigns, WebsiteVisits, LeadsGenerated, ClosedDeals, Revenue</t>
  </si>
  <si>
    <t>Suggested layout zones (you may ignore and organize freely):</t>
  </si>
  <si>
    <t>ZONE A — Pivot Tables</t>
  </si>
  <si>
    <t>ZONE B — Pivot Charts &amp; Visuals</t>
  </si>
  <si>
    <t>ZONE C — Correlation, Regression, Descriptive Stats, Histogram, Moving Average</t>
  </si>
  <si>
    <t>ZONE D — Written conceptual answers &amp; notes</t>
  </si>
  <si>
    <t xml:space="preserve">INTERVIEW QUESTIONS  |  Intermediate &amp; Advanced  |  Practice as if live  </t>
  </si>
  <si>
    <t>Que. 1</t>
  </si>
  <si>
    <t>Row Labels</t>
  </si>
  <si>
    <t>Grand Total</t>
  </si>
  <si>
    <t>Sum of Profit</t>
  </si>
  <si>
    <t>Sum of Revenue</t>
  </si>
  <si>
    <t>Created a PV-table, Region and Category as a row and Revenu and Profit as a value. Study gives output that Electronic have more profit in approach every regions.</t>
  </si>
  <si>
    <t xml:space="preserve">Que. 2 </t>
  </si>
  <si>
    <t>Details for Sum of Profit - Category: Furniture, Region: East</t>
  </si>
  <si>
    <t>Que. 3</t>
  </si>
  <si>
    <t>Jan</t>
  </si>
  <si>
    <t>Feb</t>
  </si>
  <si>
    <t>Mar</t>
  </si>
  <si>
    <t>Apr</t>
  </si>
  <si>
    <t>May</t>
  </si>
  <si>
    <t>Jun</t>
  </si>
  <si>
    <t>Jul</t>
  </si>
  <si>
    <t>Aug</t>
  </si>
  <si>
    <t>Sep</t>
  </si>
  <si>
    <t>Oct</t>
  </si>
  <si>
    <t>Nov</t>
  </si>
  <si>
    <t>Dec</t>
  </si>
  <si>
    <t>revenu %</t>
  </si>
  <si>
    <t>Que. 4</t>
  </si>
  <si>
    <t>Created a PV-table, Month as row and Revenue and Profit as value. FEB has more revenue and profit among all other month.</t>
  </si>
  <si>
    <t>Que. 5</t>
  </si>
  <si>
    <t>Sum of Quantity</t>
  </si>
  <si>
    <t>Que. 6</t>
  </si>
  <si>
    <t>Que. 7</t>
  </si>
  <si>
    <t>profit %</t>
  </si>
  <si>
    <t>Grand Total %</t>
  </si>
  <si>
    <t>Que. 8</t>
  </si>
  <si>
    <t>Que. 9</t>
  </si>
  <si>
    <t>2023</t>
  </si>
  <si>
    <t>2024</t>
  </si>
  <si>
    <t>2025</t>
  </si>
  <si>
    <t>Column Labels</t>
  </si>
  <si>
    <t>Que. 10</t>
  </si>
  <si>
    <t>Que. 11</t>
  </si>
  <si>
    <t xml:space="preserve"> Que. 13</t>
  </si>
  <si>
    <t>Que. 14</t>
  </si>
  <si>
    <t>Oue. 15</t>
  </si>
  <si>
    <t>Que. 16</t>
  </si>
  <si>
    <t>Que. 17</t>
  </si>
  <si>
    <t>Que. 18</t>
  </si>
  <si>
    <t>Mean</t>
  </si>
  <si>
    <t>Standard Error</t>
  </si>
  <si>
    <t>Median</t>
  </si>
  <si>
    <t>Mode</t>
  </si>
  <si>
    <t>Standard Deviation</t>
  </si>
  <si>
    <t>Sample Variance</t>
  </si>
  <si>
    <t>Kurtosis</t>
  </si>
  <si>
    <t>Skewness</t>
  </si>
  <si>
    <t>Range</t>
  </si>
  <si>
    <t>Minimum</t>
  </si>
  <si>
    <t>Maximum</t>
  </si>
  <si>
    <t>Sum</t>
  </si>
  <si>
    <t>Count</t>
  </si>
  <si>
    <t>Que. 19</t>
  </si>
  <si>
    <t>Perform a multiple linear Regression using ToolPak: Revenue as the Y (dependent) variable; DigitalAdSpend, TVSpend and SocialSpend as the X (independent) variables. On Workspace, record the R Square, Adjusted R Square, and the coefficients.</t>
  </si>
  <si>
    <t xml:space="preserve"> Interpret in plain business language which spend appears most impactful and how much variation is explained.</t>
  </si>
  <si>
    <t>SUMMARY OUTPUT</t>
  </si>
  <si>
    <t>Regression Statistics</t>
  </si>
  <si>
    <t>Multiple R</t>
  </si>
  <si>
    <t>R Square</t>
  </si>
  <si>
    <t>Adjusted R Square</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</si>
  <si>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</si>
  <si>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</si>
  <si>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</si>
  <si>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</si>
  <si>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</si>
  <si>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</si>
  <si>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</si>
  <si>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</si>
  <si>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</si>
  <si>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</si>
  <si>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</si>
  <si>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</si>
  <si>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</si>
  <si>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</si>
  <si>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</si>
  <si>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</si>
  <si>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</si>
  <si>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</si>
  <si>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Que. 20</t>
  </si>
  <si>
    <t>Frequency</t>
  </si>
  <si>
    <t>NO.OF BINS=</t>
  </si>
  <si>
    <t>BIN SIZE=MAX-MIN/NO.BINS</t>
  </si>
  <si>
    <t xml:space="preserve">BIN </t>
  </si>
  <si>
    <t>MIN</t>
  </si>
  <si>
    <t>MAX</t>
  </si>
  <si>
    <t>Diff</t>
  </si>
  <si>
    <t>Bin Size = max-min/no. of bin</t>
  </si>
  <si>
    <t>Que. 21</t>
  </si>
  <si>
    <t>Avg Running Revenue</t>
  </si>
  <si>
    <t>Avg Revenue</t>
  </si>
  <si>
    <t>Created a PivotTable showing Revenue as % of Grand Total along with its percentage of total revenue. South has the highest share at 27.08%, and the total revenue is 100%.</t>
  </si>
  <si>
    <t>Created a Calculated Field for Profit Margin using Profit/Revenue and displayed the margin percentage by category. Electronics has the highest margin at 45.26%.</t>
  </si>
  <si>
    <t>Created a monthly Revenue Pivot and applied Running Total by Month to show year-to-date revenue for each year.</t>
  </si>
  <si>
    <t>Used GETPIVOTDATA to extract North region revenue. It is better than a direct cell reference because it still works if the PivotTable layout changes.</t>
  </si>
  <si>
    <t>Created a PivotTable with CustomerType in rows, Channel in columns, and Quantity shown as % of Row Total. This shows the channel mix for each customer type.</t>
  </si>
  <si>
    <t>Calculated Field uses different fields, e.g. Profit/Revenue for Profit Margin. Calculated Item combines items within the same field, e.g. East + West. Calculated Items can slow PivotTables and may cause confusing totals.</t>
  </si>
  <si>
    <t>Converted the source data into an Excel Table so new rows are automatically included. After adding new data, refreshed the PivotTable to update the results.</t>
  </si>
  <si>
    <t>For 500,000+ rows, I would use Power Query + Data Model/Power Pivot instead of a classic worksheet PivotTable. It handles large data better and reduces workbook size/performance issues.</t>
  </si>
  <si>
    <t>Created a Pivot Chart showing Revenue by Category and Region using a column chart. Formatted the value axis as currency and added a clear title.</t>
  </si>
  <si>
    <t>Created a line Pivot Chart showing monthly Revenue for the last 18 months with a clear title to show the trend over time.</t>
  </si>
  <si>
    <t>Created a Pivot Chart for Revenue by Region. Pivot Charts have less formatting flexibility, limited chart types, and are linked to the PivotTable. If a specific visual is required, I would use the PivotTable data to create a regular Excel chart.</t>
  </si>
  <si>
    <t>Calculated the Pearson correlation between DigitalAdSpend and Revenue as 0.944, showing a very strong positive relationship.</t>
  </si>
  <si>
    <t>Created a correlation matrix for all numeric metrics. ClosedDeals and Revenue have the strongest positive relationship (≈0.99998), which is very close to a perfect positive relationship.</t>
  </si>
  <si>
    <t>Revenue has a mean of 1,655,713.67, median of 1,637,040, and standard deviation of 189,185.67. Skewness is -0.074, so the distribution is almost symmetric with a very slight left skew.</t>
  </si>
  <si>
    <t>The model has an R^2 of 0.8999, meaning about 90% of Revenue variation is explained by the three spending variables. DigitalAdSpend appears most impactful, with a coefficient of 31.73 and a statistically significant p-value.</t>
  </si>
  <si>
    <t>Created a histogram of ClosedDeals using reasonable bins. The distribution is uneven and appears slightly multi-peaked, with the highest frequency around the 1000 ClosedDeals range rather than forming a smooth bell-shaped distribution.</t>
  </si>
  <si>
    <t>Calculated a 3-month moving average of Revenue and plotted both actual Revenue and the moving average on a line chart. The moving average smooths short-term fluctuations and shows the overall upward trend more clearly.</t>
  </si>
  <si>
    <t>Total Revenue</t>
  </si>
  <si>
    <t>Total Profit</t>
  </si>
  <si>
    <t>Create a PV-table, Saleperson as row and Revenu as value, then inserted slicer on Saleperson and channel.</t>
  </si>
  <si>
    <t>Count of OrderID</t>
  </si>
  <si>
    <t>Create a PV table: Product as row, revenue, count of Orders as value, apply a filter on the revenue column, and add quantity.</t>
  </si>
  <si>
    <t>Total Sum of Revenue</t>
  </si>
  <si>
    <t>Total Sum of Quantity</t>
  </si>
  <si>
    <t>Sum of ProfitMargin%</t>
  </si>
  <si>
    <t>(a) Use Power Pivot/Data Model for large data, multiple tables, or complex calculations.
(b) High correlation does not mean one variable causes the other. A third factor may be responsible.
(c) Two alternatives are:
CORREL, LINEST, SLOPE functions
Power BI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</si>
</sst>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0"/>
    <numFmt numFmtId="166" formatCode="&quot;₹&quot;\ #,##0.00"/>
  </numFmts>
  <fonts count="16" x14ac:knownFonts="1">
    <font>
      <sz val="11"/>
      <color theme="1"/>
      <name val="Calibri"/>
      <family val="2"/>
      <scheme val="minor"/>
    </font>
    <font>
      <b/>
      <sz val="18"/>
      <color rgb="FF1F4E79"/>
      <name val="Arial"/>
    </font>
    <font>
      <b/>
      <sz val="13"/>
      <color rgb="FF2E75B6"/>
      <name val="Arial"/>
    </font>
    <font>
      <i/>
      <sz val="10"/>
      <color rgb="FF666666"/>
      <name val="Arial"/>
    </font>
    <font>
      <b/>
      <sz val="12"/>
      <color rgb="FF1F4E79"/>
      <name val="Arial"/>
    </font>
    <font>
      <sz val="10"/>
      <name val="Arial"/>
    </font>
    <font>
      <b/>
      <sz val="11"/>
      <color rgb="FFFFFFFF"/>
      <name val="Arial"/>
    </font>
    <font>
      <b/>
      <sz val="10"/>
      <color rgb="FF1F4E79"/>
      <name val="Arial"/>
    </font>
    <font>
      <b/>
      <sz val="10"/>
      <name val="Arial"/>
    </font>
    <font>
      <b/>
      <sz val="13"/>
      <color rgb="FFFFFFFF"/>
      <name val="Arial"/>
    </font>
    <font>
      <b/>
      <sz val="11"/>
      <color rgb="FF1F4E79"/>
      <name val="Arial"/>
    </font>
    <font>
      <b/>
      <i/>
      <sz val="14"/>
      <color rgb="FFFFFFFF"/>
      <name val="Arial"/>
      <family val="2"/>
    </font>
    <font>
      <i/>
      <sz val="11"/>
      <color theme="1"/>
      <name val="Calibri"/>
      <family val="2"/>
      <scheme val="minor"/>
    </font>
    <font>
      <b/>
      <sz val="11"/>
      <color theme="1"/>
      <name val="Calibri"/>
      <family val="2"/>
      <scheme val="minor"/>
    </font>
    <font>
      <sz val="12"/>
      <color theme="1"/>
      <name val="Calibri"/>
      <family val="2"/>
      <scheme val="minor"/>
    </font>
    <font>
      <sz val="10"/>
      <name val="Arial"/>
      <family val="2"/>
    </font>
  </fonts>
  <fills count="15">
    <fill>
      <patternFill patternType="none"/>
    </fill>
    <fill>
      <patternFill patternType="gray125"/>
    </fill>
    <fill>
      <patternFill patternType="solid">
        <fgColor rgb="FFD6EAF8"/>
      </patternFill>
    </fill>
    <fill>
      <patternFill patternType="solid">
        <fgColor rgb="FFE2EFDA"/>
      </patternFill>
    </fill>
    <fill>
      <patternFill patternType="solid">
        <fgColor rgb="FFFFF2CC"/>
      </patternFill>
    </fill>
    <fill>
      <patternFill patternType="solid">
        <fgColor rgb="FF1F4E79"/>
      </patternFill>
    </fill>
    <fill>
      <patternFill patternType="solid">
        <fgColor rgb="FFFCE4D6"/>
      </patternFill>
    </fill>
    <fill>
      <patternFill patternType="solid">
        <fgColor rgb="FFE2D5F1"/>
      </patternFill>
    </fill>
    <fill>
      <patternFill patternType="solid">
        <fgColor rgb="FFFFFF0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4" tint="0.79998168889431442"/>
        <bgColor theme="4" tint="0.79998168889431442"/>
      </patternFill>
    </fill>
    <fill>
      <patternFill patternType="solid">
        <fgColor theme="4"/>
        <bgColor indexed="64"/>
      </patternFill>
    </fill>
  </fills>
  <borders count="5">
    <border>
      <left/>
      <right/>
      <top/>
      <bottom/>
      <diagonal/>
    </border>
    <border>
      <left style="thin">
        <color rgb="FFB0B0B0"/>
      </left>
      <right style="thin">
        <color rgb="FFB0B0B0"/>
      </right>
      <top style="thin">
        <color rgb="FFB0B0B0"/>
      </top>
      <bottom style="thin">
        <color rgb="FFB0B0B0"/>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9">
    <xf numFmtId="0" fontId="0" fillId="0" borderId="0" xfId="0"/>
    <xf numFmtId="0" fontId="4" fillId="2" borderId="0" xfId="0" applyFont="1" applyFill="1"/>
    <xf numFmtId="0" fontId="4" fillId="3" borderId="0" xfId="0" applyFont="1" applyFill="1"/>
    <xf numFmtId="0" fontId="4" fillId="4" borderId="0" xfId="0" applyFont="1" applyFill="1"/>
    <xf numFmtId="0" fontId="6" fillId="5" borderId="1" xfId="0" applyFont="1" applyFill="1" applyBorder="1"/>
    <xf numFmtId="0" fontId="7" fillId="2" borderId="1" xfId="0" applyFont="1" applyFill="1" applyBorder="1"/>
    <xf numFmtId="0" fontId="5" fillId="2" borderId="1" xfId="0" applyFont="1" applyFill="1" applyBorder="1"/>
    <xf numFmtId="0" fontId="4" fillId="6" borderId="0" xfId="0" applyFont="1" applyFill="1"/>
    <xf numFmtId="0" fontId="6" fillId="5" borderId="1" xfId="0" applyFont="1" applyFill="1" applyBorder="1" applyAlignment="1">
      <alignment horizontal="center" vertical="center"/>
    </xf>
    <xf numFmtId="0" fontId="5" fillId="0" borderId="1" xfId="0" applyFont="1" applyBorder="1"/>
    <xf numFmtId="164" fontId="5" fillId="0" borderId="1" xfId="0" applyNumberFormat="1" applyFont="1" applyBorder="1"/>
    <xf numFmtId="1" fontId="5" fillId="0" borderId="1" xfId="0" applyNumberFormat="1" applyFont="1" applyBorder="1"/>
    <xf numFmtId="165" fontId="5" fillId="0" borderId="1" xfId="0" applyNumberFormat="1" applyFont="1" applyBorder="1"/>
    <xf numFmtId="3" fontId="5" fillId="0" borderId="1" xfId="0" applyNumberFormat="1" applyFont="1" applyBorder="1"/>
    <xf numFmtId="0" fontId="8" fillId="0" borderId="1" xfId="0" applyFont="1" applyBorder="1" applyAlignment="1">
      <alignment vertical="top" wrapText="1"/>
    </xf>
    <xf numFmtId="0" fontId="5" fillId="2" borderId="1" xfId="0" applyFont="1" applyFill="1" applyBorder="1" applyAlignment="1">
      <alignment vertical="top" wrapText="1"/>
    </xf>
    <xf numFmtId="0" fontId="5" fillId="0" borderId="1" xfId="0" applyFont="1" applyBorder="1" applyAlignment="1">
      <alignment vertical="top" wrapText="1"/>
    </xf>
    <xf numFmtId="0" fontId="5" fillId="7" borderId="1" xfId="0" applyFont="1" applyFill="1" applyBorder="1" applyAlignment="1">
      <alignment vertical="top" wrapText="1"/>
    </xf>
    <xf numFmtId="0" fontId="5" fillId="4" borderId="1" xfId="0" applyFont="1" applyFill="1" applyBorder="1" applyAlignment="1">
      <alignment vertical="top" wrapText="1"/>
    </xf>
    <xf numFmtId="0" fontId="4" fillId="0" borderId="0" xfId="0" applyFont="1"/>
    <xf numFmtId="0" fontId="5" fillId="0" borderId="0" xfId="0" applyFont="1"/>
    <xf numFmtId="0" fontId="0" fillId="8"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xf numFmtId="0" fontId="0" fillId="9" borderId="0" xfId="0" applyFill="1" applyAlignment="1">
      <alignment horizontal="left" indent="1"/>
    </xf>
    <xf numFmtId="14" fontId="0" fillId="0" borderId="0" xfId="0" applyNumberFormat="1"/>
    <xf numFmtId="0" fontId="13" fillId="0" borderId="0" xfId="0" applyFont="1"/>
    <xf numFmtId="0" fontId="14" fillId="8" borderId="0" xfId="0" applyFont="1" applyFill="1"/>
    <xf numFmtId="0" fontId="15" fillId="0" borderId="1" xfId="0" applyFont="1" applyBorder="1" applyAlignment="1">
      <alignment vertical="top" wrapText="1"/>
    </xf>
    <xf numFmtId="10" fontId="0" fillId="0" borderId="0" xfId="0" applyNumberFormat="1"/>
    <xf numFmtId="0" fontId="0" fillId="9" borderId="0" xfId="0" applyFill="1" applyAlignment="1">
      <alignment horizontal="left"/>
    </xf>
    <xf numFmtId="0" fontId="0" fillId="10" borderId="0" xfId="0" applyFill="1" applyAlignment="1">
      <alignment horizontal="left"/>
    </xf>
    <xf numFmtId="0" fontId="0" fillId="0" borderId="2" xfId="0" applyBorder="1"/>
    <xf numFmtId="0" fontId="12" fillId="0" borderId="3" xfId="0" applyFont="1" applyBorder="1" applyAlignment="1">
      <alignment horizontal="center"/>
    </xf>
    <xf numFmtId="0" fontId="12" fillId="0" borderId="4" xfId="0" applyFont="1" applyBorder="1" applyAlignment="1">
      <alignment horizontal="center"/>
    </xf>
    <xf numFmtId="0" fontId="0" fillId="0" borderId="4" xfId="0" applyBorder="1"/>
    <xf numFmtId="0" fontId="0" fillId="9" borderId="0" xfId="0" applyFill="1"/>
    <xf numFmtId="0" fontId="0" fillId="9" borderId="4" xfId="0" applyFill="1" applyBorder="1"/>
    <xf numFmtId="0" fontId="12" fillId="12" borderId="4" xfId="0" applyFont="1" applyFill="1" applyBorder="1" applyAlignment="1">
      <alignment horizontal="centerContinuous"/>
    </xf>
    <xf numFmtId="3" fontId="0" fillId="0" borderId="0" xfId="0" applyNumberFormat="1"/>
    <xf numFmtId="3" fontId="5" fillId="13" borderId="1" xfId="0" applyNumberFormat="1" applyFont="1" applyFill="1" applyBorder="1"/>
    <xf numFmtId="0" fontId="0" fillId="14" borderId="0" xfId="0" applyFill="1"/>
    <xf numFmtId="0" fontId="0" fillId="11" borderId="0" xfId="0" applyFill="1"/>
    <xf numFmtId="0" fontId="0" fillId="0" borderId="0" xfId="0" applyAlignment="1">
      <alignment vertical="top" wrapText="1"/>
    </xf>
    <xf numFmtId="0" fontId="0" fillId="0" borderId="0" xfId="0" applyAlignment="1">
      <alignment vertical="center" wrapText="1"/>
    </xf>
    <xf numFmtId="0" fontId="0" fillId="8" borderId="0" xfId="0" applyFill="1" applyAlignment="1">
      <alignment horizontal="center"/>
    </xf>
    <xf numFmtId="0" fontId="14" fillId="8" borderId="0" xfId="0" applyFont="1" applyFill="1" applyAlignment="1">
      <alignment horizontal="center"/>
    </xf>
    <xf numFmtId="0" fontId="1" fillId="0" borderId="0" xfId="0" applyFont="1" applyAlignment="1">
      <alignment horizontal="left" vertical="center"/>
    </xf>
    <xf numFmtId="0" fontId="0" fillId="0" borderId="0" xfId="0"/>
    <xf numFmtId="0" fontId="5" fillId="0" borderId="0" xfId="0" applyFont="1" applyAlignment="1">
      <alignment vertical="top" wrapText="1"/>
    </xf>
    <xf numFmtId="0" fontId="2" fillId="0" borderId="0" xfId="0" applyFont="1"/>
    <xf numFmtId="0" fontId="3" fillId="0" borderId="0" xfId="0" applyFont="1"/>
    <xf numFmtId="0" fontId="6" fillId="5" borderId="0" xfId="0" applyFont="1" applyFill="1" applyAlignment="1">
      <alignment horizontal="left" vertical="center"/>
    </xf>
    <xf numFmtId="0" fontId="11" fillId="5" borderId="0" xfId="0" applyFont="1" applyFill="1" applyAlignment="1">
      <alignment horizontal="center" vertical="center"/>
    </xf>
    <xf numFmtId="0" fontId="12" fillId="0" borderId="0" xfId="0" applyFont="1" applyAlignment="1">
      <alignment horizontal="center"/>
    </xf>
    <xf numFmtId="0" fontId="10" fillId="4" borderId="0" xfId="0" applyFont="1" applyFill="1"/>
    <xf numFmtId="0" fontId="10" fillId="3" borderId="0" xfId="0" applyFont="1" applyFill="1"/>
    <xf numFmtId="0" fontId="9" fillId="5" borderId="0" xfId="0" applyFont="1" applyFill="1" applyAlignment="1">
      <alignment horizontal="left" vertical="center"/>
    </xf>
    <xf numFmtId="0" fontId="10" fillId="2" borderId="0" xfId="0" applyFont="1" applyFill="1"/>
    <xf numFmtId="0" fontId="10" fillId="7" borderId="0" xfId="0" applyFont="1" applyFill="1"/>
    <xf numFmtId="166" fontId="0" fillId="0" borderId="0" xfId="0" applyNumberFormat="1"/>
    <xf numFmtId="166" fontId="0" fillId="9" borderId="0" xfId="0" applyNumberFormat="1" applyFill="1"/>
    <xf numFmtId="0" fontId="0" fillId="0" borderId="0" xfId="0" applyFill="1" applyAlignment="1">
      <alignment horizontal="left" indent="1"/>
    </xf>
    <xf numFmtId="10" fontId="0" fillId="0" borderId="0" xfId="0" applyNumberFormat="1" applyFill="1"/>
    <xf numFmtId="166" fontId="0" fillId="10" borderId="0" xfId="0" applyNumberFormat="1" applyFill="1"/>
    <xf numFmtId="0" fontId="0" fillId="0" borderId="0" xfId="0" applyNumberFormat="1"/>
    <xf numFmtId="166" fontId="0" fillId="0" borderId="0" xfId="0" applyNumberFormat="1" applyFill="1"/>
  </cellXfs>
  <cellStyles count="1">
    <cellStyle name="Normal" xfId="0" builtinId="0"/>
  </cellStyles>
  <dxfs count="45">
    <dxf>
      <numFmt numFmtId="14" formatCode="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0" formatCode="General"/>
    </dxf>
    <dxf>
      <numFmt numFmtId="0" formatCode="General"/>
    </dxf>
    <dxf>
      <numFmt numFmtId="14" formatCode="0.00%"/>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14" formatCode="0.00%"/>
    </dxf>
    <dxf>
      <numFmt numFmtId="166" formatCode="&quot;₹&quot;\ #,##0.00"/>
    </dxf>
    <dxf>
      <numFmt numFmtId="166" formatCode="&quot;₹&quot;\ #,##0.00"/>
    </dxf>
    <dxf>
      <fill>
        <patternFill patternType="none">
          <bgColor auto="1"/>
        </patternFill>
      </fill>
    </dxf>
    <dxf>
      <fill>
        <patternFill patternType="none">
          <bgColor auto="1"/>
        </patternFill>
      </fill>
    </dxf>
    <dxf>
      <numFmt numFmtId="166" formatCode="&quot;₹&quot;\ #,##0.00"/>
    </dxf>
    <dxf>
      <numFmt numFmtId="166" formatCode="&quot;₹&quot;\ #,##0.00"/>
    </dxf>
    <dxf>
      <numFmt numFmtId="14" formatCode="0.00%"/>
    </dxf>
    <dxf>
      <numFmt numFmtId="14" formatCode="0.00%"/>
    </dxf>
    <dxf>
      <numFmt numFmtId="19" formatCode="dd/mm/yyyy"/>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79998168889431442"/>
        </patternFill>
      </fill>
    </dxf>
    <dxf>
      <fill>
        <patternFill patternType="solid">
          <bgColor theme="9" tint="0.79998168889431442"/>
        </patternFill>
      </fill>
    </dxf>
    <dxf>
      <fill>
        <patternFill patternType="solid">
          <bgColor theme="9" tint="0.39997558519241921"/>
        </patternFill>
      </fill>
    </dxf>
    <dxf>
      <fill>
        <patternFill patternType="solid">
          <bgColor theme="9" tint="0.3999755851924192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Assignment - PV Table &amp; Charts.xlsx]Sheet1!PivotTable11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wise Category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Sheet1!$B$186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Sheet1!$A$187:$A$207</c:f>
              <c:multiLvlStrCache>
                <c:ptCount val="16"/>
                <c:lvl>
                  <c:pt idx="0">
                    <c:v>East</c:v>
                  </c:pt>
                  <c:pt idx="1">
                    <c:v>North</c:v>
                  </c:pt>
                  <c:pt idx="2">
                    <c:v>South</c:v>
                  </c:pt>
                  <c:pt idx="3">
                    <c:v>West</c:v>
                  </c:pt>
                  <c:pt idx="4">
                    <c:v>East</c:v>
                  </c:pt>
                  <c:pt idx="5">
                    <c:v>North</c:v>
                  </c:pt>
                  <c:pt idx="6">
                    <c:v>South</c:v>
                  </c:pt>
                  <c:pt idx="7">
                    <c:v>West</c:v>
                  </c:pt>
                  <c:pt idx="8">
                    <c:v>East</c:v>
                  </c:pt>
                  <c:pt idx="9">
                    <c:v>North</c:v>
                  </c:pt>
                  <c:pt idx="10">
                    <c:v>South</c:v>
                  </c:pt>
                  <c:pt idx="11">
                    <c:v>West</c:v>
                  </c:pt>
                  <c:pt idx="12">
                    <c:v>East</c:v>
                  </c:pt>
                  <c:pt idx="13">
                    <c:v>North</c:v>
                  </c:pt>
                  <c:pt idx="14">
                    <c:v>South</c:v>
                  </c:pt>
                  <c:pt idx="15">
                    <c:v>West</c:v>
                  </c:pt>
                </c:lvl>
                <c:lvl>
                  <c:pt idx="0">
                    <c:v>Clothing</c:v>
                  </c:pt>
                  <c:pt idx="4">
                    <c:v>Electronics</c:v>
                  </c:pt>
                  <c:pt idx="8">
                    <c:v>Furniture</c:v>
                  </c:pt>
                  <c:pt idx="12">
                    <c:v>Office Supplies</c:v>
                  </c:pt>
                </c:lvl>
              </c:multiLvlStrCache>
            </c:multiLvlStrRef>
          </c:cat>
          <c:val>
            <c:numRef>
              <c:f>Sheet1!$B$187:$B$207</c:f>
              <c:numCache>
                <c:formatCode>\$#,##0.00</c:formatCode>
                <c:ptCount val="16"/>
                <c:pt idx="0">
                  <c:v>33101.75</c:v>
                </c:pt>
                <c:pt idx="1">
                  <c:v>32879.64</c:v>
                </c:pt>
                <c:pt idx="2">
                  <c:v>40530.30999999999</c:v>
                </c:pt>
                <c:pt idx="3">
                  <c:v>23083.65</c:v>
                </c:pt>
                <c:pt idx="4">
                  <c:v>173040.69</c:v>
                </c:pt>
                <c:pt idx="5">
                  <c:v>158195.5</c:v>
                </c:pt>
                <c:pt idx="6">
                  <c:v>256982.95</c:v>
                </c:pt>
                <c:pt idx="7">
                  <c:v>218701.11000000002</c:v>
                </c:pt>
                <c:pt idx="8">
                  <c:v>204129.25</c:v>
                </c:pt>
                <c:pt idx="9">
                  <c:v>115417.89999999998</c:v>
                </c:pt>
                <c:pt idx="10">
                  <c:v>120337.7</c:v>
                </c:pt>
                <c:pt idx="11">
                  <c:v>172925.02999999997</c:v>
                </c:pt>
                <c:pt idx="12">
                  <c:v>3941.9999999999995</c:v>
                </c:pt>
                <c:pt idx="13">
                  <c:v>11616.869999999999</c:v>
                </c:pt>
                <c:pt idx="14">
                  <c:v>11603.25</c:v>
                </c:pt>
                <c:pt idx="15">
                  <c:v>9316.89</c:v>
                </c:pt>
              </c:numCache>
            </c:numRef>
          </c:val>
          <c:smooth val="0"/>
          <c:extLst>
            <c:ext xmlns:c16="http://schemas.microsoft.com/office/drawing/2014/chart" uri="{C3380CC4-5D6E-409C-BE32-E72D297353CC}">
              <c16:uniqueId val="{00000000-8F0F-4772-B75D-9893268F3C03}"/>
            </c:ext>
          </c:extLst>
        </c:ser>
        <c:dLbls>
          <c:showLegendKey val="0"/>
          <c:showVal val="0"/>
          <c:showCatName val="0"/>
          <c:showSerName val="0"/>
          <c:showPercent val="0"/>
          <c:showBubbleSize val="0"/>
        </c:dLbls>
        <c:marker val="1"/>
        <c:smooth val="0"/>
        <c:axId val="1462725040"/>
        <c:axId val="1454243344"/>
      </c:lineChart>
      <c:catAx>
        <c:axId val="146272504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4243344"/>
        <c:crosses val="autoZero"/>
        <c:auto val="1"/>
        <c:lblAlgn val="ctr"/>
        <c:lblOffset val="100"/>
        <c:noMultiLvlLbl val="0"/>
      </c:catAx>
      <c:valAx>
        <c:axId val="14542433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Currency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2725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Assignment - PV Table &amp; Charts.xlsx]Sheet1!PivotTable12</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Revenue</a:t>
            </a:r>
            <a:r>
              <a:rPr lang="en-US" baseline="0"/>
              <a:t> per Month</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Sheet1!$B$215</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multiLvlStrRef>
              <c:f>Sheet1!$A$216:$A$236</c:f>
              <c:multiLvlStrCache>
                <c:ptCount val="1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lvl>
                <c:lvl>
                  <c:pt idx="0">
                    <c:v>2024</c:v>
                  </c:pt>
                  <c:pt idx="12">
                    <c:v>2025</c:v>
                  </c:pt>
                </c:lvl>
              </c:multiLvlStrCache>
            </c:multiLvlStrRef>
          </c:cat>
          <c:val>
            <c:numRef>
              <c:f>Sheet1!$B$216:$B$236</c:f>
              <c:numCache>
                <c:formatCode>\$#,##0.00</c:formatCode>
                <c:ptCount val="18"/>
                <c:pt idx="0">
                  <c:v>69718.790000000008</c:v>
                </c:pt>
                <c:pt idx="1">
                  <c:v>66588.340000000011</c:v>
                </c:pt>
                <c:pt idx="2">
                  <c:v>67372.649999999994</c:v>
                </c:pt>
                <c:pt idx="3">
                  <c:v>50569.630000000005</c:v>
                </c:pt>
                <c:pt idx="4">
                  <c:v>15672.689999999999</c:v>
                </c:pt>
                <c:pt idx="5">
                  <c:v>14364.86</c:v>
                </c:pt>
                <c:pt idx="6">
                  <c:v>23164.84</c:v>
                </c:pt>
                <c:pt idx="7">
                  <c:v>46437.07</c:v>
                </c:pt>
                <c:pt idx="8">
                  <c:v>68969.3</c:v>
                </c:pt>
                <c:pt idx="9">
                  <c:v>62262.509999999995</c:v>
                </c:pt>
                <c:pt idx="10">
                  <c:v>61761.079999999994</c:v>
                </c:pt>
                <c:pt idx="11">
                  <c:v>11678.58</c:v>
                </c:pt>
                <c:pt idx="12">
                  <c:v>54876.119999999988</c:v>
                </c:pt>
                <c:pt idx="13">
                  <c:v>51848.33</c:v>
                </c:pt>
                <c:pt idx="14">
                  <c:v>47263.16</c:v>
                </c:pt>
                <c:pt idx="15">
                  <c:v>54091.009999999987</c:v>
                </c:pt>
                <c:pt idx="16">
                  <c:v>78602.069999999992</c:v>
                </c:pt>
                <c:pt idx="17">
                  <c:v>59023.100000000006</c:v>
                </c:pt>
              </c:numCache>
            </c:numRef>
          </c:val>
          <c:smooth val="0"/>
          <c:extLst>
            <c:ext xmlns:c16="http://schemas.microsoft.com/office/drawing/2014/chart" uri="{C3380CC4-5D6E-409C-BE32-E72D297353CC}">
              <c16:uniqueId val="{00000000-E4BF-4B31-B4C1-3A3A659D93DE}"/>
            </c:ext>
          </c:extLst>
        </c:ser>
        <c:dLbls>
          <c:showLegendKey val="0"/>
          <c:showVal val="0"/>
          <c:showCatName val="0"/>
          <c:showSerName val="0"/>
          <c:showPercent val="0"/>
          <c:showBubbleSize val="0"/>
        </c:dLbls>
        <c:marker val="1"/>
        <c:smooth val="0"/>
        <c:axId val="1548398096"/>
        <c:axId val="1454211664"/>
      </c:lineChart>
      <c:catAx>
        <c:axId val="15483980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454211664"/>
        <c:crosses val="autoZero"/>
        <c:auto val="1"/>
        <c:lblAlgn val="ctr"/>
        <c:lblOffset val="100"/>
        <c:noMultiLvlLbl val="0"/>
      </c:catAx>
      <c:valAx>
        <c:axId val="1454211664"/>
        <c:scaling>
          <c:orientation val="minMax"/>
        </c:scaling>
        <c:delete val="0"/>
        <c:axPos val="l"/>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398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Actual</a:t>
            </a:r>
            <a:r>
              <a:rPr lang="en-IN" baseline="0"/>
              <a:t> revenue vs moving avg revenue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'Metric Data'!$J$2</c:f>
              <c:strCache>
                <c:ptCount val="1"/>
                <c:pt idx="0">
                  <c:v>Revenue</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val>
            <c:numRef>
              <c:f>'Metric Data'!$J$3:$J$38</c:f>
              <c:numCache>
                <c:formatCode>#,##0</c:formatCode>
                <c:ptCount val="36"/>
                <c:pt idx="0">
                  <c:v>1265997</c:v>
                </c:pt>
                <c:pt idx="1">
                  <c:v>1403219</c:v>
                </c:pt>
                <c:pt idx="2">
                  <c:v>1520259</c:v>
                </c:pt>
                <c:pt idx="3">
                  <c:v>1378611</c:v>
                </c:pt>
                <c:pt idx="4">
                  <c:v>1425157</c:v>
                </c:pt>
                <c:pt idx="5">
                  <c:v>1488548</c:v>
                </c:pt>
                <c:pt idx="6">
                  <c:v>1579256</c:v>
                </c:pt>
                <c:pt idx="7">
                  <c:v>1538159</c:v>
                </c:pt>
                <c:pt idx="8">
                  <c:v>1493262</c:v>
                </c:pt>
                <c:pt idx="9">
                  <c:v>1439547</c:v>
                </c:pt>
                <c:pt idx="10">
                  <c:v>1490544</c:v>
                </c:pt>
                <c:pt idx="11">
                  <c:v>1575856</c:v>
                </c:pt>
                <c:pt idx="12">
                  <c:v>1472146</c:v>
                </c:pt>
                <c:pt idx="13">
                  <c:v>1489287</c:v>
                </c:pt>
                <c:pt idx="14">
                  <c:v>1477384</c:v>
                </c:pt>
                <c:pt idx="15">
                  <c:v>1602204</c:v>
                </c:pt>
                <c:pt idx="16">
                  <c:v>1539006</c:v>
                </c:pt>
                <c:pt idx="17">
                  <c:v>1618509</c:v>
                </c:pt>
                <c:pt idx="18">
                  <c:v>1655571</c:v>
                </c:pt>
                <c:pt idx="19">
                  <c:v>1656170</c:v>
                </c:pt>
                <c:pt idx="20">
                  <c:v>1763165</c:v>
                </c:pt>
                <c:pt idx="21">
                  <c:v>1728942</c:v>
                </c:pt>
                <c:pt idx="22">
                  <c:v>1844695</c:v>
                </c:pt>
                <c:pt idx="23">
                  <c:v>1778867</c:v>
                </c:pt>
                <c:pt idx="24">
                  <c:v>1837739</c:v>
                </c:pt>
                <c:pt idx="25">
                  <c:v>1899009</c:v>
                </c:pt>
                <c:pt idx="26">
                  <c:v>1838684</c:v>
                </c:pt>
                <c:pt idx="27">
                  <c:v>1811721</c:v>
                </c:pt>
                <c:pt idx="28">
                  <c:v>1784969</c:v>
                </c:pt>
                <c:pt idx="29">
                  <c:v>1911995</c:v>
                </c:pt>
                <c:pt idx="30">
                  <c:v>1890579</c:v>
                </c:pt>
                <c:pt idx="31">
                  <c:v>1817900</c:v>
                </c:pt>
                <c:pt idx="32">
                  <c:v>1877992</c:v>
                </c:pt>
                <c:pt idx="33">
                  <c:v>1950235</c:v>
                </c:pt>
                <c:pt idx="34">
                  <c:v>1927937</c:v>
                </c:pt>
                <c:pt idx="35">
                  <c:v>1832571</c:v>
                </c:pt>
              </c:numCache>
            </c:numRef>
          </c:val>
          <c:smooth val="0"/>
          <c:extLst>
            <c:ext xmlns:c16="http://schemas.microsoft.com/office/drawing/2014/chart" uri="{C3380CC4-5D6E-409C-BE32-E72D297353CC}">
              <c16:uniqueId val="{00000000-5597-4C48-ABE6-2DD60602D2EA}"/>
            </c:ext>
          </c:extLst>
        </c:ser>
        <c:ser>
          <c:idx val="1"/>
          <c:order val="1"/>
          <c:tx>
            <c:strRef>
              <c:f>'Metric Data'!$P$2</c:f>
              <c:strCache>
                <c:ptCount val="1"/>
                <c:pt idx="0">
                  <c:v>Avg Running Revenue</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val>
            <c:numRef>
              <c:f>'Metric Data'!$P$3:$P$38</c:f>
              <c:numCache>
                <c:formatCode>General</c:formatCode>
                <c:ptCount val="36"/>
                <c:pt idx="0">
                  <c:v>#N/A</c:v>
                </c:pt>
                <c:pt idx="1">
                  <c:v>#N/A</c:v>
                </c:pt>
                <c:pt idx="2" formatCode="#,##0">
                  <c:v>1396491.6666666667</c:v>
                </c:pt>
                <c:pt idx="3" formatCode="#,##0">
                  <c:v>1434029.6666666667</c:v>
                </c:pt>
                <c:pt idx="4" formatCode="#,##0">
                  <c:v>1441342.3333333333</c:v>
                </c:pt>
                <c:pt idx="5" formatCode="#,##0">
                  <c:v>1430772</c:v>
                </c:pt>
                <c:pt idx="6" formatCode="#,##0">
                  <c:v>1497653.6666666667</c:v>
                </c:pt>
                <c:pt idx="7" formatCode="#,##0">
                  <c:v>1535321</c:v>
                </c:pt>
                <c:pt idx="8" formatCode="#,##0">
                  <c:v>1536892.3333333333</c:v>
                </c:pt>
                <c:pt idx="9" formatCode="#,##0">
                  <c:v>1490322.6666666667</c:v>
                </c:pt>
                <c:pt idx="10" formatCode="#,##0">
                  <c:v>1474451</c:v>
                </c:pt>
                <c:pt idx="11" formatCode="#,##0">
                  <c:v>1501982.3333333333</c:v>
                </c:pt>
                <c:pt idx="12" formatCode="#,##0">
                  <c:v>1512848.6666666667</c:v>
                </c:pt>
                <c:pt idx="13" formatCode="#,##0">
                  <c:v>1512429.6666666667</c:v>
                </c:pt>
                <c:pt idx="14" formatCode="#,##0">
                  <c:v>1479605.6666666667</c:v>
                </c:pt>
                <c:pt idx="15" formatCode="#,##0">
                  <c:v>1522958.3333333333</c:v>
                </c:pt>
                <c:pt idx="16" formatCode="#,##0">
                  <c:v>1539531.3333333333</c:v>
                </c:pt>
                <c:pt idx="17" formatCode="#,##0">
                  <c:v>1586573</c:v>
                </c:pt>
                <c:pt idx="18" formatCode="#,##0">
                  <c:v>1604362</c:v>
                </c:pt>
                <c:pt idx="19" formatCode="#,##0">
                  <c:v>1643416.6666666667</c:v>
                </c:pt>
                <c:pt idx="20" formatCode="#,##0">
                  <c:v>1691635.3333333333</c:v>
                </c:pt>
                <c:pt idx="21" formatCode="#,##0">
                  <c:v>1716092.3333333333</c:v>
                </c:pt>
                <c:pt idx="22" formatCode="#,##0">
                  <c:v>1778934</c:v>
                </c:pt>
                <c:pt idx="23" formatCode="#,##0">
                  <c:v>1784168</c:v>
                </c:pt>
                <c:pt idx="24" formatCode="#,##0">
                  <c:v>1820433.6666666667</c:v>
                </c:pt>
                <c:pt idx="25" formatCode="#,##0">
                  <c:v>1838538.3333333333</c:v>
                </c:pt>
                <c:pt idx="26" formatCode="#,##0">
                  <c:v>1858477.3333333333</c:v>
                </c:pt>
                <c:pt idx="27" formatCode="#,##0">
                  <c:v>1849804.6666666667</c:v>
                </c:pt>
                <c:pt idx="28" formatCode="#,##0">
                  <c:v>1811791.3333333333</c:v>
                </c:pt>
                <c:pt idx="29" formatCode="#,##0">
                  <c:v>1836228.3333333333</c:v>
                </c:pt>
                <c:pt idx="30" formatCode="#,##0">
                  <c:v>1862514.3333333333</c:v>
                </c:pt>
                <c:pt idx="31" formatCode="#,##0">
                  <c:v>1873491.3333333333</c:v>
                </c:pt>
                <c:pt idx="32" formatCode="#,##0">
                  <c:v>1862157</c:v>
                </c:pt>
                <c:pt idx="33" formatCode="#,##0">
                  <c:v>1882042.3333333333</c:v>
                </c:pt>
                <c:pt idx="34" formatCode="#,##0">
                  <c:v>1918721.3333333333</c:v>
                </c:pt>
                <c:pt idx="35" formatCode="#,##0">
                  <c:v>1903581</c:v>
                </c:pt>
              </c:numCache>
            </c:numRef>
          </c:val>
          <c:smooth val="0"/>
          <c:extLst>
            <c:ext xmlns:c16="http://schemas.microsoft.com/office/drawing/2014/chart" uri="{C3380CC4-5D6E-409C-BE32-E72D297353CC}">
              <c16:uniqueId val="{00000001-5597-4C48-ABE6-2DD60602D2EA}"/>
            </c:ext>
          </c:extLst>
        </c:ser>
        <c:dLbls>
          <c:showLegendKey val="0"/>
          <c:showVal val="0"/>
          <c:showCatName val="0"/>
          <c:showSerName val="0"/>
          <c:showPercent val="0"/>
          <c:showBubbleSize val="0"/>
        </c:dLbls>
        <c:marker val="1"/>
        <c:smooth val="0"/>
        <c:axId val="60455935"/>
        <c:axId val="2082488976"/>
      </c:lineChart>
      <c:catAx>
        <c:axId val="60455935"/>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82488976"/>
        <c:crosses val="autoZero"/>
        <c:auto val="1"/>
        <c:lblAlgn val="ctr"/>
        <c:lblOffset val="100"/>
        <c:noMultiLvlLbl val="0"/>
      </c:catAx>
      <c:valAx>
        <c:axId val="2082488976"/>
        <c:scaling>
          <c:orientation val="minMax"/>
        </c:scaling>
        <c:delete val="0"/>
        <c:axPos val="l"/>
        <c:numFmt formatCode="#,##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559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Assignment - PV Table &amp; Charts.xlsx]Sheet1!PivotTable13</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397616600267912"/>
          <c:y val="0.25958496764418509"/>
          <c:w val="0.41349587056951131"/>
          <c:h val="0.53182410331204599"/>
        </c:manualLayout>
      </c:layout>
      <c:barChart>
        <c:barDir val="bar"/>
        <c:grouping val="clustered"/>
        <c:varyColors val="0"/>
        <c:ser>
          <c:idx val="0"/>
          <c:order val="0"/>
          <c:tx>
            <c:strRef>
              <c:f>Sheet1!$B$242</c:f>
              <c:strCache>
                <c:ptCount val="1"/>
                <c:pt idx="0">
                  <c:v>Total</c:v>
                </c:pt>
              </c:strCache>
            </c:strRef>
          </c:tx>
          <c:spPr>
            <a:solidFill>
              <a:schemeClr val="accent1"/>
            </a:solidFill>
            <a:ln>
              <a:noFill/>
            </a:ln>
            <a:effectLst/>
          </c:spPr>
          <c:invertIfNegative val="0"/>
          <c:cat>
            <c:strRef>
              <c:f>Sheet1!$A$243:$A$247</c:f>
              <c:strCache>
                <c:ptCount val="4"/>
                <c:pt idx="0">
                  <c:v>East</c:v>
                </c:pt>
                <c:pt idx="1">
                  <c:v>North</c:v>
                </c:pt>
                <c:pt idx="2">
                  <c:v>South</c:v>
                </c:pt>
                <c:pt idx="3">
                  <c:v>West</c:v>
                </c:pt>
              </c:strCache>
            </c:strRef>
          </c:cat>
          <c:val>
            <c:numRef>
              <c:f>Sheet1!$B$243:$B$247</c:f>
              <c:numCache>
                <c:formatCode>\$#,##0.00</c:formatCode>
                <c:ptCount val="4"/>
                <c:pt idx="0">
                  <c:v>414213.69</c:v>
                </c:pt>
                <c:pt idx="1">
                  <c:v>318109.91000000003</c:v>
                </c:pt>
                <c:pt idx="2">
                  <c:v>429454.21</c:v>
                </c:pt>
                <c:pt idx="3">
                  <c:v>424026.67999999993</c:v>
                </c:pt>
              </c:numCache>
            </c:numRef>
          </c:val>
          <c:extLst>
            <c:ext xmlns:c16="http://schemas.microsoft.com/office/drawing/2014/chart" uri="{C3380CC4-5D6E-409C-BE32-E72D297353CC}">
              <c16:uniqueId val="{00000000-13AF-4DB2-8CF5-C7A3C7D65180}"/>
            </c:ext>
          </c:extLst>
        </c:ser>
        <c:dLbls>
          <c:showLegendKey val="0"/>
          <c:showVal val="0"/>
          <c:showCatName val="0"/>
          <c:showSerName val="0"/>
          <c:showPercent val="0"/>
          <c:showBubbleSize val="0"/>
        </c:dLbls>
        <c:gapWidth val="182"/>
        <c:axId val="142337631"/>
        <c:axId val="1974696624"/>
      </c:barChart>
      <c:catAx>
        <c:axId val="142337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696624"/>
        <c:crosses val="autoZero"/>
        <c:auto val="1"/>
        <c:lblAlgn val="ctr"/>
        <c:lblOffset val="100"/>
        <c:noMultiLvlLbl val="0"/>
      </c:catAx>
      <c:valAx>
        <c:axId val="197469662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37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'Metric Data'!$J$3:$J$38</c:f>
              <c:numCache>
                <c:formatCode>#,##0</c:formatCode>
                <c:ptCount val="36"/>
                <c:pt idx="0">
                  <c:v>1265997</c:v>
                </c:pt>
                <c:pt idx="1">
                  <c:v>1403219</c:v>
                </c:pt>
                <c:pt idx="2">
                  <c:v>1520259</c:v>
                </c:pt>
                <c:pt idx="3">
                  <c:v>1378611</c:v>
                </c:pt>
                <c:pt idx="4">
                  <c:v>1425157</c:v>
                </c:pt>
                <c:pt idx="5">
                  <c:v>1488548</c:v>
                </c:pt>
                <c:pt idx="6">
                  <c:v>1579256</c:v>
                </c:pt>
                <c:pt idx="7">
                  <c:v>1538159</c:v>
                </c:pt>
                <c:pt idx="8">
                  <c:v>1493262</c:v>
                </c:pt>
                <c:pt idx="9">
                  <c:v>1439547</c:v>
                </c:pt>
                <c:pt idx="10">
                  <c:v>1490544</c:v>
                </c:pt>
                <c:pt idx="11">
                  <c:v>1575856</c:v>
                </c:pt>
                <c:pt idx="12">
                  <c:v>1472146</c:v>
                </c:pt>
                <c:pt idx="13">
                  <c:v>1489287</c:v>
                </c:pt>
                <c:pt idx="14">
                  <c:v>1477384</c:v>
                </c:pt>
                <c:pt idx="15">
                  <c:v>1602204</c:v>
                </c:pt>
                <c:pt idx="16">
                  <c:v>1539006</c:v>
                </c:pt>
                <c:pt idx="17">
                  <c:v>1618509</c:v>
                </c:pt>
                <c:pt idx="18">
                  <c:v>1655571</c:v>
                </c:pt>
                <c:pt idx="19">
                  <c:v>1656170</c:v>
                </c:pt>
                <c:pt idx="20">
                  <c:v>1763165</c:v>
                </c:pt>
                <c:pt idx="21">
                  <c:v>1728942</c:v>
                </c:pt>
                <c:pt idx="22">
                  <c:v>1844695</c:v>
                </c:pt>
                <c:pt idx="23">
                  <c:v>1778867</c:v>
                </c:pt>
                <c:pt idx="24">
                  <c:v>1837739</c:v>
                </c:pt>
                <c:pt idx="25">
                  <c:v>1899009</c:v>
                </c:pt>
                <c:pt idx="26">
                  <c:v>1838684</c:v>
                </c:pt>
                <c:pt idx="27">
                  <c:v>1811721</c:v>
                </c:pt>
                <c:pt idx="28">
                  <c:v>1784969</c:v>
                </c:pt>
                <c:pt idx="29">
                  <c:v>1911995</c:v>
                </c:pt>
                <c:pt idx="30">
                  <c:v>1890579</c:v>
                </c:pt>
                <c:pt idx="31">
                  <c:v>1817900</c:v>
                </c:pt>
                <c:pt idx="32">
                  <c:v>1877992</c:v>
                </c:pt>
                <c:pt idx="33">
                  <c:v>1950235</c:v>
                </c:pt>
                <c:pt idx="34">
                  <c:v>1927937</c:v>
                </c:pt>
                <c:pt idx="35">
                  <c:v>1832571</c:v>
                </c:pt>
              </c:numCache>
            </c:numRef>
          </c:val>
          <c:smooth val="0"/>
          <c:extLst>
            <c:ext xmlns:c16="http://schemas.microsoft.com/office/drawing/2014/chart" uri="{C3380CC4-5D6E-409C-BE32-E72D297353CC}">
              <c16:uniqueId val="{00000000-06EE-4E20-A75C-53F912E7637E}"/>
            </c:ext>
          </c:extLst>
        </c:ser>
        <c:ser>
          <c:idx val="1"/>
          <c:order val="1"/>
          <c:spPr>
            <a:ln w="28575" cap="rnd">
              <a:solidFill>
                <a:schemeClr val="accent2"/>
              </a:solidFill>
              <a:round/>
            </a:ln>
            <a:effectLst/>
          </c:spPr>
          <c:marker>
            <c:symbol val="none"/>
          </c:marker>
          <c:val>
            <c:numRef>
              <c:f>'Metric Data'!$P$3:$P$38</c:f>
              <c:numCache>
                <c:formatCode>General</c:formatCode>
                <c:ptCount val="36"/>
                <c:pt idx="0">
                  <c:v>#N/A</c:v>
                </c:pt>
                <c:pt idx="1">
                  <c:v>#N/A</c:v>
                </c:pt>
                <c:pt idx="2" formatCode="#,##0">
                  <c:v>1396491.6666666667</c:v>
                </c:pt>
                <c:pt idx="3" formatCode="#,##0">
                  <c:v>1434029.6666666667</c:v>
                </c:pt>
                <c:pt idx="4" formatCode="#,##0">
                  <c:v>1441342.3333333333</c:v>
                </c:pt>
                <c:pt idx="5" formatCode="#,##0">
                  <c:v>1430772</c:v>
                </c:pt>
                <c:pt idx="6" formatCode="#,##0">
                  <c:v>1497653.6666666667</c:v>
                </c:pt>
                <c:pt idx="7" formatCode="#,##0">
                  <c:v>1535321</c:v>
                </c:pt>
                <c:pt idx="8" formatCode="#,##0">
                  <c:v>1536892.3333333333</c:v>
                </c:pt>
                <c:pt idx="9" formatCode="#,##0">
                  <c:v>1490322.6666666667</c:v>
                </c:pt>
                <c:pt idx="10" formatCode="#,##0">
                  <c:v>1474451</c:v>
                </c:pt>
                <c:pt idx="11" formatCode="#,##0">
                  <c:v>1501982.3333333333</c:v>
                </c:pt>
                <c:pt idx="12" formatCode="#,##0">
                  <c:v>1512848.6666666667</c:v>
                </c:pt>
                <c:pt idx="13" formatCode="#,##0">
                  <c:v>1512429.6666666667</c:v>
                </c:pt>
                <c:pt idx="14" formatCode="#,##0">
                  <c:v>1479605.6666666667</c:v>
                </c:pt>
                <c:pt idx="15" formatCode="#,##0">
                  <c:v>1522958.3333333333</c:v>
                </c:pt>
                <c:pt idx="16" formatCode="#,##0">
                  <c:v>1539531.3333333333</c:v>
                </c:pt>
                <c:pt idx="17" formatCode="#,##0">
                  <c:v>1586573</c:v>
                </c:pt>
                <c:pt idx="18" formatCode="#,##0">
                  <c:v>1604362</c:v>
                </c:pt>
                <c:pt idx="19" formatCode="#,##0">
                  <c:v>1643416.6666666667</c:v>
                </c:pt>
                <c:pt idx="20" formatCode="#,##0">
                  <c:v>1691635.3333333333</c:v>
                </c:pt>
                <c:pt idx="21" formatCode="#,##0">
                  <c:v>1716092.3333333333</c:v>
                </c:pt>
                <c:pt idx="22" formatCode="#,##0">
                  <c:v>1778934</c:v>
                </c:pt>
                <c:pt idx="23" formatCode="#,##0">
                  <c:v>1784168</c:v>
                </c:pt>
                <c:pt idx="24" formatCode="#,##0">
                  <c:v>1820433.6666666667</c:v>
                </c:pt>
                <c:pt idx="25" formatCode="#,##0">
                  <c:v>1838538.3333333333</c:v>
                </c:pt>
                <c:pt idx="26" formatCode="#,##0">
                  <c:v>1858477.3333333333</c:v>
                </c:pt>
                <c:pt idx="27" formatCode="#,##0">
                  <c:v>1849804.6666666667</c:v>
                </c:pt>
                <c:pt idx="28" formatCode="#,##0">
                  <c:v>1811791.3333333333</c:v>
                </c:pt>
                <c:pt idx="29" formatCode="#,##0">
                  <c:v>1836228.3333333333</c:v>
                </c:pt>
                <c:pt idx="30" formatCode="#,##0">
                  <c:v>1862514.3333333333</c:v>
                </c:pt>
                <c:pt idx="31" formatCode="#,##0">
                  <c:v>1873491.3333333333</c:v>
                </c:pt>
                <c:pt idx="32" formatCode="#,##0">
                  <c:v>1862157</c:v>
                </c:pt>
                <c:pt idx="33" formatCode="#,##0">
                  <c:v>1882042.3333333333</c:v>
                </c:pt>
                <c:pt idx="34" formatCode="#,##0">
                  <c:v>1918721.3333333333</c:v>
                </c:pt>
                <c:pt idx="35" formatCode="#,##0">
                  <c:v>1903581</c:v>
                </c:pt>
              </c:numCache>
            </c:numRef>
          </c:val>
          <c:smooth val="0"/>
          <c:extLst>
            <c:ext xmlns:c16="http://schemas.microsoft.com/office/drawing/2014/chart" uri="{C3380CC4-5D6E-409C-BE32-E72D297353CC}">
              <c16:uniqueId val="{00000001-06EE-4E20-A75C-53F912E7637E}"/>
            </c:ext>
          </c:extLst>
        </c:ser>
        <c:dLbls>
          <c:showLegendKey val="0"/>
          <c:showVal val="0"/>
          <c:showCatName val="0"/>
          <c:showSerName val="0"/>
          <c:showPercent val="0"/>
          <c:showBubbleSize val="0"/>
        </c:dLbls>
        <c:smooth val="0"/>
        <c:axId val="468028399"/>
        <c:axId val="415038159"/>
      </c:lineChart>
      <c:catAx>
        <c:axId val="46802839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038159"/>
        <c:crosses val="autoZero"/>
        <c:auto val="1"/>
        <c:lblAlgn val="ctr"/>
        <c:lblOffset val="100"/>
        <c:noMultiLvlLbl val="0"/>
      </c:catAx>
      <c:valAx>
        <c:axId val="415038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0283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'Metric Data'!$J$2</c:f>
              <c:strCache>
                <c:ptCount val="1"/>
                <c:pt idx="0">
                  <c:v>Revenue</c:v>
                </c:pt>
              </c:strCache>
            </c:strRef>
          </c:tx>
          <c:spPr>
            <a:ln w="28575" cap="rnd">
              <a:solidFill>
                <a:schemeClr val="accent1"/>
              </a:solidFill>
              <a:round/>
            </a:ln>
            <a:effectLst/>
          </c:spPr>
          <c:marker>
            <c:symbol val="none"/>
          </c:marker>
          <c:val>
            <c:numRef>
              <c:f>'Metric Data'!$J$3:$J$38</c:f>
              <c:numCache>
                <c:formatCode>#,##0</c:formatCode>
                <c:ptCount val="36"/>
                <c:pt idx="0">
                  <c:v>1265997</c:v>
                </c:pt>
                <c:pt idx="1">
                  <c:v>1403219</c:v>
                </c:pt>
                <c:pt idx="2">
                  <c:v>1520259</c:v>
                </c:pt>
                <c:pt idx="3">
                  <c:v>1378611</c:v>
                </c:pt>
                <c:pt idx="4">
                  <c:v>1425157</c:v>
                </c:pt>
                <c:pt idx="5">
                  <c:v>1488548</c:v>
                </c:pt>
                <c:pt idx="6">
                  <c:v>1579256</c:v>
                </c:pt>
                <c:pt idx="7">
                  <c:v>1538159</c:v>
                </c:pt>
                <c:pt idx="8">
                  <c:v>1493262</c:v>
                </c:pt>
                <c:pt idx="9">
                  <c:v>1439547</c:v>
                </c:pt>
                <c:pt idx="10">
                  <c:v>1490544</c:v>
                </c:pt>
                <c:pt idx="11">
                  <c:v>1575856</c:v>
                </c:pt>
                <c:pt idx="12">
                  <c:v>1472146</c:v>
                </c:pt>
                <c:pt idx="13">
                  <c:v>1489287</c:v>
                </c:pt>
                <c:pt idx="14">
                  <c:v>1477384</c:v>
                </c:pt>
                <c:pt idx="15">
                  <c:v>1602204</c:v>
                </c:pt>
                <c:pt idx="16">
                  <c:v>1539006</c:v>
                </c:pt>
                <c:pt idx="17">
                  <c:v>1618509</c:v>
                </c:pt>
                <c:pt idx="18">
                  <c:v>1655571</c:v>
                </c:pt>
                <c:pt idx="19">
                  <c:v>1656170</c:v>
                </c:pt>
                <c:pt idx="20">
                  <c:v>1763165</c:v>
                </c:pt>
                <c:pt idx="21">
                  <c:v>1728942</c:v>
                </c:pt>
                <c:pt idx="22">
                  <c:v>1844695</c:v>
                </c:pt>
                <c:pt idx="23">
                  <c:v>1778867</c:v>
                </c:pt>
                <c:pt idx="24">
                  <c:v>1837739</c:v>
                </c:pt>
                <c:pt idx="25">
                  <c:v>1899009</c:v>
                </c:pt>
                <c:pt idx="26">
                  <c:v>1838684</c:v>
                </c:pt>
                <c:pt idx="27">
                  <c:v>1811721</c:v>
                </c:pt>
                <c:pt idx="28">
                  <c:v>1784969</c:v>
                </c:pt>
                <c:pt idx="29">
                  <c:v>1911995</c:v>
                </c:pt>
                <c:pt idx="30">
                  <c:v>1890579</c:v>
                </c:pt>
                <c:pt idx="31">
                  <c:v>1817900</c:v>
                </c:pt>
                <c:pt idx="32">
                  <c:v>1877992</c:v>
                </c:pt>
                <c:pt idx="33">
                  <c:v>1950235</c:v>
                </c:pt>
                <c:pt idx="34">
                  <c:v>1927937</c:v>
                </c:pt>
                <c:pt idx="35">
                  <c:v>1832571</c:v>
                </c:pt>
              </c:numCache>
            </c:numRef>
          </c:val>
          <c:smooth val="0"/>
          <c:extLst>
            <c:ext xmlns:c16="http://schemas.microsoft.com/office/drawing/2014/chart" uri="{C3380CC4-5D6E-409C-BE32-E72D297353CC}">
              <c16:uniqueId val="{00000000-A58F-4F86-B1E1-5E8F193FD9B4}"/>
            </c:ext>
          </c:extLst>
        </c:ser>
        <c:ser>
          <c:idx val="1"/>
          <c:order val="1"/>
          <c:tx>
            <c:strRef>
              <c:f>'Metric Data'!$P$2</c:f>
              <c:strCache>
                <c:ptCount val="1"/>
                <c:pt idx="0">
                  <c:v>Avg Running Revenue</c:v>
                </c:pt>
              </c:strCache>
            </c:strRef>
          </c:tx>
          <c:spPr>
            <a:ln w="28575" cap="rnd">
              <a:solidFill>
                <a:schemeClr val="accent2"/>
              </a:solidFill>
              <a:round/>
            </a:ln>
            <a:effectLst/>
          </c:spPr>
          <c:marker>
            <c:symbol val="none"/>
          </c:marker>
          <c:val>
            <c:numRef>
              <c:f>'Metric Data'!$P$3:$P$38</c:f>
              <c:numCache>
                <c:formatCode>General</c:formatCode>
                <c:ptCount val="36"/>
                <c:pt idx="0">
                  <c:v>#N/A</c:v>
                </c:pt>
                <c:pt idx="1">
                  <c:v>#N/A</c:v>
                </c:pt>
                <c:pt idx="2" formatCode="#,##0">
                  <c:v>1396491.6666666667</c:v>
                </c:pt>
                <c:pt idx="3" formatCode="#,##0">
                  <c:v>1434029.6666666667</c:v>
                </c:pt>
                <c:pt idx="4" formatCode="#,##0">
                  <c:v>1441342.3333333333</c:v>
                </c:pt>
                <c:pt idx="5" formatCode="#,##0">
                  <c:v>1430772</c:v>
                </c:pt>
                <c:pt idx="6" formatCode="#,##0">
                  <c:v>1497653.6666666667</c:v>
                </c:pt>
                <c:pt idx="7" formatCode="#,##0">
                  <c:v>1535321</c:v>
                </c:pt>
                <c:pt idx="8" formatCode="#,##0">
                  <c:v>1536892.3333333333</c:v>
                </c:pt>
                <c:pt idx="9" formatCode="#,##0">
                  <c:v>1490322.6666666667</c:v>
                </c:pt>
                <c:pt idx="10" formatCode="#,##0">
                  <c:v>1474451</c:v>
                </c:pt>
                <c:pt idx="11" formatCode="#,##0">
                  <c:v>1501982.3333333333</c:v>
                </c:pt>
                <c:pt idx="12" formatCode="#,##0">
                  <c:v>1512848.6666666667</c:v>
                </c:pt>
                <c:pt idx="13" formatCode="#,##0">
                  <c:v>1512429.6666666667</c:v>
                </c:pt>
                <c:pt idx="14" formatCode="#,##0">
                  <c:v>1479605.6666666667</c:v>
                </c:pt>
                <c:pt idx="15" formatCode="#,##0">
                  <c:v>1522958.3333333333</c:v>
                </c:pt>
                <c:pt idx="16" formatCode="#,##0">
                  <c:v>1539531.3333333333</c:v>
                </c:pt>
                <c:pt idx="17" formatCode="#,##0">
                  <c:v>1586573</c:v>
                </c:pt>
                <c:pt idx="18" formatCode="#,##0">
                  <c:v>1604362</c:v>
                </c:pt>
                <c:pt idx="19" formatCode="#,##0">
                  <c:v>1643416.6666666667</c:v>
                </c:pt>
                <c:pt idx="20" formatCode="#,##0">
                  <c:v>1691635.3333333333</c:v>
                </c:pt>
                <c:pt idx="21" formatCode="#,##0">
                  <c:v>1716092.3333333333</c:v>
                </c:pt>
                <c:pt idx="22" formatCode="#,##0">
                  <c:v>1778934</c:v>
                </c:pt>
                <c:pt idx="23" formatCode="#,##0">
                  <c:v>1784168</c:v>
                </c:pt>
                <c:pt idx="24" formatCode="#,##0">
                  <c:v>1820433.6666666667</c:v>
                </c:pt>
                <c:pt idx="25" formatCode="#,##0">
                  <c:v>1838538.3333333333</c:v>
                </c:pt>
                <c:pt idx="26" formatCode="#,##0">
                  <c:v>1858477.3333333333</c:v>
                </c:pt>
                <c:pt idx="27" formatCode="#,##0">
                  <c:v>1849804.6666666667</c:v>
                </c:pt>
                <c:pt idx="28" formatCode="#,##0">
                  <c:v>1811791.3333333333</c:v>
                </c:pt>
                <c:pt idx="29" formatCode="#,##0">
                  <c:v>1836228.3333333333</c:v>
                </c:pt>
                <c:pt idx="30" formatCode="#,##0">
                  <c:v>1862514.3333333333</c:v>
                </c:pt>
                <c:pt idx="31" formatCode="#,##0">
                  <c:v>1873491.3333333333</c:v>
                </c:pt>
                <c:pt idx="32" formatCode="#,##0">
                  <c:v>1862157</c:v>
                </c:pt>
                <c:pt idx="33" formatCode="#,##0">
                  <c:v>1882042.3333333333</c:v>
                </c:pt>
                <c:pt idx="34" formatCode="#,##0">
                  <c:v>1918721.3333333333</c:v>
                </c:pt>
                <c:pt idx="35" formatCode="#,##0">
                  <c:v>1903581</c:v>
                </c:pt>
              </c:numCache>
            </c:numRef>
          </c:val>
          <c:smooth val="0"/>
          <c:extLst>
            <c:ext xmlns:c16="http://schemas.microsoft.com/office/drawing/2014/chart" uri="{C3380CC4-5D6E-409C-BE32-E72D297353CC}">
              <c16:uniqueId val="{00000001-A58F-4F86-B1E1-5E8F193FD9B4}"/>
            </c:ext>
          </c:extLst>
        </c:ser>
        <c:dLbls>
          <c:showLegendKey val="0"/>
          <c:showVal val="0"/>
          <c:showCatName val="0"/>
          <c:showSerName val="0"/>
          <c:showPercent val="0"/>
          <c:showBubbleSize val="0"/>
        </c:dLbls>
        <c:smooth val="0"/>
        <c:axId val="60455935"/>
        <c:axId val="2082488976"/>
      </c:lineChart>
      <c:catAx>
        <c:axId val="604559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488976"/>
        <c:crosses val="autoZero"/>
        <c:auto val="1"/>
        <c:lblAlgn val="ctr"/>
        <c:lblOffset val="100"/>
        <c:noMultiLvlLbl val="0"/>
      </c:catAx>
      <c:valAx>
        <c:axId val="20824889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559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'Metric Data'!$C$2</c:f>
              <c:strCache>
                <c:ptCount val="1"/>
                <c:pt idx="0">
                  <c:v>DigitalAdSpend</c:v>
                </c:pt>
              </c:strCache>
            </c:strRef>
          </c:tx>
          <c:spPr>
            <a:ln w="28575" cap="rnd">
              <a:solidFill>
                <a:schemeClr val="accent1"/>
              </a:solidFill>
              <a:round/>
            </a:ln>
            <a:effectLst/>
          </c:spPr>
          <c:marker>
            <c:symbol val="none"/>
          </c:marker>
          <c:val>
            <c:numRef>
              <c:f>'Metric Data'!$C$3:$C$38</c:f>
              <c:numCache>
                <c:formatCode>#,##0</c:formatCode>
                <c:ptCount val="36"/>
                <c:pt idx="0">
                  <c:v>11131</c:v>
                </c:pt>
                <c:pt idx="1">
                  <c:v>13363</c:v>
                </c:pt>
                <c:pt idx="2">
                  <c:v>14465</c:v>
                </c:pt>
                <c:pt idx="3">
                  <c:v>12047</c:v>
                </c:pt>
                <c:pt idx="4">
                  <c:v>11983</c:v>
                </c:pt>
                <c:pt idx="5">
                  <c:v>13106</c:v>
                </c:pt>
                <c:pt idx="6">
                  <c:v>14883</c:v>
                </c:pt>
                <c:pt idx="7">
                  <c:v>15163</c:v>
                </c:pt>
                <c:pt idx="8">
                  <c:v>15934</c:v>
                </c:pt>
                <c:pt idx="9">
                  <c:v>16080</c:v>
                </c:pt>
                <c:pt idx="10">
                  <c:v>16504</c:v>
                </c:pt>
                <c:pt idx="11">
                  <c:v>17520</c:v>
                </c:pt>
                <c:pt idx="12">
                  <c:v>15332</c:v>
                </c:pt>
                <c:pt idx="13">
                  <c:v>16530</c:v>
                </c:pt>
                <c:pt idx="14">
                  <c:v>16312</c:v>
                </c:pt>
                <c:pt idx="15">
                  <c:v>17029</c:v>
                </c:pt>
                <c:pt idx="16">
                  <c:v>17979</c:v>
                </c:pt>
                <c:pt idx="17">
                  <c:v>17511</c:v>
                </c:pt>
                <c:pt idx="18">
                  <c:v>18745</c:v>
                </c:pt>
                <c:pt idx="19">
                  <c:v>17520</c:v>
                </c:pt>
                <c:pt idx="20">
                  <c:v>19016</c:v>
                </c:pt>
                <c:pt idx="21">
                  <c:v>19413</c:v>
                </c:pt>
                <c:pt idx="22">
                  <c:v>19946</c:v>
                </c:pt>
                <c:pt idx="23">
                  <c:v>19611</c:v>
                </c:pt>
                <c:pt idx="24">
                  <c:v>20560</c:v>
                </c:pt>
                <c:pt idx="25">
                  <c:v>21313</c:v>
                </c:pt>
                <c:pt idx="26">
                  <c:v>21024</c:v>
                </c:pt>
                <c:pt idx="27">
                  <c:v>22167</c:v>
                </c:pt>
                <c:pt idx="28">
                  <c:v>22565</c:v>
                </c:pt>
                <c:pt idx="29">
                  <c:v>21953</c:v>
                </c:pt>
                <c:pt idx="30">
                  <c:v>22733</c:v>
                </c:pt>
                <c:pt idx="31">
                  <c:v>21678</c:v>
                </c:pt>
                <c:pt idx="32">
                  <c:v>23673</c:v>
                </c:pt>
                <c:pt idx="33">
                  <c:v>24342</c:v>
                </c:pt>
                <c:pt idx="34">
                  <c:v>25027</c:v>
                </c:pt>
                <c:pt idx="35">
                  <c:v>23249</c:v>
                </c:pt>
              </c:numCache>
            </c:numRef>
          </c:val>
          <c:smooth val="0"/>
          <c:extLst>
            <c:ext xmlns:c16="http://schemas.microsoft.com/office/drawing/2014/chart" uri="{C3380CC4-5D6E-409C-BE32-E72D297353CC}">
              <c16:uniqueId val="{00000000-20D4-4CDE-966E-3D6BE1ED274C}"/>
            </c:ext>
          </c:extLst>
        </c:ser>
        <c:ser>
          <c:idx val="1"/>
          <c:order val="1"/>
          <c:tx>
            <c:strRef>
              <c:f>'Metric Data'!$D$2</c:f>
              <c:strCache>
                <c:ptCount val="1"/>
                <c:pt idx="0">
                  <c:v>TVSpend</c:v>
                </c:pt>
              </c:strCache>
            </c:strRef>
          </c:tx>
          <c:spPr>
            <a:ln w="28575" cap="rnd">
              <a:solidFill>
                <a:schemeClr val="accent2"/>
              </a:solidFill>
              <a:round/>
            </a:ln>
            <a:effectLst/>
          </c:spPr>
          <c:marker>
            <c:symbol val="none"/>
          </c:marker>
          <c:val>
            <c:numRef>
              <c:f>'Metric Data'!$D$3:$D$38</c:f>
              <c:numCache>
                <c:formatCode>#,##0</c:formatCode>
                <c:ptCount val="36"/>
                <c:pt idx="0">
                  <c:v>19197</c:v>
                </c:pt>
                <c:pt idx="1">
                  <c:v>17180</c:v>
                </c:pt>
                <c:pt idx="2">
                  <c:v>21064</c:v>
                </c:pt>
                <c:pt idx="3">
                  <c:v>17895</c:v>
                </c:pt>
                <c:pt idx="4">
                  <c:v>18040</c:v>
                </c:pt>
                <c:pt idx="5">
                  <c:v>17027</c:v>
                </c:pt>
                <c:pt idx="6">
                  <c:v>22006</c:v>
                </c:pt>
                <c:pt idx="7">
                  <c:v>21646</c:v>
                </c:pt>
                <c:pt idx="8">
                  <c:v>20729</c:v>
                </c:pt>
                <c:pt idx="9">
                  <c:v>18663</c:v>
                </c:pt>
                <c:pt idx="10">
                  <c:v>19373</c:v>
                </c:pt>
                <c:pt idx="11">
                  <c:v>20617</c:v>
                </c:pt>
                <c:pt idx="12">
                  <c:v>19004</c:v>
                </c:pt>
                <c:pt idx="13">
                  <c:v>20901</c:v>
                </c:pt>
                <c:pt idx="14">
                  <c:v>21681</c:v>
                </c:pt>
                <c:pt idx="15">
                  <c:v>20637</c:v>
                </c:pt>
                <c:pt idx="16">
                  <c:v>20843</c:v>
                </c:pt>
                <c:pt idx="17">
                  <c:v>23907</c:v>
                </c:pt>
                <c:pt idx="18">
                  <c:v>21706</c:v>
                </c:pt>
                <c:pt idx="19">
                  <c:v>19928</c:v>
                </c:pt>
                <c:pt idx="20">
                  <c:v>22167</c:v>
                </c:pt>
                <c:pt idx="21">
                  <c:v>22291</c:v>
                </c:pt>
                <c:pt idx="22">
                  <c:v>22107</c:v>
                </c:pt>
                <c:pt idx="23">
                  <c:v>19992</c:v>
                </c:pt>
                <c:pt idx="24">
                  <c:v>23129</c:v>
                </c:pt>
                <c:pt idx="25">
                  <c:v>22782</c:v>
                </c:pt>
                <c:pt idx="26">
                  <c:v>24054</c:v>
                </c:pt>
                <c:pt idx="27">
                  <c:v>24384</c:v>
                </c:pt>
                <c:pt idx="28">
                  <c:v>22458</c:v>
                </c:pt>
                <c:pt idx="29">
                  <c:v>24463</c:v>
                </c:pt>
                <c:pt idx="30">
                  <c:v>24936</c:v>
                </c:pt>
                <c:pt idx="31">
                  <c:v>25256</c:v>
                </c:pt>
                <c:pt idx="32">
                  <c:v>25178</c:v>
                </c:pt>
                <c:pt idx="33">
                  <c:v>24835</c:v>
                </c:pt>
                <c:pt idx="34">
                  <c:v>24750</c:v>
                </c:pt>
                <c:pt idx="35">
                  <c:v>24279</c:v>
                </c:pt>
              </c:numCache>
            </c:numRef>
          </c:val>
          <c:smooth val="0"/>
          <c:extLst>
            <c:ext xmlns:c16="http://schemas.microsoft.com/office/drawing/2014/chart" uri="{C3380CC4-5D6E-409C-BE32-E72D297353CC}">
              <c16:uniqueId val="{00000001-20D4-4CDE-966E-3D6BE1ED274C}"/>
            </c:ext>
          </c:extLst>
        </c:ser>
        <c:ser>
          <c:idx val="2"/>
          <c:order val="2"/>
          <c:tx>
            <c:strRef>
              <c:f>'Metric Data'!$E$2</c:f>
              <c:strCache>
                <c:ptCount val="1"/>
                <c:pt idx="0">
                  <c:v>SocialSpend</c:v>
                </c:pt>
              </c:strCache>
            </c:strRef>
          </c:tx>
          <c:spPr>
            <a:ln w="28575" cap="rnd">
              <a:solidFill>
                <a:schemeClr val="accent3"/>
              </a:solidFill>
              <a:round/>
            </a:ln>
            <a:effectLst/>
          </c:spPr>
          <c:marker>
            <c:symbol val="none"/>
          </c:marker>
          <c:val>
            <c:numRef>
              <c:f>'Metric Data'!$E$3:$E$38</c:f>
              <c:numCache>
                <c:formatCode>#,##0</c:formatCode>
                <c:ptCount val="36"/>
                <c:pt idx="0">
                  <c:v>6641</c:v>
                </c:pt>
                <c:pt idx="1">
                  <c:v>6441</c:v>
                </c:pt>
                <c:pt idx="2">
                  <c:v>7562</c:v>
                </c:pt>
                <c:pt idx="3">
                  <c:v>7794</c:v>
                </c:pt>
                <c:pt idx="4">
                  <c:v>8084</c:v>
                </c:pt>
                <c:pt idx="5">
                  <c:v>7705</c:v>
                </c:pt>
                <c:pt idx="6">
                  <c:v>7533</c:v>
                </c:pt>
                <c:pt idx="7">
                  <c:v>9208</c:v>
                </c:pt>
                <c:pt idx="8">
                  <c:v>8763</c:v>
                </c:pt>
                <c:pt idx="9">
                  <c:v>7958</c:v>
                </c:pt>
                <c:pt idx="10">
                  <c:v>10130</c:v>
                </c:pt>
                <c:pt idx="11">
                  <c:v>10155</c:v>
                </c:pt>
                <c:pt idx="12">
                  <c:v>10050</c:v>
                </c:pt>
                <c:pt idx="13">
                  <c:v>10230</c:v>
                </c:pt>
                <c:pt idx="14">
                  <c:v>10926</c:v>
                </c:pt>
                <c:pt idx="15">
                  <c:v>10760</c:v>
                </c:pt>
                <c:pt idx="16">
                  <c:v>10481</c:v>
                </c:pt>
                <c:pt idx="17">
                  <c:v>12019</c:v>
                </c:pt>
                <c:pt idx="18">
                  <c:v>11768</c:v>
                </c:pt>
                <c:pt idx="19">
                  <c:v>11310</c:v>
                </c:pt>
                <c:pt idx="20">
                  <c:v>12167</c:v>
                </c:pt>
                <c:pt idx="21">
                  <c:v>11856</c:v>
                </c:pt>
                <c:pt idx="22">
                  <c:v>12464</c:v>
                </c:pt>
                <c:pt idx="23">
                  <c:v>12666</c:v>
                </c:pt>
                <c:pt idx="24">
                  <c:v>13319</c:v>
                </c:pt>
                <c:pt idx="25">
                  <c:v>14600</c:v>
                </c:pt>
                <c:pt idx="26">
                  <c:v>14070</c:v>
                </c:pt>
                <c:pt idx="27">
                  <c:v>13679</c:v>
                </c:pt>
                <c:pt idx="28">
                  <c:v>13907</c:v>
                </c:pt>
                <c:pt idx="29">
                  <c:v>14781</c:v>
                </c:pt>
                <c:pt idx="30">
                  <c:v>15025</c:v>
                </c:pt>
                <c:pt idx="31">
                  <c:v>16111</c:v>
                </c:pt>
                <c:pt idx="32">
                  <c:v>15475</c:v>
                </c:pt>
                <c:pt idx="33">
                  <c:v>16058</c:v>
                </c:pt>
                <c:pt idx="34">
                  <c:v>15360</c:v>
                </c:pt>
                <c:pt idx="35">
                  <c:v>15541</c:v>
                </c:pt>
              </c:numCache>
            </c:numRef>
          </c:val>
          <c:smooth val="0"/>
          <c:extLst>
            <c:ext xmlns:c16="http://schemas.microsoft.com/office/drawing/2014/chart" uri="{C3380CC4-5D6E-409C-BE32-E72D297353CC}">
              <c16:uniqueId val="{00000002-20D4-4CDE-966E-3D6BE1ED274C}"/>
            </c:ext>
          </c:extLst>
        </c:ser>
        <c:ser>
          <c:idx val="3"/>
          <c:order val="3"/>
          <c:tx>
            <c:strRef>
              <c:f>'Metric Data'!$F$2</c:f>
              <c:strCache>
                <c:ptCount val="1"/>
                <c:pt idx="0">
                  <c:v>EmailCampaigns</c:v>
                </c:pt>
              </c:strCache>
            </c:strRef>
          </c:tx>
          <c:spPr>
            <a:ln w="28575" cap="rnd">
              <a:solidFill>
                <a:schemeClr val="accent4"/>
              </a:solidFill>
              <a:round/>
            </a:ln>
            <a:effectLst/>
          </c:spPr>
          <c:marker>
            <c:symbol val="none"/>
          </c:marker>
          <c:val>
            <c:numRef>
              <c:f>'Metric Data'!$F$3:$F$38</c:f>
              <c:numCache>
                <c:formatCode>#,##0</c:formatCode>
                <c:ptCount val="36"/>
                <c:pt idx="0">
                  <c:v>6</c:v>
                </c:pt>
                <c:pt idx="1">
                  <c:v>8</c:v>
                </c:pt>
                <c:pt idx="2">
                  <c:v>9</c:v>
                </c:pt>
                <c:pt idx="3">
                  <c:v>7</c:v>
                </c:pt>
                <c:pt idx="4">
                  <c:v>9</c:v>
                </c:pt>
                <c:pt idx="5">
                  <c:v>11</c:v>
                </c:pt>
                <c:pt idx="6">
                  <c:v>9</c:v>
                </c:pt>
                <c:pt idx="7">
                  <c:v>12</c:v>
                </c:pt>
                <c:pt idx="8">
                  <c:v>11</c:v>
                </c:pt>
                <c:pt idx="9">
                  <c:v>13</c:v>
                </c:pt>
                <c:pt idx="10">
                  <c:v>13</c:v>
                </c:pt>
                <c:pt idx="11">
                  <c:v>10</c:v>
                </c:pt>
                <c:pt idx="12">
                  <c:v>12</c:v>
                </c:pt>
                <c:pt idx="13">
                  <c:v>10</c:v>
                </c:pt>
                <c:pt idx="14">
                  <c:v>14</c:v>
                </c:pt>
                <c:pt idx="15">
                  <c:v>15</c:v>
                </c:pt>
                <c:pt idx="16">
                  <c:v>13</c:v>
                </c:pt>
                <c:pt idx="17">
                  <c:v>14</c:v>
                </c:pt>
                <c:pt idx="18">
                  <c:v>18</c:v>
                </c:pt>
                <c:pt idx="19">
                  <c:v>16</c:v>
                </c:pt>
                <c:pt idx="20">
                  <c:v>17</c:v>
                </c:pt>
                <c:pt idx="21">
                  <c:v>16</c:v>
                </c:pt>
                <c:pt idx="22">
                  <c:v>17</c:v>
                </c:pt>
                <c:pt idx="23">
                  <c:v>16</c:v>
                </c:pt>
                <c:pt idx="24">
                  <c:v>13</c:v>
                </c:pt>
                <c:pt idx="25">
                  <c:v>19</c:v>
                </c:pt>
                <c:pt idx="26">
                  <c:v>19</c:v>
                </c:pt>
                <c:pt idx="27">
                  <c:v>19</c:v>
                </c:pt>
                <c:pt idx="28">
                  <c:v>17</c:v>
                </c:pt>
                <c:pt idx="29">
                  <c:v>19</c:v>
                </c:pt>
                <c:pt idx="30">
                  <c:v>19</c:v>
                </c:pt>
                <c:pt idx="31">
                  <c:v>22</c:v>
                </c:pt>
                <c:pt idx="32">
                  <c:v>25</c:v>
                </c:pt>
                <c:pt idx="33">
                  <c:v>22</c:v>
                </c:pt>
                <c:pt idx="34">
                  <c:v>21</c:v>
                </c:pt>
                <c:pt idx="35">
                  <c:v>21</c:v>
                </c:pt>
              </c:numCache>
            </c:numRef>
          </c:val>
          <c:smooth val="0"/>
          <c:extLst>
            <c:ext xmlns:c16="http://schemas.microsoft.com/office/drawing/2014/chart" uri="{C3380CC4-5D6E-409C-BE32-E72D297353CC}">
              <c16:uniqueId val="{00000003-20D4-4CDE-966E-3D6BE1ED274C}"/>
            </c:ext>
          </c:extLst>
        </c:ser>
        <c:ser>
          <c:idx val="4"/>
          <c:order val="4"/>
          <c:tx>
            <c:strRef>
              <c:f>'Metric Data'!$G$2</c:f>
              <c:strCache>
                <c:ptCount val="1"/>
                <c:pt idx="0">
                  <c:v>WebsiteVisits</c:v>
                </c:pt>
              </c:strCache>
            </c:strRef>
          </c:tx>
          <c:spPr>
            <a:ln w="28575" cap="rnd">
              <a:solidFill>
                <a:schemeClr val="accent5"/>
              </a:solidFill>
              <a:round/>
            </a:ln>
            <a:effectLst/>
          </c:spPr>
          <c:marker>
            <c:symbol val="none"/>
          </c:marker>
          <c:val>
            <c:numRef>
              <c:f>'Metric Data'!$G$3:$G$38</c:f>
              <c:numCache>
                <c:formatCode>#,##0</c:formatCode>
                <c:ptCount val="36"/>
                <c:pt idx="0">
                  <c:v>89428</c:v>
                </c:pt>
                <c:pt idx="1">
                  <c:v>99642</c:v>
                </c:pt>
                <c:pt idx="2">
                  <c:v>105616</c:v>
                </c:pt>
                <c:pt idx="3">
                  <c:v>98356</c:v>
                </c:pt>
                <c:pt idx="4">
                  <c:v>100046</c:v>
                </c:pt>
                <c:pt idx="5">
                  <c:v>101751</c:v>
                </c:pt>
                <c:pt idx="6">
                  <c:v>111343</c:v>
                </c:pt>
                <c:pt idx="7">
                  <c:v>106836</c:v>
                </c:pt>
                <c:pt idx="8">
                  <c:v>104089</c:v>
                </c:pt>
                <c:pt idx="9">
                  <c:v>102145</c:v>
                </c:pt>
                <c:pt idx="10">
                  <c:v>106720</c:v>
                </c:pt>
                <c:pt idx="11">
                  <c:v>109284</c:v>
                </c:pt>
                <c:pt idx="12">
                  <c:v>104252</c:v>
                </c:pt>
                <c:pt idx="13">
                  <c:v>106434</c:v>
                </c:pt>
                <c:pt idx="14">
                  <c:v>102300</c:v>
                </c:pt>
                <c:pt idx="15">
                  <c:v>111738</c:v>
                </c:pt>
                <c:pt idx="16">
                  <c:v>106590</c:v>
                </c:pt>
                <c:pt idx="17">
                  <c:v>111945</c:v>
                </c:pt>
                <c:pt idx="18">
                  <c:v>115538</c:v>
                </c:pt>
                <c:pt idx="19">
                  <c:v>115287</c:v>
                </c:pt>
                <c:pt idx="20">
                  <c:v>123164</c:v>
                </c:pt>
                <c:pt idx="21">
                  <c:v>120464</c:v>
                </c:pt>
                <c:pt idx="22">
                  <c:v>126206</c:v>
                </c:pt>
                <c:pt idx="23">
                  <c:v>124008</c:v>
                </c:pt>
                <c:pt idx="24">
                  <c:v>129326</c:v>
                </c:pt>
                <c:pt idx="25">
                  <c:v>133570</c:v>
                </c:pt>
                <c:pt idx="26">
                  <c:v>130843</c:v>
                </c:pt>
                <c:pt idx="27">
                  <c:v>127918</c:v>
                </c:pt>
                <c:pt idx="28">
                  <c:v>126432</c:v>
                </c:pt>
                <c:pt idx="29">
                  <c:v>133611</c:v>
                </c:pt>
                <c:pt idx="30">
                  <c:v>132524</c:v>
                </c:pt>
                <c:pt idx="31">
                  <c:v>128628</c:v>
                </c:pt>
                <c:pt idx="32">
                  <c:v>132013</c:v>
                </c:pt>
                <c:pt idx="33">
                  <c:v>137701</c:v>
                </c:pt>
                <c:pt idx="34">
                  <c:v>137767</c:v>
                </c:pt>
                <c:pt idx="35">
                  <c:v>130625</c:v>
                </c:pt>
              </c:numCache>
            </c:numRef>
          </c:val>
          <c:smooth val="0"/>
          <c:extLst>
            <c:ext xmlns:c16="http://schemas.microsoft.com/office/drawing/2014/chart" uri="{C3380CC4-5D6E-409C-BE32-E72D297353CC}">
              <c16:uniqueId val="{00000004-20D4-4CDE-966E-3D6BE1ED274C}"/>
            </c:ext>
          </c:extLst>
        </c:ser>
        <c:ser>
          <c:idx val="5"/>
          <c:order val="5"/>
          <c:tx>
            <c:strRef>
              <c:f>'Metric Data'!$H$2</c:f>
              <c:strCache>
                <c:ptCount val="1"/>
                <c:pt idx="0">
                  <c:v>LeadsGenerated</c:v>
                </c:pt>
              </c:strCache>
            </c:strRef>
          </c:tx>
          <c:spPr>
            <a:ln w="28575" cap="rnd">
              <a:solidFill>
                <a:schemeClr val="accent6"/>
              </a:solidFill>
              <a:round/>
            </a:ln>
            <a:effectLst/>
          </c:spPr>
          <c:marker>
            <c:symbol val="none"/>
          </c:marker>
          <c:val>
            <c:numRef>
              <c:f>'Metric Data'!$H$3:$H$38</c:f>
              <c:numCache>
                <c:formatCode>#,##0</c:formatCode>
                <c:ptCount val="36"/>
                <c:pt idx="0">
                  <c:v>3196</c:v>
                </c:pt>
                <c:pt idx="1">
                  <c:v>3462</c:v>
                </c:pt>
                <c:pt idx="2">
                  <c:v>3756</c:v>
                </c:pt>
                <c:pt idx="3">
                  <c:v>3408</c:v>
                </c:pt>
                <c:pt idx="4">
                  <c:v>3529</c:v>
                </c:pt>
                <c:pt idx="5">
                  <c:v>3561</c:v>
                </c:pt>
                <c:pt idx="6">
                  <c:v>3865</c:v>
                </c:pt>
                <c:pt idx="7">
                  <c:v>3771</c:v>
                </c:pt>
                <c:pt idx="8">
                  <c:v>3651</c:v>
                </c:pt>
                <c:pt idx="9">
                  <c:v>3570</c:v>
                </c:pt>
                <c:pt idx="10">
                  <c:v>3692</c:v>
                </c:pt>
                <c:pt idx="11">
                  <c:v>3872</c:v>
                </c:pt>
                <c:pt idx="12">
                  <c:v>3570</c:v>
                </c:pt>
                <c:pt idx="13">
                  <c:v>3661</c:v>
                </c:pt>
                <c:pt idx="14">
                  <c:v>3567</c:v>
                </c:pt>
                <c:pt idx="15">
                  <c:v>3900</c:v>
                </c:pt>
                <c:pt idx="16">
                  <c:v>3744</c:v>
                </c:pt>
                <c:pt idx="17">
                  <c:v>3923</c:v>
                </c:pt>
                <c:pt idx="18">
                  <c:v>4050</c:v>
                </c:pt>
                <c:pt idx="19">
                  <c:v>4014</c:v>
                </c:pt>
                <c:pt idx="20">
                  <c:v>4275</c:v>
                </c:pt>
                <c:pt idx="21">
                  <c:v>4219</c:v>
                </c:pt>
                <c:pt idx="22">
                  <c:v>4476</c:v>
                </c:pt>
                <c:pt idx="23">
                  <c:v>4356</c:v>
                </c:pt>
                <c:pt idx="24">
                  <c:v>4522</c:v>
                </c:pt>
                <c:pt idx="25">
                  <c:v>4667</c:v>
                </c:pt>
                <c:pt idx="26">
                  <c:v>4523</c:v>
                </c:pt>
                <c:pt idx="27">
                  <c:v>4455</c:v>
                </c:pt>
                <c:pt idx="28">
                  <c:v>4430</c:v>
                </c:pt>
                <c:pt idx="29">
                  <c:v>4669</c:v>
                </c:pt>
                <c:pt idx="30">
                  <c:v>4626</c:v>
                </c:pt>
                <c:pt idx="31">
                  <c:v>4434</c:v>
                </c:pt>
                <c:pt idx="32">
                  <c:v>4614</c:v>
                </c:pt>
                <c:pt idx="33">
                  <c:v>4836</c:v>
                </c:pt>
                <c:pt idx="34">
                  <c:v>4765</c:v>
                </c:pt>
                <c:pt idx="35">
                  <c:v>4545</c:v>
                </c:pt>
              </c:numCache>
            </c:numRef>
          </c:val>
          <c:smooth val="0"/>
          <c:extLst>
            <c:ext xmlns:c16="http://schemas.microsoft.com/office/drawing/2014/chart" uri="{C3380CC4-5D6E-409C-BE32-E72D297353CC}">
              <c16:uniqueId val="{00000005-20D4-4CDE-966E-3D6BE1ED274C}"/>
            </c:ext>
          </c:extLst>
        </c:ser>
        <c:ser>
          <c:idx val="6"/>
          <c:order val="6"/>
          <c:tx>
            <c:strRef>
              <c:f>'Metric Data'!$I$2</c:f>
              <c:strCache>
                <c:ptCount val="1"/>
                <c:pt idx="0">
                  <c:v>ClosedDeals</c:v>
                </c:pt>
              </c:strCache>
            </c:strRef>
          </c:tx>
          <c:spPr>
            <a:ln w="28575" cap="rnd">
              <a:solidFill>
                <a:schemeClr val="accent1">
                  <a:lumMod val="60000"/>
                </a:schemeClr>
              </a:solidFill>
              <a:round/>
            </a:ln>
            <a:effectLst/>
          </c:spPr>
          <c:marker>
            <c:symbol val="none"/>
          </c:marker>
          <c:val>
            <c:numRef>
              <c:f>'Metric Data'!$I$3:$I$38</c:f>
              <c:numCache>
                <c:formatCode>#,##0</c:formatCode>
                <c:ptCount val="36"/>
                <c:pt idx="0">
                  <c:v>684</c:v>
                </c:pt>
                <c:pt idx="1">
                  <c:v>758</c:v>
                </c:pt>
                <c:pt idx="2">
                  <c:v>819</c:v>
                </c:pt>
                <c:pt idx="3">
                  <c:v>748</c:v>
                </c:pt>
                <c:pt idx="4">
                  <c:v>769</c:v>
                </c:pt>
                <c:pt idx="5">
                  <c:v>803</c:v>
                </c:pt>
                <c:pt idx="6">
                  <c:v>851</c:v>
                </c:pt>
                <c:pt idx="7">
                  <c:v>832</c:v>
                </c:pt>
                <c:pt idx="8">
                  <c:v>807</c:v>
                </c:pt>
                <c:pt idx="9">
                  <c:v>779</c:v>
                </c:pt>
                <c:pt idx="10">
                  <c:v>806</c:v>
                </c:pt>
                <c:pt idx="11">
                  <c:v>849</c:v>
                </c:pt>
                <c:pt idx="12">
                  <c:v>791</c:v>
                </c:pt>
                <c:pt idx="13">
                  <c:v>802</c:v>
                </c:pt>
                <c:pt idx="14">
                  <c:v>800</c:v>
                </c:pt>
                <c:pt idx="15">
                  <c:v>864</c:v>
                </c:pt>
                <c:pt idx="16">
                  <c:v>830</c:v>
                </c:pt>
                <c:pt idx="17">
                  <c:v>873</c:v>
                </c:pt>
                <c:pt idx="18">
                  <c:v>893</c:v>
                </c:pt>
                <c:pt idx="19">
                  <c:v>894</c:v>
                </c:pt>
                <c:pt idx="20">
                  <c:v>953</c:v>
                </c:pt>
                <c:pt idx="21">
                  <c:v>931</c:v>
                </c:pt>
                <c:pt idx="22">
                  <c:v>996</c:v>
                </c:pt>
                <c:pt idx="23">
                  <c:v>960</c:v>
                </c:pt>
                <c:pt idx="24">
                  <c:v>992</c:v>
                </c:pt>
                <c:pt idx="25">
                  <c:v>1026</c:v>
                </c:pt>
                <c:pt idx="26">
                  <c:v>990</c:v>
                </c:pt>
                <c:pt idx="27">
                  <c:v>978</c:v>
                </c:pt>
                <c:pt idx="28">
                  <c:v>962</c:v>
                </c:pt>
                <c:pt idx="29">
                  <c:v>1032</c:v>
                </c:pt>
                <c:pt idx="30">
                  <c:v>1023</c:v>
                </c:pt>
                <c:pt idx="31">
                  <c:v>981</c:v>
                </c:pt>
                <c:pt idx="32">
                  <c:v>1014</c:v>
                </c:pt>
                <c:pt idx="33">
                  <c:v>1054</c:v>
                </c:pt>
                <c:pt idx="34">
                  <c:v>1041</c:v>
                </c:pt>
                <c:pt idx="35">
                  <c:v>987</c:v>
                </c:pt>
              </c:numCache>
            </c:numRef>
          </c:val>
          <c:smooth val="0"/>
          <c:extLst>
            <c:ext xmlns:c16="http://schemas.microsoft.com/office/drawing/2014/chart" uri="{C3380CC4-5D6E-409C-BE32-E72D297353CC}">
              <c16:uniqueId val="{00000006-20D4-4CDE-966E-3D6BE1ED274C}"/>
            </c:ext>
          </c:extLst>
        </c:ser>
        <c:ser>
          <c:idx val="7"/>
          <c:order val="7"/>
          <c:tx>
            <c:strRef>
              <c:f>'Metric Data'!$J$2</c:f>
              <c:strCache>
                <c:ptCount val="1"/>
                <c:pt idx="0">
                  <c:v>Revenue</c:v>
                </c:pt>
              </c:strCache>
            </c:strRef>
          </c:tx>
          <c:spPr>
            <a:ln w="28575" cap="rnd">
              <a:solidFill>
                <a:schemeClr val="accent2">
                  <a:lumMod val="60000"/>
                </a:schemeClr>
              </a:solidFill>
              <a:round/>
            </a:ln>
            <a:effectLst/>
          </c:spPr>
          <c:marker>
            <c:symbol val="none"/>
          </c:marker>
          <c:val>
            <c:numRef>
              <c:f>'Metric Data'!$J$3:$J$38</c:f>
              <c:numCache>
                <c:formatCode>#,##0</c:formatCode>
                <c:ptCount val="36"/>
                <c:pt idx="0">
                  <c:v>1265997</c:v>
                </c:pt>
                <c:pt idx="1">
                  <c:v>1403219</c:v>
                </c:pt>
                <c:pt idx="2">
                  <c:v>1520259</c:v>
                </c:pt>
                <c:pt idx="3">
                  <c:v>1378611</c:v>
                </c:pt>
                <c:pt idx="4">
                  <c:v>1425157</c:v>
                </c:pt>
                <c:pt idx="5">
                  <c:v>1488548</c:v>
                </c:pt>
                <c:pt idx="6">
                  <c:v>1579256</c:v>
                </c:pt>
                <c:pt idx="7">
                  <c:v>1538159</c:v>
                </c:pt>
                <c:pt idx="8">
                  <c:v>1493262</c:v>
                </c:pt>
                <c:pt idx="9">
                  <c:v>1439547</c:v>
                </c:pt>
                <c:pt idx="10">
                  <c:v>1490544</c:v>
                </c:pt>
                <c:pt idx="11">
                  <c:v>1575856</c:v>
                </c:pt>
                <c:pt idx="12">
                  <c:v>1472146</c:v>
                </c:pt>
                <c:pt idx="13">
                  <c:v>1489287</c:v>
                </c:pt>
                <c:pt idx="14">
                  <c:v>1477384</c:v>
                </c:pt>
                <c:pt idx="15">
                  <c:v>1602204</c:v>
                </c:pt>
                <c:pt idx="16">
                  <c:v>1539006</c:v>
                </c:pt>
                <c:pt idx="17">
                  <c:v>1618509</c:v>
                </c:pt>
                <c:pt idx="18">
                  <c:v>1655571</c:v>
                </c:pt>
                <c:pt idx="19">
                  <c:v>1656170</c:v>
                </c:pt>
                <c:pt idx="20">
                  <c:v>1763165</c:v>
                </c:pt>
                <c:pt idx="21">
                  <c:v>1728942</c:v>
                </c:pt>
                <c:pt idx="22">
                  <c:v>1844695</c:v>
                </c:pt>
                <c:pt idx="23">
                  <c:v>1778867</c:v>
                </c:pt>
                <c:pt idx="24">
                  <c:v>1837739</c:v>
                </c:pt>
                <c:pt idx="25">
                  <c:v>1899009</c:v>
                </c:pt>
                <c:pt idx="26">
                  <c:v>1838684</c:v>
                </c:pt>
                <c:pt idx="27">
                  <c:v>1811721</c:v>
                </c:pt>
                <c:pt idx="28">
                  <c:v>1784969</c:v>
                </c:pt>
                <c:pt idx="29">
                  <c:v>1911995</c:v>
                </c:pt>
                <c:pt idx="30">
                  <c:v>1890579</c:v>
                </c:pt>
                <c:pt idx="31">
                  <c:v>1817900</c:v>
                </c:pt>
                <c:pt idx="32">
                  <c:v>1877992</c:v>
                </c:pt>
                <c:pt idx="33">
                  <c:v>1950235</c:v>
                </c:pt>
                <c:pt idx="34">
                  <c:v>1927937</c:v>
                </c:pt>
                <c:pt idx="35">
                  <c:v>1832571</c:v>
                </c:pt>
              </c:numCache>
            </c:numRef>
          </c:val>
          <c:smooth val="0"/>
          <c:extLst>
            <c:ext xmlns:c16="http://schemas.microsoft.com/office/drawing/2014/chart" uri="{C3380CC4-5D6E-409C-BE32-E72D297353CC}">
              <c16:uniqueId val="{00000007-20D4-4CDE-966E-3D6BE1ED274C}"/>
            </c:ext>
          </c:extLst>
        </c:ser>
        <c:ser>
          <c:idx val="8"/>
          <c:order val="8"/>
          <c:tx>
            <c:strRef>
              <c:f>'Metric Data'!$K$2</c:f>
              <c:strCache>
                <c:ptCount val="1"/>
                <c:pt idx="0">
                  <c:v>BIN </c:v>
                </c:pt>
              </c:strCache>
            </c:strRef>
          </c:tx>
          <c:spPr>
            <a:ln w="28575" cap="rnd">
              <a:solidFill>
                <a:schemeClr val="accent3">
                  <a:lumMod val="60000"/>
                </a:schemeClr>
              </a:solidFill>
              <a:round/>
            </a:ln>
            <a:effectLst/>
          </c:spPr>
          <c:marker>
            <c:symbol val="none"/>
          </c:marker>
          <c:val>
            <c:numRef>
              <c:f>'Metric Data'!$K$3:$K$38</c:f>
              <c:numCache>
                <c:formatCode>General</c:formatCode>
                <c:ptCount val="36"/>
                <c:pt idx="0">
                  <c:v>700</c:v>
                </c:pt>
                <c:pt idx="1">
                  <c:v>750</c:v>
                </c:pt>
                <c:pt idx="2">
                  <c:v>800</c:v>
                </c:pt>
                <c:pt idx="3">
                  <c:v>850</c:v>
                </c:pt>
                <c:pt idx="4">
                  <c:v>900</c:v>
                </c:pt>
                <c:pt idx="5">
                  <c:v>950</c:v>
                </c:pt>
                <c:pt idx="6">
                  <c:v>1000</c:v>
                </c:pt>
                <c:pt idx="7">
                  <c:v>1050</c:v>
                </c:pt>
                <c:pt idx="8">
                  <c:v>1100</c:v>
                </c:pt>
              </c:numCache>
            </c:numRef>
          </c:val>
          <c:smooth val="0"/>
          <c:extLst>
            <c:ext xmlns:c16="http://schemas.microsoft.com/office/drawing/2014/chart" uri="{C3380CC4-5D6E-409C-BE32-E72D297353CC}">
              <c16:uniqueId val="{00000008-20D4-4CDE-966E-3D6BE1ED274C}"/>
            </c:ext>
          </c:extLst>
        </c:ser>
        <c:dLbls>
          <c:showLegendKey val="0"/>
          <c:showVal val="0"/>
          <c:showCatName val="0"/>
          <c:showSerName val="0"/>
          <c:showPercent val="0"/>
          <c:showBubbleSize val="0"/>
        </c:dLbls>
        <c:smooth val="0"/>
        <c:axId val="1087840384"/>
        <c:axId val="1070238992"/>
      </c:lineChart>
      <c:catAx>
        <c:axId val="108784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238992"/>
        <c:crosses val="autoZero"/>
        <c:auto val="1"/>
        <c:lblAlgn val="ctr"/>
        <c:lblOffset val="100"/>
        <c:noMultiLvlLbl val="0"/>
      </c:catAx>
      <c:valAx>
        <c:axId val="10702389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840384"/>
        <c:crosses val="autoZero"/>
        <c:crossBetween val="between"/>
      </c:valAx>
      <c:spPr>
        <a:noFill/>
        <a:ln>
          <a:noFill/>
        </a:ln>
        <a:effectLst/>
      </c:spPr>
    </c:plotArea>
    <c:legend>
      <c:legendPos val="b"/>
      <c:layout>
        <c:manualLayout>
          <c:xMode val="edge"/>
          <c:yMode val="edge"/>
          <c:x val="0.12176713361705138"/>
          <c:y val="0.8654164691908387"/>
          <c:w val="0.85671943908074066"/>
          <c:h val="0.109176721718218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data id="2">
      <cx:numDim type="val">
        <cx:f>_xlchart.v1.5</cx:f>
      </cx:numDim>
    </cx:data>
    <cx:data id="3">
      <cx:numDim type="val">
        <cx:f>_xlchart.v1.7</cx:f>
      </cx:numDim>
    </cx:data>
    <cx:data id="4">
      <cx:numDim type="val">
        <cx:f>_xlchart.v1.9</cx:f>
      </cx:numDim>
    </cx:data>
    <cx:data id="5">
      <cx:numDim type="val">
        <cx:f>_xlchart.v1.11</cx:f>
      </cx:numDim>
    </cx:data>
    <cx:data id="6">
      <cx:numDim type="val">
        <cx:f>_xlchart.v1.13</cx:f>
      </cx:numDim>
    </cx:data>
    <cx:data id="7">
      <cx:numDim type="val">
        <cx:f>_xlchart.v1.15</cx:f>
      </cx:numDim>
    </cx:data>
    <cx:data id="8">
      <cx:numDim type="val">
        <cx:f>_xlchart.v1.17</cx:f>
      </cx:numDim>
    </cx:data>
  </cx:chartData>
  <cx:chart>
    <cx:title pos="t" align="ctr" overlay="0"/>
    <cx:plotArea>
      <cx:plotAreaRegion>
        <cx:series layoutId="clusteredColumn" uniqueId="{EB2A161A-E1B6-4712-A394-AAB5438A9035}" formatIdx="0">
          <cx:tx>
            <cx:txData>
              <cx:f>_xlchart.v1.0</cx:f>
              <cx:v>DigitalAdSpend</cx:v>
            </cx:txData>
          </cx:tx>
          <cx:dataId val="0"/>
          <cx:layoutPr>
            <cx:binning intervalClosed="r"/>
          </cx:layoutPr>
        </cx:series>
        <cx:series layoutId="clusteredColumn" hidden="1" uniqueId="{FB1D82F5-CC3C-473B-BDD1-8C3969A18BCD}" formatIdx="1">
          <cx:tx>
            <cx:txData>
              <cx:f>_xlchart.v1.2</cx:f>
              <cx:v>TVSpend</cx:v>
            </cx:txData>
          </cx:tx>
          <cx:dataId val="1"/>
          <cx:layoutPr>
            <cx:binning intervalClosed="r"/>
          </cx:layoutPr>
        </cx:series>
        <cx:series layoutId="clusteredColumn" hidden="1" uniqueId="{E6329F43-1E31-4447-9DB6-260B00F7236B}" formatIdx="2">
          <cx:tx>
            <cx:txData>
              <cx:f>_xlchart.v1.4</cx:f>
              <cx:v>SocialSpend</cx:v>
            </cx:txData>
          </cx:tx>
          <cx:dataId val="2"/>
          <cx:layoutPr>
            <cx:binning intervalClosed="r"/>
          </cx:layoutPr>
        </cx:series>
        <cx:series layoutId="clusteredColumn" hidden="1" uniqueId="{03FB9501-7149-4208-BF4A-8CD195DC98AF}" formatIdx="3">
          <cx:tx>
            <cx:txData>
              <cx:f>_xlchart.v1.6</cx:f>
              <cx:v>EmailCampaigns</cx:v>
            </cx:txData>
          </cx:tx>
          <cx:dataId val="3"/>
          <cx:layoutPr>
            <cx:binning intervalClosed="r"/>
          </cx:layoutPr>
        </cx:series>
        <cx:series layoutId="clusteredColumn" hidden="1" uniqueId="{531D24A2-7F86-4582-A17A-43DDBCA0641F}" formatIdx="4">
          <cx:tx>
            <cx:txData>
              <cx:f>_xlchart.v1.8</cx:f>
              <cx:v>WebsiteVisits</cx:v>
            </cx:txData>
          </cx:tx>
          <cx:dataId val="4"/>
          <cx:layoutPr>
            <cx:binning intervalClosed="r"/>
          </cx:layoutPr>
        </cx:series>
        <cx:series layoutId="clusteredColumn" hidden="1" uniqueId="{7DE5469B-A42C-4841-A9BA-7700F0538587}" formatIdx="5">
          <cx:tx>
            <cx:txData>
              <cx:f>_xlchart.v1.10</cx:f>
              <cx:v>LeadsGenerated</cx:v>
            </cx:txData>
          </cx:tx>
          <cx:dataId val="5"/>
          <cx:layoutPr>
            <cx:binning intervalClosed="r"/>
          </cx:layoutPr>
        </cx:series>
        <cx:series layoutId="clusteredColumn" hidden="1" uniqueId="{53973F06-4A12-4D54-B499-FAD016702D59}" formatIdx="6">
          <cx:tx>
            <cx:txData>
              <cx:f>_xlchart.v1.12</cx:f>
              <cx:v>ClosedDeals</cx:v>
            </cx:txData>
          </cx:tx>
          <cx:dataId val="6"/>
          <cx:layoutPr>
            <cx:binning intervalClosed="r"/>
          </cx:layoutPr>
        </cx:series>
        <cx:series layoutId="clusteredColumn" hidden="1" uniqueId="{97A0CD43-F5FB-4681-8613-09120770835E}" formatIdx="7">
          <cx:tx>
            <cx:txData>
              <cx:f>_xlchart.v1.14</cx:f>
              <cx:v>Revenue</cx:v>
            </cx:txData>
          </cx:tx>
          <cx:dataId val="7"/>
          <cx:layoutPr>
            <cx:binning intervalClosed="r"/>
          </cx:layoutPr>
        </cx:series>
        <cx:series layoutId="clusteredColumn" hidden="1" uniqueId="{213EB59D-EF5B-44AC-8996-25C3764842E3}" formatIdx="8">
          <cx:tx>
            <cx:txData>
              <cx:f>_xlchart.v1.16</cx:f>
              <cx:v>BIN </cx:v>
            </cx:txData>
          </cx:tx>
          <cx:dataId val="8"/>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71">
  <cs:axisTitle>
    <cs:lnRef idx="0"/>
    <cs:fillRef idx="0"/>
    <cs:effectRef idx="0"/>
    <cs:fontRef idx="minor">
      <a:schemeClr val="lt1"/>
    </cs:fontRef>
    <cs:defRPr sz="9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cs:bodyPr/>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cs:chartArea>
  <cs:dataLabel>
    <cs:lnRef idx="0"/>
    <cs:fillRef idx="0">
      <cs:styleClr val="auto"/>
    </cs:fillRef>
    <cs:effectRef idx="0"/>
    <cs:fontRef idx="minor">
      <a:schemeClr val="dk1"/>
    </cs:fontRef>
    <cs:spPr>
      <a:solidFill>
        <a:schemeClr val="phClr">
          <a:alpha val="70000"/>
        </a:schemeClr>
      </a:solidFill>
    </cs:spPr>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a:ln w="9525">
        <a:solidFill>
          <a:schemeClr val="tx1"/>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dk1"/>
    </cs:fontRef>
    <cs:spPr>
      <a:ln w="2857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spPr>
      <a:ln w="9525">
        <a:solidFill>
          <a:schemeClr val="lt1"/>
        </a:solidFill>
        <a:prstDash val="dash"/>
      </a:ln>
    </cs:spPr>
  </cs:dropLine>
  <cs:errorBar>
    <cs:lnRef idx="0"/>
    <cs:fillRef idx="0"/>
    <cs:effectRef idx="0"/>
    <cs:fontRef idx="minor">
      <a:schemeClr val="tx1"/>
    </cs:fontRef>
    <cs:spPr>
      <a:ln w="9525" cap="flat" cmpd="sng" algn="ctr">
        <a:solidFill>
          <a:schemeClr val="lt1"/>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5000"/>
          </a:schemeClr>
        </a:solidFill>
        <a:round/>
      </a:ln>
    </cs:spPr>
  </cs:gridlineMajor>
  <cs:gridlineMinor>
    <cs:lnRef idx="0"/>
    <cs:fillRef idx="0"/>
    <cs:effectRef idx="0"/>
    <cs:fontRef idx="minor">
      <a:schemeClr val="dk1"/>
    </cs:fontRef>
    <cs:spPr>
      <a:ln>
        <a:solidFill>
          <a:schemeClr val="lt1">
            <a:alpha val="25000"/>
            <a:lumOff val="10000"/>
          </a:schemeClr>
        </a:solidFill>
      </a:ln>
    </cs:spPr>
  </cs:gridlineMinor>
  <cs:hiLoLine>
    <cs:lnRef idx="0"/>
    <cs:fillRef idx="0"/>
    <cs:effectRef idx="0"/>
    <cs:fontRef idx="minor">
      <a:schemeClr val="tx1"/>
    </cs:fontRef>
    <cs:spPr>
      <a:ln w="9525">
        <a:solidFill>
          <a:schemeClr val="lt1"/>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cs:fontRef>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cs:bodyPr/>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cs:fontRef>
    <cs:defRPr sz="1500" b="1" cap="all" spc="100"/>
    <cs:bodyPr/>
  </cs:title>
  <cs:trendline>
    <cs:lnRef idx="0"/>
    <cs:fillRef idx="0"/>
    <cs:effectRef idx="0"/>
    <cs:fontRef idx="minor">
      <a:schemeClr val="dk1"/>
    </cs:fontRef>
    <cs:spPr>
      <a:ln w="19050" cap="rnd">
        <a:solidFill>
          <a:schemeClr val="lt1"/>
        </a:solidFill>
        <a:prstDash val="sysDash"/>
      </a:ln>
    </cs:spPr>
  </cs:trendline>
  <cs:trendlineLabel>
    <cs:lnRef idx="0"/>
    <cs:fillRef idx="0"/>
    <cs:effectRef idx="0"/>
    <cs:fontRef idx="minor">
      <a:schemeClr val="lt1"/>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lt1"/>
    </cs:fontRef>
    <cs:defRPr sz="900"/>
    <cs:bodyPr/>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3</xdr:col>
      <xdr:colOff>571500</xdr:colOff>
      <xdr:row>74</xdr:row>
      <xdr:rowOff>180975</xdr:rowOff>
    </xdr:from>
    <xdr:to>
      <xdr:col>5</xdr:col>
      <xdr:colOff>601575</xdr:colOff>
      <xdr:row>88</xdr:row>
      <xdr:rowOff>38100</xdr:rowOff>
    </xdr:to>
    <mc:AlternateContent xmlns:mc="http://schemas.openxmlformats.org/markup-compatibility/2006" xmlns:a14="http://schemas.microsoft.com/office/drawing/2010/main">
      <mc:Choice Requires="a14">
        <xdr:graphicFrame macro="">
          <xdr:nvGraphicFramePr>
            <xdr:cNvPr id="2" name="Salesperson">
              <a:extLst>
                <a:ext uri="{FF2B5EF4-FFF2-40B4-BE49-F238E27FC236}">
                  <a16:creationId xmlns:a16="http://schemas.microsoft.com/office/drawing/2014/main" id="{D3E2919D-402C-30BE-9CDF-E254EA08C85F}"/>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mlns="">
        <xdr:sp macro="" textlink="">
          <xdr:nvSpPr>
            <xdr:cNvPr id="0" name=""/>
            <xdr:cNvSpPr>
              <a:spLocks noTextEdit="1"/>
            </xdr:cNvSpPr>
          </xdr:nvSpPr>
          <xdr:spPr>
            <a:xfrm>
              <a:off x="3419475" y="142970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782148</xdr:colOff>
      <xdr:row>186</xdr:row>
      <xdr:rowOff>0</xdr:rowOff>
    </xdr:from>
    <xdr:to>
      <xdr:col>11</xdr:col>
      <xdr:colOff>54952</xdr:colOff>
      <xdr:row>207</xdr:row>
      <xdr:rowOff>18317</xdr:rowOff>
    </xdr:to>
    <xdr:graphicFrame macro="">
      <xdr:nvGraphicFramePr>
        <xdr:cNvPr id="3" name="Chart 2">
          <a:extLst>
            <a:ext uri="{FF2B5EF4-FFF2-40B4-BE49-F238E27FC236}">
              <a16:creationId xmlns:a16="http://schemas.microsoft.com/office/drawing/2014/main" id="{9A5E2012-83C9-588F-E50E-C4FE5AD9EF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796802</xdr:colOff>
      <xdr:row>214</xdr:row>
      <xdr:rowOff>183173</xdr:rowOff>
    </xdr:from>
    <xdr:to>
      <xdr:col>13</xdr:col>
      <xdr:colOff>36635</xdr:colOff>
      <xdr:row>235</xdr:row>
      <xdr:rowOff>27476</xdr:rowOff>
    </xdr:to>
    <xdr:graphicFrame macro="">
      <xdr:nvGraphicFramePr>
        <xdr:cNvPr id="4" name="Chart 3">
          <a:extLst>
            <a:ext uri="{FF2B5EF4-FFF2-40B4-BE49-F238E27FC236}">
              <a16:creationId xmlns:a16="http://schemas.microsoft.com/office/drawing/2014/main" id="{42366234-B7B5-F051-33F5-84C926DD68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964870</xdr:colOff>
      <xdr:row>340</xdr:row>
      <xdr:rowOff>123701</xdr:rowOff>
    </xdr:from>
    <xdr:to>
      <xdr:col>14</xdr:col>
      <xdr:colOff>247402</xdr:colOff>
      <xdr:row>365</xdr:row>
      <xdr:rowOff>61850</xdr:rowOff>
    </xdr:to>
    <xdr:graphicFrame macro="">
      <xdr:nvGraphicFramePr>
        <xdr:cNvPr id="6" name="Chart 5">
          <a:extLst>
            <a:ext uri="{FF2B5EF4-FFF2-40B4-BE49-F238E27FC236}">
              <a16:creationId xmlns:a16="http://schemas.microsoft.com/office/drawing/2014/main" id="{9A24F559-4725-4443-8609-D4510051EC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571501</xdr:colOff>
      <xdr:row>240</xdr:row>
      <xdr:rowOff>54429</xdr:rowOff>
    </xdr:from>
    <xdr:to>
      <xdr:col>5</xdr:col>
      <xdr:colOff>453572</xdr:colOff>
      <xdr:row>247</xdr:row>
      <xdr:rowOff>133349</xdr:rowOff>
    </xdr:to>
    <xdr:graphicFrame macro="">
      <xdr:nvGraphicFramePr>
        <xdr:cNvPr id="7" name="Chart 6">
          <a:extLst>
            <a:ext uri="{FF2B5EF4-FFF2-40B4-BE49-F238E27FC236}">
              <a16:creationId xmlns:a16="http://schemas.microsoft.com/office/drawing/2014/main" id="{434E6739-77C5-2A82-5027-442CC7D8B2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394977</xdr:colOff>
      <xdr:row>75</xdr:row>
      <xdr:rowOff>20906</xdr:rowOff>
    </xdr:from>
    <xdr:to>
      <xdr:col>7</xdr:col>
      <xdr:colOff>321622</xdr:colOff>
      <xdr:row>82</xdr:row>
      <xdr:rowOff>74221</xdr:rowOff>
    </xdr:to>
    <mc:AlternateContent xmlns:mc="http://schemas.openxmlformats.org/markup-compatibility/2006">
      <mc:Choice xmlns:a14="http://schemas.microsoft.com/office/drawing/2010/main" Requires="a14">
        <xdr:graphicFrame macro="">
          <xdr:nvGraphicFramePr>
            <xdr:cNvPr id="5" name="Channel">
              <a:extLst>
                <a:ext uri="{FF2B5EF4-FFF2-40B4-BE49-F238E27FC236}">
                  <a16:creationId xmlns:a16="http://schemas.microsoft.com/office/drawing/2014/main" id="{DB11CE30-ED34-6D55-D80F-5F909119BA26}"/>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5157477" y="13962042"/>
              <a:ext cx="1992457" cy="1352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17</xdr:col>
      <xdr:colOff>558759</xdr:colOff>
      <xdr:row>18</xdr:row>
      <xdr:rowOff>86827</xdr:rowOff>
    </xdr:from>
    <xdr:to>
      <xdr:col>22</xdr:col>
      <xdr:colOff>488061</xdr:colOff>
      <xdr:row>30</xdr:row>
      <xdr:rowOff>86750</xdr:rowOff>
    </xdr:to>
    <xdr:graphicFrame macro="">
      <xdr:nvGraphicFramePr>
        <xdr:cNvPr id="2" name="Chart 1">
          <a:extLst>
            <a:ext uri="{FF2B5EF4-FFF2-40B4-BE49-F238E27FC236}">
              <a16:creationId xmlns:a16="http://schemas.microsoft.com/office/drawing/2014/main" id="{0169155A-21D4-8830-DFDE-F00AE117E6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571500</xdr:colOff>
      <xdr:row>3</xdr:row>
      <xdr:rowOff>21330</xdr:rowOff>
    </xdr:from>
    <xdr:to>
      <xdr:col>24</xdr:col>
      <xdr:colOff>253052</xdr:colOff>
      <xdr:row>17</xdr:row>
      <xdr:rowOff>77627</xdr:rowOff>
    </xdr:to>
    <xdr:graphicFrame macro="">
      <xdr:nvGraphicFramePr>
        <xdr:cNvPr id="3" name="Chart 2">
          <a:extLst>
            <a:ext uri="{FF2B5EF4-FFF2-40B4-BE49-F238E27FC236}">
              <a16:creationId xmlns:a16="http://schemas.microsoft.com/office/drawing/2014/main" id="{91776D03-2B94-23A9-37B5-7F98C3C570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965434</xdr:colOff>
      <xdr:row>43</xdr:row>
      <xdr:rowOff>58796</xdr:rowOff>
    </xdr:from>
    <xdr:to>
      <xdr:col>5</xdr:col>
      <xdr:colOff>1352316</xdr:colOff>
      <xdr:row>65</xdr:row>
      <xdr:rowOff>141110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DF84B2D7-3FA3-890B-3E79-BAF31928FDC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65434" y="8364596"/>
              <a:ext cx="7063907" cy="427331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1176</xdr:colOff>
      <xdr:row>43</xdr:row>
      <xdr:rowOff>11766</xdr:rowOff>
    </xdr:from>
    <xdr:to>
      <xdr:col>11</xdr:col>
      <xdr:colOff>94074</xdr:colOff>
      <xdr:row>62</xdr:row>
      <xdr:rowOff>176388</xdr:rowOff>
    </xdr:to>
    <xdr:graphicFrame macro="">
      <xdr:nvGraphicFramePr>
        <xdr:cNvPr id="5" name="Chart 4">
          <a:extLst>
            <a:ext uri="{FF2B5EF4-FFF2-40B4-BE49-F238E27FC236}">
              <a16:creationId xmlns:a16="http://schemas.microsoft.com/office/drawing/2014/main" id="{C156238C-82ED-A582-07DE-6B9723741F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DAL LAD" refreshedDate="46256.646454166665" createdVersion="8" refreshedVersion="8" minRefreshableVersion="3" recordCount="300" xr:uid="{9E0A11BE-C720-48A4-8A18-9E2643194D95}">
  <cacheSource type="worksheet">
    <worksheetSource name="SalesData"/>
  </cacheSource>
  <cacheFields count="18">
    <cacheField name="OrderID" numFmtId="0">
      <sharedItems count="300">
        <s v="ORD-10001"/>
        <s v="ORD-10002"/>
        <s v="ORD-10003"/>
        <s v="ORD-10004"/>
        <s v="ORD-10005"/>
        <s v="ORD-10006"/>
        <s v="ORD-10007"/>
        <s v="ORD-10008"/>
        <s v="ORD-10009"/>
        <s v="ORD-10010"/>
        <s v="ORD-10011"/>
        <s v="ORD-10012"/>
        <s v="ORD-10013"/>
        <s v="ORD-10014"/>
        <s v="ORD-10015"/>
        <s v="ORD-10016"/>
        <s v="ORD-10017"/>
        <s v="ORD-10018"/>
        <s v="ORD-10019"/>
        <s v="ORD-10020"/>
        <s v="ORD-10021"/>
        <s v="ORD-10022"/>
        <s v="ORD-10023"/>
        <s v="ORD-10024"/>
        <s v="ORD-10025"/>
        <s v="ORD-10026"/>
        <s v="ORD-10027"/>
        <s v="ORD-10028"/>
        <s v="ORD-10029"/>
        <s v="ORD-10030"/>
        <s v="ORD-10031"/>
        <s v="ORD-10032"/>
        <s v="ORD-10033"/>
        <s v="ORD-10034"/>
        <s v="ORD-10035"/>
        <s v="ORD-10036"/>
        <s v="ORD-10037"/>
        <s v="ORD-10038"/>
        <s v="ORD-10039"/>
        <s v="ORD-10040"/>
        <s v="ORD-10041"/>
        <s v="ORD-10042"/>
        <s v="ORD-10043"/>
        <s v="ORD-10044"/>
        <s v="ORD-10045"/>
        <s v="ORD-10046"/>
        <s v="ORD-10047"/>
        <s v="ORD-10048"/>
        <s v="ORD-10049"/>
        <s v="ORD-10050"/>
        <s v="ORD-10051"/>
        <s v="ORD-10052"/>
        <s v="ORD-10053"/>
        <s v="ORD-10054"/>
        <s v="ORD-10055"/>
        <s v="ORD-10056"/>
        <s v="ORD-10057"/>
        <s v="ORD-10058"/>
        <s v="ORD-10059"/>
        <s v="ORD-10060"/>
        <s v="ORD-10061"/>
        <s v="ORD-10062"/>
        <s v="ORD-10063"/>
        <s v="ORD-10064"/>
        <s v="ORD-10065"/>
        <s v="ORD-10066"/>
        <s v="ORD-10067"/>
        <s v="ORD-10068"/>
        <s v="ORD-10069"/>
        <s v="ORD-10070"/>
        <s v="ORD-10071"/>
        <s v="ORD-10072"/>
        <s v="ORD-10073"/>
        <s v="ORD-10074"/>
        <s v="ORD-10075"/>
        <s v="ORD-10076"/>
        <s v="ORD-10077"/>
        <s v="ORD-10078"/>
        <s v="ORD-10079"/>
        <s v="ORD-10080"/>
        <s v="ORD-10081"/>
        <s v="ORD-10082"/>
        <s v="ORD-10083"/>
        <s v="ORD-10084"/>
        <s v="ORD-10085"/>
        <s v="ORD-10086"/>
        <s v="ORD-10087"/>
        <s v="ORD-10088"/>
        <s v="ORD-10089"/>
        <s v="ORD-10090"/>
        <s v="ORD-10091"/>
        <s v="ORD-10092"/>
        <s v="ORD-10093"/>
        <s v="ORD-10094"/>
        <s v="ORD-10095"/>
        <s v="ORD-10096"/>
        <s v="ORD-10097"/>
        <s v="ORD-10098"/>
        <s v="ORD-10099"/>
        <s v="ORD-10100"/>
        <s v="ORD-10101"/>
        <s v="ORD-10102"/>
        <s v="ORD-10103"/>
        <s v="ORD-10104"/>
        <s v="ORD-10105"/>
        <s v="ORD-10106"/>
        <s v="ORD-10107"/>
        <s v="ORD-10108"/>
        <s v="ORD-10109"/>
        <s v="ORD-10110"/>
        <s v="ORD-10111"/>
        <s v="ORD-10112"/>
        <s v="ORD-10113"/>
        <s v="ORD-10114"/>
        <s v="ORD-10115"/>
        <s v="ORD-10116"/>
        <s v="ORD-10117"/>
        <s v="ORD-10118"/>
        <s v="ORD-10119"/>
        <s v="ORD-10120"/>
        <s v="ORD-10121"/>
        <s v="ORD-10122"/>
        <s v="ORD-10123"/>
        <s v="ORD-10124"/>
        <s v="ORD-10125"/>
        <s v="ORD-10126"/>
        <s v="ORD-10127"/>
        <s v="ORD-10128"/>
        <s v="ORD-10129"/>
        <s v="ORD-10130"/>
        <s v="ORD-10131"/>
        <s v="ORD-10132"/>
        <s v="ORD-10133"/>
        <s v="ORD-10134"/>
        <s v="ORD-10135"/>
        <s v="ORD-10136"/>
        <s v="ORD-10137"/>
        <s v="ORD-10138"/>
        <s v="ORD-10139"/>
        <s v="ORD-10140"/>
        <s v="ORD-10141"/>
        <s v="ORD-10142"/>
        <s v="ORD-10143"/>
        <s v="ORD-10144"/>
        <s v="ORD-10145"/>
        <s v="ORD-10146"/>
        <s v="ORD-10147"/>
        <s v="ORD-10148"/>
        <s v="ORD-10149"/>
        <s v="ORD-10150"/>
        <s v="ORD-10151"/>
        <s v="ORD-10152"/>
        <s v="ORD-10153"/>
        <s v="ORD-10154"/>
        <s v="ORD-10155"/>
        <s v="ORD-10156"/>
        <s v="ORD-10157"/>
        <s v="ORD-10158"/>
        <s v="ORD-10159"/>
        <s v="ORD-10160"/>
        <s v="ORD-10161"/>
        <s v="ORD-10162"/>
        <s v="ORD-10163"/>
        <s v="ORD-10164"/>
        <s v="ORD-10165"/>
        <s v="ORD-10166"/>
        <s v="ORD-10167"/>
        <s v="ORD-10168"/>
        <s v="ORD-10169"/>
        <s v="ORD-10170"/>
        <s v="ORD-10171"/>
        <s v="ORD-10172"/>
        <s v="ORD-10173"/>
        <s v="ORD-10174"/>
        <s v="ORD-10175"/>
        <s v="ORD-10176"/>
        <s v="ORD-10177"/>
        <s v="ORD-10178"/>
        <s v="ORD-10179"/>
        <s v="ORD-10180"/>
        <s v="ORD-10181"/>
        <s v="ORD-10182"/>
        <s v="ORD-10183"/>
        <s v="ORD-10184"/>
        <s v="ORD-10185"/>
        <s v="ORD-10186"/>
        <s v="ORD-10187"/>
        <s v="ORD-10188"/>
        <s v="ORD-10189"/>
        <s v="ORD-10190"/>
        <s v="ORD-10191"/>
        <s v="ORD-10192"/>
        <s v="ORD-10193"/>
        <s v="ORD-10194"/>
        <s v="ORD-10195"/>
        <s v="ORD-10196"/>
        <s v="ORD-10197"/>
        <s v="ORD-10198"/>
        <s v="ORD-10199"/>
        <s v="ORD-10200"/>
        <s v="ORD-10201"/>
        <s v="ORD-10202"/>
        <s v="ORD-10203"/>
        <s v="ORD-10204"/>
        <s v="ORD-10205"/>
        <s v="ORD-10206"/>
        <s v="ORD-10207"/>
        <s v="ORD-10208"/>
        <s v="ORD-10209"/>
        <s v="ORD-10210"/>
        <s v="ORD-10211"/>
        <s v="ORD-10212"/>
        <s v="ORD-10213"/>
        <s v="ORD-10214"/>
        <s v="ORD-10215"/>
        <s v="ORD-10216"/>
        <s v="ORD-10217"/>
        <s v="ORD-10218"/>
        <s v="ORD-10219"/>
        <s v="ORD-10220"/>
        <s v="ORD-10221"/>
        <s v="ORD-10222"/>
        <s v="ORD-10223"/>
        <s v="ORD-10224"/>
        <s v="ORD-10225"/>
        <s v="ORD-10226"/>
        <s v="ORD-10227"/>
        <s v="ORD-10228"/>
        <s v="ORD-10229"/>
        <s v="ORD-10230"/>
        <s v="ORD-10231"/>
        <s v="ORD-10232"/>
        <s v="ORD-10233"/>
        <s v="ORD-10234"/>
        <s v="ORD-10235"/>
        <s v="ORD-10236"/>
        <s v="ORD-10237"/>
        <s v="ORD-10238"/>
        <s v="ORD-10239"/>
        <s v="ORD-10240"/>
        <s v="ORD-10241"/>
        <s v="ORD-10242"/>
        <s v="ORD-10243"/>
        <s v="ORD-10244"/>
        <s v="ORD-10245"/>
        <s v="ORD-10246"/>
        <s v="ORD-10247"/>
        <s v="ORD-10248"/>
        <s v="ORD-10249"/>
        <s v="ORD-10250"/>
        <s v="ORD-10251"/>
        <s v="ORD-10252"/>
        <s v="ORD-10253"/>
        <s v="ORD-10254"/>
        <s v="ORD-10255"/>
        <s v="ORD-10256"/>
        <s v="ORD-10257"/>
        <s v="ORD-10258"/>
        <s v="ORD-10259"/>
        <s v="ORD-10260"/>
        <s v="ORD-10261"/>
        <s v="ORD-10262"/>
        <s v="ORD-10263"/>
        <s v="ORD-10264"/>
        <s v="ORD-10265"/>
        <s v="ORD-10266"/>
        <s v="ORD-10267"/>
        <s v="ORD-10268"/>
        <s v="ORD-10269"/>
        <s v="ORD-10270"/>
        <s v="ORD-10271"/>
        <s v="ORD-10272"/>
        <s v="ORD-10273"/>
        <s v="ORD-10274"/>
        <s v="ORD-10275"/>
        <s v="ORD-10276"/>
        <s v="ORD-10277"/>
        <s v="ORD-10278"/>
        <s v="ORD-10279"/>
        <s v="ORD-10280"/>
        <s v="ORD-10281"/>
        <s v="ORD-10282"/>
        <s v="ORD-10283"/>
        <s v="ORD-10284"/>
        <s v="ORD-10285"/>
        <s v="ORD-10286"/>
        <s v="ORD-10287"/>
        <s v="ORD-10288"/>
        <s v="ORD-10289"/>
        <s v="ORD-10290"/>
        <s v="ORD-10291"/>
        <s v="ORD-10292"/>
        <s v="ORD-10293"/>
        <s v="ORD-10294"/>
        <s v="ORD-10295"/>
        <s v="ORD-10296"/>
        <s v="ORD-10297"/>
        <s v="ORD-10298"/>
        <s v="ORD-10299"/>
        <s v="ORD-10300"/>
      </sharedItems>
    </cacheField>
    <cacheField name="OrderDate" numFmtId="164">
      <sharedItems containsSemiMixedTypes="0" containsNonDate="0" containsDate="1" containsString="0" minDate="2023-01-02T00:00:00" maxDate="2025-07-01T00:00:00" count="251">
        <d v="2024-03-08T00:00:00"/>
        <d v="2024-04-04T00:00:00"/>
        <d v="2023-04-05T00:00:00"/>
        <d v="2024-07-19T00:00:00"/>
        <d v="2025-06-06T00:00:00"/>
        <d v="2024-11-30T00:00:00"/>
        <d v="2023-11-29T00:00:00"/>
        <d v="2024-11-02T00:00:00"/>
        <d v="2024-08-21T00:00:00"/>
        <d v="2024-10-04T00:00:00"/>
        <d v="2025-01-08T00:00:00"/>
        <d v="2025-02-19T00:00:00"/>
        <d v="2023-11-28T00:00:00"/>
        <d v="2025-01-19T00:00:00"/>
        <d v="2024-07-06T00:00:00"/>
        <d v="2023-03-07T00:00:00"/>
        <d v="2023-02-02T00:00:00"/>
        <d v="2025-03-14T00:00:00"/>
        <d v="2023-02-25T00:00:00"/>
        <d v="2024-10-29T00:00:00"/>
        <d v="2024-01-24T00:00:00"/>
        <d v="2023-07-14T00:00:00"/>
        <d v="2025-05-23T00:00:00"/>
        <d v="2025-06-30T00:00:00"/>
        <d v="2024-02-10T00:00:00"/>
        <d v="2024-07-04T00:00:00"/>
        <d v="2025-04-06T00:00:00"/>
        <d v="2023-10-16T00:00:00"/>
        <d v="2024-10-11T00:00:00"/>
        <d v="2024-03-28T00:00:00"/>
        <d v="2023-05-11T00:00:00"/>
        <d v="2025-06-24T00:00:00"/>
        <d v="2025-04-01T00:00:00"/>
        <d v="2025-04-16T00:00:00"/>
        <d v="2025-03-02T00:00:00"/>
        <d v="2023-09-29T00:00:00"/>
        <d v="2023-11-18T00:00:00"/>
        <d v="2024-03-06T00:00:00"/>
        <d v="2025-04-18T00:00:00"/>
        <d v="2024-02-29T00:00:00"/>
        <d v="2023-08-13T00:00:00"/>
        <d v="2024-09-19T00:00:00"/>
        <d v="2024-05-11T00:00:00"/>
        <d v="2023-06-04T00:00:00"/>
        <d v="2023-03-05T00:00:00"/>
        <d v="2025-02-10T00:00:00"/>
        <d v="2024-11-26T00:00:00"/>
        <d v="2024-03-14T00:00:00"/>
        <d v="2023-10-12T00:00:00"/>
        <d v="2024-10-27T00:00:00"/>
        <d v="2023-04-28T00:00:00"/>
        <d v="2023-11-15T00:00:00"/>
        <d v="2024-12-14T00:00:00"/>
        <d v="2025-05-19T00:00:00"/>
        <d v="2023-06-30T00:00:00"/>
        <d v="2025-06-21T00:00:00"/>
        <d v="2023-08-06T00:00:00"/>
        <d v="2025-01-07T00:00:00"/>
        <d v="2023-10-29T00:00:00"/>
        <d v="2024-12-20T00:00:00"/>
        <d v="2023-08-10T00:00:00"/>
        <d v="2024-06-30T00:00:00"/>
        <d v="2025-06-12T00:00:00"/>
        <d v="2025-04-21T00:00:00"/>
        <d v="2023-09-12T00:00:00"/>
        <d v="2024-08-05T00:00:00"/>
        <d v="2023-03-18T00:00:00"/>
        <d v="2025-05-30T00:00:00"/>
        <d v="2025-04-26T00:00:00"/>
        <d v="2023-05-08T00:00:00"/>
        <d v="2023-11-27T00:00:00"/>
        <d v="2024-04-26T00:00:00"/>
        <d v="2024-02-23T00:00:00"/>
        <d v="2023-02-07T00:00:00"/>
        <d v="2025-06-09T00:00:00"/>
        <d v="2023-10-01T00:00:00"/>
        <d v="2023-06-12T00:00:00"/>
        <d v="2025-01-03T00:00:00"/>
        <d v="2024-06-04T00:00:00"/>
        <d v="2024-08-16T00:00:00"/>
        <d v="2023-11-26T00:00:00"/>
        <d v="2024-11-10T00:00:00"/>
        <d v="2025-01-09T00:00:00"/>
        <d v="2025-05-22T00:00:00"/>
        <d v="2025-02-03T00:00:00"/>
        <d v="2023-06-29T00:00:00"/>
        <d v="2023-01-10T00:00:00"/>
        <d v="2023-09-14T00:00:00"/>
        <d v="2023-10-30T00:00:00"/>
        <d v="2024-09-13T00:00:00"/>
        <d v="2023-04-10T00:00:00"/>
        <d v="2024-03-01T00:00:00"/>
        <d v="2025-04-24T00:00:00"/>
        <d v="2024-01-10T00:00:00"/>
        <d v="2024-01-26T00:00:00"/>
        <d v="2023-03-06T00:00:00"/>
        <d v="2025-01-30T00:00:00"/>
        <d v="2023-08-30T00:00:00"/>
        <d v="2023-04-04T00:00:00"/>
        <d v="2023-06-28T00:00:00"/>
        <d v="2024-06-09T00:00:00"/>
        <d v="2024-10-20T00:00:00"/>
        <d v="2023-03-24T00:00:00"/>
        <d v="2024-09-03T00:00:00"/>
        <d v="2024-04-07T00:00:00"/>
        <d v="2023-09-19T00:00:00"/>
        <d v="2024-07-23T00:00:00"/>
        <d v="2024-09-06T00:00:00"/>
        <d v="2025-05-15T00:00:00"/>
        <d v="2024-11-04T00:00:00"/>
        <d v="2023-12-16T00:00:00"/>
        <d v="2023-06-11T00:00:00"/>
        <d v="2023-04-27T00:00:00"/>
        <d v="2023-02-26T00:00:00"/>
        <d v="2024-02-11T00:00:00"/>
        <d v="2024-03-22T00:00:00"/>
        <d v="2024-06-06T00:00:00"/>
        <d v="2023-06-06T00:00:00"/>
        <d v="2023-11-20T00:00:00"/>
        <d v="2024-06-03T00:00:00"/>
        <d v="2024-08-31T00:00:00"/>
        <d v="2023-04-16T00:00:00"/>
        <d v="2024-01-17T00:00:00"/>
        <d v="2024-11-25T00:00:00"/>
        <d v="2024-11-17T00:00:00"/>
        <d v="2023-08-20T00:00:00"/>
        <d v="2023-12-11T00:00:00"/>
        <d v="2024-03-24T00:00:00"/>
        <d v="2025-03-07T00:00:00"/>
        <d v="2023-08-16T00:00:00"/>
        <d v="2023-08-18T00:00:00"/>
        <d v="2025-05-01T00:00:00"/>
        <d v="2025-01-14T00:00:00"/>
        <d v="2023-04-24T00:00:00"/>
        <d v="2024-03-02T00:00:00"/>
        <d v="2023-09-17T00:00:00"/>
        <d v="2023-02-15T00:00:00"/>
        <d v="2024-02-12T00:00:00"/>
        <d v="2025-03-27T00:00:00"/>
        <d v="2024-04-02T00:00:00"/>
        <d v="2023-05-27T00:00:00"/>
        <d v="2023-06-07T00:00:00"/>
        <d v="2023-10-13T00:00:00"/>
        <d v="2025-03-04T00:00:00"/>
        <d v="2023-12-22T00:00:00"/>
        <d v="2023-08-31T00:00:00"/>
        <d v="2023-11-13T00:00:00"/>
        <d v="2024-11-27T00:00:00"/>
        <d v="2024-08-17T00:00:00"/>
        <d v="2023-08-04T00:00:00"/>
        <d v="2024-04-09T00:00:00"/>
        <d v="2025-06-01T00:00:00"/>
        <d v="2025-06-05T00:00:00"/>
        <d v="2023-01-24T00:00:00"/>
        <d v="2025-06-22T00:00:00"/>
        <d v="2023-02-16T00:00:00"/>
        <d v="2024-09-08T00:00:00"/>
        <d v="2024-09-12T00:00:00"/>
        <d v="2025-04-28T00:00:00"/>
        <d v="2024-05-28T00:00:00"/>
        <d v="2023-06-27T00:00:00"/>
        <d v="2023-11-02T00:00:00"/>
        <d v="2025-03-25T00:00:00"/>
        <d v="2023-02-13T00:00:00"/>
        <d v="2024-12-13T00:00:00"/>
        <d v="2023-08-27T00:00:00"/>
        <d v="2024-10-30T00:00:00"/>
        <d v="2024-08-10T00:00:00"/>
        <d v="2025-02-05T00:00:00"/>
        <d v="2025-05-21T00:00:00"/>
        <d v="2025-01-24T00:00:00"/>
        <d v="2023-05-24T00:00:00"/>
        <d v="2024-08-19T00:00:00"/>
        <d v="2024-12-03T00:00:00"/>
        <d v="2023-03-01T00:00:00"/>
        <d v="2023-12-19T00:00:00"/>
        <d v="2024-01-27T00:00:00"/>
        <d v="2023-09-11T00:00:00"/>
        <d v="2025-02-23T00:00:00"/>
        <d v="2025-01-28T00:00:00"/>
        <d v="2025-04-15T00:00:00"/>
        <d v="2024-07-24T00:00:00"/>
        <d v="2025-05-28T00:00:00"/>
        <d v="2023-07-28T00:00:00"/>
        <d v="2024-11-20T00:00:00"/>
        <d v="2023-08-05T00:00:00"/>
        <d v="2024-04-22T00:00:00"/>
        <d v="2025-02-20T00:00:00"/>
        <d v="2024-10-19T00:00:00"/>
        <d v="2024-12-25T00:00:00"/>
        <d v="2024-05-14T00:00:00"/>
        <d v="2024-05-29T00:00:00"/>
        <d v="2025-04-27T00:00:00"/>
        <d v="2023-06-25T00:00:00"/>
        <d v="2023-08-01T00:00:00"/>
        <d v="2024-07-07T00:00:00"/>
        <d v="2023-08-26T00:00:00"/>
        <d v="2023-12-31T00:00:00"/>
        <d v="2023-03-17T00:00:00"/>
        <d v="2023-11-12T00:00:00"/>
        <d v="2023-01-27T00:00:00"/>
        <d v="2024-07-26T00:00:00"/>
        <d v="2024-03-21T00:00:00"/>
        <d v="2024-09-23T00:00:00"/>
        <d v="2024-03-26T00:00:00"/>
        <d v="2025-02-26T00:00:00"/>
        <d v="2025-03-26T00:00:00"/>
        <d v="2024-01-19T00:00:00"/>
        <d v="2025-03-30T00:00:00"/>
        <d v="2024-10-06T00:00:00"/>
        <d v="2023-01-05T00:00:00"/>
        <d v="2023-11-30T00:00:00"/>
        <d v="2024-02-06T00:00:00"/>
        <d v="2023-05-18T00:00:00"/>
        <d v="2024-09-02T00:00:00"/>
        <d v="2023-06-20T00:00:00"/>
        <d v="2023-05-20T00:00:00"/>
        <d v="2024-08-01T00:00:00"/>
        <d v="2023-08-12T00:00:00"/>
        <d v="2025-04-13T00:00:00"/>
        <d v="2024-08-09T00:00:00"/>
        <d v="2023-05-30T00:00:00"/>
        <d v="2023-03-19T00:00:00"/>
        <d v="2023-04-06T00:00:00"/>
        <d v="2024-10-03T00:00:00"/>
        <d v="2023-05-16T00:00:00"/>
        <d v="2024-08-30T00:00:00"/>
        <d v="2023-03-14T00:00:00"/>
        <d v="2025-03-03T00:00:00"/>
        <d v="2024-03-15T00:00:00"/>
        <d v="2023-01-28T00:00:00"/>
        <d v="2024-01-31T00:00:00"/>
        <d v="2024-08-24T00:00:00"/>
        <d v="2024-12-30T00:00:00"/>
        <d v="2024-07-03T00:00:00"/>
        <d v="2024-03-20T00:00:00"/>
        <d v="2024-05-23T00:00:00"/>
        <d v="2023-12-10T00:00:00"/>
        <d v="2023-02-17T00:00:00"/>
        <d v="2023-08-17T00:00:00"/>
        <d v="2024-01-13T00:00:00"/>
        <d v="2024-07-13T00:00:00"/>
        <d v="2023-01-02T00:00:00"/>
        <d v="2023-10-14T00:00:00"/>
        <d v="2023-04-08T00:00:00"/>
        <d v="2023-04-22T00:00:00"/>
        <d v="2025-05-05T00:00:00"/>
        <d v="2025-04-19T00:00:00"/>
        <d v="2023-01-13T00:00:00"/>
        <d v="2024-08-23T00:00:00"/>
        <d v="2023-12-29T00:00:00"/>
      </sharedItems>
      <fieldGroup par="16"/>
    </cacheField>
    <cacheField name="Region" numFmtId="0">
      <sharedItems count="4">
        <s v="North"/>
        <s v="East"/>
        <s v="West"/>
        <s v="South"/>
      </sharedItems>
    </cacheField>
    <cacheField name="City" numFmtId="0">
      <sharedItems/>
    </cacheField>
    <cacheField name="Category" numFmtId="0">
      <sharedItems count="4">
        <s v="Office Supplies"/>
        <s v="Electronics"/>
        <s v="Furniture"/>
        <s v="Clothing"/>
      </sharedItems>
    </cacheField>
    <cacheField name="Product" numFmtId="0">
      <sharedItems count="24">
        <s v="Pen Set Premium"/>
        <s v="Wireless Mouse"/>
        <s v="Desk Lamp"/>
        <s v="Stapler Heavy"/>
        <s v="Binder A4"/>
        <s v="Standing Desk"/>
        <s v="USB-C Hub"/>
        <s v="Business Jacket"/>
        <s v="Monitor 27&quot;"/>
        <s v="Notebook Pack"/>
        <s v="Printer Paper"/>
        <s v="Belt Leather"/>
        <s v="Filing Cabinet"/>
        <s v="Bookshelf Oak"/>
        <s v="Ergo Chair"/>
        <s v="Keyboard Mech"/>
        <s v="Casual Trousers"/>
        <s v="Laptop Pro 15"/>
        <s v="Polo Shirt"/>
        <s v="Sneakers Pro"/>
        <s v="Backpack Work"/>
        <s v="Conference Table"/>
        <s v="Sticky Notes"/>
        <s v="Webcam HD"/>
      </sharedItems>
    </cacheField>
    <cacheField name="Salesperson" numFmtId="0">
      <sharedItems count="8">
        <s v="Diana Patel"/>
        <s v="Gabriel Soto"/>
        <s v="Ethan Brooks"/>
        <s v="Brian Lee"/>
        <s v="Fatima Noor"/>
        <s v="Hana Kim"/>
        <s v="Carlos Rivera"/>
        <s v="Aisha Khan"/>
      </sharedItems>
    </cacheField>
    <cacheField name="Quantity" numFmtId="1">
      <sharedItems containsSemiMixedTypes="0" containsString="0" containsNumber="1" containsInteger="1" minValue="1" maxValue="25"/>
    </cacheField>
    <cacheField name="UnitPrice" numFmtId="165">
      <sharedItems containsSemiMixedTypes="0" containsString="0" containsNumber="1" minValue="5.74" maxValue="1294.08"/>
    </cacheField>
    <cacheField name="Revenue" numFmtId="165">
      <sharedItems containsSemiMixedTypes="0" containsString="0" containsNumber="1" minValue="11" maxValue="29757.599999999999" count="300">
        <n v="297.5"/>
        <n v="13497.32"/>
        <n v="3375.35"/>
        <n v="118"/>
        <n v="1242.48"/>
        <n v="194.34"/>
        <n v="3904.68"/>
        <n v="1025.82"/>
        <n v="382.35"/>
        <n v="705.84"/>
        <n v="25881.599999999999"/>
        <n v="233.8"/>
        <n v="163.30000000000001"/>
        <n v="828"/>
        <n v="3859.2"/>
        <n v="3390.15"/>
        <n v="137.21"/>
        <n v="3648.19"/>
        <n v="9514.1200000000008"/>
        <n v="307.72000000000003"/>
        <n v="3075.6"/>
        <n v="7579.36"/>
        <n v="791.56"/>
        <n v="10271.040000000001"/>
        <n v="2324.6"/>
        <n v="2602.8000000000002"/>
        <n v="124.94"/>
        <n v="3056.08"/>
        <n v="4636.16"/>
        <n v="8153.2"/>
        <n v="4900"/>
        <n v="1362.78"/>
        <n v="388.29"/>
        <n v="1390.48"/>
        <n v="10324.34"/>
        <n v="53.84"/>
        <n v="46.4"/>
        <n v="2223.48"/>
        <n v="1425.12"/>
        <n v="382.47"/>
        <n v="262.2"/>
        <n v="867.02"/>
        <n v="116.9"/>
        <n v="851.15"/>
        <n v="2436.96"/>
        <n v="4373.1000000000004"/>
        <n v="657.76"/>
        <n v="1257.57"/>
        <n v="3795.75"/>
        <n v="3927.51"/>
        <n v="2022.02"/>
        <n v="4516.59"/>
        <n v="17148.48"/>
        <n v="818.47"/>
        <n v="998.6"/>
        <n v="970.71"/>
        <n v="11005.5"/>
        <n v="24389.61"/>
        <n v="2365.44"/>
        <n v="292.16000000000003"/>
        <n v="103.32"/>
        <n v="13916.91"/>
        <n v="8525.6"/>
        <n v="233.48"/>
        <n v="218.3"/>
        <n v="28245.15"/>
        <n v="684.31"/>
        <n v="270.8"/>
        <n v="12359.55"/>
        <n v="5584.95"/>
        <n v="274.60000000000002"/>
        <n v="2423.6799999999998"/>
        <n v="19608.400000000001"/>
        <n v="576.15"/>
        <n v="22078"/>
        <n v="15680.28"/>
        <n v="12743.78"/>
        <n v="307.16000000000003"/>
        <n v="19798.400000000001"/>
        <n v="106.4"/>
        <n v="502.68"/>
        <n v="996.8"/>
        <n v="420.92"/>
        <n v="1153.44"/>
        <n v="185.72"/>
        <n v="4557.3999999999996"/>
        <n v="3209.58"/>
        <n v="713.2"/>
        <n v="3616.65"/>
        <n v="115.3"/>
        <n v="3657.12"/>
        <n v="10666.44"/>
        <n v="1094.04"/>
        <n v="1202.8"/>
        <n v="15368.54"/>
        <n v="1201.92"/>
        <n v="8337.99"/>
        <n v="46.23"/>
        <n v="7465.95"/>
        <n v="16081.4"/>
        <n v="473.38"/>
        <n v="5223.0200000000004"/>
        <n v="643.59"/>
        <n v="68.92"/>
        <n v="5143.3500000000004"/>
        <n v="7046.01"/>
        <n v="12389.88"/>
        <n v="2927.23"/>
        <n v="17310"/>
        <n v="983.62"/>
        <n v="16667.400000000001"/>
        <n v="3550.26"/>
        <n v="825.86"/>
        <n v="124.02"/>
        <n v="26934.38"/>
        <n v="4316.95"/>
        <n v="945.56"/>
        <n v="4035.24"/>
        <n v="2072.4299999999998"/>
        <n v="1866.5"/>
        <n v="798.72"/>
        <n v="14902.03"/>
        <n v="597.5"/>
        <n v="9131.5499999999993"/>
        <n v="8366.93"/>
        <n v="1680.38"/>
        <n v="770.16"/>
        <n v="100.8"/>
        <n v="5095.8599999999997"/>
        <n v="8699.67"/>
        <n v="208.86"/>
        <n v="8775.25"/>
        <n v="10073.08"/>
        <n v="3532.83"/>
        <n v="121.22"/>
        <n v="21727.02"/>
        <n v="7422.18"/>
        <n v="17140.080000000002"/>
        <n v="16359.9"/>
        <n v="752.7"/>
        <n v="5211.58"/>
        <n v="1096.1099999999999"/>
        <n v="17682.45"/>
        <n v="8671.52"/>
        <n v="1023.05"/>
        <n v="73.02"/>
        <n v="34.08"/>
        <n v="4309.8"/>
        <n v="905.19"/>
        <n v="20732.64"/>
        <n v="10842.2"/>
        <n v="493.85"/>
        <n v="4829.8999999999996"/>
        <n v="1269.19"/>
        <n v="4957.6000000000004"/>
        <n v="1162"/>
        <n v="521.1"/>
        <n v="15200.75"/>
        <n v="288.42"/>
        <n v="10992.16"/>
        <n v="19101.73"/>
        <n v="2230.86"/>
        <n v="511.68"/>
        <n v="967.05"/>
        <n v="1213.3499999999999"/>
        <n v="14038.26"/>
        <n v="10271.280000000001"/>
        <n v="10329"/>
        <n v="11"/>
        <n v="5020.47"/>
        <n v="7357.44"/>
        <n v="2526.37"/>
        <n v="8542.2000000000007"/>
        <n v="1259.2"/>
        <n v="1915.39"/>
        <n v="5749.2"/>
        <n v="1187.43"/>
        <n v="8116.68"/>
        <n v="10410.26"/>
        <n v="1194.2"/>
        <n v="1917.3"/>
        <n v="210.96"/>
        <n v="6421.05"/>
        <n v="6219.72"/>
        <n v="816.4"/>
        <n v="1314.91"/>
        <n v="13890.76"/>
        <n v="970.8"/>
        <n v="755.28"/>
        <n v="703.96"/>
        <n v="6086.4"/>
        <n v="1793.36"/>
        <n v="4302.1000000000004"/>
        <n v="4071.12"/>
        <n v="7021.42"/>
        <n v="3537.69"/>
        <n v="108.82"/>
        <n v="606.72"/>
        <n v="1916.5"/>
        <n v="13509.38"/>
        <n v="1210.8"/>
        <n v="976.42"/>
        <n v="5488.5"/>
        <n v="4557"/>
        <n v="20735.66"/>
        <n v="16960.8"/>
        <n v="2130.6"/>
        <n v="5444.75"/>
        <n v="11141.46"/>
        <n v="3648.33"/>
        <n v="1120"/>
        <n v="10320.66"/>
        <n v="3346.74"/>
        <n v="4004.64"/>
        <n v="2984.28"/>
        <n v="184.35"/>
        <n v="1281.8399999999999"/>
        <n v="8488.48"/>
        <n v="312.24"/>
        <n v="952.25"/>
        <n v="1542.84"/>
        <n v="3151.46"/>
        <n v="2188.4"/>
        <n v="436.81"/>
        <n v="9507.81"/>
        <n v="4632.3900000000003"/>
        <n v="13411.62"/>
        <n v="6367.85"/>
        <n v="11734.59"/>
        <n v="1734.18"/>
        <n v="2136.54"/>
        <n v="9563.76"/>
        <n v="56.58"/>
        <n v="593.45000000000005"/>
        <n v="800.55"/>
        <n v="283.44"/>
        <n v="1234.06"/>
        <n v="17115.400000000001"/>
        <n v="1167.21"/>
        <n v="6808.92"/>
        <n v="360.8"/>
        <n v="2168.04"/>
        <n v="16825.64"/>
        <n v="5424.32"/>
        <n v="2635.68"/>
        <n v="304.92"/>
        <n v="4048.69"/>
        <n v="5918.88"/>
        <n v="3855.12"/>
        <n v="237.88"/>
        <n v="21347.75"/>
        <n v="1259.28"/>
        <n v="2310.66"/>
        <n v="3004.26"/>
        <n v="8803.7999999999993"/>
        <n v="2556.6799999999998"/>
        <n v="358.24"/>
        <n v="19330.02"/>
        <n v="4417.6499999999996"/>
        <n v="13326.43"/>
        <n v="897.2"/>
        <n v="7109.82"/>
        <n v="3131.58"/>
        <n v="1129.8"/>
        <n v="8809.85"/>
        <n v="8934.31"/>
        <n v="462.75"/>
        <n v="99.81"/>
        <n v="961.17"/>
        <n v="5135.88"/>
        <n v="1710.56"/>
        <n v="17097.400000000001"/>
        <n v="208.2"/>
        <n v="4262.32"/>
        <n v="6088.6"/>
        <n v="3799.84"/>
        <n v="996.25"/>
        <n v="150.4"/>
        <n v="352.17"/>
        <n v="29757.599999999999"/>
        <n v="184.24"/>
        <n v="17268.48"/>
        <n v="9722.24"/>
        <n v="478.56"/>
        <n v="293.2"/>
        <n v="619.02"/>
        <n v="27552.75"/>
        <n v="483.75"/>
        <n v="5737.76"/>
        <n v="9161.32"/>
        <n v="18707.509999999998"/>
        <n v="12188.96"/>
        <n v="200.52"/>
        <n v="4535.74"/>
        <n v="9152.8799999999992"/>
        <n v="6393.96"/>
        <n v="503.2"/>
        <n v="7701"/>
        <n v="12446.91"/>
        <n v="9669.6"/>
      </sharedItems>
    </cacheField>
    <cacheField name="Cost" numFmtId="165">
      <sharedItems containsSemiMixedTypes="0" containsString="0" containsNumber="1" minValue="7.65" maxValue="17087.810000000001"/>
    </cacheField>
    <cacheField name="Profit" numFmtId="165">
      <sharedItems containsSemiMixedTypes="0" containsString="0" containsNumber="1" minValue="3.35" maxValue="15200.04"/>
    </cacheField>
    <cacheField name="CustomerType" numFmtId="0">
      <sharedItems count="2">
        <s v="B2B"/>
        <s v="B2C"/>
      </sharedItems>
    </cacheField>
    <cacheField name="Channel" numFmtId="0">
      <sharedItems count="3">
        <s v="Partner"/>
        <s v="Online"/>
        <s v="Retail"/>
      </sharedItems>
    </cacheField>
    <cacheField name="Months (OrderDate)" numFmtId="0" databaseField="0">
      <fieldGroup base="1">
        <rangePr groupBy="months" startDate="2023-01-02T00:00:00" endDate="2025-07-01T00:00:00"/>
        <groupItems count="14">
          <s v="&lt;02-01-2023"/>
          <s v="Jan"/>
          <s v="Feb"/>
          <s v="Mar"/>
          <s v="Apr"/>
          <s v="May"/>
          <s v="Jun"/>
          <s v="Jul"/>
          <s v="Aug"/>
          <s v="Sep"/>
          <s v="Oct"/>
          <s v="Nov"/>
          <s v="Dec"/>
          <s v="&gt;01-07-2025"/>
        </groupItems>
      </fieldGroup>
    </cacheField>
    <cacheField name="Quarters (OrderDate)" numFmtId="0" databaseField="0">
      <fieldGroup base="1">
        <rangePr groupBy="quarters" startDate="2023-01-02T00:00:00" endDate="2025-07-01T00:00:00"/>
        <groupItems count="6">
          <s v="&lt;02-01-2023"/>
          <s v="Qtr1"/>
          <s v="Qtr2"/>
          <s v="Qtr3"/>
          <s v="Qtr4"/>
          <s v="&gt;01-07-2025"/>
        </groupItems>
      </fieldGroup>
    </cacheField>
    <cacheField name="Years (OrderDate)" numFmtId="0" databaseField="0">
      <fieldGroup base="1">
        <rangePr groupBy="years" startDate="2023-01-02T00:00:00" endDate="2025-07-01T00:00:00"/>
        <groupItems count="5">
          <s v="&lt;02-01-2023"/>
          <s v="2023"/>
          <s v="2024"/>
          <s v="2025"/>
          <s v="&gt;01-07-2025"/>
        </groupItems>
      </fieldGroup>
    </cacheField>
    <cacheField name="ProfitMargin%" numFmtId="0" formula="Profit /Revenue" databaseField="0"/>
  </cacheFields>
  <extLst>
    <ext xmlns:x14="http://schemas.microsoft.com/office/spreadsheetml/2009/9/main" uri="{725AE2AE-9491-48be-B2B4-4EB974FC3084}">
      <x14:pivotCacheDefinition pivotCacheId="3482653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x v="0"/>
    <s v="Chicago"/>
    <x v="0"/>
    <x v="0"/>
    <x v="0"/>
    <n v="5"/>
    <n v="59.5"/>
    <x v="0"/>
    <n v="183.33"/>
    <n v="114.17"/>
    <x v="0"/>
    <x v="0"/>
  </r>
  <r>
    <x v="1"/>
    <x v="1"/>
    <x v="0"/>
    <s v="Chicago"/>
    <x v="1"/>
    <x v="1"/>
    <x v="0"/>
    <n v="17"/>
    <n v="793.96"/>
    <x v="1"/>
    <n v="7865.71"/>
    <n v="5631.61"/>
    <x v="1"/>
    <x v="1"/>
  </r>
  <r>
    <x v="2"/>
    <x v="2"/>
    <x v="1"/>
    <s v="New York"/>
    <x v="2"/>
    <x v="2"/>
    <x v="1"/>
    <n v="11"/>
    <n v="306.85000000000002"/>
    <x v="2"/>
    <n v="1628.41"/>
    <n v="1746.94"/>
    <x v="1"/>
    <x v="1"/>
  </r>
  <r>
    <x v="3"/>
    <x v="3"/>
    <x v="2"/>
    <s v="Los Angeles"/>
    <x v="0"/>
    <x v="3"/>
    <x v="2"/>
    <n v="2"/>
    <n v="59"/>
    <x v="3"/>
    <n v="67.91"/>
    <n v="50.09"/>
    <x v="1"/>
    <x v="1"/>
  </r>
  <r>
    <x v="4"/>
    <x v="4"/>
    <x v="1"/>
    <s v="Philadelphia"/>
    <x v="2"/>
    <x v="2"/>
    <x v="3"/>
    <n v="2"/>
    <n v="621.24"/>
    <x v="4"/>
    <n v="800.39"/>
    <n v="442.09"/>
    <x v="0"/>
    <x v="1"/>
  </r>
  <r>
    <x v="5"/>
    <x v="5"/>
    <x v="0"/>
    <s v="Milwaukee"/>
    <x v="0"/>
    <x v="4"/>
    <x v="4"/>
    <n v="6"/>
    <n v="32.39"/>
    <x v="5"/>
    <n v="93.43"/>
    <n v="100.91"/>
    <x v="1"/>
    <x v="0"/>
  </r>
  <r>
    <x v="6"/>
    <x v="6"/>
    <x v="0"/>
    <s v="Detroit"/>
    <x v="2"/>
    <x v="5"/>
    <x v="5"/>
    <n v="13"/>
    <n v="300.36"/>
    <x v="6"/>
    <n v="2687.84"/>
    <n v="1216.8399999999999"/>
    <x v="0"/>
    <x v="0"/>
  </r>
  <r>
    <x v="7"/>
    <x v="7"/>
    <x v="0"/>
    <s v="Detroit"/>
    <x v="1"/>
    <x v="6"/>
    <x v="1"/>
    <n v="9"/>
    <n v="113.98"/>
    <x v="7"/>
    <n v="702.49"/>
    <n v="323.33"/>
    <x v="1"/>
    <x v="1"/>
  </r>
  <r>
    <x v="8"/>
    <x v="8"/>
    <x v="2"/>
    <s v="Phoenix"/>
    <x v="3"/>
    <x v="7"/>
    <x v="2"/>
    <n v="5"/>
    <n v="76.47"/>
    <x v="8"/>
    <n v="222.83"/>
    <n v="159.52000000000001"/>
    <x v="1"/>
    <x v="0"/>
  </r>
  <r>
    <x v="9"/>
    <x v="9"/>
    <x v="2"/>
    <s v="Phoenix"/>
    <x v="0"/>
    <x v="0"/>
    <x v="6"/>
    <n v="17"/>
    <n v="41.52"/>
    <x v="9"/>
    <n v="451.16"/>
    <n v="254.68"/>
    <x v="0"/>
    <x v="1"/>
  </r>
  <r>
    <x v="10"/>
    <x v="10"/>
    <x v="3"/>
    <s v="Dallas"/>
    <x v="1"/>
    <x v="8"/>
    <x v="1"/>
    <n v="20"/>
    <n v="1294.08"/>
    <x v="10"/>
    <n v="14841.63"/>
    <n v="11039.97"/>
    <x v="0"/>
    <x v="0"/>
  </r>
  <r>
    <x v="11"/>
    <x v="11"/>
    <x v="0"/>
    <s v="Minneapolis"/>
    <x v="0"/>
    <x v="9"/>
    <x v="2"/>
    <n v="14"/>
    <n v="16.7"/>
    <x v="11"/>
    <n v="98.42"/>
    <n v="135.38"/>
    <x v="1"/>
    <x v="0"/>
  </r>
  <r>
    <x v="12"/>
    <x v="12"/>
    <x v="3"/>
    <s v="Houston"/>
    <x v="0"/>
    <x v="10"/>
    <x v="0"/>
    <n v="5"/>
    <n v="32.659999999999997"/>
    <x v="12"/>
    <n v="76.239999999999995"/>
    <n v="87.06"/>
    <x v="0"/>
    <x v="0"/>
  </r>
  <r>
    <x v="13"/>
    <x v="13"/>
    <x v="2"/>
    <s v="Los Angeles"/>
    <x v="1"/>
    <x v="6"/>
    <x v="2"/>
    <n v="8"/>
    <n v="103.5"/>
    <x v="13"/>
    <n v="558.59"/>
    <n v="269.41000000000003"/>
    <x v="0"/>
    <x v="1"/>
  </r>
  <r>
    <x v="14"/>
    <x v="14"/>
    <x v="2"/>
    <s v="Los Angeles"/>
    <x v="2"/>
    <x v="5"/>
    <x v="5"/>
    <n v="18"/>
    <n v="214.4"/>
    <x v="14"/>
    <n v="2211.42"/>
    <n v="1647.78"/>
    <x v="1"/>
    <x v="1"/>
  </r>
  <r>
    <x v="15"/>
    <x v="15"/>
    <x v="3"/>
    <s v="Miami"/>
    <x v="3"/>
    <x v="11"/>
    <x v="4"/>
    <n v="15"/>
    <n v="226.01"/>
    <x v="15"/>
    <n v="1867.74"/>
    <n v="1522.41"/>
    <x v="0"/>
    <x v="1"/>
  </r>
  <r>
    <x v="16"/>
    <x v="16"/>
    <x v="1"/>
    <s v="New York"/>
    <x v="2"/>
    <x v="12"/>
    <x v="0"/>
    <n v="1"/>
    <n v="137.21"/>
    <x v="16"/>
    <n v="82.74"/>
    <n v="54.47"/>
    <x v="0"/>
    <x v="1"/>
  </r>
  <r>
    <x v="17"/>
    <x v="17"/>
    <x v="1"/>
    <s v="New York"/>
    <x v="2"/>
    <x v="13"/>
    <x v="5"/>
    <n v="7"/>
    <n v="521.16999999999996"/>
    <x v="17"/>
    <n v="2297.5300000000002"/>
    <n v="1350.66"/>
    <x v="1"/>
    <x v="1"/>
  </r>
  <r>
    <x v="18"/>
    <x v="18"/>
    <x v="2"/>
    <s v="Phoenix"/>
    <x v="2"/>
    <x v="14"/>
    <x v="3"/>
    <n v="22"/>
    <n v="432.46"/>
    <x v="18"/>
    <n v="5164.62"/>
    <n v="4349.5"/>
    <x v="1"/>
    <x v="0"/>
  </r>
  <r>
    <x v="19"/>
    <x v="0"/>
    <x v="0"/>
    <s v="Chicago"/>
    <x v="3"/>
    <x v="11"/>
    <x v="4"/>
    <n v="4"/>
    <n v="76.930000000000007"/>
    <x v="19"/>
    <n v="146.22"/>
    <n v="161.5"/>
    <x v="1"/>
    <x v="1"/>
  </r>
  <r>
    <x v="20"/>
    <x v="19"/>
    <x v="3"/>
    <s v="Miami"/>
    <x v="3"/>
    <x v="7"/>
    <x v="3"/>
    <n v="15"/>
    <n v="205.04"/>
    <x v="20"/>
    <n v="2055.21"/>
    <n v="1020.39"/>
    <x v="0"/>
    <x v="1"/>
  </r>
  <r>
    <x v="21"/>
    <x v="20"/>
    <x v="0"/>
    <s v="Chicago"/>
    <x v="2"/>
    <x v="5"/>
    <x v="1"/>
    <n v="16"/>
    <n v="473.71"/>
    <x v="21"/>
    <n v="5083.8500000000004"/>
    <n v="2495.5100000000002"/>
    <x v="0"/>
    <x v="1"/>
  </r>
  <r>
    <x v="22"/>
    <x v="21"/>
    <x v="0"/>
    <s v="Milwaukee"/>
    <x v="0"/>
    <x v="4"/>
    <x v="2"/>
    <n v="14"/>
    <n v="56.54"/>
    <x v="22"/>
    <n v="500.14"/>
    <n v="291.42"/>
    <x v="1"/>
    <x v="1"/>
  </r>
  <r>
    <x v="23"/>
    <x v="22"/>
    <x v="1"/>
    <s v="Boston"/>
    <x v="1"/>
    <x v="15"/>
    <x v="7"/>
    <n v="24"/>
    <n v="427.96"/>
    <x v="23"/>
    <n v="4463.1899999999996"/>
    <n v="5807.85"/>
    <x v="1"/>
    <x v="0"/>
  </r>
  <r>
    <x v="24"/>
    <x v="23"/>
    <x v="3"/>
    <s v="Houston"/>
    <x v="1"/>
    <x v="1"/>
    <x v="3"/>
    <n v="20"/>
    <n v="116.23"/>
    <x v="24"/>
    <n v="1557.31"/>
    <n v="767.29"/>
    <x v="1"/>
    <x v="1"/>
  </r>
  <r>
    <x v="25"/>
    <x v="24"/>
    <x v="3"/>
    <s v="Houston"/>
    <x v="1"/>
    <x v="8"/>
    <x v="4"/>
    <n v="9"/>
    <n v="289.2"/>
    <x v="25"/>
    <n v="1633.77"/>
    <n v="969.03"/>
    <x v="0"/>
    <x v="2"/>
  </r>
  <r>
    <x v="26"/>
    <x v="25"/>
    <x v="3"/>
    <s v="Miami"/>
    <x v="3"/>
    <x v="16"/>
    <x v="3"/>
    <n v="1"/>
    <n v="124.94"/>
    <x v="26"/>
    <n v="88.65"/>
    <n v="36.29"/>
    <x v="0"/>
    <x v="1"/>
  </r>
  <r>
    <x v="27"/>
    <x v="26"/>
    <x v="3"/>
    <s v="Miami"/>
    <x v="2"/>
    <x v="13"/>
    <x v="3"/>
    <n v="8"/>
    <n v="382.01"/>
    <x v="27"/>
    <n v="1423.36"/>
    <n v="1632.72"/>
    <x v="1"/>
    <x v="0"/>
  </r>
  <r>
    <x v="28"/>
    <x v="27"/>
    <x v="0"/>
    <s v="Minneapolis"/>
    <x v="1"/>
    <x v="1"/>
    <x v="2"/>
    <n v="4"/>
    <n v="1159.04"/>
    <x v="28"/>
    <n v="2945.36"/>
    <n v="1690.8"/>
    <x v="0"/>
    <x v="2"/>
  </r>
  <r>
    <x v="29"/>
    <x v="28"/>
    <x v="3"/>
    <s v="Miami"/>
    <x v="2"/>
    <x v="2"/>
    <x v="2"/>
    <n v="17"/>
    <n v="479.6"/>
    <x v="29"/>
    <n v="5564.95"/>
    <n v="2588.25"/>
    <x v="0"/>
    <x v="1"/>
  </r>
  <r>
    <x v="30"/>
    <x v="29"/>
    <x v="2"/>
    <s v="San Francisco"/>
    <x v="1"/>
    <x v="17"/>
    <x v="4"/>
    <n v="25"/>
    <n v="196"/>
    <x v="30"/>
    <n v="3450.29"/>
    <n v="1449.71"/>
    <x v="0"/>
    <x v="0"/>
  </r>
  <r>
    <x v="31"/>
    <x v="30"/>
    <x v="2"/>
    <s v="Los Angeles"/>
    <x v="1"/>
    <x v="17"/>
    <x v="6"/>
    <n v="18"/>
    <n v="75.709999999999994"/>
    <x v="31"/>
    <n v="718.28"/>
    <n v="644.5"/>
    <x v="0"/>
    <x v="2"/>
  </r>
  <r>
    <x v="32"/>
    <x v="31"/>
    <x v="0"/>
    <s v="Minneapolis"/>
    <x v="0"/>
    <x v="9"/>
    <x v="4"/>
    <n v="7"/>
    <n v="55.47"/>
    <x v="32"/>
    <n v="238.18"/>
    <n v="150.11000000000001"/>
    <x v="1"/>
    <x v="0"/>
  </r>
  <r>
    <x v="33"/>
    <x v="32"/>
    <x v="2"/>
    <s v="Seattle"/>
    <x v="2"/>
    <x v="5"/>
    <x v="6"/>
    <n v="14"/>
    <n v="99.32"/>
    <x v="33"/>
    <n v="881.01"/>
    <n v="509.47"/>
    <x v="1"/>
    <x v="2"/>
  </r>
  <r>
    <x v="34"/>
    <x v="33"/>
    <x v="3"/>
    <s v="Miami"/>
    <x v="2"/>
    <x v="2"/>
    <x v="3"/>
    <n v="13"/>
    <n v="794.18"/>
    <x v="34"/>
    <n v="6906.9"/>
    <n v="3417.44"/>
    <x v="0"/>
    <x v="1"/>
  </r>
  <r>
    <x v="35"/>
    <x v="34"/>
    <x v="2"/>
    <s v="San Francisco"/>
    <x v="0"/>
    <x v="0"/>
    <x v="0"/>
    <n v="1"/>
    <n v="53.84"/>
    <x v="35"/>
    <n v="28.83"/>
    <n v="25.01"/>
    <x v="1"/>
    <x v="1"/>
  </r>
  <r>
    <x v="36"/>
    <x v="35"/>
    <x v="1"/>
    <s v="Philadelphia"/>
    <x v="3"/>
    <x v="11"/>
    <x v="4"/>
    <n v="1"/>
    <n v="46.4"/>
    <x v="36"/>
    <n v="32.549999999999997"/>
    <n v="13.85"/>
    <x v="0"/>
    <x v="0"/>
  </r>
  <r>
    <x v="37"/>
    <x v="21"/>
    <x v="0"/>
    <s v="Chicago"/>
    <x v="3"/>
    <x v="16"/>
    <x v="4"/>
    <n v="14"/>
    <n v="158.82"/>
    <x v="37"/>
    <n v="1263.6300000000001"/>
    <n v="959.85"/>
    <x v="1"/>
    <x v="0"/>
  </r>
  <r>
    <x v="38"/>
    <x v="36"/>
    <x v="1"/>
    <s v="New York"/>
    <x v="3"/>
    <x v="18"/>
    <x v="0"/>
    <n v="12"/>
    <n v="118.76"/>
    <x v="38"/>
    <n v="990.71"/>
    <n v="434.41"/>
    <x v="1"/>
    <x v="0"/>
  </r>
  <r>
    <x v="39"/>
    <x v="37"/>
    <x v="0"/>
    <s v="Minneapolis"/>
    <x v="0"/>
    <x v="10"/>
    <x v="1"/>
    <n v="11"/>
    <n v="34.770000000000003"/>
    <x v="39"/>
    <n v="193.43"/>
    <n v="189.04"/>
    <x v="0"/>
    <x v="1"/>
  </r>
  <r>
    <x v="40"/>
    <x v="29"/>
    <x v="2"/>
    <s v="Seattle"/>
    <x v="0"/>
    <x v="4"/>
    <x v="7"/>
    <n v="10"/>
    <n v="26.22"/>
    <x v="40"/>
    <n v="142.81"/>
    <n v="119.39"/>
    <x v="1"/>
    <x v="2"/>
  </r>
  <r>
    <x v="41"/>
    <x v="38"/>
    <x v="2"/>
    <s v="Seattle"/>
    <x v="3"/>
    <x v="11"/>
    <x v="6"/>
    <n v="22"/>
    <n v="39.409999999999997"/>
    <x v="41"/>
    <n v="493.75"/>
    <n v="373.27"/>
    <x v="1"/>
    <x v="1"/>
  </r>
  <r>
    <x v="42"/>
    <x v="39"/>
    <x v="3"/>
    <s v="Miami"/>
    <x v="2"/>
    <x v="5"/>
    <x v="6"/>
    <n v="1"/>
    <n v="116.9"/>
    <x v="42"/>
    <n v="82.45"/>
    <n v="34.450000000000003"/>
    <x v="0"/>
    <x v="2"/>
  </r>
  <r>
    <x v="43"/>
    <x v="40"/>
    <x v="3"/>
    <s v="Dallas"/>
    <x v="3"/>
    <x v="19"/>
    <x v="0"/>
    <n v="5"/>
    <n v="170.23"/>
    <x v="43"/>
    <n v="358.85"/>
    <n v="492.3"/>
    <x v="0"/>
    <x v="2"/>
  </r>
  <r>
    <x v="44"/>
    <x v="41"/>
    <x v="3"/>
    <s v="Dallas"/>
    <x v="1"/>
    <x v="15"/>
    <x v="0"/>
    <n v="4"/>
    <n v="609.24"/>
    <x v="44"/>
    <n v="1589.9"/>
    <n v="847.06"/>
    <x v="1"/>
    <x v="2"/>
  </r>
  <r>
    <x v="45"/>
    <x v="42"/>
    <x v="2"/>
    <s v="Phoenix"/>
    <x v="2"/>
    <x v="2"/>
    <x v="5"/>
    <n v="15"/>
    <n v="291.54000000000002"/>
    <x v="45"/>
    <n v="2150.25"/>
    <n v="2222.85"/>
    <x v="1"/>
    <x v="0"/>
  </r>
  <r>
    <x v="46"/>
    <x v="43"/>
    <x v="3"/>
    <s v="Miami"/>
    <x v="3"/>
    <x v="18"/>
    <x v="2"/>
    <n v="8"/>
    <n v="82.22"/>
    <x v="46"/>
    <n v="337.24"/>
    <n v="320.52"/>
    <x v="0"/>
    <x v="1"/>
  </r>
  <r>
    <x v="47"/>
    <x v="44"/>
    <x v="3"/>
    <s v="Dallas"/>
    <x v="2"/>
    <x v="2"/>
    <x v="0"/>
    <n v="3"/>
    <n v="419.19"/>
    <x v="47"/>
    <n v="648.85"/>
    <n v="608.72"/>
    <x v="1"/>
    <x v="2"/>
  </r>
  <r>
    <x v="48"/>
    <x v="45"/>
    <x v="3"/>
    <s v="Dallas"/>
    <x v="3"/>
    <x v="20"/>
    <x v="7"/>
    <n v="25"/>
    <n v="151.83000000000001"/>
    <x v="48"/>
    <n v="2119.2600000000002"/>
    <n v="1676.49"/>
    <x v="1"/>
    <x v="2"/>
  </r>
  <r>
    <x v="49"/>
    <x v="46"/>
    <x v="2"/>
    <s v="Phoenix"/>
    <x v="2"/>
    <x v="21"/>
    <x v="0"/>
    <n v="9"/>
    <n v="436.39"/>
    <x v="49"/>
    <n v="1682.61"/>
    <n v="2244.9"/>
    <x v="1"/>
    <x v="0"/>
  </r>
  <r>
    <x v="50"/>
    <x v="47"/>
    <x v="2"/>
    <s v="Seattle"/>
    <x v="3"/>
    <x v="7"/>
    <x v="7"/>
    <n v="13"/>
    <n v="155.54"/>
    <x v="50"/>
    <n v="1238.02"/>
    <n v="784"/>
    <x v="0"/>
    <x v="0"/>
  </r>
  <r>
    <x v="51"/>
    <x v="48"/>
    <x v="3"/>
    <s v="Dallas"/>
    <x v="2"/>
    <x v="14"/>
    <x v="2"/>
    <n v="13"/>
    <n v="347.43"/>
    <x v="51"/>
    <n v="2492.54"/>
    <n v="2024.05"/>
    <x v="1"/>
    <x v="2"/>
  </r>
  <r>
    <x v="52"/>
    <x v="49"/>
    <x v="2"/>
    <s v="San Francisco"/>
    <x v="1"/>
    <x v="8"/>
    <x v="7"/>
    <n v="24"/>
    <n v="714.52"/>
    <x v="52"/>
    <n v="12174.96"/>
    <n v="4973.5200000000004"/>
    <x v="1"/>
    <x v="1"/>
  </r>
  <r>
    <x v="53"/>
    <x v="50"/>
    <x v="0"/>
    <s v="Chicago"/>
    <x v="1"/>
    <x v="1"/>
    <x v="0"/>
    <n v="1"/>
    <n v="818.47"/>
    <x v="53"/>
    <n v="400.38"/>
    <n v="418.09"/>
    <x v="1"/>
    <x v="0"/>
  </r>
  <r>
    <x v="54"/>
    <x v="51"/>
    <x v="3"/>
    <s v="Dallas"/>
    <x v="0"/>
    <x v="3"/>
    <x v="6"/>
    <n v="20"/>
    <n v="49.93"/>
    <x v="54"/>
    <n v="636.01"/>
    <n v="362.59"/>
    <x v="0"/>
    <x v="1"/>
  </r>
  <r>
    <x v="55"/>
    <x v="52"/>
    <x v="0"/>
    <s v="Chicago"/>
    <x v="0"/>
    <x v="22"/>
    <x v="1"/>
    <n v="13"/>
    <n v="74.67"/>
    <x v="55"/>
    <n v="463.53"/>
    <n v="507.18"/>
    <x v="0"/>
    <x v="1"/>
  </r>
  <r>
    <x v="56"/>
    <x v="53"/>
    <x v="1"/>
    <s v="New York"/>
    <x v="1"/>
    <x v="6"/>
    <x v="1"/>
    <n v="22"/>
    <n v="500.25"/>
    <x v="56"/>
    <n v="6237.13"/>
    <n v="4768.37"/>
    <x v="1"/>
    <x v="1"/>
  </r>
  <r>
    <x v="57"/>
    <x v="54"/>
    <x v="2"/>
    <s v="Phoenix"/>
    <x v="1"/>
    <x v="8"/>
    <x v="4"/>
    <n v="21"/>
    <n v="1161.4100000000001"/>
    <x v="57"/>
    <n v="13495.37"/>
    <n v="10894.24"/>
    <x v="0"/>
    <x v="2"/>
  </r>
  <r>
    <x v="58"/>
    <x v="55"/>
    <x v="1"/>
    <s v="Washington DC"/>
    <x v="3"/>
    <x v="19"/>
    <x v="2"/>
    <n v="11"/>
    <n v="215.04"/>
    <x v="58"/>
    <n v="1563.35"/>
    <n v="802.09"/>
    <x v="0"/>
    <x v="2"/>
  </r>
  <r>
    <x v="59"/>
    <x v="56"/>
    <x v="2"/>
    <s v="Seattle"/>
    <x v="3"/>
    <x v="20"/>
    <x v="1"/>
    <n v="11"/>
    <n v="26.56"/>
    <x v="59"/>
    <n v="194.81"/>
    <n v="97.35"/>
    <x v="0"/>
    <x v="2"/>
  </r>
  <r>
    <x v="60"/>
    <x v="57"/>
    <x v="1"/>
    <s v="Philadelphia"/>
    <x v="0"/>
    <x v="3"/>
    <x v="2"/>
    <n v="18"/>
    <n v="5.74"/>
    <x v="60"/>
    <n v="71.8"/>
    <n v="31.52"/>
    <x v="0"/>
    <x v="1"/>
  </r>
  <r>
    <x v="61"/>
    <x v="58"/>
    <x v="2"/>
    <s v="Phoenix"/>
    <x v="2"/>
    <x v="2"/>
    <x v="5"/>
    <n v="21"/>
    <n v="662.71"/>
    <x v="61"/>
    <n v="7653.89"/>
    <n v="6263.02"/>
    <x v="0"/>
    <x v="1"/>
  </r>
  <r>
    <x v="62"/>
    <x v="59"/>
    <x v="3"/>
    <s v="Dallas"/>
    <x v="2"/>
    <x v="13"/>
    <x v="4"/>
    <n v="16"/>
    <n v="532.85"/>
    <x v="62"/>
    <n v="4430.67"/>
    <n v="4094.93"/>
    <x v="1"/>
    <x v="2"/>
  </r>
  <r>
    <x v="63"/>
    <x v="60"/>
    <x v="2"/>
    <s v="San Francisco"/>
    <x v="0"/>
    <x v="3"/>
    <x v="0"/>
    <n v="4"/>
    <n v="58.37"/>
    <x v="63"/>
    <n v="119.43"/>
    <n v="114.05"/>
    <x v="0"/>
    <x v="1"/>
  </r>
  <r>
    <x v="64"/>
    <x v="61"/>
    <x v="2"/>
    <s v="San Francisco"/>
    <x v="0"/>
    <x v="9"/>
    <x v="0"/>
    <n v="10"/>
    <n v="21.83"/>
    <x v="64"/>
    <n v="103.05"/>
    <n v="115.25"/>
    <x v="0"/>
    <x v="0"/>
  </r>
  <r>
    <x v="65"/>
    <x v="62"/>
    <x v="3"/>
    <s v="Miami"/>
    <x v="1"/>
    <x v="17"/>
    <x v="2"/>
    <n v="23"/>
    <n v="1228.05"/>
    <x v="65"/>
    <n v="17087.810000000001"/>
    <n v="11157.34"/>
    <x v="1"/>
    <x v="1"/>
  </r>
  <r>
    <x v="66"/>
    <x v="63"/>
    <x v="0"/>
    <s v="Minneapolis"/>
    <x v="3"/>
    <x v="19"/>
    <x v="5"/>
    <n v="11"/>
    <n v="62.21"/>
    <x v="66"/>
    <n v="297.61"/>
    <n v="386.7"/>
    <x v="1"/>
    <x v="1"/>
  </r>
  <r>
    <x v="67"/>
    <x v="64"/>
    <x v="0"/>
    <s v="Milwaukee"/>
    <x v="3"/>
    <x v="18"/>
    <x v="7"/>
    <n v="5"/>
    <n v="54.16"/>
    <x v="67"/>
    <n v="157.94"/>
    <n v="112.86"/>
    <x v="1"/>
    <x v="1"/>
  </r>
  <r>
    <x v="68"/>
    <x v="65"/>
    <x v="0"/>
    <s v="Milwaukee"/>
    <x v="2"/>
    <x v="12"/>
    <x v="1"/>
    <n v="15"/>
    <n v="823.97"/>
    <x v="68"/>
    <n v="6256.8"/>
    <n v="6102.75"/>
    <x v="1"/>
    <x v="2"/>
  </r>
  <r>
    <x v="69"/>
    <x v="66"/>
    <x v="0"/>
    <s v="Chicago"/>
    <x v="2"/>
    <x v="2"/>
    <x v="0"/>
    <n v="9"/>
    <n v="620.54999999999995"/>
    <x v="69"/>
    <n v="2600.0500000000002"/>
    <n v="2984.9"/>
    <x v="0"/>
    <x v="0"/>
  </r>
  <r>
    <x v="70"/>
    <x v="67"/>
    <x v="3"/>
    <s v="Houston"/>
    <x v="3"/>
    <x v="19"/>
    <x v="5"/>
    <n v="10"/>
    <n v="27.46"/>
    <x v="70"/>
    <n v="138.27000000000001"/>
    <n v="136.33000000000001"/>
    <x v="1"/>
    <x v="0"/>
  </r>
  <r>
    <x v="71"/>
    <x v="68"/>
    <x v="2"/>
    <s v="Los Angeles"/>
    <x v="2"/>
    <x v="13"/>
    <x v="0"/>
    <n v="14"/>
    <n v="173.12"/>
    <x v="71"/>
    <n v="1175.96"/>
    <n v="1247.72"/>
    <x v="0"/>
    <x v="2"/>
  </r>
  <r>
    <x v="72"/>
    <x v="69"/>
    <x v="3"/>
    <s v="Houston"/>
    <x v="1"/>
    <x v="1"/>
    <x v="2"/>
    <n v="20"/>
    <n v="980.42"/>
    <x v="72"/>
    <n v="11472.29"/>
    <n v="8136.11"/>
    <x v="1"/>
    <x v="2"/>
  </r>
  <r>
    <x v="73"/>
    <x v="70"/>
    <x v="2"/>
    <s v="San Francisco"/>
    <x v="3"/>
    <x v="16"/>
    <x v="5"/>
    <n v="15"/>
    <n v="38.409999999999997"/>
    <x v="73"/>
    <n v="248.64"/>
    <n v="327.51"/>
    <x v="1"/>
    <x v="0"/>
  </r>
  <r>
    <x v="74"/>
    <x v="71"/>
    <x v="1"/>
    <s v="New York"/>
    <x v="1"/>
    <x v="1"/>
    <x v="7"/>
    <n v="25"/>
    <n v="883.12"/>
    <x v="74"/>
    <n v="10998.34"/>
    <n v="11079.66"/>
    <x v="0"/>
    <x v="1"/>
  </r>
  <r>
    <x v="75"/>
    <x v="72"/>
    <x v="2"/>
    <s v="San Francisco"/>
    <x v="2"/>
    <x v="12"/>
    <x v="1"/>
    <n v="21"/>
    <n v="746.68"/>
    <x v="75"/>
    <n v="10992.28"/>
    <n v="4688"/>
    <x v="1"/>
    <x v="2"/>
  </r>
  <r>
    <x v="76"/>
    <x v="73"/>
    <x v="1"/>
    <s v="Philadelphia"/>
    <x v="1"/>
    <x v="1"/>
    <x v="4"/>
    <n v="14"/>
    <n v="910.27"/>
    <x v="76"/>
    <n v="6417.55"/>
    <n v="6326.23"/>
    <x v="1"/>
    <x v="0"/>
  </r>
  <r>
    <x v="77"/>
    <x v="74"/>
    <x v="2"/>
    <s v="Los Angeles"/>
    <x v="0"/>
    <x v="3"/>
    <x v="4"/>
    <n v="4"/>
    <n v="76.790000000000006"/>
    <x v="77"/>
    <n v="165.01"/>
    <n v="142.15"/>
    <x v="0"/>
    <x v="0"/>
  </r>
  <r>
    <x v="78"/>
    <x v="75"/>
    <x v="2"/>
    <s v="Phoenix"/>
    <x v="1"/>
    <x v="1"/>
    <x v="4"/>
    <n v="20"/>
    <n v="989.92"/>
    <x v="78"/>
    <n v="11906.13"/>
    <n v="7892.27"/>
    <x v="0"/>
    <x v="1"/>
  </r>
  <r>
    <x v="79"/>
    <x v="76"/>
    <x v="3"/>
    <s v="Miami"/>
    <x v="3"/>
    <x v="11"/>
    <x v="5"/>
    <n v="4"/>
    <n v="26.6"/>
    <x v="79"/>
    <n v="64.13"/>
    <n v="42.27"/>
    <x v="0"/>
    <x v="0"/>
  </r>
  <r>
    <x v="80"/>
    <x v="77"/>
    <x v="1"/>
    <s v="New York"/>
    <x v="3"/>
    <x v="18"/>
    <x v="0"/>
    <n v="4"/>
    <n v="125.67"/>
    <x v="80"/>
    <n v="228.25"/>
    <n v="274.43"/>
    <x v="0"/>
    <x v="2"/>
  </r>
  <r>
    <x v="81"/>
    <x v="78"/>
    <x v="1"/>
    <s v="Philadelphia"/>
    <x v="3"/>
    <x v="19"/>
    <x v="5"/>
    <n v="8"/>
    <n v="124.6"/>
    <x v="81"/>
    <n v="460.47"/>
    <n v="536.33000000000004"/>
    <x v="0"/>
    <x v="0"/>
  </r>
  <r>
    <x v="82"/>
    <x v="79"/>
    <x v="3"/>
    <s v="Houston"/>
    <x v="0"/>
    <x v="4"/>
    <x v="4"/>
    <n v="17"/>
    <n v="24.76"/>
    <x v="82"/>
    <n v="177.1"/>
    <n v="243.82"/>
    <x v="1"/>
    <x v="0"/>
  </r>
  <r>
    <x v="83"/>
    <x v="80"/>
    <x v="2"/>
    <s v="Seattle"/>
    <x v="3"/>
    <x v="20"/>
    <x v="5"/>
    <n v="12"/>
    <n v="96.12"/>
    <x v="83"/>
    <n v="739.62"/>
    <n v="413.82"/>
    <x v="1"/>
    <x v="2"/>
  </r>
  <r>
    <x v="84"/>
    <x v="81"/>
    <x v="3"/>
    <s v="Atlanta"/>
    <x v="3"/>
    <x v="7"/>
    <x v="1"/>
    <n v="2"/>
    <n v="92.86"/>
    <x v="84"/>
    <n v="103.48"/>
    <n v="82.24"/>
    <x v="1"/>
    <x v="2"/>
  </r>
  <r>
    <x v="85"/>
    <x v="82"/>
    <x v="3"/>
    <s v="Dallas"/>
    <x v="1"/>
    <x v="1"/>
    <x v="4"/>
    <n v="4"/>
    <n v="1139.3499999999999"/>
    <x v="85"/>
    <n v="2496.04"/>
    <n v="2061.36"/>
    <x v="1"/>
    <x v="1"/>
  </r>
  <r>
    <x v="86"/>
    <x v="83"/>
    <x v="3"/>
    <s v="Dallas"/>
    <x v="2"/>
    <x v="14"/>
    <x v="5"/>
    <n v="9"/>
    <n v="356.62"/>
    <x v="86"/>
    <n v="1992.78"/>
    <n v="1216.8"/>
    <x v="0"/>
    <x v="2"/>
  </r>
  <r>
    <x v="87"/>
    <x v="84"/>
    <x v="2"/>
    <s v="San Francisco"/>
    <x v="3"/>
    <x v="20"/>
    <x v="7"/>
    <n v="20"/>
    <n v="35.659999999999997"/>
    <x v="87"/>
    <n v="430.09"/>
    <n v="283.11"/>
    <x v="1"/>
    <x v="1"/>
  </r>
  <r>
    <x v="88"/>
    <x v="6"/>
    <x v="0"/>
    <s v="Milwaukee"/>
    <x v="1"/>
    <x v="23"/>
    <x v="3"/>
    <n v="15"/>
    <n v="241.11"/>
    <x v="88"/>
    <n v="1833.08"/>
    <n v="1783.57"/>
    <x v="0"/>
    <x v="1"/>
  </r>
  <r>
    <x v="89"/>
    <x v="85"/>
    <x v="0"/>
    <s v="Minneapolis"/>
    <x v="0"/>
    <x v="3"/>
    <x v="1"/>
    <n v="5"/>
    <n v="23.06"/>
    <x v="89"/>
    <n v="62.2"/>
    <n v="53.1"/>
    <x v="0"/>
    <x v="1"/>
  </r>
  <r>
    <x v="90"/>
    <x v="86"/>
    <x v="0"/>
    <s v="Milwaukee"/>
    <x v="2"/>
    <x v="21"/>
    <x v="6"/>
    <n v="8"/>
    <n v="457.14"/>
    <x v="90"/>
    <n v="1805.35"/>
    <n v="1851.77"/>
    <x v="1"/>
    <x v="0"/>
  </r>
  <r>
    <x v="91"/>
    <x v="87"/>
    <x v="2"/>
    <s v="San Francisco"/>
    <x v="2"/>
    <x v="14"/>
    <x v="5"/>
    <n v="12"/>
    <n v="888.87"/>
    <x v="91"/>
    <n v="5405.27"/>
    <n v="5261.17"/>
    <x v="1"/>
    <x v="0"/>
  </r>
  <r>
    <x v="92"/>
    <x v="88"/>
    <x v="2"/>
    <s v="San Francisco"/>
    <x v="2"/>
    <x v="21"/>
    <x v="5"/>
    <n v="4"/>
    <n v="273.51"/>
    <x v="92"/>
    <n v="640.95000000000005"/>
    <n v="453.09"/>
    <x v="1"/>
    <x v="0"/>
  </r>
  <r>
    <x v="93"/>
    <x v="89"/>
    <x v="0"/>
    <s v="Milwaukee"/>
    <x v="0"/>
    <x v="9"/>
    <x v="7"/>
    <n v="20"/>
    <n v="60.14"/>
    <x v="93"/>
    <n v="795.68"/>
    <n v="407.12"/>
    <x v="1"/>
    <x v="1"/>
  </r>
  <r>
    <x v="94"/>
    <x v="90"/>
    <x v="1"/>
    <s v="Boston"/>
    <x v="2"/>
    <x v="12"/>
    <x v="2"/>
    <n v="22"/>
    <n v="698.57"/>
    <x v="94"/>
    <n v="9875.31"/>
    <n v="5493.23"/>
    <x v="0"/>
    <x v="0"/>
  </r>
  <r>
    <x v="95"/>
    <x v="91"/>
    <x v="0"/>
    <s v="Minneapolis"/>
    <x v="3"/>
    <x v="18"/>
    <x v="4"/>
    <n v="24"/>
    <n v="50.08"/>
    <x v="95"/>
    <n v="821.86"/>
    <n v="380.06"/>
    <x v="1"/>
    <x v="0"/>
  </r>
  <r>
    <x v="96"/>
    <x v="92"/>
    <x v="3"/>
    <s v="Atlanta"/>
    <x v="2"/>
    <x v="12"/>
    <x v="4"/>
    <n v="17"/>
    <n v="490.47"/>
    <x v="96"/>
    <n v="4160.93"/>
    <n v="4177.0600000000004"/>
    <x v="0"/>
    <x v="2"/>
  </r>
  <r>
    <x v="97"/>
    <x v="93"/>
    <x v="2"/>
    <s v="San Francisco"/>
    <x v="0"/>
    <x v="9"/>
    <x v="5"/>
    <n v="3"/>
    <n v="15.41"/>
    <x v="97"/>
    <n v="32.369999999999997"/>
    <n v="13.86"/>
    <x v="1"/>
    <x v="0"/>
  </r>
  <r>
    <x v="98"/>
    <x v="94"/>
    <x v="0"/>
    <s v="Milwaukee"/>
    <x v="1"/>
    <x v="6"/>
    <x v="3"/>
    <n v="15"/>
    <n v="497.73"/>
    <x v="98"/>
    <n v="4757.3999999999996"/>
    <n v="2708.55"/>
    <x v="1"/>
    <x v="0"/>
  </r>
  <r>
    <x v="99"/>
    <x v="95"/>
    <x v="1"/>
    <s v="New York"/>
    <x v="2"/>
    <x v="21"/>
    <x v="7"/>
    <n v="20"/>
    <n v="804.07"/>
    <x v="99"/>
    <n v="9372.3700000000008"/>
    <n v="6709.03"/>
    <x v="0"/>
    <x v="0"/>
  </r>
  <r>
    <x v="100"/>
    <x v="90"/>
    <x v="2"/>
    <s v="San Francisco"/>
    <x v="3"/>
    <x v="18"/>
    <x v="6"/>
    <n v="2"/>
    <n v="236.69"/>
    <x v="100"/>
    <n v="240.6"/>
    <n v="232.78"/>
    <x v="1"/>
    <x v="1"/>
  </r>
  <r>
    <x v="101"/>
    <x v="96"/>
    <x v="3"/>
    <s v="Atlanta"/>
    <x v="3"/>
    <x v="19"/>
    <x v="4"/>
    <n v="22"/>
    <n v="237.41"/>
    <x v="101"/>
    <n v="3248.62"/>
    <n v="1974.4"/>
    <x v="1"/>
    <x v="0"/>
  </r>
  <r>
    <x v="102"/>
    <x v="97"/>
    <x v="3"/>
    <s v="Dallas"/>
    <x v="1"/>
    <x v="8"/>
    <x v="1"/>
    <n v="9"/>
    <n v="71.510000000000005"/>
    <x v="102"/>
    <n v="339.46"/>
    <n v="304.13"/>
    <x v="1"/>
    <x v="2"/>
  </r>
  <r>
    <x v="103"/>
    <x v="98"/>
    <x v="1"/>
    <s v="New York"/>
    <x v="0"/>
    <x v="22"/>
    <x v="4"/>
    <n v="2"/>
    <n v="34.46"/>
    <x v="103"/>
    <n v="32.74"/>
    <n v="36.18"/>
    <x v="0"/>
    <x v="2"/>
  </r>
  <r>
    <x v="104"/>
    <x v="60"/>
    <x v="3"/>
    <s v="Houston"/>
    <x v="1"/>
    <x v="6"/>
    <x v="0"/>
    <n v="5"/>
    <n v="1028.67"/>
    <x v="104"/>
    <n v="2466.29"/>
    <n v="2677.06"/>
    <x v="0"/>
    <x v="0"/>
  </r>
  <r>
    <x v="105"/>
    <x v="87"/>
    <x v="3"/>
    <s v="Miami"/>
    <x v="2"/>
    <x v="12"/>
    <x v="7"/>
    <n v="9"/>
    <n v="782.89"/>
    <x v="105"/>
    <n v="3254.97"/>
    <n v="3791.04"/>
    <x v="0"/>
    <x v="0"/>
  </r>
  <r>
    <x v="106"/>
    <x v="99"/>
    <x v="3"/>
    <s v="Houston"/>
    <x v="1"/>
    <x v="1"/>
    <x v="7"/>
    <n v="12"/>
    <n v="1032.49"/>
    <x v="106"/>
    <n v="6058.65"/>
    <n v="6331.23"/>
    <x v="1"/>
    <x v="1"/>
  </r>
  <r>
    <x v="107"/>
    <x v="100"/>
    <x v="1"/>
    <s v="New York"/>
    <x v="2"/>
    <x v="2"/>
    <x v="1"/>
    <n v="17"/>
    <n v="172.19"/>
    <x v="107"/>
    <n v="1283.3900000000001"/>
    <n v="1643.84"/>
    <x v="1"/>
    <x v="2"/>
  </r>
  <r>
    <x v="108"/>
    <x v="101"/>
    <x v="0"/>
    <s v="Milwaukee"/>
    <x v="2"/>
    <x v="12"/>
    <x v="7"/>
    <n v="24"/>
    <n v="721.25"/>
    <x v="108"/>
    <n v="11622.36"/>
    <n v="5687.64"/>
    <x v="1"/>
    <x v="2"/>
  </r>
  <r>
    <x v="109"/>
    <x v="102"/>
    <x v="0"/>
    <s v="Chicago"/>
    <x v="3"/>
    <x v="19"/>
    <x v="1"/>
    <n v="22"/>
    <n v="44.71"/>
    <x v="109"/>
    <n v="616.33000000000004"/>
    <n v="367.29"/>
    <x v="1"/>
    <x v="1"/>
  </r>
  <r>
    <x v="110"/>
    <x v="103"/>
    <x v="1"/>
    <s v="Boston"/>
    <x v="1"/>
    <x v="1"/>
    <x v="2"/>
    <n v="20"/>
    <n v="833.37"/>
    <x v="110"/>
    <n v="9650.81"/>
    <n v="7016.59"/>
    <x v="1"/>
    <x v="2"/>
  </r>
  <r>
    <x v="111"/>
    <x v="104"/>
    <x v="1"/>
    <s v="Washington DC"/>
    <x v="3"/>
    <x v="18"/>
    <x v="3"/>
    <n v="21"/>
    <n v="169.06"/>
    <x v="111"/>
    <n v="2282.81"/>
    <n v="1267.45"/>
    <x v="0"/>
    <x v="2"/>
  </r>
  <r>
    <x v="112"/>
    <x v="105"/>
    <x v="3"/>
    <s v="Dallas"/>
    <x v="0"/>
    <x v="4"/>
    <x v="1"/>
    <n v="14"/>
    <n v="58.99"/>
    <x v="112"/>
    <n v="421.72"/>
    <n v="404.14"/>
    <x v="1"/>
    <x v="0"/>
  </r>
  <r>
    <x v="113"/>
    <x v="106"/>
    <x v="1"/>
    <s v="Boston"/>
    <x v="3"/>
    <x v="18"/>
    <x v="3"/>
    <n v="3"/>
    <n v="41.34"/>
    <x v="113"/>
    <n v="55.56"/>
    <n v="68.459999999999994"/>
    <x v="1"/>
    <x v="1"/>
  </r>
  <r>
    <x v="114"/>
    <x v="107"/>
    <x v="0"/>
    <s v="Minneapolis"/>
    <x v="1"/>
    <x v="8"/>
    <x v="4"/>
    <n v="22"/>
    <n v="1224.29"/>
    <x v="114"/>
    <n v="14615.99"/>
    <n v="12318.39"/>
    <x v="0"/>
    <x v="2"/>
  </r>
  <r>
    <x v="115"/>
    <x v="108"/>
    <x v="1"/>
    <s v="Philadelphia"/>
    <x v="1"/>
    <x v="15"/>
    <x v="0"/>
    <n v="5"/>
    <n v="863.39"/>
    <x v="115"/>
    <n v="2093.85"/>
    <n v="2223.1"/>
    <x v="0"/>
    <x v="2"/>
  </r>
  <r>
    <x v="116"/>
    <x v="109"/>
    <x v="1"/>
    <s v="New York"/>
    <x v="0"/>
    <x v="22"/>
    <x v="0"/>
    <n v="14"/>
    <n v="67.540000000000006"/>
    <x v="116"/>
    <n v="664.37"/>
    <n v="281.19"/>
    <x v="0"/>
    <x v="0"/>
  </r>
  <r>
    <x v="117"/>
    <x v="109"/>
    <x v="1"/>
    <s v="New York"/>
    <x v="2"/>
    <x v="13"/>
    <x v="2"/>
    <n v="11"/>
    <n v="366.84"/>
    <x v="117"/>
    <n v="1907.09"/>
    <n v="2128.15"/>
    <x v="0"/>
    <x v="0"/>
  </r>
  <r>
    <x v="118"/>
    <x v="110"/>
    <x v="2"/>
    <s v="Los Angeles"/>
    <x v="2"/>
    <x v="2"/>
    <x v="7"/>
    <n v="3"/>
    <n v="690.81"/>
    <x v="118"/>
    <n v="999.72"/>
    <n v="1072.71"/>
    <x v="1"/>
    <x v="2"/>
  </r>
  <r>
    <x v="119"/>
    <x v="111"/>
    <x v="3"/>
    <s v="Miami"/>
    <x v="0"/>
    <x v="10"/>
    <x v="4"/>
    <n v="25"/>
    <n v="74.66"/>
    <x v="119"/>
    <n v="1106.6600000000001"/>
    <n v="759.84"/>
    <x v="0"/>
    <x v="1"/>
  </r>
  <r>
    <x v="120"/>
    <x v="112"/>
    <x v="0"/>
    <s v="Chicago"/>
    <x v="0"/>
    <x v="4"/>
    <x v="1"/>
    <n v="16"/>
    <n v="49.92"/>
    <x v="120"/>
    <n v="431.4"/>
    <n v="367.32"/>
    <x v="0"/>
    <x v="0"/>
  </r>
  <r>
    <x v="121"/>
    <x v="113"/>
    <x v="1"/>
    <s v="Washington DC"/>
    <x v="1"/>
    <x v="6"/>
    <x v="5"/>
    <n v="17"/>
    <n v="876.59"/>
    <x v="121"/>
    <n v="6455.13"/>
    <n v="8446.9"/>
    <x v="1"/>
    <x v="0"/>
  </r>
  <r>
    <x v="122"/>
    <x v="84"/>
    <x v="0"/>
    <s v="Detroit"/>
    <x v="0"/>
    <x v="0"/>
    <x v="6"/>
    <n v="25"/>
    <n v="23.9"/>
    <x v="122"/>
    <n v="307.81"/>
    <n v="289.69"/>
    <x v="0"/>
    <x v="2"/>
  </r>
  <r>
    <x v="123"/>
    <x v="114"/>
    <x v="2"/>
    <s v="Seattle"/>
    <x v="2"/>
    <x v="21"/>
    <x v="0"/>
    <n v="17"/>
    <n v="537.15"/>
    <x v="123"/>
    <n v="5604.34"/>
    <n v="3527.21"/>
    <x v="1"/>
    <x v="1"/>
  </r>
  <r>
    <x v="124"/>
    <x v="50"/>
    <x v="0"/>
    <s v="Milwaukee"/>
    <x v="1"/>
    <x v="8"/>
    <x v="3"/>
    <n v="11"/>
    <n v="760.63"/>
    <x v="124"/>
    <n v="4905.41"/>
    <n v="3461.52"/>
    <x v="1"/>
    <x v="2"/>
  </r>
  <r>
    <x v="125"/>
    <x v="115"/>
    <x v="2"/>
    <s v="Los Angeles"/>
    <x v="0"/>
    <x v="0"/>
    <x v="5"/>
    <n v="23"/>
    <n v="73.06"/>
    <x v="125"/>
    <n v="748.71"/>
    <n v="931.67"/>
    <x v="0"/>
    <x v="1"/>
  </r>
  <r>
    <x v="126"/>
    <x v="116"/>
    <x v="2"/>
    <s v="Los Angeles"/>
    <x v="3"/>
    <x v="16"/>
    <x v="4"/>
    <n v="8"/>
    <n v="96.27"/>
    <x v="126"/>
    <n v="361.02"/>
    <n v="409.14"/>
    <x v="0"/>
    <x v="0"/>
  </r>
  <r>
    <x v="127"/>
    <x v="117"/>
    <x v="3"/>
    <s v="Miami"/>
    <x v="0"/>
    <x v="10"/>
    <x v="6"/>
    <n v="8"/>
    <n v="12.6"/>
    <x v="127"/>
    <n v="49.82"/>
    <n v="50.98"/>
    <x v="0"/>
    <x v="0"/>
  </r>
  <r>
    <x v="128"/>
    <x v="118"/>
    <x v="0"/>
    <s v="Detroit"/>
    <x v="3"/>
    <x v="19"/>
    <x v="5"/>
    <n v="22"/>
    <n v="231.63"/>
    <x v="128"/>
    <n v="2974.47"/>
    <n v="2121.39"/>
    <x v="1"/>
    <x v="0"/>
  </r>
  <r>
    <x v="129"/>
    <x v="119"/>
    <x v="3"/>
    <s v="Dallas"/>
    <x v="1"/>
    <x v="8"/>
    <x v="5"/>
    <n v="21"/>
    <n v="414.27"/>
    <x v="129"/>
    <n v="4346.84"/>
    <n v="4352.83"/>
    <x v="0"/>
    <x v="2"/>
  </r>
  <r>
    <x v="130"/>
    <x v="120"/>
    <x v="0"/>
    <s v="Minneapolis"/>
    <x v="3"/>
    <x v="19"/>
    <x v="7"/>
    <n v="2"/>
    <n v="104.43"/>
    <x v="130"/>
    <n v="105.11"/>
    <n v="103.75"/>
    <x v="0"/>
    <x v="0"/>
  </r>
  <r>
    <x v="131"/>
    <x v="121"/>
    <x v="2"/>
    <s v="Phoenix"/>
    <x v="1"/>
    <x v="8"/>
    <x v="0"/>
    <n v="11"/>
    <n v="797.75"/>
    <x v="131"/>
    <n v="4961.5"/>
    <n v="3813.75"/>
    <x v="0"/>
    <x v="2"/>
  </r>
  <r>
    <x v="132"/>
    <x v="122"/>
    <x v="1"/>
    <s v="New York"/>
    <x v="2"/>
    <x v="14"/>
    <x v="0"/>
    <n v="23"/>
    <n v="437.96"/>
    <x v="132"/>
    <n v="5514.33"/>
    <n v="4558.75"/>
    <x v="0"/>
    <x v="2"/>
  </r>
  <r>
    <x v="133"/>
    <x v="123"/>
    <x v="1"/>
    <s v="Washington DC"/>
    <x v="3"/>
    <x v="16"/>
    <x v="7"/>
    <n v="21"/>
    <n v="168.23"/>
    <x v="133"/>
    <n v="1551.32"/>
    <n v="1981.51"/>
    <x v="0"/>
    <x v="0"/>
  </r>
  <r>
    <x v="134"/>
    <x v="7"/>
    <x v="2"/>
    <s v="San Francisco"/>
    <x v="0"/>
    <x v="10"/>
    <x v="6"/>
    <n v="11"/>
    <n v="11.02"/>
    <x v="134"/>
    <n v="74.239999999999995"/>
    <n v="46.98"/>
    <x v="1"/>
    <x v="2"/>
  </r>
  <r>
    <x v="135"/>
    <x v="124"/>
    <x v="2"/>
    <s v="Seattle"/>
    <x v="1"/>
    <x v="6"/>
    <x v="1"/>
    <n v="21"/>
    <n v="1034.6199999999999"/>
    <x v="135"/>
    <n v="14249.09"/>
    <n v="7477.93"/>
    <x v="0"/>
    <x v="0"/>
  </r>
  <r>
    <x v="136"/>
    <x v="125"/>
    <x v="2"/>
    <s v="San Francisco"/>
    <x v="1"/>
    <x v="6"/>
    <x v="2"/>
    <n v="6"/>
    <n v="1237.03"/>
    <x v="136"/>
    <n v="3852.87"/>
    <n v="3569.31"/>
    <x v="1"/>
    <x v="1"/>
  </r>
  <r>
    <x v="137"/>
    <x v="126"/>
    <x v="3"/>
    <s v="Atlanta"/>
    <x v="1"/>
    <x v="6"/>
    <x v="3"/>
    <n v="17"/>
    <n v="1008.24"/>
    <x v="137"/>
    <n v="11349.9"/>
    <n v="5790.18"/>
    <x v="0"/>
    <x v="0"/>
  </r>
  <r>
    <x v="138"/>
    <x v="127"/>
    <x v="3"/>
    <s v="Dallas"/>
    <x v="2"/>
    <x v="5"/>
    <x v="6"/>
    <n v="23"/>
    <n v="711.3"/>
    <x v="138"/>
    <n v="10709.56"/>
    <n v="5650.34"/>
    <x v="0"/>
    <x v="0"/>
  </r>
  <r>
    <x v="139"/>
    <x v="61"/>
    <x v="0"/>
    <s v="Milwaukee"/>
    <x v="0"/>
    <x v="10"/>
    <x v="0"/>
    <n v="15"/>
    <n v="50.18"/>
    <x v="139"/>
    <n v="480.37"/>
    <n v="272.33"/>
    <x v="1"/>
    <x v="1"/>
  </r>
  <r>
    <x v="140"/>
    <x v="128"/>
    <x v="3"/>
    <s v="Miami"/>
    <x v="3"/>
    <x v="7"/>
    <x v="4"/>
    <n v="22"/>
    <n v="236.89"/>
    <x v="140"/>
    <n v="3676.7"/>
    <n v="1534.88"/>
    <x v="1"/>
    <x v="2"/>
  </r>
  <r>
    <x v="141"/>
    <x v="121"/>
    <x v="2"/>
    <s v="Phoenix"/>
    <x v="2"/>
    <x v="5"/>
    <x v="6"/>
    <n v="9"/>
    <n v="121.79"/>
    <x v="141"/>
    <n v="613.13"/>
    <n v="482.98"/>
    <x v="1"/>
    <x v="0"/>
  </r>
  <r>
    <x v="142"/>
    <x v="129"/>
    <x v="0"/>
    <s v="Minneapolis"/>
    <x v="1"/>
    <x v="1"/>
    <x v="2"/>
    <n v="15"/>
    <n v="1178.83"/>
    <x v="142"/>
    <n v="8182.22"/>
    <n v="9500.23"/>
    <x v="1"/>
    <x v="1"/>
  </r>
  <r>
    <x v="143"/>
    <x v="130"/>
    <x v="2"/>
    <s v="San Francisco"/>
    <x v="1"/>
    <x v="8"/>
    <x v="7"/>
    <n v="13"/>
    <n v="667.04"/>
    <x v="143"/>
    <n v="4234.96"/>
    <n v="4436.5600000000004"/>
    <x v="0"/>
    <x v="2"/>
  </r>
  <r>
    <x v="144"/>
    <x v="131"/>
    <x v="0"/>
    <s v="Minneapolis"/>
    <x v="1"/>
    <x v="23"/>
    <x v="4"/>
    <n v="5"/>
    <n v="204.61"/>
    <x v="144"/>
    <n v="514.79"/>
    <n v="508.26"/>
    <x v="1"/>
    <x v="0"/>
  </r>
  <r>
    <x v="145"/>
    <x v="132"/>
    <x v="3"/>
    <s v="Dallas"/>
    <x v="3"/>
    <x v="20"/>
    <x v="7"/>
    <n v="3"/>
    <n v="24.34"/>
    <x v="145"/>
    <n v="35.24"/>
    <n v="37.78"/>
    <x v="0"/>
    <x v="0"/>
  </r>
  <r>
    <x v="146"/>
    <x v="133"/>
    <x v="2"/>
    <s v="Los Angeles"/>
    <x v="0"/>
    <x v="0"/>
    <x v="2"/>
    <n v="4"/>
    <n v="8.52"/>
    <x v="146"/>
    <n v="18.46"/>
    <n v="15.62"/>
    <x v="1"/>
    <x v="1"/>
  </r>
  <r>
    <x v="147"/>
    <x v="134"/>
    <x v="2"/>
    <s v="Los Angeles"/>
    <x v="2"/>
    <x v="2"/>
    <x v="6"/>
    <n v="10"/>
    <n v="430.98"/>
    <x v="147"/>
    <n v="2578.5300000000002"/>
    <n v="1731.27"/>
    <x v="0"/>
    <x v="0"/>
  </r>
  <r>
    <x v="148"/>
    <x v="135"/>
    <x v="3"/>
    <s v="Houston"/>
    <x v="0"/>
    <x v="9"/>
    <x v="7"/>
    <n v="13"/>
    <n v="69.63"/>
    <x v="148"/>
    <n v="391.61"/>
    <n v="513.58000000000004"/>
    <x v="1"/>
    <x v="2"/>
  </r>
  <r>
    <x v="149"/>
    <x v="136"/>
    <x v="0"/>
    <s v="Minneapolis"/>
    <x v="1"/>
    <x v="6"/>
    <x v="0"/>
    <n v="24"/>
    <n v="863.86"/>
    <x v="149"/>
    <n v="9330.98"/>
    <n v="11401.66"/>
    <x v="1"/>
    <x v="1"/>
  </r>
  <r>
    <x v="150"/>
    <x v="77"/>
    <x v="1"/>
    <s v="Philadelphia"/>
    <x v="2"/>
    <x v="2"/>
    <x v="5"/>
    <n v="23"/>
    <n v="471.4"/>
    <x v="150"/>
    <n v="5126.8500000000004"/>
    <n v="5715.35"/>
    <x v="0"/>
    <x v="1"/>
  </r>
  <r>
    <x v="151"/>
    <x v="137"/>
    <x v="2"/>
    <s v="Los Angeles"/>
    <x v="0"/>
    <x v="0"/>
    <x v="7"/>
    <n v="7"/>
    <n v="70.55"/>
    <x v="151"/>
    <n v="252.62"/>
    <n v="241.23"/>
    <x v="1"/>
    <x v="0"/>
  </r>
  <r>
    <x v="152"/>
    <x v="69"/>
    <x v="2"/>
    <s v="San Francisco"/>
    <x v="1"/>
    <x v="23"/>
    <x v="0"/>
    <n v="10"/>
    <n v="482.99"/>
    <x v="152"/>
    <n v="3122.26"/>
    <n v="1707.64"/>
    <x v="1"/>
    <x v="2"/>
  </r>
  <r>
    <x v="153"/>
    <x v="138"/>
    <x v="1"/>
    <s v="Washington DC"/>
    <x v="3"/>
    <x v="11"/>
    <x v="5"/>
    <n v="13"/>
    <n v="97.63"/>
    <x v="153"/>
    <n v="601.82000000000005"/>
    <n v="667.37"/>
    <x v="1"/>
    <x v="2"/>
  </r>
  <r>
    <x v="154"/>
    <x v="121"/>
    <x v="1"/>
    <s v="New York"/>
    <x v="3"/>
    <x v="18"/>
    <x v="1"/>
    <n v="20"/>
    <n v="247.88"/>
    <x v="154"/>
    <n v="2341.64"/>
    <n v="2615.96"/>
    <x v="1"/>
    <x v="2"/>
  </r>
  <r>
    <x v="155"/>
    <x v="139"/>
    <x v="0"/>
    <s v="Minneapolis"/>
    <x v="0"/>
    <x v="3"/>
    <x v="5"/>
    <n v="20"/>
    <n v="58.1"/>
    <x v="155"/>
    <n v="544.20000000000005"/>
    <n v="617.79999999999995"/>
    <x v="1"/>
    <x v="2"/>
  </r>
  <r>
    <x v="156"/>
    <x v="140"/>
    <x v="0"/>
    <s v="Minneapolis"/>
    <x v="3"/>
    <x v="16"/>
    <x v="7"/>
    <n v="3"/>
    <n v="173.7"/>
    <x v="156"/>
    <n v="280.25"/>
    <n v="240.85"/>
    <x v="0"/>
    <x v="1"/>
  </r>
  <r>
    <x v="157"/>
    <x v="141"/>
    <x v="2"/>
    <s v="Los Angeles"/>
    <x v="2"/>
    <x v="14"/>
    <x v="0"/>
    <n v="25"/>
    <n v="608.03"/>
    <x v="157"/>
    <n v="7980.75"/>
    <n v="7220"/>
    <x v="0"/>
    <x v="0"/>
  </r>
  <r>
    <x v="158"/>
    <x v="142"/>
    <x v="2"/>
    <s v="San Francisco"/>
    <x v="0"/>
    <x v="4"/>
    <x v="3"/>
    <n v="19"/>
    <n v="15.18"/>
    <x v="158"/>
    <n v="151.83000000000001"/>
    <n v="136.59"/>
    <x v="1"/>
    <x v="0"/>
  </r>
  <r>
    <x v="159"/>
    <x v="143"/>
    <x v="3"/>
    <s v="Houston"/>
    <x v="1"/>
    <x v="23"/>
    <x v="6"/>
    <n v="16"/>
    <n v="687.01"/>
    <x v="159"/>
    <n v="7528.83"/>
    <n v="3463.33"/>
    <x v="0"/>
    <x v="2"/>
  </r>
  <r>
    <x v="160"/>
    <x v="22"/>
    <x v="1"/>
    <s v="Washington DC"/>
    <x v="2"/>
    <x v="12"/>
    <x v="2"/>
    <n v="23"/>
    <n v="830.51"/>
    <x v="160"/>
    <n v="10743.73"/>
    <n v="8358"/>
    <x v="0"/>
    <x v="1"/>
  </r>
  <r>
    <x v="161"/>
    <x v="144"/>
    <x v="0"/>
    <s v="Milwaukee"/>
    <x v="2"/>
    <x v="2"/>
    <x v="5"/>
    <n v="3"/>
    <n v="743.62"/>
    <x v="161"/>
    <n v="1562.92"/>
    <n v="667.94"/>
    <x v="1"/>
    <x v="0"/>
  </r>
  <r>
    <x v="162"/>
    <x v="145"/>
    <x v="0"/>
    <s v="Minneapolis"/>
    <x v="0"/>
    <x v="0"/>
    <x v="6"/>
    <n v="12"/>
    <n v="42.64"/>
    <x v="162"/>
    <n v="232.91"/>
    <n v="278.77"/>
    <x v="0"/>
    <x v="1"/>
  </r>
  <r>
    <x v="163"/>
    <x v="146"/>
    <x v="2"/>
    <s v="Los Angeles"/>
    <x v="0"/>
    <x v="22"/>
    <x v="4"/>
    <n v="15"/>
    <n v="64.47"/>
    <x v="163"/>
    <n v="560.87"/>
    <n v="406.18"/>
    <x v="0"/>
    <x v="1"/>
  </r>
  <r>
    <x v="164"/>
    <x v="147"/>
    <x v="2"/>
    <s v="Phoenix"/>
    <x v="3"/>
    <x v="19"/>
    <x v="3"/>
    <n v="5"/>
    <n v="242.67"/>
    <x v="164"/>
    <n v="735.63"/>
    <n v="477.72"/>
    <x v="1"/>
    <x v="2"/>
  </r>
  <r>
    <x v="165"/>
    <x v="117"/>
    <x v="1"/>
    <s v="Boston"/>
    <x v="2"/>
    <x v="5"/>
    <x v="1"/>
    <n v="17"/>
    <n v="825.78"/>
    <x v="165"/>
    <n v="6121.66"/>
    <n v="7916.6"/>
    <x v="0"/>
    <x v="0"/>
  </r>
  <r>
    <x v="166"/>
    <x v="87"/>
    <x v="1"/>
    <s v="Boston"/>
    <x v="2"/>
    <x v="13"/>
    <x v="0"/>
    <n v="12"/>
    <n v="855.94"/>
    <x v="166"/>
    <n v="5859.56"/>
    <n v="4411.72"/>
    <x v="1"/>
    <x v="1"/>
  </r>
  <r>
    <x v="167"/>
    <x v="148"/>
    <x v="3"/>
    <s v="Miami"/>
    <x v="2"/>
    <x v="2"/>
    <x v="2"/>
    <n v="20"/>
    <n v="516.45000000000005"/>
    <x v="167"/>
    <n v="5843.59"/>
    <n v="4485.41"/>
    <x v="0"/>
    <x v="0"/>
  </r>
  <r>
    <x v="168"/>
    <x v="149"/>
    <x v="3"/>
    <s v="Atlanta"/>
    <x v="0"/>
    <x v="22"/>
    <x v="7"/>
    <n v="1"/>
    <n v="11"/>
    <x v="168"/>
    <n v="7.65"/>
    <n v="3.35"/>
    <x v="1"/>
    <x v="0"/>
  </r>
  <r>
    <x v="169"/>
    <x v="150"/>
    <x v="2"/>
    <s v="Los Angeles"/>
    <x v="3"/>
    <x v="11"/>
    <x v="2"/>
    <n v="21"/>
    <n v="239.07"/>
    <x v="169"/>
    <n v="2811.73"/>
    <n v="2208.7399999999998"/>
    <x v="1"/>
    <x v="2"/>
  </r>
  <r>
    <x v="170"/>
    <x v="151"/>
    <x v="0"/>
    <s v="Chicago"/>
    <x v="2"/>
    <x v="21"/>
    <x v="1"/>
    <n v="16"/>
    <n v="459.84"/>
    <x v="170"/>
    <n v="3815.98"/>
    <n v="3541.46"/>
    <x v="0"/>
    <x v="2"/>
  </r>
  <r>
    <x v="171"/>
    <x v="75"/>
    <x v="1"/>
    <s v="Philadelphia"/>
    <x v="3"/>
    <x v="7"/>
    <x v="4"/>
    <n v="17"/>
    <n v="148.61000000000001"/>
    <x v="171"/>
    <n v="1294.8699999999999"/>
    <n v="1231.5"/>
    <x v="1"/>
    <x v="1"/>
  </r>
  <r>
    <x v="172"/>
    <x v="152"/>
    <x v="2"/>
    <s v="Seattle"/>
    <x v="2"/>
    <x v="14"/>
    <x v="7"/>
    <n v="10"/>
    <n v="854.22"/>
    <x v="172"/>
    <n v="5728.46"/>
    <n v="2813.74"/>
    <x v="1"/>
    <x v="1"/>
  </r>
  <r>
    <x v="173"/>
    <x v="153"/>
    <x v="3"/>
    <s v="Miami"/>
    <x v="0"/>
    <x v="0"/>
    <x v="6"/>
    <n v="16"/>
    <n v="78.7"/>
    <x v="173"/>
    <n v="699.33"/>
    <n v="559.87"/>
    <x v="1"/>
    <x v="2"/>
  </r>
  <r>
    <x v="174"/>
    <x v="154"/>
    <x v="0"/>
    <s v="Milwaukee"/>
    <x v="3"/>
    <x v="7"/>
    <x v="0"/>
    <n v="19"/>
    <n v="100.81"/>
    <x v="174"/>
    <n v="832.54"/>
    <n v="1082.8499999999999"/>
    <x v="1"/>
    <x v="0"/>
  </r>
  <r>
    <x v="175"/>
    <x v="155"/>
    <x v="2"/>
    <s v="San Francisco"/>
    <x v="1"/>
    <x v="17"/>
    <x v="1"/>
    <n v="5"/>
    <n v="1149.8399999999999"/>
    <x v="175"/>
    <n v="3627.61"/>
    <n v="2121.59"/>
    <x v="1"/>
    <x v="2"/>
  </r>
  <r>
    <x v="176"/>
    <x v="147"/>
    <x v="2"/>
    <s v="Los Angeles"/>
    <x v="2"/>
    <x v="13"/>
    <x v="2"/>
    <n v="3"/>
    <n v="395.81"/>
    <x v="176"/>
    <n v="653.79999999999995"/>
    <n v="533.63"/>
    <x v="1"/>
    <x v="0"/>
  </r>
  <r>
    <x v="177"/>
    <x v="156"/>
    <x v="0"/>
    <s v="Detroit"/>
    <x v="1"/>
    <x v="8"/>
    <x v="4"/>
    <n v="11"/>
    <n v="737.88"/>
    <x v="177"/>
    <n v="4269.58"/>
    <n v="3847.1"/>
    <x v="0"/>
    <x v="1"/>
  </r>
  <r>
    <x v="178"/>
    <x v="157"/>
    <x v="2"/>
    <s v="Los Angeles"/>
    <x v="1"/>
    <x v="17"/>
    <x v="6"/>
    <n v="23"/>
    <n v="452.62"/>
    <x v="178"/>
    <n v="5802.53"/>
    <n v="4607.7299999999996"/>
    <x v="1"/>
    <x v="1"/>
  </r>
  <r>
    <x v="179"/>
    <x v="158"/>
    <x v="3"/>
    <s v="Miami"/>
    <x v="0"/>
    <x v="0"/>
    <x v="1"/>
    <n v="20"/>
    <n v="59.71"/>
    <x v="179"/>
    <n v="605.19000000000005"/>
    <n v="589.01"/>
    <x v="1"/>
    <x v="0"/>
  </r>
  <r>
    <x v="180"/>
    <x v="62"/>
    <x v="2"/>
    <s v="San Francisco"/>
    <x v="3"/>
    <x v="18"/>
    <x v="4"/>
    <n v="11"/>
    <n v="174.3"/>
    <x v="180"/>
    <n v="1350.11"/>
    <n v="567.19000000000005"/>
    <x v="1"/>
    <x v="0"/>
  </r>
  <r>
    <x v="181"/>
    <x v="63"/>
    <x v="0"/>
    <s v="Milwaukee"/>
    <x v="0"/>
    <x v="10"/>
    <x v="0"/>
    <n v="24"/>
    <n v="8.7899999999999991"/>
    <x v="181"/>
    <n v="118"/>
    <n v="92.96"/>
    <x v="1"/>
    <x v="1"/>
  </r>
  <r>
    <x v="182"/>
    <x v="159"/>
    <x v="3"/>
    <s v="Houston"/>
    <x v="1"/>
    <x v="1"/>
    <x v="7"/>
    <n v="15"/>
    <n v="428.07"/>
    <x v="182"/>
    <n v="2978.82"/>
    <n v="3442.23"/>
    <x v="0"/>
    <x v="2"/>
  </r>
  <r>
    <x v="183"/>
    <x v="160"/>
    <x v="2"/>
    <s v="Los Angeles"/>
    <x v="2"/>
    <x v="12"/>
    <x v="0"/>
    <n v="18"/>
    <n v="345.54"/>
    <x v="183"/>
    <n v="3806.75"/>
    <n v="2412.9699999999998"/>
    <x v="1"/>
    <x v="2"/>
  </r>
  <r>
    <x v="184"/>
    <x v="161"/>
    <x v="2"/>
    <s v="San Francisco"/>
    <x v="0"/>
    <x v="10"/>
    <x v="2"/>
    <n v="20"/>
    <n v="40.82"/>
    <x v="184"/>
    <n v="569.54"/>
    <n v="246.86"/>
    <x v="1"/>
    <x v="0"/>
  </r>
  <r>
    <x v="185"/>
    <x v="162"/>
    <x v="3"/>
    <s v="Miami"/>
    <x v="0"/>
    <x v="10"/>
    <x v="0"/>
    <n v="23"/>
    <n v="57.17"/>
    <x v="185"/>
    <n v="673.16"/>
    <n v="641.75"/>
    <x v="1"/>
    <x v="0"/>
  </r>
  <r>
    <x v="186"/>
    <x v="163"/>
    <x v="1"/>
    <s v="Philadelphia"/>
    <x v="1"/>
    <x v="15"/>
    <x v="1"/>
    <n v="13"/>
    <n v="1068.52"/>
    <x v="186"/>
    <n v="9679.59"/>
    <n v="4211.17"/>
    <x v="0"/>
    <x v="2"/>
  </r>
  <r>
    <x v="187"/>
    <x v="164"/>
    <x v="1"/>
    <s v="New York"/>
    <x v="0"/>
    <x v="4"/>
    <x v="2"/>
    <n v="24"/>
    <n v="40.450000000000003"/>
    <x v="187"/>
    <n v="464.62"/>
    <n v="506.18"/>
    <x v="1"/>
    <x v="0"/>
  </r>
  <r>
    <x v="188"/>
    <x v="165"/>
    <x v="1"/>
    <s v="Boston"/>
    <x v="1"/>
    <x v="15"/>
    <x v="0"/>
    <n v="8"/>
    <n v="94.41"/>
    <x v="188"/>
    <n v="515.48"/>
    <n v="239.8"/>
    <x v="0"/>
    <x v="0"/>
  </r>
  <r>
    <x v="189"/>
    <x v="166"/>
    <x v="0"/>
    <s v="Chicago"/>
    <x v="3"/>
    <x v="16"/>
    <x v="5"/>
    <n v="4"/>
    <n v="175.99"/>
    <x v="189"/>
    <n v="323.73"/>
    <n v="380.23"/>
    <x v="0"/>
    <x v="2"/>
  </r>
  <r>
    <x v="190"/>
    <x v="167"/>
    <x v="2"/>
    <s v="Phoenix"/>
    <x v="2"/>
    <x v="13"/>
    <x v="4"/>
    <n v="10"/>
    <n v="608.64"/>
    <x v="190"/>
    <n v="4158.8500000000004"/>
    <n v="1927.55"/>
    <x v="0"/>
    <x v="0"/>
  </r>
  <r>
    <x v="191"/>
    <x v="168"/>
    <x v="3"/>
    <s v="Houston"/>
    <x v="2"/>
    <x v="21"/>
    <x v="6"/>
    <n v="2"/>
    <n v="896.68"/>
    <x v="191"/>
    <n v="959.68"/>
    <n v="833.68"/>
    <x v="1"/>
    <x v="1"/>
  </r>
  <r>
    <x v="192"/>
    <x v="169"/>
    <x v="1"/>
    <s v="New York"/>
    <x v="1"/>
    <x v="6"/>
    <x v="3"/>
    <n v="11"/>
    <n v="391.1"/>
    <x v="192"/>
    <n v="3040.89"/>
    <n v="1261.21"/>
    <x v="1"/>
    <x v="1"/>
  </r>
  <r>
    <x v="193"/>
    <x v="170"/>
    <x v="2"/>
    <s v="San Francisco"/>
    <x v="2"/>
    <x v="14"/>
    <x v="4"/>
    <n v="6"/>
    <n v="678.52"/>
    <x v="193"/>
    <n v="2475.25"/>
    <n v="1595.87"/>
    <x v="0"/>
    <x v="1"/>
  </r>
  <r>
    <x v="194"/>
    <x v="171"/>
    <x v="1"/>
    <s v="Philadelphia"/>
    <x v="2"/>
    <x v="5"/>
    <x v="1"/>
    <n v="14"/>
    <n v="501.53"/>
    <x v="194"/>
    <n v="3125.61"/>
    <n v="3895.81"/>
    <x v="0"/>
    <x v="1"/>
  </r>
  <r>
    <x v="195"/>
    <x v="172"/>
    <x v="2"/>
    <s v="San Francisco"/>
    <x v="2"/>
    <x v="14"/>
    <x v="2"/>
    <n v="13"/>
    <n v="272.13"/>
    <x v="195"/>
    <n v="2259.13"/>
    <n v="1278.56"/>
    <x v="1"/>
    <x v="2"/>
  </r>
  <r>
    <x v="196"/>
    <x v="173"/>
    <x v="0"/>
    <s v="Minneapolis"/>
    <x v="0"/>
    <x v="10"/>
    <x v="0"/>
    <n v="2"/>
    <n v="54.41"/>
    <x v="196"/>
    <n v="60.39"/>
    <n v="48.43"/>
    <x v="0"/>
    <x v="2"/>
  </r>
  <r>
    <x v="197"/>
    <x v="157"/>
    <x v="1"/>
    <s v="New York"/>
    <x v="0"/>
    <x v="3"/>
    <x v="0"/>
    <n v="8"/>
    <n v="75.84"/>
    <x v="197"/>
    <n v="338.96"/>
    <n v="267.76"/>
    <x v="1"/>
    <x v="0"/>
  </r>
  <r>
    <x v="198"/>
    <x v="139"/>
    <x v="1"/>
    <s v="Washington DC"/>
    <x v="3"/>
    <x v="20"/>
    <x v="0"/>
    <n v="25"/>
    <n v="76.66"/>
    <x v="198"/>
    <n v="1224.4000000000001"/>
    <n v="692.1"/>
    <x v="0"/>
    <x v="0"/>
  </r>
  <r>
    <x v="199"/>
    <x v="147"/>
    <x v="1"/>
    <s v="New York"/>
    <x v="1"/>
    <x v="17"/>
    <x v="0"/>
    <n v="19"/>
    <n v="711.02"/>
    <x v="199"/>
    <n v="6318.55"/>
    <n v="7190.83"/>
    <x v="1"/>
    <x v="1"/>
  </r>
  <r>
    <x v="200"/>
    <x v="174"/>
    <x v="3"/>
    <s v="Dallas"/>
    <x v="1"/>
    <x v="15"/>
    <x v="5"/>
    <n v="2"/>
    <n v="605.4"/>
    <x v="200"/>
    <n v="688.75"/>
    <n v="522.04999999999995"/>
    <x v="1"/>
    <x v="0"/>
  </r>
  <r>
    <x v="201"/>
    <x v="175"/>
    <x v="2"/>
    <s v="San Francisco"/>
    <x v="1"/>
    <x v="8"/>
    <x v="2"/>
    <n v="1"/>
    <n v="976.42"/>
    <x v="201"/>
    <n v="573.85"/>
    <n v="402.57"/>
    <x v="0"/>
    <x v="2"/>
  </r>
  <r>
    <x v="202"/>
    <x v="176"/>
    <x v="0"/>
    <s v="Chicago"/>
    <x v="1"/>
    <x v="8"/>
    <x v="7"/>
    <n v="10"/>
    <n v="548.85"/>
    <x v="202"/>
    <n v="3529.12"/>
    <n v="1959.38"/>
    <x v="1"/>
    <x v="2"/>
  </r>
  <r>
    <x v="203"/>
    <x v="30"/>
    <x v="2"/>
    <s v="Phoenix"/>
    <x v="3"/>
    <x v="18"/>
    <x v="6"/>
    <n v="21"/>
    <n v="217"/>
    <x v="203"/>
    <n v="2070.7199999999998"/>
    <n v="2486.2800000000002"/>
    <x v="1"/>
    <x v="0"/>
  </r>
  <r>
    <x v="204"/>
    <x v="177"/>
    <x v="3"/>
    <s v="Houston"/>
    <x v="1"/>
    <x v="6"/>
    <x v="5"/>
    <n v="22"/>
    <n v="942.53"/>
    <x v="204"/>
    <n v="11259.4"/>
    <n v="9476.26"/>
    <x v="1"/>
    <x v="1"/>
  </r>
  <r>
    <x v="205"/>
    <x v="178"/>
    <x v="2"/>
    <s v="San Francisco"/>
    <x v="2"/>
    <x v="13"/>
    <x v="0"/>
    <n v="24"/>
    <n v="706.7"/>
    <x v="205"/>
    <n v="7282"/>
    <n v="9678.7999999999993"/>
    <x v="1"/>
    <x v="0"/>
  </r>
  <r>
    <x v="206"/>
    <x v="179"/>
    <x v="0"/>
    <s v="Detroit"/>
    <x v="2"/>
    <x v="14"/>
    <x v="3"/>
    <n v="20"/>
    <n v="106.53"/>
    <x v="206"/>
    <n v="1264.21"/>
    <n v="866.39"/>
    <x v="0"/>
    <x v="1"/>
  </r>
  <r>
    <x v="207"/>
    <x v="180"/>
    <x v="0"/>
    <s v="Milwaukee"/>
    <x v="3"/>
    <x v="7"/>
    <x v="0"/>
    <n v="25"/>
    <n v="217.79"/>
    <x v="207"/>
    <n v="2375.92"/>
    <n v="3068.83"/>
    <x v="1"/>
    <x v="1"/>
  </r>
  <r>
    <x v="208"/>
    <x v="181"/>
    <x v="1"/>
    <s v="Philadelphia"/>
    <x v="2"/>
    <x v="13"/>
    <x v="6"/>
    <n v="22"/>
    <n v="506.43"/>
    <x v="208"/>
    <n v="6015.64"/>
    <n v="5125.82"/>
    <x v="1"/>
    <x v="1"/>
  </r>
  <r>
    <x v="209"/>
    <x v="134"/>
    <x v="3"/>
    <s v="Dallas"/>
    <x v="3"/>
    <x v="18"/>
    <x v="4"/>
    <n v="21"/>
    <n v="173.73"/>
    <x v="209"/>
    <n v="2363.69"/>
    <n v="1284.6400000000001"/>
    <x v="1"/>
    <x v="0"/>
  </r>
  <r>
    <x v="210"/>
    <x v="182"/>
    <x v="2"/>
    <s v="Seattle"/>
    <x v="0"/>
    <x v="4"/>
    <x v="6"/>
    <n v="25"/>
    <n v="44.8"/>
    <x v="210"/>
    <n v="548.66999999999996"/>
    <n v="571.33000000000004"/>
    <x v="0"/>
    <x v="2"/>
  </r>
  <r>
    <x v="211"/>
    <x v="183"/>
    <x v="3"/>
    <s v="Dallas"/>
    <x v="1"/>
    <x v="15"/>
    <x v="1"/>
    <n v="14"/>
    <n v="737.19"/>
    <x v="211"/>
    <n v="4736.0200000000004"/>
    <n v="5584.64"/>
    <x v="0"/>
    <x v="2"/>
  </r>
  <r>
    <x v="212"/>
    <x v="184"/>
    <x v="1"/>
    <s v="New York"/>
    <x v="3"/>
    <x v="16"/>
    <x v="3"/>
    <n v="18"/>
    <n v="185.93"/>
    <x v="212"/>
    <n v="1590.5"/>
    <n v="1756.24"/>
    <x v="1"/>
    <x v="2"/>
  </r>
  <r>
    <x v="213"/>
    <x v="185"/>
    <x v="0"/>
    <s v="Chicago"/>
    <x v="2"/>
    <x v="12"/>
    <x v="0"/>
    <n v="16"/>
    <n v="250.29"/>
    <x v="213"/>
    <n v="2735.33"/>
    <n v="1269.31"/>
    <x v="1"/>
    <x v="1"/>
  </r>
  <r>
    <x v="214"/>
    <x v="186"/>
    <x v="3"/>
    <s v="Houston"/>
    <x v="3"/>
    <x v="7"/>
    <x v="0"/>
    <n v="13"/>
    <n v="229.56"/>
    <x v="214"/>
    <n v="1731.19"/>
    <n v="1253.0899999999999"/>
    <x v="1"/>
    <x v="2"/>
  </r>
  <r>
    <x v="215"/>
    <x v="183"/>
    <x v="1"/>
    <s v="Philadelphia"/>
    <x v="0"/>
    <x v="3"/>
    <x v="5"/>
    <n v="15"/>
    <n v="12.29"/>
    <x v="215"/>
    <n v="129.88999999999999"/>
    <n v="54.46"/>
    <x v="1"/>
    <x v="2"/>
  </r>
  <r>
    <x v="216"/>
    <x v="117"/>
    <x v="1"/>
    <s v="Philadelphia"/>
    <x v="3"/>
    <x v="18"/>
    <x v="0"/>
    <n v="24"/>
    <n v="53.41"/>
    <x v="216"/>
    <n v="635.30999999999995"/>
    <n v="646.53"/>
    <x v="1"/>
    <x v="2"/>
  </r>
  <r>
    <x v="217"/>
    <x v="187"/>
    <x v="3"/>
    <s v="Miami"/>
    <x v="2"/>
    <x v="21"/>
    <x v="0"/>
    <n v="16"/>
    <n v="530.53"/>
    <x v="217"/>
    <n v="5887.65"/>
    <n v="2600.83"/>
    <x v="1"/>
    <x v="2"/>
  </r>
  <r>
    <x v="218"/>
    <x v="188"/>
    <x v="2"/>
    <s v="Phoenix"/>
    <x v="3"/>
    <x v="7"/>
    <x v="4"/>
    <n v="6"/>
    <n v="52.04"/>
    <x v="218"/>
    <n v="180.63"/>
    <n v="131.61000000000001"/>
    <x v="0"/>
    <x v="0"/>
  </r>
  <r>
    <x v="219"/>
    <x v="189"/>
    <x v="0"/>
    <s v="Chicago"/>
    <x v="1"/>
    <x v="23"/>
    <x v="7"/>
    <n v="25"/>
    <n v="38.090000000000003"/>
    <x v="219"/>
    <n v="437.91"/>
    <n v="514.34"/>
    <x v="0"/>
    <x v="1"/>
  </r>
  <r>
    <x v="220"/>
    <x v="190"/>
    <x v="3"/>
    <s v="Houston"/>
    <x v="2"/>
    <x v="12"/>
    <x v="5"/>
    <n v="12"/>
    <n v="128.57"/>
    <x v="220"/>
    <n v="933.33"/>
    <n v="609.51"/>
    <x v="1"/>
    <x v="0"/>
  </r>
  <r>
    <x v="221"/>
    <x v="191"/>
    <x v="0"/>
    <s v="Chicago"/>
    <x v="3"/>
    <x v="18"/>
    <x v="7"/>
    <n v="17"/>
    <n v="185.38"/>
    <x v="221"/>
    <n v="1813.24"/>
    <n v="1338.22"/>
    <x v="1"/>
    <x v="1"/>
  </r>
  <r>
    <x v="222"/>
    <x v="162"/>
    <x v="2"/>
    <s v="Seattle"/>
    <x v="1"/>
    <x v="17"/>
    <x v="6"/>
    <n v="8"/>
    <n v="273.55"/>
    <x v="222"/>
    <n v="1253.24"/>
    <n v="935.16"/>
    <x v="1"/>
    <x v="2"/>
  </r>
  <r>
    <x v="223"/>
    <x v="192"/>
    <x v="2"/>
    <s v="Los Angeles"/>
    <x v="0"/>
    <x v="4"/>
    <x v="5"/>
    <n v="19"/>
    <n v="22.99"/>
    <x v="223"/>
    <n v="271.77999999999997"/>
    <n v="165.03"/>
    <x v="1"/>
    <x v="0"/>
  </r>
  <r>
    <x v="224"/>
    <x v="193"/>
    <x v="0"/>
    <s v="Chicago"/>
    <x v="1"/>
    <x v="8"/>
    <x v="1"/>
    <n v="13"/>
    <n v="731.37"/>
    <x v="224"/>
    <n v="4148"/>
    <n v="5359.81"/>
    <x v="0"/>
    <x v="0"/>
  </r>
  <r>
    <x v="225"/>
    <x v="185"/>
    <x v="0"/>
    <s v="Milwaukee"/>
    <x v="3"/>
    <x v="11"/>
    <x v="4"/>
    <n v="19"/>
    <n v="243.81"/>
    <x v="225"/>
    <n v="3253.85"/>
    <n v="1378.54"/>
    <x v="0"/>
    <x v="1"/>
  </r>
  <r>
    <x v="226"/>
    <x v="194"/>
    <x v="2"/>
    <s v="San Francisco"/>
    <x v="1"/>
    <x v="17"/>
    <x v="2"/>
    <n v="18"/>
    <n v="745.09"/>
    <x v="226"/>
    <n v="5760.85"/>
    <n v="7650.77"/>
    <x v="1"/>
    <x v="1"/>
  </r>
  <r>
    <x v="227"/>
    <x v="195"/>
    <x v="3"/>
    <s v="Dallas"/>
    <x v="1"/>
    <x v="6"/>
    <x v="6"/>
    <n v="19"/>
    <n v="335.15"/>
    <x v="227"/>
    <n v="4215.83"/>
    <n v="2152.02"/>
    <x v="1"/>
    <x v="0"/>
  </r>
  <r>
    <x v="228"/>
    <x v="196"/>
    <x v="1"/>
    <s v="Washington DC"/>
    <x v="2"/>
    <x v="2"/>
    <x v="3"/>
    <n v="17"/>
    <n v="690.27"/>
    <x v="228"/>
    <n v="6105.5"/>
    <n v="5629.09"/>
    <x v="0"/>
    <x v="2"/>
  </r>
  <r>
    <x v="229"/>
    <x v="197"/>
    <x v="0"/>
    <s v="Minneapolis"/>
    <x v="3"/>
    <x v="16"/>
    <x v="7"/>
    <n v="21"/>
    <n v="82.58"/>
    <x v="229"/>
    <n v="1227.54"/>
    <n v="506.64"/>
    <x v="1"/>
    <x v="1"/>
  </r>
  <r>
    <x v="230"/>
    <x v="198"/>
    <x v="2"/>
    <s v="Phoenix"/>
    <x v="2"/>
    <x v="2"/>
    <x v="1"/>
    <n v="3"/>
    <n v="712.18"/>
    <x v="230"/>
    <n v="1080.3599999999999"/>
    <n v="1056.18"/>
    <x v="0"/>
    <x v="0"/>
  </r>
  <r>
    <x v="231"/>
    <x v="199"/>
    <x v="0"/>
    <s v="Minneapolis"/>
    <x v="2"/>
    <x v="21"/>
    <x v="6"/>
    <n v="24"/>
    <n v="398.49"/>
    <x v="231"/>
    <n v="5017.18"/>
    <n v="4546.58"/>
    <x v="0"/>
    <x v="1"/>
  </r>
  <r>
    <x v="232"/>
    <x v="200"/>
    <x v="2"/>
    <s v="San Francisco"/>
    <x v="0"/>
    <x v="9"/>
    <x v="6"/>
    <n v="3"/>
    <n v="18.86"/>
    <x v="232"/>
    <n v="31.13"/>
    <n v="25.45"/>
    <x v="1"/>
    <x v="1"/>
  </r>
  <r>
    <x v="233"/>
    <x v="201"/>
    <x v="0"/>
    <s v="Minneapolis"/>
    <x v="1"/>
    <x v="15"/>
    <x v="4"/>
    <n v="13"/>
    <n v="45.65"/>
    <x v="233"/>
    <n v="320.47000000000003"/>
    <n v="272.98"/>
    <x v="0"/>
    <x v="0"/>
  </r>
  <r>
    <x v="234"/>
    <x v="202"/>
    <x v="3"/>
    <s v="Atlanta"/>
    <x v="3"/>
    <x v="7"/>
    <x v="6"/>
    <n v="9"/>
    <n v="88.95"/>
    <x v="234"/>
    <n v="450.71"/>
    <n v="349.84"/>
    <x v="0"/>
    <x v="1"/>
  </r>
  <r>
    <x v="235"/>
    <x v="203"/>
    <x v="1"/>
    <s v="Washington DC"/>
    <x v="0"/>
    <x v="4"/>
    <x v="3"/>
    <n v="12"/>
    <n v="23.62"/>
    <x v="235"/>
    <n v="139.31"/>
    <n v="144.13"/>
    <x v="1"/>
    <x v="0"/>
  </r>
  <r>
    <x v="236"/>
    <x v="204"/>
    <x v="3"/>
    <s v="Dallas"/>
    <x v="1"/>
    <x v="1"/>
    <x v="2"/>
    <n v="1"/>
    <n v="1234.06"/>
    <x v="236"/>
    <n v="637.20000000000005"/>
    <n v="596.86"/>
    <x v="1"/>
    <x v="2"/>
  </r>
  <r>
    <x v="237"/>
    <x v="137"/>
    <x v="1"/>
    <s v="Washington DC"/>
    <x v="2"/>
    <x v="13"/>
    <x v="4"/>
    <n v="20"/>
    <n v="855.77"/>
    <x v="237"/>
    <n v="8185.39"/>
    <n v="8930.01"/>
    <x v="1"/>
    <x v="1"/>
  </r>
  <r>
    <x v="238"/>
    <x v="112"/>
    <x v="1"/>
    <s v="Philadelphia"/>
    <x v="3"/>
    <x v="20"/>
    <x v="0"/>
    <n v="11"/>
    <n v="106.11"/>
    <x v="238"/>
    <n v="766.6"/>
    <n v="400.61"/>
    <x v="1"/>
    <x v="2"/>
  </r>
  <r>
    <x v="239"/>
    <x v="184"/>
    <x v="3"/>
    <s v="Atlanta"/>
    <x v="1"/>
    <x v="23"/>
    <x v="5"/>
    <n v="23"/>
    <n v="296.04000000000002"/>
    <x v="239"/>
    <n v="4434.8500000000004"/>
    <n v="2374.0700000000002"/>
    <x v="0"/>
    <x v="2"/>
  </r>
  <r>
    <x v="240"/>
    <x v="1"/>
    <x v="2"/>
    <s v="Seattle"/>
    <x v="0"/>
    <x v="0"/>
    <x v="2"/>
    <n v="22"/>
    <n v="16.399999999999999"/>
    <x v="240"/>
    <n v="195.81"/>
    <n v="164.99"/>
    <x v="1"/>
    <x v="1"/>
  </r>
  <r>
    <x v="241"/>
    <x v="205"/>
    <x v="2"/>
    <s v="Phoenix"/>
    <x v="3"/>
    <x v="20"/>
    <x v="7"/>
    <n v="12"/>
    <n v="180.67"/>
    <x v="241"/>
    <n v="1421.29"/>
    <n v="746.75"/>
    <x v="0"/>
    <x v="1"/>
  </r>
  <r>
    <x v="242"/>
    <x v="206"/>
    <x v="3"/>
    <s v="Miami"/>
    <x v="2"/>
    <x v="2"/>
    <x v="7"/>
    <n v="19"/>
    <n v="885.56"/>
    <x v="242"/>
    <n v="10372.450000000001"/>
    <n v="6453.19"/>
    <x v="1"/>
    <x v="2"/>
  </r>
  <r>
    <x v="243"/>
    <x v="207"/>
    <x v="2"/>
    <s v="Los Angeles"/>
    <x v="1"/>
    <x v="17"/>
    <x v="2"/>
    <n v="8"/>
    <n v="678.04"/>
    <x v="243"/>
    <n v="3094.31"/>
    <n v="2330.0100000000002"/>
    <x v="0"/>
    <x v="2"/>
  </r>
  <r>
    <x v="244"/>
    <x v="131"/>
    <x v="2"/>
    <s v="Phoenix"/>
    <x v="2"/>
    <x v="13"/>
    <x v="7"/>
    <n v="16"/>
    <n v="164.73"/>
    <x v="244"/>
    <n v="1424.94"/>
    <n v="1210.74"/>
    <x v="0"/>
    <x v="1"/>
  </r>
  <r>
    <x v="245"/>
    <x v="82"/>
    <x v="3"/>
    <s v="Miami"/>
    <x v="0"/>
    <x v="3"/>
    <x v="5"/>
    <n v="7"/>
    <n v="43.56"/>
    <x v="245"/>
    <n v="158.87"/>
    <n v="146.05000000000001"/>
    <x v="0"/>
    <x v="2"/>
  </r>
  <r>
    <x v="246"/>
    <x v="208"/>
    <x v="2"/>
    <s v="San Francisco"/>
    <x v="1"/>
    <x v="6"/>
    <x v="7"/>
    <n v="23"/>
    <n v="176.03"/>
    <x v="246"/>
    <n v="2697.49"/>
    <n v="1351.2"/>
    <x v="0"/>
    <x v="0"/>
  </r>
  <r>
    <x v="247"/>
    <x v="209"/>
    <x v="3"/>
    <s v="Atlanta"/>
    <x v="2"/>
    <x v="12"/>
    <x v="6"/>
    <n v="11"/>
    <n v="538.08000000000004"/>
    <x v="247"/>
    <n v="4131.1099999999997"/>
    <n v="1787.77"/>
    <x v="0"/>
    <x v="2"/>
  </r>
  <r>
    <x v="248"/>
    <x v="210"/>
    <x v="3"/>
    <s v="Atlanta"/>
    <x v="3"/>
    <x v="19"/>
    <x v="7"/>
    <n v="24"/>
    <n v="160.63"/>
    <x v="248"/>
    <n v="1839.76"/>
    <n v="2015.36"/>
    <x v="1"/>
    <x v="2"/>
  </r>
  <r>
    <x v="249"/>
    <x v="211"/>
    <x v="3"/>
    <s v="Atlanta"/>
    <x v="0"/>
    <x v="10"/>
    <x v="3"/>
    <n v="19"/>
    <n v="12.52"/>
    <x v="249"/>
    <n v="160.06"/>
    <n v="77.819999999999993"/>
    <x v="0"/>
    <x v="2"/>
  </r>
  <r>
    <x v="250"/>
    <x v="212"/>
    <x v="3"/>
    <s v="Dallas"/>
    <x v="1"/>
    <x v="6"/>
    <x v="5"/>
    <n v="17"/>
    <n v="1255.75"/>
    <x v="250"/>
    <n v="10906.29"/>
    <n v="10441.459999999999"/>
    <x v="1"/>
    <x v="0"/>
  </r>
  <r>
    <x v="251"/>
    <x v="213"/>
    <x v="0"/>
    <s v="Minneapolis"/>
    <x v="0"/>
    <x v="4"/>
    <x v="6"/>
    <n v="22"/>
    <n v="57.24"/>
    <x v="251"/>
    <n v="637.52"/>
    <n v="621.76"/>
    <x v="0"/>
    <x v="0"/>
  </r>
  <r>
    <x v="252"/>
    <x v="214"/>
    <x v="1"/>
    <s v="New York"/>
    <x v="2"/>
    <x v="13"/>
    <x v="3"/>
    <n v="6"/>
    <n v="385.11"/>
    <x v="252"/>
    <n v="1065.2"/>
    <n v="1245.46"/>
    <x v="1"/>
    <x v="2"/>
  </r>
  <r>
    <x v="253"/>
    <x v="215"/>
    <x v="3"/>
    <s v="Dallas"/>
    <x v="3"/>
    <x v="7"/>
    <x v="5"/>
    <n v="21"/>
    <n v="143.06"/>
    <x v="253"/>
    <n v="2062.59"/>
    <n v="941.67"/>
    <x v="0"/>
    <x v="0"/>
  </r>
  <r>
    <x v="254"/>
    <x v="216"/>
    <x v="2"/>
    <s v="San Francisco"/>
    <x v="2"/>
    <x v="5"/>
    <x v="4"/>
    <n v="15"/>
    <n v="586.91999999999996"/>
    <x v="254"/>
    <n v="5907.36"/>
    <n v="2896.44"/>
    <x v="0"/>
    <x v="2"/>
  </r>
  <r>
    <x v="255"/>
    <x v="217"/>
    <x v="3"/>
    <s v="Dallas"/>
    <x v="3"/>
    <x v="19"/>
    <x v="5"/>
    <n v="14"/>
    <n v="182.62"/>
    <x v="255"/>
    <n v="1402.89"/>
    <n v="1153.79"/>
    <x v="0"/>
    <x v="1"/>
  </r>
  <r>
    <x v="256"/>
    <x v="96"/>
    <x v="0"/>
    <s v="Detroit"/>
    <x v="0"/>
    <x v="9"/>
    <x v="2"/>
    <n v="8"/>
    <n v="44.78"/>
    <x v="256"/>
    <n v="167.94"/>
    <n v="190.3"/>
    <x v="1"/>
    <x v="0"/>
  </r>
  <r>
    <x v="257"/>
    <x v="218"/>
    <x v="2"/>
    <s v="Los Angeles"/>
    <x v="1"/>
    <x v="6"/>
    <x v="4"/>
    <n v="18"/>
    <n v="1073.8900000000001"/>
    <x v="257"/>
    <n v="8351.86"/>
    <n v="10978.16"/>
    <x v="1"/>
    <x v="0"/>
  </r>
  <r>
    <x v="258"/>
    <x v="152"/>
    <x v="2"/>
    <s v="Los Angeles"/>
    <x v="2"/>
    <x v="13"/>
    <x v="7"/>
    <n v="15"/>
    <n v="294.51"/>
    <x v="258"/>
    <n v="2959.99"/>
    <n v="1457.66"/>
    <x v="0"/>
    <x v="2"/>
  </r>
  <r>
    <x v="259"/>
    <x v="219"/>
    <x v="0"/>
    <s v="Detroit"/>
    <x v="2"/>
    <x v="2"/>
    <x v="4"/>
    <n v="23"/>
    <n v="579.41"/>
    <x v="259"/>
    <n v="7251.82"/>
    <n v="6074.61"/>
    <x v="0"/>
    <x v="1"/>
  </r>
  <r>
    <x v="260"/>
    <x v="220"/>
    <x v="3"/>
    <s v="Houston"/>
    <x v="0"/>
    <x v="22"/>
    <x v="2"/>
    <n v="20"/>
    <n v="44.86"/>
    <x v="260"/>
    <n v="461.03"/>
    <n v="436.17"/>
    <x v="1"/>
    <x v="2"/>
  </r>
  <r>
    <x v="261"/>
    <x v="221"/>
    <x v="1"/>
    <s v="New York"/>
    <x v="2"/>
    <x v="21"/>
    <x v="7"/>
    <n v="9"/>
    <n v="789.98"/>
    <x v="261"/>
    <n v="3247.75"/>
    <n v="3862.07"/>
    <x v="0"/>
    <x v="1"/>
  </r>
  <r>
    <x v="262"/>
    <x v="222"/>
    <x v="1"/>
    <s v="Boston"/>
    <x v="3"/>
    <x v="19"/>
    <x v="6"/>
    <n v="19"/>
    <n v="164.82"/>
    <x v="262"/>
    <n v="1885.42"/>
    <n v="1246.1600000000001"/>
    <x v="1"/>
    <x v="2"/>
  </r>
  <r>
    <x v="263"/>
    <x v="223"/>
    <x v="0"/>
    <s v="Milwaukee"/>
    <x v="0"/>
    <x v="10"/>
    <x v="4"/>
    <n v="15"/>
    <n v="75.319999999999993"/>
    <x v="263"/>
    <n v="581.75"/>
    <n v="548.04999999999995"/>
    <x v="0"/>
    <x v="0"/>
  </r>
  <r>
    <x v="264"/>
    <x v="70"/>
    <x v="2"/>
    <s v="San Francisco"/>
    <x v="1"/>
    <x v="15"/>
    <x v="1"/>
    <n v="7"/>
    <n v="1258.55"/>
    <x v="264"/>
    <n v="5807.5"/>
    <n v="3002.35"/>
    <x v="1"/>
    <x v="2"/>
  </r>
  <r>
    <x v="265"/>
    <x v="224"/>
    <x v="1"/>
    <s v="Philadelphia"/>
    <x v="2"/>
    <x v="12"/>
    <x v="5"/>
    <n v="11"/>
    <n v="812.21"/>
    <x v="265"/>
    <n v="5727.37"/>
    <n v="3206.94"/>
    <x v="0"/>
    <x v="1"/>
  </r>
  <r>
    <x v="266"/>
    <x v="225"/>
    <x v="2"/>
    <s v="Los Angeles"/>
    <x v="1"/>
    <x v="1"/>
    <x v="5"/>
    <n v="15"/>
    <n v="30.85"/>
    <x v="266"/>
    <n v="322.92"/>
    <n v="139.83000000000001"/>
    <x v="0"/>
    <x v="0"/>
  </r>
  <r>
    <x v="267"/>
    <x v="24"/>
    <x v="1"/>
    <s v="Boston"/>
    <x v="0"/>
    <x v="9"/>
    <x v="4"/>
    <n v="9"/>
    <n v="11.09"/>
    <x v="267"/>
    <n v="61.15"/>
    <n v="38.659999999999997"/>
    <x v="0"/>
    <x v="1"/>
  </r>
  <r>
    <x v="268"/>
    <x v="226"/>
    <x v="1"/>
    <s v="Boston"/>
    <x v="3"/>
    <x v="11"/>
    <x v="3"/>
    <n v="23"/>
    <n v="41.79"/>
    <x v="268"/>
    <n v="463.18"/>
    <n v="497.99"/>
    <x v="0"/>
    <x v="1"/>
  </r>
  <r>
    <x v="269"/>
    <x v="227"/>
    <x v="3"/>
    <s v="Dallas"/>
    <x v="1"/>
    <x v="17"/>
    <x v="4"/>
    <n v="4"/>
    <n v="1283.97"/>
    <x v="269"/>
    <n v="2786.07"/>
    <n v="2349.81"/>
    <x v="0"/>
    <x v="2"/>
  </r>
  <r>
    <x v="270"/>
    <x v="228"/>
    <x v="3"/>
    <s v="Dallas"/>
    <x v="1"/>
    <x v="23"/>
    <x v="3"/>
    <n v="4"/>
    <n v="427.64"/>
    <x v="270"/>
    <n v="1155.46"/>
    <n v="555.1"/>
    <x v="0"/>
    <x v="2"/>
  </r>
  <r>
    <x v="271"/>
    <x v="168"/>
    <x v="3"/>
    <s v="Atlanta"/>
    <x v="1"/>
    <x v="15"/>
    <x v="7"/>
    <n v="20"/>
    <n v="854.87"/>
    <x v="271"/>
    <n v="9363.0300000000007"/>
    <n v="7734.37"/>
    <x v="0"/>
    <x v="0"/>
  </r>
  <r>
    <x v="272"/>
    <x v="229"/>
    <x v="3"/>
    <s v="Dallas"/>
    <x v="3"/>
    <x v="7"/>
    <x v="3"/>
    <n v="4"/>
    <n v="52.05"/>
    <x v="272"/>
    <n v="94.88"/>
    <n v="113.32"/>
    <x v="1"/>
    <x v="2"/>
  </r>
  <r>
    <x v="273"/>
    <x v="230"/>
    <x v="1"/>
    <s v="Boston"/>
    <x v="2"/>
    <x v="13"/>
    <x v="3"/>
    <n v="8"/>
    <n v="532.79"/>
    <x v="273"/>
    <n v="2531.83"/>
    <n v="1730.49"/>
    <x v="1"/>
    <x v="0"/>
  </r>
  <r>
    <x v="274"/>
    <x v="231"/>
    <x v="1"/>
    <s v="Boston"/>
    <x v="2"/>
    <x v="2"/>
    <x v="1"/>
    <n v="10"/>
    <n v="608.86"/>
    <x v="274"/>
    <n v="3941.17"/>
    <n v="2147.4299999999998"/>
    <x v="0"/>
    <x v="2"/>
  </r>
  <r>
    <x v="275"/>
    <x v="225"/>
    <x v="0"/>
    <s v="Detroit"/>
    <x v="3"/>
    <x v="11"/>
    <x v="3"/>
    <n v="17"/>
    <n v="223.52"/>
    <x v="275"/>
    <n v="1609.23"/>
    <n v="2190.61"/>
    <x v="1"/>
    <x v="2"/>
  </r>
  <r>
    <x v="276"/>
    <x v="232"/>
    <x v="2"/>
    <s v="Phoenix"/>
    <x v="0"/>
    <x v="22"/>
    <x v="6"/>
    <n v="25"/>
    <n v="39.85"/>
    <x v="276"/>
    <n v="703.69"/>
    <n v="292.56"/>
    <x v="0"/>
    <x v="1"/>
  </r>
  <r>
    <x v="277"/>
    <x v="233"/>
    <x v="0"/>
    <s v="Chicago"/>
    <x v="0"/>
    <x v="0"/>
    <x v="7"/>
    <n v="2"/>
    <n v="75.2"/>
    <x v="277"/>
    <n v="80.53"/>
    <n v="69.87"/>
    <x v="1"/>
    <x v="0"/>
  </r>
  <r>
    <x v="278"/>
    <x v="234"/>
    <x v="2"/>
    <s v="Phoenix"/>
    <x v="3"/>
    <x v="18"/>
    <x v="6"/>
    <n v="9"/>
    <n v="39.130000000000003"/>
    <x v="278"/>
    <n v="155.97999999999999"/>
    <n v="196.19"/>
    <x v="0"/>
    <x v="1"/>
  </r>
  <r>
    <x v="279"/>
    <x v="235"/>
    <x v="1"/>
    <s v="Washington DC"/>
    <x v="1"/>
    <x v="6"/>
    <x v="1"/>
    <n v="24"/>
    <n v="1239.9000000000001"/>
    <x v="279"/>
    <n v="14557.56"/>
    <n v="15200.04"/>
    <x v="0"/>
    <x v="1"/>
  </r>
  <r>
    <x v="280"/>
    <x v="236"/>
    <x v="0"/>
    <s v="Milwaukee"/>
    <x v="1"/>
    <x v="6"/>
    <x v="6"/>
    <n v="4"/>
    <n v="46.06"/>
    <x v="280"/>
    <n v="84.71"/>
    <n v="99.53"/>
    <x v="0"/>
    <x v="1"/>
  </r>
  <r>
    <x v="281"/>
    <x v="237"/>
    <x v="1"/>
    <s v="Philadelphia"/>
    <x v="2"/>
    <x v="13"/>
    <x v="6"/>
    <n v="24"/>
    <n v="719.52"/>
    <x v="281"/>
    <n v="8598.7000000000007"/>
    <n v="8669.7800000000007"/>
    <x v="0"/>
    <x v="1"/>
  </r>
  <r>
    <x v="282"/>
    <x v="215"/>
    <x v="2"/>
    <s v="San Francisco"/>
    <x v="1"/>
    <x v="6"/>
    <x v="3"/>
    <n v="16"/>
    <n v="607.64"/>
    <x v="282"/>
    <n v="5098.6899999999996"/>
    <n v="4623.55"/>
    <x v="1"/>
    <x v="0"/>
  </r>
  <r>
    <x v="283"/>
    <x v="238"/>
    <x v="1"/>
    <s v="Boston"/>
    <x v="0"/>
    <x v="9"/>
    <x v="3"/>
    <n v="8"/>
    <n v="59.82"/>
    <x v="283"/>
    <n v="201.35"/>
    <n v="277.20999999999998"/>
    <x v="0"/>
    <x v="1"/>
  </r>
  <r>
    <x v="284"/>
    <x v="80"/>
    <x v="2"/>
    <s v="San Francisco"/>
    <x v="3"/>
    <x v="7"/>
    <x v="6"/>
    <n v="2"/>
    <n v="146.6"/>
    <x v="284"/>
    <n v="200.86"/>
    <n v="92.34"/>
    <x v="1"/>
    <x v="1"/>
  </r>
  <r>
    <x v="285"/>
    <x v="239"/>
    <x v="3"/>
    <s v="Dallas"/>
    <x v="0"/>
    <x v="3"/>
    <x v="3"/>
    <n v="19"/>
    <n v="32.58"/>
    <x v="285"/>
    <n v="350.11"/>
    <n v="268.91000000000003"/>
    <x v="0"/>
    <x v="1"/>
  </r>
  <r>
    <x v="286"/>
    <x v="240"/>
    <x v="0"/>
    <s v="Milwaukee"/>
    <x v="1"/>
    <x v="8"/>
    <x v="2"/>
    <n v="25"/>
    <n v="1102.1099999999999"/>
    <x v="286"/>
    <n v="14187.39"/>
    <n v="13365.36"/>
    <x v="1"/>
    <x v="1"/>
  </r>
  <r>
    <x v="287"/>
    <x v="241"/>
    <x v="3"/>
    <s v="Miami"/>
    <x v="0"/>
    <x v="10"/>
    <x v="0"/>
    <n v="15"/>
    <n v="32.25"/>
    <x v="287"/>
    <n v="339.51"/>
    <n v="144.24"/>
    <x v="0"/>
    <x v="0"/>
  </r>
  <r>
    <x v="288"/>
    <x v="242"/>
    <x v="3"/>
    <s v="Atlanta"/>
    <x v="1"/>
    <x v="8"/>
    <x v="7"/>
    <n v="8"/>
    <n v="717.22"/>
    <x v="288"/>
    <n v="3468.03"/>
    <n v="2269.73"/>
    <x v="0"/>
    <x v="2"/>
  </r>
  <r>
    <x v="289"/>
    <x v="243"/>
    <x v="2"/>
    <s v="San Francisco"/>
    <x v="1"/>
    <x v="1"/>
    <x v="0"/>
    <n v="14"/>
    <n v="654.38"/>
    <x v="289"/>
    <n v="4006.88"/>
    <n v="5154.4399999999996"/>
    <x v="0"/>
    <x v="0"/>
  </r>
  <r>
    <x v="290"/>
    <x v="244"/>
    <x v="0"/>
    <s v="Chicago"/>
    <x v="2"/>
    <x v="12"/>
    <x v="1"/>
    <n v="23"/>
    <n v="813.37"/>
    <x v="290"/>
    <n v="10344.370000000001"/>
    <n v="8363.14"/>
    <x v="0"/>
    <x v="0"/>
  </r>
  <r>
    <x v="291"/>
    <x v="169"/>
    <x v="3"/>
    <s v="Dallas"/>
    <x v="1"/>
    <x v="15"/>
    <x v="7"/>
    <n v="14"/>
    <n v="870.64"/>
    <x v="291"/>
    <n v="5581.39"/>
    <n v="6607.57"/>
    <x v="1"/>
    <x v="2"/>
  </r>
  <r>
    <x v="292"/>
    <x v="245"/>
    <x v="1"/>
    <s v="Washington DC"/>
    <x v="0"/>
    <x v="3"/>
    <x v="5"/>
    <n v="9"/>
    <n v="22.28"/>
    <x v="292"/>
    <n v="139.09"/>
    <n v="61.43"/>
    <x v="0"/>
    <x v="0"/>
  </r>
  <r>
    <x v="293"/>
    <x v="199"/>
    <x v="3"/>
    <s v="Houston"/>
    <x v="2"/>
    <x v="21"/>
    <x v="5"/>
    <n v="11"/>
    <n v="412.34"/>
    <x v="293"/>
    <n v="2609.9499999999998"/>
    <n v="1925.79"/>
    <x v="0"/>
    <x v="2"/>
  </r>
  <r>
    <x v="294"/>
    <x v="246"/>
    <x v="2"/>
    <s v="San Francisco"/>
    <x v="1"/>
    <x v="17"/>
    <x v="6"/>
    <n v="22"/>
    <n v="416.04"/>
    <x v="294"/>
    <n v="5714.73"/>
    <n v="3438.15"/>
    <x v="0"/>
    <x v="1"/>
  </r>
  <r>
    <x v="295"/>
    <x v="247"/>
    <x v="1"/>
    <s v="Boston"/>
    <x v="1"/>
    <x v="23"/>
    <x v="0"/>
    <n v="12"/>
    <n v="532.83000000000004"/>
    <x v="295"/>
    <n v="2776.23"/>
    <n v="3617.73"/>
    <x v="1"/>
    <x v="2"/>
  </r>
  <r>
    <x v="296"/>
    <x v="248"/>
    <x v="3"/>
    <s v="Houston"/>
    <x v="3"/>
    <x v="19"/>
    <x v="0"/>
    <n v="4"/>
    <n v="125.8"/>
    <x v="296"/>
    <n v="328.66"/>
    <n v="174.54"/>
    <x v="0"/>
    <x v="1"/>
  </r>
  <r>
    <x v="297"/>
    <x v="249"/>
    <x v="0"/>
    <s v="Detroit"/>
    <x v="2"/>
    <x v="5"/>
    <x v="1"/>
    <n v="12"/>
    <n v="641.75"/>
    <x v="297"/>
    <n v="5328.3"/>
    <n v="2372.6999999999998"/>
    <x v="0"/>
    <x v="0"/>
  </r>
  <r>
    <x v="298"/>
    <x v="163"/>
    <x v="1"/>
    <s v="New York"/>
    <x v="1"/>
    <x v="17"/>
    <x v="0"/>
    <n v="21"/>
    <n v="592.71"/>
    <x v="298"/>
    <n v="5692.59"/>
    <n v="6754.32"/>
    <x v="1"/>
    <x v="1"/>
  </r>
  <r>
    <x v="299"/>
    <x v="250"/>
    <x v="2"/>
    <s v="Los Angeles"/>
    <x v="2"/>
    <x v="12"/>
    <x v="1"/>
    <n v="24"/>
    <n v="402.9"/>
    <x v="299"/>
    <n v="4143.91"/>
    <n v="5525.69"/>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209C2B-8EF1-4766-BE3A-499D8061A319}" name="PivotTable14" cacheId="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21:D126" firstHeaderRow="0" firstDataRow="1" firstDataCol="1"/>
  <pivotFields count="18">
    <pivotField showAll="0"/>
    <pivotField numFmtId="164" showAll="0">
      <items count="252">
        <item x="242"/>
        <item x="210"/>
        <item x="86"/>
        <item x="248"/>
        <item x="153"/>
        <item x="200"/>
        <item x="230"/>
        <item x="16"/>
        <item x="73"/>
        <item x="163"/>
        <item x="136"/>
        <item x="155"/>
        <item x="238"/>
        <item x="18"/>
        <item x="113"/>
        <item x="174"/>
        <item x="44"/>
        <item x="95"/>
        <item x="15"/>
        <item x="227"/>
        <item x="198"/>
        <item x="66"/>
        <item x="222"/>
        <item x="102"/>
        <item x="98"/>
        <item x="2"/>
        <item x="223"/>
        <item x="244"/>
        <item x="90"/>
        <item x="121"/>
        <item x="245"/>
        <item x="133"/>
        <item x="112"/>
        <item x="50"/>
        <item x="69"/>
        <item x="30"/>
        <item x="225"/>
        <item x="213"/>
        <item x="216"/>
        <item x="171"/>
        <item x="140"/>
        <item x="221"/>
        <item x="43"/>
        <item x="117"/>
        <item x="141"/>
        <item x="111"/>
        <item x="76"/>
        <item x="215"/>
        <item x="193"/>
        <item x="160"/>
        <item x="99"/>
        <item x="85"/>
        <item x="54"/>
        <item x="21"/>
        <item x="183"/>
        <item x="194"/>
        <item x="149"/>
        <item x="185"/>
        <item x="56"/>
        <item x="60"/>
        <item x="218"/>
        <item x="40"/>
        <item x="129"/>
        <item x="239"/>
        <item x="130"/>
        <item x="125"/>
        <item x="196"/>
        <item x="165"/>
        <item x="97"/>
        <item x="145"/>
        <item x="177"/>
        <item x="64"/>
        <item x="87"/>
        <item x="135"/>
        <item x="105"/>
        <item x="35"/>
        <item x="75"/>
        <item x="48"/>
        <item x="142"/>
        <item x="243"/>
        <item x="27"/>
        <item x="58"/>
        <item x="88"/>
        <item x="161"/>
        <item x="199"/>
        <item x="146"/>
        <item x="51"/>
        <item x="36"/>
        <item x="118"/>
        <item x="80"/>
        <item x="70"/>
        <item x="12"/>
        <item x="6"/>
        <item x="211"/>
        <item x="237"/>
        <item x="126"/>
        <item x="110"/>
        <item x="175"/>
        <item x="144"/>
        <item x="250"/>
        <item x="197"/>
        <item x="93"/>
        <item x="240"/>
        <item x="122"/>
        <item x="207"/>
        <item x="20"/>
        <item x="94"/>
        <item x="176"/>
        <item x="231"/>
        <item x="212"/>
        <item x="24"/>
        <item x="114"/>
        <item x="137"/>
        <item x="72"/>
        <item x="39"/>
        <item x="91"/>
        <item x="134"/>
        <item x="37"/>
        <item x="0"/>
        <item x="47"/>
        <item x="229"/>
        <item x="235"/>
        <item x="202"/>
        <item x="115"/>
        <item x="127"/>
        <item x="204"/>
        <item x="29"/>
        <item x="139"/>
        <item x="1"/>
        <item x="104"/>
        <item x="150"/>
        <item x="186"/>
        <item x="71"/>
        <item x="42"/>
        <item x="190"/>
        <item x="236"/>
        <item x="159"/>
        <item x="191"/>
        <item x="119"/>
        <item x="78"/>
        <item x="116"/>
        <item x="100"/>
        <item x="61"/>
        <item x="234"/>
        <item x="25"/>
        <item x="14"/>
        <item x="195"/>
        <item x="241"/>
        <item x="3"/>
        <item x="106"/>
        <item x="181"/>
        <item x="201"/>
        <item x="217"/>
        <item x="65"/>
        <item x="220"/>
        <item x="167"/>
        <item x="79"/>
        <item x="148"/>
        <item x="172"/>
        <item x="8"/>
        <item x="249"/>
        <item x="232"/>
        <item x="226"/>
        <item x="120"/>
        <item x="214"/>
        <item x="103"/>
        <item x="107"/>
        <item x="156"/>
        <item x="157"/>
        <item x="89"/>
        <item x="41"/>
        <item x="203"/>
        <item x="224"/>
        <item x="9"/>
        <item x="209"/>
        <item x="28"/>
        <item x="188"/>
        <item x="101"/>
        <item x="49"/>
        <item x="19"/>
        <item x="166"/>
        <item x="7"/>
        <item x="109"/>
        <item x="81"/>
        <item x="124"/>
        <item x="184"/>
        <item x="123"/>
        <item x="46"/>
        <item x="147"/>
        <item x="5"/>
        <item x="173"/>
        <item x="164"/>
        <item x="52"/>
        <item x="59"/>
        <item x="189"/>
        <item x="233"/>
        <item x="77"/>
        <item x="57"/>
        <item x="10"/>
        <item x="82"/>
        <item x="132"/>
        <item x="13"/>
        <item x="170"/>
        <item x="179"/>
        <item x="96"/>
        <item x="84"/>
        <item x="168"/>
        <item x="45"/>
        <item x="11"/>
        <item x="187"/>
        <item x="178"/>
        <item x="205"/>
        <item x="34"/>
        <item x="228"/>
        <item x="143"/>
        <item x="128"/>
        <item x="17"/>
        <item x="162"/>
        <item x="206"/>
        <item x="138"/>
        <item x="208"/>
        <item x="32"/>
        <item x="26"/>
        <item x="219"/>
        <item x="180"/>
        <item x="33"/>
        <item x="38"/>
        <item x="247"/>
        <item x="63"/>
        <item x="92"/>
        <item x="68"/>
        <item x="192"/>
        <item x="158"/>
        <item x="131"/>
        <item x="246"/>
        <item x="108"/>
        <item x="53"/>
        <item x="169"/>
        <item x="83"/>
        <item x="22"/>
        <item x="182"/>
        <item x="67"/>
        <item x="151"/>
        <item x="152"/>
        <item x="4"/>
        <item x="74"/>
        <item x="62"/>
        <item x="55"/>
        <item x="154"/>
        <item x="31"/>
        <item x="23"/>
        <item t="default"/>
      </items>
    </pivotField>
    <pivotField showAll="0"/>
    <pivotField showAll="0"/>
    <pivotField axis="axisRow" showAll="0">
      <items count="5">
        <item x="3"/>
        <item x="1"/>
        <item x="2"/>
        <item x="0"/>
        <item t="default"/>
      </items>
    </pivotField>
    <pivotField showAll="0"/>
    <pivotField showAll="0"/>
    <pivotField numFmtId="1" showAll="0"/>
    <pivotField numFmtId="165" showAll="0"/>
    <pivotField dataField="1" numFmtId="165" showAll="0"/>
    <pivotField numFmtId="165" showAll="0"/>
    <pivotField dataField="1" numFmtId="165" showAll="0"/>
    <pivotField showAll="0"/>
    <pivotField showAll="0"/>
    <pivotField showAll="0" defaultSubtotal="0"/>
    <pivotField showAll="0" defaultSubtotal="0"/>
    <pivotField showAll="0" defaultSubtotal="0">
      <items count="5">
        <item x="0"/>
        <item x="1"/>
        <item x="2"/>
        <item x="3"/>
        <item x="4"/>
      </items>
    </pivotField>
    <pivotField dataField="1" dragToRow="0" dragToCol="0" dragToPage="0" showAll="0" defaultSubtotal="0"/>
  </pivotFields>
  <rowFields count="1">
    <field x="4"/>
  </rowFields>
  <rowItems count="5">
    <i>
      <x/>
    </i>
    <i>
      <x v="1"/>
    </i>
    <i>
      <x v="2"/>
    </i>
    <i>
      <x v="3"/>
    </i>
    <i t="grand">
      <x/>
    </i>
  </rowItems>
  <colFields count="1">
    <field x="-2"/>
  </colFields>
  <colItems count="3">
    <i>
      <x/>
    </i>
    <i i="1">
      <x v="1"/>
    </i>
    <i i="2">
      <x v="2"/>
    </i>
  </colItems>
  <dataFields count="3">
    <dataField name="Sum of Profit" fld="11" baseField="0" baseItem="0" numFmtId="165"/>
    <dataField name="Sum of Revenue" fld="9" baseField="0" baseItem="0" numFmtId="165"/>
    <dataField name="Sum of ProfitMargin%" fld="17" baseField="0" baseItem="0" numFmtId="10"/>
  </dataFields>
  <formats count="2">
    <format dxfId="4">
      <pivotArea outline="0" collapsedLevelsAreSubtotals="1" fieldPosition="0"/>
    </format>
    <format dxfId="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C262DD-9713-4EC1-9925-4B5CD855CAC1}"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0:D51" firstHeaderRow="0" firstDataRow="1" firstDataCol="1"/>
  <pivotFields count="18">
    <pivotField showAll="0"/>
    <pivotField numFmtId="164" showAll="0">
      <items count="252">
        <item x="242"/>
        <item x="210"/>
        <item x="86"/>
        <item x="248"/>
        <item x="153"/>
        <item x="200"/>
        <item x="230"/>
        <item x="16"/>
        <item x="73"/>
        <item x="163"/>
        <item x="136"/>
        <item x="155"/>
        <item x="238"/>
        <item x="18"/>
        <item x="113"/>
        <item x="174"/>
        <item x="44"/>
        <item x="95"/>
        <item x="15"/>
        <item x="227"/>
        <item x="198"/>
        <item x="66"/>
        <item x="222"/>
        <item x="102"/>
        <item x="98"/>
        <item x="2"/>
        <item x="223"/>
        <item x="244"/>
        <item x="90"/>
        <item x="121"/>
        <item x="245"/>
        <item x="133"/>
        <item x="112"/>
        <item x="50"/>
        <item x="69"/>
        <item x="30"/>
        <item x="225"/>
        <item x="213"/>
        <item x="216"/>
        <item x="171"/>
        <item x="140"/>
        <item x="221"/>
        <item x="43"/>
        <item x="117"/>
        <item x="141"/>
        <item x="111"/>
        <item x="76"/>
        <item x="215"/>
        <item x="193"/>
        <item x="160"/>
        <item x="99"/>
        <item x="85"/>
        <item x="54"/>
        <item x="21"/>
        <item x="183"/>
        <item x="194"/>
        <item x="149"/>
        <item x="185"/>
        <item x="56"/>
        <item x="60"/>
        <item x="218"/>
        <item x="40"/>
        <item x="129"/>
        <item x="239"/>
        <item x="130"/>
        <item x="125"/>
        <item x="196"/>
        <item x="165"/>
        <item x="97"/>
        <item x="145"/>
        <item x="177"/>
        <item x="64"/>
        <item x="87"/>
        <item x="135"/>
        <item x="105"/>
        <item x="35"/>
        <item x="75"/>
        <item x="48"/>
        <item x="142"/>
        <item x="243"/>
        <item x="27"/>
        <item x="58"/>
        <item x="88"/>
        <item x="161"/>
        <item x="199"/>
        <item x="146"/>
        <item x="51"/>
        <item x="36"/>
        <item x="118"/>
        <item x="80"/>
        <item x="70"/>
        <item x="12"/>
        <item x="6"/>
        <item x="211"/>
        <item x="237"/>
        <item x="126"/>
        <item x="110"/>
        <item x="175"/>
        <item x="144"/>
        <item x="250"/>
        <item x="197"/>
        <item x="93"/>
        <item x="240"/>
        <item x="122"/>
        <item x="207"/>
        <item x="20"/>
        <item x="94"/>
        <item x="176"/>
        <item x="231"/>
        <item x="212"/>
        <item x="24"/>
        <item x="114"/>
        <item x="137"/>
        <item x="72"/>
        <item x="39"/>
        <item x="91"/>
        <item x="134"/>
        <item x="37"/>
        <item x="0"/>
        <item x="47"/>
        <item x="229"/>
        <item x="235"/>
        <item x="202"/>
        <item x="115"/>
        <item x="127"/>
        <item x="204"/>
        <item x="29"/>
        <item x="139"/>
        <item x="1"/>
        <item x="104"/>
        <item x="150"/>
        <item x="186"/>
        <item x="71"/>
        <item x="42"/>
        <item x="190"/>
        <item x="236"/>
        <item x="159"/>
        <item x="191"/>
        <item x="119"/>
        <item x="78"/>
        <item x="116"/>
        <item x="100"/>
        <item x="61"/>
        <item x="234"/>
        <item x="25"/>
        <item x="14"/>
        <item x="195"/>
        <item x="241"/>
        <item x="3"/>
        <item x="106"/>
        <item x="181"/>
        <item x="201"/>
        <item x="217"/>
        <item x="65"/>
        <item x="220"/>
        <item x="167"/>
        <item x="79"/>
        <item x="148"/>
        <item x="172"/>
        <item x="8"/>
        <item x="249"/>
        <item x="232"/>
        <item x="226"/>
        <item x="120"/>
        <item x="214"/>
        <item x="103"/>
        <item x="107"/>
        <item x="156"/>
        <item x="157"/>
        <item x="89"/>
        <item x="41"/>
        <item x="203"/>
        <item x="224"/>
        <item x="9"/>
        <item x="209"/>
        <item x="28"/>
        <item x="188"/>
        <item x="101"/>
        <item x="49"/>
        <item x="19"/>
        <item x="166"/>
        <item x="7"/>
        <item x="109"/>
        <item x="81"/>
        <item x="124"/>
        <item x="184"/>
        <item x="123"/>
        <item x="46"/>
        <item x="147"/>
        <item x="5"/>
        <item x="173"/>
        <item x="164"/>
        <item x="52"/>
        <item x="59"/>
        <item x="189"/>
        <item x="233"/>
        <item x="77"/>
        <item x="57"/>
        <item x="10"/>
        <item x="82"/>
        <item x="132"/>
        <item x="13"/>
        <item x="170"/>
        <item x="179"/>
        <item x="96"/>
        <item x="84"/>
        <item x="168"/>
        <item x="45"/>
        <item x="11"/>
        <item x="187"/>
        <item x="178"/>
        <item x="205"/>
        <item x="34"/>
        <item x="228"/>
        <item x="143"/>
        <item x="128"/>
        <item x="17"/>
        <item x="162"/>
        <item x="206"/>
        <item x="138"/>
        <item x="208"/>
        <item x="32"/>
        <item x="26"/>
        <item x="219"/>
        <item x="180"/>
        <item x="33"/>
        <item x="38"/>
        <item x="247"/>
        <item x="63"/>
        <item x="92"/>
        <item x="68"/>
        <item x="192"/>
        <item x="158"/>
        <item x="131"/>
        <item x="246"/>
        <item x="108"/>
        <item x="53"/>
        <item x="169"/>
        <item x="83"/>
        <item x="22"/>
        <item x="182"/>
        <item x="67"/>
        <item x="151"/>
        <item x="152"/>
        <item x="4"/>
        <item x="74"/>
        <item x="62"/>
        <item x="55"/>
        <item x="154"/>
        <item x="31"/>
        <item x="23"/>
        <item t="default"/>
      </items>
    </pivotField>
    <pivotField axis="axisRow" showAll="0">
      <items count="5">
        <item x="1"/>
        <item x="0"/>
        <item x="3"/>
        <item x="2"/>
        <item t="default"/>
      </items>
    </pivotField>
    <pivotField showAll="0"/>
    <pivotField axis="axisRow" showAll="0">
      <items count="5">
        <item x="3"/>
        <item x="1"/>
        <item x="2"/>
        <item x="0"/>
        <item t="default"/>
      </items>
    </pivotField>
    <pivotField showAll="0"/>
    <pivotField showAll="0"/>
    <pivotField numFmtId="1" showAll="0"/>
    <pivotField numFmtId="165" showAll="0"/>
    <pivotField dataField="1" numFmtId="165" showAll="0"/>
    <pivotField numFmtId="165" showAll="0"/>
    <pivotField dataField="1" numFmtId="165"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2">
    <field x="2"/>
    <field x="4"/>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2"/>
  </colFields>
  <colItems count="3">
    <i>
      <x/>
    </i>
    <i i="1">
      <x v="1"/>
    </i>
    <i i="2">
      <x v="2"/>
    </i>
  </colItems>
  <dataFields count="3">
    <dataField name="Total Revenue" fld="9" baseField="0" baseItem="0" numFmtId="166"/>
    <dataField name="Total Profit" fld="11" baseField="0" baseItem="0" numFmtId="166"/>
    <dataField name="Grand Total %" fld="9" showDataAs="percentOfTotal" baseField="0" baseItem="0" numFmtId="10"/>
  </dataFields>
  <formats count="3">
    <format dxfId="26">
      <pivotArea dataOnly="0" fieldPosition="0">
        <references count="1">
          <reference field="4" count="1">
            <x v="2"/>
          </reference>
        </references>
      </pivotArea>
    </format>
    <format dxfId="27">
      <pivotArea dataOnly="0" fieldPosition="0">
        <references count="1">
          <reference field="4" count="1">
            <x v="1"/>
          </reference>
        </references>
      </pivotArea>
    </format>
    <format dxfId="25">
      <pivotArea outline="0" collapsedLevelsAreSubtotals="1" fieldPosition="0">
        <references count="1">
          <reference field="4294967294" count="2" selected="0">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AB28D7-1080-4ADD-82DE-EAE21CFD9B16}"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4:E158" firstHeaderRow="1" firstDataRow="2" firstDataCol="1"/>
  <pivotFields count="18">
    <pivotField showAll="0"/>
    <pivotField numFmtId="164" showAll="0">
      <items count="252">
        <item x="242"/>
        <item x="210"/>
        <item x="86"/>
        <item x="248"/>
        <item x="153"/>
        <item x="200"/>
        <item x="230"/>
        <item x="16"/>
        <item x="73"/>
        <item x="163"/>
        <item x="136"/>
        <item x="155"/>
        <item x="238"/>
        <item x="18"/>
        <item x="113"/>
        <item x="174"/>
        <item x="44"/>
        <item x="95"/>
        <item x="15"/>
        <item x="227"/>
        <item x="198"/>
        <item x="66"/>
        <item x="222"/>
        <item x="102"/>
        <item x="98"/>
        <item x="2"/>
        <item x="223"/>
        <item x="244"/>
        <item x="90"/>
        <item x="121"/>
        <item x="245"/>
        <item x="133"/>
        <item x="112"/>
        <item x="50"/>
        <item x="69"/>
        <item x="30"/>
        <item x="225"/>
        <item x="213"/>
        <item x="216"/>
        <item x="171"/>
        <item x="140"/>
        <item x="221"/>
        <item x="43"/>
        <item x="117"/>
        <item x="141"/>
        <item x="111"/>
        <item x="76"/>
        <item x="215"/>
        <item x="193"/>
        <item x="160"/>
        <item x="99"/>
        <item x="85"/>
        <item x="54"/>
        <item x="21"/>
        <item x="183"/>
        <item x="194"/>
        <item x="149"/>
        <item x="185"/>
        <item x="56"/>
        <item x="60"/>
        <item x="218"/>
        <item x="40"/>
        <item x="129"/>
        <item x="239"/>
        <item x="130"/>
        <item x="125"/>
        <item x="196"/>
        <item x="165"/>
        <item x="97"/>
        <item x="145"/>
        <item x="177"/>
        <item x="64"/>
        <item x="87"/>
        <item x="135"/>
        <item x="105"/>
        <item x="35"/>
        <item x="75"/>
        <item x="48"/>
        <item x="142"/>
        <item x="243"/>
        <item x="27"/>
        <item x="58"/>
        <item x="88"/>
        <item x="161"/>
        <item x="199"/>
        <item x="146"/>
        <item x="51"/>
        <item x="36"/>
        <item x="118"/>
        <item x="80"/>
        <item x="70"/>
        <item x="12"/>
        <item x="6"/>
        <item x="211"/>
        <item x="237"/>
        <item x="126"/>
        <item x="110"/>
        <item x="175"/>
        <item x="144"/>
        <item x="250"/>
        <item x="197"/>
        <item x="93"/>
        <item x="240"/>
        <item x="122"/>
        <item x="207"/>
        <item x="20"/>
        <item x="94"/>
        <item x="176"/>
        <item x="231"/>
        <item x="212"/>
        <item x="24"/>
        <item x="114"/>
        <item x="137"/>
        <item x="72"/>
        <item x="39"/>
        <item x="91"/>
        <item x="134"/>
        <item x="37"/>
        <item x="0"/>
        <item x="47"/>
        <item x="229"/>
        <item x="235"/>
        <item x="202"/>
        <item x="115"/>
        <item x="127"/>
        <item x="204"/>
        <item x="29"/>
        <item x="139"/>
        <item x="1"/>
        <item x="104"/>
        <item x="150"/>
        <item x="186"/>
        <item x="71"/>
        <item x="42"/>
        <item x="190"/>
        <item x="236"/>
        <item x="159"/>
        <item x="191"/>
        <item x="119"/>
        <item x="78"/>
        <item x="116"/>
        <item x="100"/>
        <item x="61"/>
        <item x="234"/>
        <item x="25"/>
        <item x="14"/>
        <item x="195"/>
        <item x="241"/>
        <item x="3"/>
        <item x="106"/>
        <item x="181"/>
        <item x="201"/>
        <item x="217"/>
        <item x="65"/>
        <item x="220"/>
        <item x="167"/>
        <item x="79"/>
        <item x="148"/>
        <item x="172"/>
        <item x="8"/>
        <item x="249"/>
        <item x="232"/>
        <item x="226"/>
        <item x="120"/>
        <item x="214"/>
        <item x="103"/>
        <item x="107"/>
        <item x="156"/>
        <item x="157"/>
        <item x="89"/>
        <item x="41"/>
        <item x="203"/>
        <item x="224"/>
        <item x="9"/>
        <item x="209"/>
        <item x="28"/>
        <item x="188"/>
        <item x="101"/>
        <item x="49"/>
        <item x="19"/>
        <item x="166"/>
        <item x="7"/>
        <item x="109"/>
        <item x="81"/>
        <item x="124"/>
        <item x="184"/>
        <item x="123"/>
        <item x="46"/>
        <item x="147"/>
        <item x="5"/>
        <item x="173"/>
        <item x="164"/>
        <item x="52"/>
        <item x="59"/>
        <item x="189"/>
        <item x="233"/>
        <item x="77"/>
        <item x="57"/>
        <item x="10"/>
        <item x="82"/>
        <item x="132"/>
        <item x="13"/>
        <item x="170"/>
        <item x="179"/>
        <item x="96"/>
        <item x="84"/>
        <item x="168"/>
        <item x="45"/>
        <item x="11"/>
        <item x="187"/>
        <item x="178"/>
        <item x="205"/>
        <item x="34"/>
        <item x="228"/>
        <item x="143"/>
        <item x="128"/>
        <item x="17"/>
        <item x="162"/>
        <item x="206"/>
        <item x="138"/>
        <item x="208"/>
        <item x="32"/>
        <item x="26"/>
        <item x="219"/>
        <item x="180"/>
        <item x="33"/>
        <item x="38"/>
        <item x="247"/>
        <item x="63"/>
        <item x="92"/>
        <item x="68"/>
        <item x="192"/>
        <item x="158"/>
        <item x="131"/>
        <item x="246"/>
        <item x="108"/>
        <item x="53"/>
        <item x="169"/>
        <item x="83"/>
        <item x="22"/>
        <item x="182"/>
        <item x="67"/>
        <item x="151"/>
        <item x="152"/>
        <item x="4"/>
        <item x="74"/>
        <item x="62"/>
        <item x="55"/>
        <item x="154"/>
        <item x="31"/>
        <item x="23"/>
        <item t="default"/>
      </items>
    </pivotField>
    <pivotField showAll="0">
      <items count="5">
        <item x="1"/>
        <item x="0"/>
        <item x="3"/>
        <item x="2"/>
        <item t="default"/>
      </items>
    </pivotField>
    <pivotField showAll="0"/>
    <pivotField showAll="0">
      <items count="5">
        <item x="3"/>
        <item x="1"/>
        <item x="2"/>
        <item x="0"/>
        <item t="default"/>
      </items>
    </pivotField>
    <pivotField showAll="0"/>
    <pivotField showAll="0"/>
    <pivotField numFmtId="1" showAll="0"/>
    <pivotField numFmtId="165" showAll="0"/>
    <pivotField dataField="1" numFmtId="165" showAll="0"/>
    <pivotField numFmtId="165" showAll="0"/>
    <pivotField numFmtId="165"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axis="axisCol" showAll="0" defaultSubtotal="0">
      <items count="5">
        <item x="0"/>
        <item x="1"/>
        <item x="2"/>
        <item x="3"/>
        <item x="4"/>
      </items>
    </pivotField>
    <pivotField dragToRow="0" dragToCol="0" dragToPage="0" showAll="0" defaultSubtotal="0"/>
  </pivotFields>
  <rowFields count="1">
    <field x="14"/>
  </rowFields>
  <rowItems count="13">
    <i>
      <x v="1"/>
    </i>
    <i>
      <x v="2"/>
    </i>
    <i>
      <x v="3"/>
    </i>
    <i>
      <x v="4"/>
    </i>
    <i>
      <x v="5"/>
    </i>
    <i>
      <x v="6"/>
    </i>
    <i>
      <x v="7"/>
    </i>
    <i>
      <x v="8"/>
    </i>
    <i>
      <x v="9"/>
    </i>
    <i>
      <x v="10"/>
    </i>
    <i>
      <x v="11"/>
    </i>
    <i>
      <x v="12"/>
    </i>
    <i t="grand">
      <x/>
    </i>
  </rowItems>
  <colFields count="1">
    <field x="16"/>
  </colFields>
  <colItems count="4">
    <i>
      <x v="1"/>
    </i>
    <i>
      <x v="2"/>
    </i>
    <i>
      <x v="3"/>
    </i>
    <i t="grand">
      <x/>
    </i>
  </colItems>
  <dataFields count="1">
    <dataField name="Sum of Revenue" fld="9" showDataAs="runTotal" baseField="14"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BB0D82-CDFC-4F9F-A09F-6982CFB998A0}" name="PivotTable16" cacheId="3" dataOnRows="1" dataPosition="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J109:N118" firstHeaderRow="1" firstDataRow="2" firstDataCol="1"/>
  <pivotFields count="18">
    <pivotField showAll="0"/>
    <pivotField numFmtId="164" showAll="0">
      <items count="252">
        <item x="242"/>
        <item x="210"/>
        <item x="86"/>
        <item x="248"/>
        <item x="153"/>
        <item x="200"/>
        <item x="230"/>
        <item x="16"/>
        <item x="73"/>
        <item x="163"/>
        <item x="136"/>
        <item x="155"/>
        <item x="238"/>
        <item x="18"/>
        <item x="113"/>
        <item x="174"/>
        <item x="44"/>
        <item x="95"/>
        <item x="15"/>
        <item x="227"/>
        <item x="198"/>
        <item x="66"/>
        <item x="222"/>
        <item x="102"/>
        <item x="98"/>
        <item x="2"/>
        <item x="223"/>
        <item x="244"/>
        <item x="90"/>
        <item x="121"/>
        <item x="245"/>
        <item x="133"/>
        <item x="112"/>
        <item x="50"/>
        <item x="69"/>
        <item x="30"/>
        <item x="225"/>
        <item x="213"/>
        <item x="216"/>
        <item x="171"/>
        <item x="140"/>
        <item x="221"/>
        <item x="43"/>
        <item x="117"/>
        <item x="141"/>
        <item x="111"/>
        <item x="76"/>
        <item x="215"/>
        <item x="193"/>
        <item x="160"/>
        <item x="99"/>
        <item x="85"/>
        <item x="54"/>
        <item x="21"/>
        <item x="183"/>
        <item x="194"/>
        <item x="149"/>
        <item x="185"/>
        <item x="56"/>
        <item x="60"/>
        <item x="218"/>
        <item x="40"/>
        <item x="129"/>
        <item x="239"/>
        <item x="130"/>
        <item x="125"/>
        <item x="196"/>
        <item x="165"/>
        <item x="97"/>
        <item x="145"/>
        <item x="177"/>
        <item x="64"/>
        <item x="87"/>
        <item x="135"/>
        <item x="105"/>
        <item x="35"/>
        <item x="75"/>
        <item x="48"/>
        <item x="142"/>
        <item x="243"/>
        <item x="27"/>
        <item x="58"/>
        <item x="88"/>
        <item x="161"/>
        <item x="199"/>
        <item x="146"/>
        <item x="51"/>
        <item x="36"/>
        <item x="118"/>
        <item x="80"/>
        <item x="70"/>
        <item x="12"/>
        <item x="6"/>
        <item x="211"/>
        <item x="237"/>
        <item x="126"/>
        <item x="110"/>
        <item x="175"/>
        <item x="144"/>
        <item x="250"/>
        <item x="197"/>
        <item x="93"/>
        <item x="240"/>
        <item x="122"/>
        <item x="207"/>
        <item x="20"/>
        <item x="94"/>
        <item x="176"/>
        <item x="231"/>
        <item x="212"/>
        <item x="24"/>
        <item x="114"/>
        <item x="137"/>
        <item x="72"/>
        <item x="39"/>
        <item x="91"/>
        <item x="134"/>
        <item x="37"/>
        <item x="0"/>
        <item x="47"/>
        <item x="229"/>
        <item x="235"/>
        <item x="202"/>
        <item x="115"/>
        <item x="127"/>
        <item x="204"/>
        <item x="29"/>
        <item x="139"/>
        <item x="1"/>
        <item x="104"/>
        <item x="150"/>
        <item x="186"/>
        <item x="71"/>
        <item x="42"/>
        <item x="190"/>
        <item x="236"/>
        <item x="159"/>
        <item x="191"/>
        <item x="119"/>
        <item x="78"/>
        <item x="116"/>
        <item x="100"/>
        <item x="61"/>
        <item x="234"/>
        <item x="25"/>
        <item x="14"/>
        <item x="195"/>
        <item x="241"/>
        <item x="3"/>
        <item x="106"/>
        <item x="181"/>
        <item x="201"/>
        <item x="217"/>
        <item x="65"/>
        <item x="220"/>
        <item x="167"/>
        <item x="79"/>
        <item x="148"/>
        <item x="172"/>
        <item x="8"/>
        <item x="249"/>
        <item x="232"/>
        <item x="226"/>
        <item x="120"/>
        <item x="214"/>
        <item x="103"/>
        <item x="107"/>
        <item x="156"/>
        <item x="157"/>
        <item x="89"/>
        <item x="41"/>
        <item x="203"/>
        <item x="224"/>
        <item x="9"/>
        <item x="209"/>
        <item x="28"/>
        <item x="188"/>
        <item x="101"/>
        <item x="49"/>
        <item x="19"/>
        <item x="166"/>
        <item x="7"/>
        <item x="109"/>
        <item x="81"/>
        <item x="124"/>
        <item x="184"/>
        <item x="123"/>
        <item x="46"/>
        <item x="147"/>
        <item x="5"/>
        <item x="173"/>
        <item x="164"/>
        <item x="52"/>
        <item x="59"/>
        <item x="189"/>
        <item x="233"/>
        <item x="77"/>
        <item x="57"/>
        <item x="10"/>
        <item x="82"/>
        <item x="132"/>
        <item x="13"/>
        <item x="170"/>
        <item x="179"/>
        <item x="96"/>
        <item x="84"/>
        <item x="168"/>
        <item x="45"/>
        <item x="11"/>
        <item x="187"/>
        <item x="178"/>
        <item x="205"/>
        <item x="34"/>
        <item x="228"/>
        <item x="143"/>
        <item x="128"/>
        <item x="17"/>
        <item x="162"/>
        <item x="206"/>
        <item x="138"/>
        <item x="208"/>
        <item x="32"/>
        <item x="26"/>
        <item x="219"/>
        <item x="180"/>
        <item x="33"/>
        <item x="38"/>
        <item x="247"/>
        <item x="63"/>
        <item x="92"/>
        <item x="68"/>
        <item x="192"/>
        <item x="158"/>
        <item x="131"/>
        <item x="246"/>
        <item x="108"/>
        <item x="53"/>
        <item x="169"/>
        <item x="83"/>
        <item x="22"/>
        <item x="182"/>
        <item x="67"/>
        <item x="151"/>
        <item x="152"/>
        <item x="4"/>
        <item x="74"/>
        <item x="62"/>
        <item x="55"/>
        <item x="154"/>
        <item x="31"/>
        <item x="23"/>
        <item t="default"/>
      </items>
    </pivotField>
    <pivotField showAll="0">
      <items count="5">
        <item x="1"/>
        <item x="0"/>
        <item x="3"/>
        <item x="2"/>
        <item t="default"/>
      </items>
    </pivotField>
    <pivotField showAll="0"/>
    <pivotField showAll="0">
      <items count="5">
        <item x="3"/>
        <item x="1"/>
        <item x="2"/>
        <item x="0"/>
        <item t="default"/>
      </items>
    </pivotField>
    <pivotField showAll="0" measureFilter="1" sortType="ascending">
      <items count="25">
        <item x="20"/>
        <item x="11"/>
        <item x="4"/>
        <item x="13"/>
        <item x="7"/>
        <item x="16"/>
        <item x="21"/>
        <item x="2"/>
        <item x="14"/>
        <item x="12"/>
        <item x="15"/>
        <item x="17"/>
        <item x="8"/>
        <item x="9"/>
        <item x="0"/>
        <item x="18"/>
        <item x="10"/>
        <item x="19"/>
        <item x="5"/>
        <item x="3"/>
        <item x="22"/>
        <item x="6"/>
        <item x="23"/>
        <item x="1"/>
        <item t="default"/>
      </items>
    </pivotField>
    <pivotField showAll="0">
      <items count="9">
        <item x="7"/>
        <item x="3"/>
        <item x="6"/>
        <item x="0"/>
        <item x="2"/>
        <item x="4"/>
        <item x="1"/>
        <item x="5"/>
        <item t="default"/>
      </items>
    </pivotField>
    <pivotField dataField="1" numFmtId="1" showAll="0"/>
    <pivotField numFmtId="165" showAll="0"/>
    <pivotField dataField="1" numFmtId="165" showAll="0">
      <items count="301">
        <item x="168"/>
        <item x="146"/>
        <item x="97"/>
        <item x="36"/>
        <item x="35"/>
        <item x="232"/>
        <item x="103"/>
        <item x="145"/>
        <item x="267"/>
        <item x="127"/>
        <item x="60"/>
        <item x="79"/>
        <item x="196"/>
        <item x="89"/>
        <item x="42"/>
        <item x="3"/>
        <item x="134"/>
        <item x="113"/>
        <item x="26"/>
        <item x="16"/>
        <item x="277"/>
        <item x="12"/>
        <item x="280"/>
        <item x="215"/>
        <item x="84"/>
        <item x="5"/>
        <item x="292"/>
        <item x="272"/>
        <item x="130"/>
        <item x="181"/>
        <item x="64"/>
        <item x="63"/>
        <item x="11"/>
        <item x="249"/>
        <item x="40"/>
        <item x="67"/>
        <item x="70"/>
        <item x="235"/>
        <item x="158"/>
        <item x="59"/>
        <item x="284"/>
        <item x="0"/>
        <item x="245"/>
        <item x="77"/>
        <item x="19"/>
        <item x="218"/>
        <item x="278"/>
        <item x="256"/>
        <item x="240"/>
        <item x="8"/>
        <item x="39"/>
        <item x="32"/>
        <item x="82"/>
        <item x="223"/>
        <item x="266"/>
        <item x="100"/>
        <item x="283"/>
        <item x="287"/>
        <item x="151"/>
        <item x="80"/>
        <item x="296"/>
        <item x="162"/>
        <item x="156"/>
        <item x="73"/>
        <item x="233"/>
        <item x="122"/>
        <item x="197"/>
        <item x="285"/>
        <item x="102"/>
        <item x="46"/>
        <item x="66"/>
        <item x="189"/>
        <item x="9"/>
        <item x="87"/>
        <item x="139"/>
        <item x="188"/>
        <item x="126"/>
        <item x="22"/>
        <item x="120"/>
        <item x="234"/>
        <item x="184"/>
        <item x="53"/>
        <item x="112"/>
        <item x="13"/>
        <item x="43"/>
        <item x="41"/>
        <item x="260"/>
        <item x="148"/>
        <item x="116"/>
        <item x="219"/>
        <item x="268"/>
        <item x="163"/>
        <item x="55"/>
        <item x="187"/>
        <item x="201"/>
        <item x="109"/>
        <item x="276"/>
        <item x="81"/>
        <item x="54"/>
        <item x="144"/>
        <item x="7"/>
        <item x="92"/>
        <item x="141"/>
        <item x="210"/>
        <item x="263"/>
        <item x="83"/>
        <item x="155"/>
        <item x="238"/>
        <item x="176"/>
        <item x="179"/>
        <item x="95"/>
        <item x="93"/>
        <item x="200"/>
        <item x="164"/>
        <item x="236"/>
        <item x="4"/>
        <item x="47"/>
        <item x="173"/>
        <item x="251"/>
        <item x="153"/>
        <item x="216"/>
        <item x="185"/>
        <item x="31"/>
        <item x="33"/>
        <item x="38"/>
        <item x="220"/>
        <item x="125"/>
        <item x="270"/>
        <item x="229"/>
        <item x="191"/>
        <item x="119"/>
        <item x="174"/>
        <item x="198"/>
        <item x="180"/>
        <item x="50"/>
        <item x="118"/>
        <item x="206"/>
        <item x="230"/>
        <item x="241"/>
        <item x="222"/>
        <item x="37"/>
        <item x="161"/>
        <item x="252"/>
        <item x="24"/>
        <item x="58"/>
        <item x="71"/>
        <item x="44"/>
        <item x="171"/>
        <item x="255"/>
        <item x="25"/>
        <item x="244"/>
        <item x="107"/>
        <item x="214"/>
        <item x="253"/>
        <item x="27"/>
        <item x="20"/>
        <item x="262"/>
        <item x="221"/>
        <item x="86"/>
        <item x="212"/>
        <item x="2"/>
        <item x="15"/>
        <item x="133"/>
        <item x="195"/>
        <item x="111"/>
        <item x="88"/>
        <item x="17"/>
        <item x="209"/>
        <item x="90"/>
        <item x="48"/>
        <item x="275"/>
        <item x="248"/>
        <item x="14"/>
        <item x="6"/>
        <item x="49"/>
        <item x="213"/>
        <item x="117"/>
        <item x="246"/>
        <item x="193"/>
        <item x="273"/>
        <item x="192"/>
        <item x="147"/>
        <item x="115"/>
        <item x="45"/>
        <item x="258"/>
        <item x="51"/>
        <item x="293"/>
        <item x="203"/>
        <item x="85"/>
        <item x="225"/>
        <item x="28"/>
        <item x="152"/>
        <item x="30"/>
        <item x="154"/>
        <item x="169"/>
        <item x="128"/>
        <item x="269"/>
        <item x="104"/>
        <item x="140"/>
        <item x="101"/>
        <item x="243"/>
        <item x="207"/>
        <item x="202"/>
        <item x="69"/>
        <item x="288"/>
        <item x="175"/>
        <item x="247"/>
        <item x="190"/>
        <item x="274"/>
        <item x="183"/>
        <item x="227"/>
        <item x="295"/>
        <item x="182"/>
        <item x="239"/>
        <item x="194"/>
        <item x="105"/>
        <item x="261"/>
        <item x="170"/>
        <item x="136"/>
        <item x="98"/>
        <item x="21"/>
        <item x="297"/>
        <item x="177"/>
        <item x="29"/>
        <item x="96"/>
        <item x="124"/>
        <item x="217"/>
        <item x="62"/>
        <item x="172"/>
        <item x="143"/>
        <item x="129"/>
        <item x="131"/>
        <item x="254"/>
        <item x="264"/>
        <item x="265"/>
        <item x="123"/>
        <item x="294"/>
        <item x="289"/>
        <item x="224"/>
        <item x="18"/>
        <item x="231"/>
        <item x="299"/>
        <item x="282"/>
        <item x="132"/>
        <item x="23"/>
        <item x="166"/>
        <item x="211"/>
        <item x="34"/>
        <item x="167"/>
        <item x="178"/>
        <item x="91"/>
        <item x="150"/>
        <item x="159"/>
        <item x="56"/>
        <item x="208"/>
        <item x="228"/>
        <item x="291"/>
        <item x="68"/>
        <item x="106"/>
        <item x="298"/>
        <item x="76"/>
        <item x="259"/>
        <item x="226"/>
        <item x="1"/>
        <item x="199"/>
        <item x="186"/>
        <item x="61"/>
        <item x="165"/>
        <item x="121"/>
        <item x="157"/>
        <item x="94"/>
        <item x="75"/>
        <item x="99"/>
        <item x="138"/>
        <item x="110"/>
        <item x="242"/>
        <item x="205"/>
        <item x="271"/>
        <item x="237"/>
        <item x="137"/>
        <item x="52"/>
        <item x="281"/>
        <item x="108"/>
        <item x="142"/>
        <item x="290"/>
        <item x="160"/>
        <item x="257"/>
        <item x="72"/>
        <item x="78"/>
        <item x="149"/>
        <item x="204"/>
        <item x="250"/>
        <item x="135"/>
        <item x="74"/>
        <item x="57"/>
        <item x="10"/>
        <item x="114"/>
        <item x="286"/>
        <item x="65"/>
        <item x="279"/>
        <item t="default"/>
      </items>
    </pivotField>
    <pivotField numFmtId="165" showAll="0"/>
    <pivotField numFmtId="165" showAll="0"/>
    <pivotField axis="axisRow" showAll="0">
      <items count="3">
        <item x="0"/>
        <item x="1"/>
        <item t="default"/>
      </items>
    </pivotField>
    <pivotField axis="axisCol" showAll="0">
      <items count="4">
        <item x="1"/>
        <item x="0"/>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 dragToRow="0" dragToCol="0" dragToPage="0" showAll="0" defaultSubtotal="0"/>
  </pivotFields>
  <rowFields count="2">
    <field x="-2"/>
    <field x="12"/>
  </rowFields>
  <rowItems count="8">
    <i>
      <x/>
    </i>
    <i r="1">
      <x/>
    </i>
    <i r="1">
      <x v="1"/>
    </i>
    <i i="1">
      <x v="1"/>
    </i>
    <i r="1" i="1">
      <x/>
    </i>
    <i r="1" i="1">
      <x v="1"/>
    </i>
    <i t="grand">
      <x/>
    </i>
    <i t="grand" i="1">
      <x/>
    </i>
  </rowItems>
  <colFields count="1">
    <field x="13"/>
  </colFields>
  <colItems count="4">
    <i>
      <x/>
    </i>
    <i>
      <x v="1"/>
    </i>
    <i>
      <x v="2"/>
    </i>
    <i t="grand">
      <x/>
    </i>
  </colItems>
  <dataFields count="2">
    <dataField name="Sum of Revenue" fld="9" baseField="0" baseItem="0"/>
    <dataField name="Sum of Quantity" fld="7" showDataAs="percentOfTotal" baseField="0" baseItem="0" numFmtId="10"/>
  </dataFields>
  <formats count="3">
    <format dxfId="13">
      <pivotArea outline="0" collapsedLevelsAreSubtotals="1" fieldPosition="0"/>
    </format>
    <format dxfId="14">
      <pivotArea dataOnly="0" labelOnly="1" outline="0" axis="axisValues" fieldPosition="0"/>
    </format>
    <format dxfId="15">
      <pivotArea outline="0" fieldPosition="0">
        <references count="1">
          <reference field="4294967294" count="1">
            <x v="1"/>
          </reference>
        </references>
      </pivotArea>
    </format>
  </formats>
  <pivotTableStyleInfo name="PivotStyleLight16" showRowHeaders="1" showColHeaders="1" showRowStripes="0" showColStripes="0" showLastColumn="1"/>
  <filters count="1">
    <filter fld="5" type="count" evalOrder="-1" id="4"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D4D11A-010E-4B37-8A2E-CB1D1C253F7B}" name="PivotTable5" cacheId="3"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94:C103" firstHeaderRow="0" firstDataRow="1" firstDataCol="1"/>
  <pivotFields count="18">
    <pivotField dataField="1"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umFmtId="164" showAll="0">
      <items count="252">
        <item x="242"/>
        <item x="210"/>
        <item x="86"/>
        <item x="248"/>
        <item x="153"/>
        <item x="200"/>
        <item x="230"/>
        <item x="16"/>
        <item x="73"/>
        <item x="163"/>
        <item x="136"/>
        <item x="155"/>
        <item x="238"/>
        <item x="18"/>
        <item x="113"/>
        <item x="174"/>
        <item x="44"/>
        <item x="95"/>
        <item x="15"/>
        <item x="227"/>
        <item x="198"/>
        <item x="66"/>
        <item x="222"/>
        <item x="102"/>
        <item x="98"/>
        <item x="2"/>
        <item x="223"/>
        <item x="244"/>
        <item x="90"/>
        <item x="121"/>
        <item x="245"/>
        <item x="133"/>
        <item x="112"/>
        <item x="50"/>
        <item x="69"/>
        <item x="30"/>
        <item x="225"/>
        <item x="213"/>
        <item x="216"/>
        <item x="171"/>
        <item x="140"/>
        <item x="221"/>
        <item x="43"/>
        <item x="117"/>
        <item x="141"/>
        <item x="111"/>
        <item x="76"/>
        <item x="215"/>
        <item x="193"/>
        <item x="160"/>
        <item x="99"/>
        <item x="85"/>
        <item x="54"/>
        <item x="21"/>
        <item x="183"/>
        <item x="194"/>
        <item x="149"/>
        <item x="185"/>
        <item x="56"/>
        <item x="60"/>
        <item x="218"/>
        <item x="40"/>
        <item x="129"/>
        <item x="239"/>
        <item x="130"/>
        <item x="125"/>
        <item x="196"/>
        <item x="165"/>
        <item x="97"/>
        <item x="145"/>
        <item x="177"/>
        <item x="64"/>
        <item x="87"/>
        <item x="135"/>
        <item x="105"/>
        <item x="35"/>
        <item x="75"/>
        <item x="48"/>
        <item x="142"/>
        <item x="243"/>
        <item x="27"/>
        <item x="58"/>
        <item x="88"/>
        <item x="161"/>
        <item x="199"/>
        <item x="146"/>
        <item x="51"/>
        <item x="36"/>
        <item x="118"/>
        <item x="80"/>
        <item x="70"/>
        <item x="12"/>
        <item x="6"/>
        <item x="211"/>
        <item x="237"/>
        <item x="126"/>
        <item x="110"/>
        <item x="175"/>
        <item x="144"/>
        <item x="250"/>
        <item x="197"/>
        <item x="93"/>
        <item x="240"/>
        <item x="122"/>
        <item x="207"/>
        <item x="20"/>
        <item x="94"/>
        <item x="176"/>
        <item x="231"/>
        <item x="212"/>
        <item x="24"/>
        <item x="114"/>
        <item x="137"/>
        <item x="72"/>
        <item x="39"/>
        <item x="91"/>
        <item x="134"/>
        <item x="37"/>
        <item x="0"/>
        <item x="47"/>
        <item x="229"/>
        <item x="235"/>
        <item x="202"/>
        <item x="115"/>
        <item x="127"/>
        <item x="204"/>
        <item x="29"/>
        <item x="139"/>
        <item x="1"/>
        <item x="104"/>
        <item x="150"/>
        <item x="186"/>
        <item x="71"/>
        <item x="42"/>
        <item x="190"/>
        <item x="236"/>
        <item x="159"/>
        <item x="191"/>
        <item x="119"/>
        <item x="78"/>
        <item x="116"/>
        <item x="100"/>
        <item x="61"/>
        <item x="234"/>
        <item x="25"/>
        <item x="14"/>
        <item x="195"/>
        <item x="241"/>
        <item x="3"/>
        <item x="106"/>
        <item x="181"/>
        <item x="201"/>
        <item x="217"/>
        <item x="65"/>
        <item x="220"/>
        <item x="167"/>
        <item x="79"/>
        <item x="148"/>
        <item x="172"/>
        <item x="8"/>
        <item x="249"/>
        <item x="232"/>
        <item x="226"/>
        <item x="120"/>
        <item x="214"/>
        <item x="103"/>
        <item x="107"/>
        <item x="156"/>
        <item x="157"/>
        <item x="89"/>
        <item x="41"/>
        <item x="203"/>
        <item x="224"/>
        <item x="9"/>
        <item x="209"/>
        <item x="28"/>
        <item x="188"/>
        <item x="101"/>
        <item x="49"/>
        <item x="19"/>
        <item x="166"/>
        <item x="7"/>
        <item x="109"/>
        <item x="81"/>
        <item x="124"/>
        <item x="184"/>
        <item x="123"/>
        <item x="46"/>
        <item x="147"/>
        <item x="5"/>
        <item x="173"/>
        <item x="164"/>
        <item x="52"/>
        <item x="59"/>
        <item x="189"/>
        <item x="233"/>
        <item x="77"/>
        <item x="57"/>
        <item x="10"/>
        <item x="82"/>
        <item x="132"/>
        <item x="13"/>
        <item x="170"/>
        <item x="179"/>
        <item x="96"/>
        <item x="84"/>
        <item x="168"/>
        <item x="45"/>
        <item x="11"/>
        <item x="187"/>
        <item x="178"/>
        <item x="205"/>
        <item x="34"/>
        <item x="228"/>
        <item x="143"/>
        <item x="128"/>
        <item x="17"/>
        <item x="162"/>
        <item x="206"/>
        <item x="138"/>
        <item x="208"/>
        <item x="32"/>
        <item x="26"/>
        <item x="219"/>
        <item x="180"/>
        <item x="33"/>
        <item x="38"/>
        <item x="247"/>
        <item x="63"/>
        <item x="92"/>
        <item x="68"/>
        <item x="192"/>
        <item x="158"/>
        <item x="131"/>
        <item x="246"/>
        <item x="108"/>
        <item x="53"/>
        <item x="169"/>
        <item x="83"/>
        <item x="22"/>
        <item x="182"/>
        <item x="67"/>
        <item x="151"/>
        <item x="152"/>
        <item x="4"/>
        <item x="74"/>
        <item x="62"/>
        <item x="55"/>
        <item x="154"/>
        <item x="31"/>
        <item x="23"/>
        <item t="default"/>
      </items>
    </pivotField>
    <pivotField showAll="0">
      <items count="5">
        <item x="1"/>
        <item x="0"/>
        <item x="3"/>
        <item x="2"/>
        <item t="default"/>
      </items>
    </pivotField>
    <pivotField showAll="0"/>
    <pivotField showAll="0">
      <items count="5">
        <item x="3"/>
        <item x="1"/>
        <item x="2"/>
        <item x="0"/>
        <item t="default"/>
      </items>
    </pivotField>
    <pivotField axis="axisRow" showAll="0" measureFilter="1" sortType="ascending">
      <items count="25">
        <item x="20"/>
        <item x="11"/>
        <item x="4"/>
        <item x="13"/>
        <item x="7"/>
        <item x="16"/>
        <item x="21"/>
        <item x="2"/>
        <item x="14"/>
        <item x="12"/>
        <item x="15"/>
        <item x="17"/>
        <item x="8"/>
        <item x="9"/>
        <item x="0"/>
        <item x="18"/>
        <item x="10"/>
        <item x="19"/>
        <item x="5"/>
        <item x="3"/>
        <item x="22"/>
        <item x="6"/>
        <item x="23"/>
        <item x="1"/>
        <item t="default"/>
      </items>
    </pivotField>
    <pivotField showAll="0">
      <items count="9">
        <item x="7"/>
        <item x="3"/>
        <item x="6"/>
        <item x="0"/>
        <item x="2"/>
        <item x="4"/>
        <item x="1"/>
        <item x="5"/>
        <item t="default"/>
      </items>
    </pivotField>
    <pivotField numFmtId="1" showAll="0"/>
    <pivotField numFmtId="165" showAll="0"/>
    <pivotField dataField="1" numFmtId="165" showAll="0">
      <items count="301">
        <item x="168"/>
        <item x="146"/>
        <item x="97"/>
        <item x="36"/>
        <item x="35"/>
        <item x="232"/>
        <item x="103"/>
        <item x="145"/>
        <item x="267"/>
        <item x="127"/>
        <item x="60"/>
        <item x="79"/>
        <item x="196"/>
        <item x="89"/>
        <item x="42"/>
        <item x="3"/>
        <item x="134"/>
        <item x="113"/>
        <item x="26"/>
        <item x="16"/>
        <item x="277"/>
        <item x="12"/>
        <item x="280"/>
        <item x="215"/>
        <item x="84"/>
        <item x="5"/>
        <item x="292"/>
        <item x="272"/>
        <item x="130"/>
        <item x="181"/>
        <item x="64"/>
        <item x="63"/>
        <item x="11"/>
        <item x="249"/>
        <item x="40"/>
        <item x="67"/>
        <item x="70"/>
        <item x="235"/>
        <item x="158"/>
        <item x="59"/>
        <item x="284"/>
        <item x="0"/>
        <item x="245"/>
        <item x="77"/>
        <item x="19"/>
        <item x="218"/>
        <item x="278"/>
        <item x="256"/>
        <item x="240"/>
        <item x="8"/>
        <item x="39"/>
        <item x="32"/>
        <item x="82"/>
        <item x="223"/>
        <item x="266"/>
        <item x="100"/>
        <item x="283"/>
        <item x="287"/>
        <item x="151"/>
        <item x="80"/>
        <item x="296"/>
        <item x="162"/>
        <item x="156"/>
        <item x="73"/>
        <item x="233"/>
        <item x="122"/>
        <item x="197"/>
        <item x="285"/>
        <item x="102"/>
        <item x="46"/>
        <item x="66"/>
        <item x="189"/>
        <item x="9"/>
        <item x="87"/>
        <item x="139"/>
        <item x="188"/>
        <item x="126"/>
        <item x="22"/>
        <item x="120"/>
        <item x="234"/>
        <item x="184"/>
        <item x="53"/>
        <item x="112"/>
        <item x="13"/>
        <item x="43"/>
        <item x="41"/>
        <item x="260"/>
        <item x="148"/>
        <item x="116"/>
        <item x="219"/>
        <item x="268"/>
        <item x="163"/>
        <item x="55"/>
        <item x="187"/>
        <item x="201"/>
        <item x="109"/>
        <item x="276"/>
        <item x="81"/>
        <item x="54"/>
        <item x="144"/>
        <item x="7"/>
        <item x="92"/>
        <item x="141"/>
        <item x="210"/>
        <item x="263"/>
        <item x="83"/>
        <item x="155"/>
        <item x="238"/>
        <item x="176"/>
        <item x="179"/>
        <item x="95"/>
        <item x="93"/>
        <item x="200"/>
        <item x="164"/>
        <item x="236"/>
        <item x="4"/>
        <item x="47"/>
        <item x="173"/>
        <item x="251"/>
        <item x="153"/>
        <item x="216"/>
        <item x="185"/>
        <item x="31"/>
        <item x="33"/>
        <item x="38"/>
        <item x="220"/>
        <item x="125"/>
        <item x="270"/>
        <item x="229"/>
        <item x="191"/>
        <item x="119"/>
        <item x="174"/>
        <item x="198"/>
        <item x="180"/>
        <item x="50"/>
        <item x="118"/>
        <item x="206"/>
        <item x="230"/>
        <item x="241"/>
        <item x="222"/>
        <item x="37"/>
        <item x="161"/>
        <item x="252"/>
        <item x="24"/>
        <item x="58"/>
        <item x="71"/>
        <item x="44"/>
        <item x="171"/>
        <item x="255"/>
        <item x="25"/>
        <item x="244"/>
        <item x="107"/>
        <item x="214"/>
        <item x="253"/>
        <item x="27"/>
        <item x="20"/>
        <item x="262"/>
        <item x="221"/>
        <item x="86"/>
        <item x="212"/>
        <item x="2"/>
        <item x="15"/>
        <item x="133"/>
        <item x="195"/>
        <item x="111"/>
        <item x="88"/>
        <item x="17"/>
        <item x="209"/>
        <item x="90"/>
        <item x="48"/>
        <item x="275"/>
        <item x="248"/>
        <item x="14"/>
        <item x="6"/>
        <item x="49"/>
        <item x="213"/>
        <item x="117"/>
        <item x="246"/>
        <item x="193"/>
        <item x="273"/>
        <item x="192"/>
        <item x="147"/>
        <item x="115"/>
        <item x="45"/>
        <item x="258"/>
        <item x="51"/>
        <item x="293"/>
        <item x="203"/>
        <item x="85"/>
        <item x="225"/>
        <item x="28"/>
        <item x="152"/>
        <item x="30"/>
        <item x="154"/>
        <item x="169"/>
        <item x="128"/>
        <item x="269"/>
        <item x="104"/>
        <item x="140"/>
        <item x="101"/>
        <item x="243"/>
        <item x="207"/>
        <item x="202"/>
        <item x="69"/>
        <item x="288"/>
        <item x="175"/>
        <item x="247"/>
        <item x="190"/>
        <item x="274"/>
        <item x="183"/>
        <item x="227"/>
        <item x="295"/>
        <item x="182"/>
        <item x="239"/>
        <item x="194"/>
        <item x="105"/>
        <item x="261"/>
        <item x="170"/>
        <item x="136"/>
        <item x="98"/>
        <item x="21"/>
        <item x="297"/>
        <item x="177"/>
        <item x="29"/>
        <item x="96"/>
        <item x="124"/>
        <item x="217"/>
        <item x="62"/>
        <item x="172"/>
        <item x="143"/>
        <item x="129"/>
        <item x="131"/>
        <item x="254"/>
        <item x="264"/>
        <item x="265"/>
        <item x="123"/>
        <item x="294"/>
        <item x="289"/>
        <item x="224"/>
        <item x="18"/>
        <item x="231"/>
        <item x="299"/>
        <item x="282"/>
        <item x="132"/>
        <item x="23"/>
        <item x="166"/>
        <item x="211"/>
        <item x="34"/>
        <item x="167"/>
        <item x="178"/>
        <item x="91"/>
        <item x="150"/>
        <item x="159"/>
        <item x="56"/>
        <item x="208"/>
        <item x="228"/>
        <item x="291"/>
        <item x="68"/>
        <item x="106"/>
        <item x="298"/>
        <item x="76"/>
        <item x="259"/>
        <item x="226"/>
        <item x="1"/>
        <item x="199"/>
        <item x="186"/>
        <item x="61"/>
        <item x="165"/>
        <item x="121"/>
        <item x="157"/>
        <item x="94"/>
        <item x="75"/>
        <item x="99"/>
        <item x="138"/>
        <item x="110"/>
        <item x="242"/>
        <item x="205"/>
        <item x="271"/>
        <item x="237"/>
        <item x="137"/>
        <item x="52"/>
        <item x="281"/>
        <item x="108"/>
        <item x="142"/>
        <item x="290"/>
        <item x="160"/>
        <item x="257"/>
        <item x="72"/>
        <item x="78"/>
        <item x="149"/>
        <item x="204"/>
        <item x="250"/>
        <item x="135"/>
        <item x="74"/>
        <item x="57"/>
        <item x="10"/>
        <item x="114"/>
        <item x="286"/>
        <item x="65"/>
        <item x="279"/>
        <item t="default"/>
      </items>
    </pivotField>
    <pivotField numFmtId="165" showAll="0"/>
    <pivotField numFmtId="165"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 dragToRow="0" dragToCol="0" dragToPage="0" showAll="0" defaultSubtotal="0"/>
  </pivotFields>
  <rowFields count="1">
    <field x="5"/>
  </rowFields>
  <rowItems count="9">
    <i>
      <x v="3"/>
    </i>
    <i>
      <x v="7"/>
    </i>
    <i>
      <x v="9"/>
    </i>
    <i>
      <x v="10"/>
    </i>
    <i>
      <x v="11"/>
    </i>
    <i>
      <x v="12"/>
    </i>
    <i>
      <x v="21"/>
    </i>
    <i>
      <x v="23"/>
    </i>
    <i t="grand">
      <x/>
    </i>
  </rowItems>
  <colFields count="1">
    <field x="-2"/>
  </colFields>
  <colItems count="2">
    <i>
      <x/>
    </i>
    <i i="1">
      <x v="1"/>
    </i>
  </colItems>
  <dataFields count="2">
    <dataField name="Sum of Revenue" fld="9" baseField="0" baseItem="0"/>
    <dataField name="Count of OrderID" fld="0" subtotal="count" baseField="0" baseItem="0"/>
  </dataFields>
  <formats count="2">
    <format dxfId="19">
      <pivotArea outline="0" collapsedLevelsAreSubtotals="1" fieldPosition="0"/>
    </format>
    <format dxfId="20">
      <pivotArea dataOnly="0" labelOnly="1" outline="0" axis="axisValues" fieldPosition="0"/>
    </format>
  </formats>
  <pivotTableStyleInfo name="PivotStyleLight16" showRowHeaders="1" showColHeaders="1" showRowStripes="0" showColStripes="0" showLastColumn="1"/>
  <filters count="1">
    <filter fld="5" type="count" evalOrder="-1" id="4"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5CD028-5D48-4900-9F94-B402BCDE24DB}"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86:B207" firstHeaderRow="1" firstDataRow="1" firstDataCol="1"/>
  <pivotFields count="18">
    <pivotField showAll="0"/>
    <pivotField numFmtId="164" showAll="0">
      <items count="252">
        <item x="242"/>
        <item x="210"/>
        <item x="86"/>
        <item x="248"/>
        <item x="153"/>
        <item x="200"/>
        <item x="230"/>
        <item x="16"/>
        <item x="73"/>
        <item x="163"/>
        <item x="136"/>
        <item x="155"/>
        <item x="238"/>
        <item x="18"/>
        <item x="113"/>
        <item x="174"/>
        <item x="44"/>
        <item x="95"/>
        <item x="15"/>
        <item x="227"/>
        <item x="198"/>
        <item x="66"/>
        <item x="222"/>
        <item x="102"/>
        <item x="98"/>
        <item x="2"/>
        <item x="223"/>
        <item x="244"/>
        <item x="90"/>
        <item x="121"/>
        <item x="245"/>
        <item x="133"/>
        <item x="112"/>
        <item x="50"/>
        <item x="69"/>
        <item x="30"/>
        <item x="225"/>
        <item x="213"/>
        <item x="216"/>
        <item x="171"/>
        <item x="140"/>
        <item x="221"/>
        <item x="43"/>
        <item x="117"/>
        <item x="141"/>
        <item x="111"/>
        <item x="76"/>
        <item x="215"/>
        <item x="193"/>
        <item x="160"/>
        <item x="99"/>
        <item x="85"/>
        <item x="54"/>
        <item x="21"/>
        <item x="183"/>
        <item x="194"/>
        <item x="149"/>
        <item x="185"/>
        <item x="56"/>
        <item x="60"/>
        <item x="218"/>
        <item x="40"/>
        <item x="129"/>
        <item x="239"/>
        <item x="130"/>
        <item x="125"/>
        <item x="196"/>
        <item x="165"/>
        <item x="97"/>
        <item x="145"/>
        <item x="177"/>
        <item x="64"/>
        <item x="87"/>
        <item x="135"/>
        <item x="105"/>
        <item x="35"/>
        <item x="75"/>
        <item x="48"/>
        <item x="142"/>
        <item x="243"/>
        <item x="27"/>
        <item x="58"/>
        <item x="88"/>
        <item x="161"/>
        <item x="199"/>
        <item x="146"/>
        <item x="51"/>
        <item x="36"/>
        <item x="118"/>
        <item x="80"/>
        <item x="70"/>
        <item x="12"/>
        <item x="6"/>
        <item x="211"/>
        <item x="237"/>
        <item x="126"/>
        <item x="110"/>
        <item x="175"/>
        <item x="144"/>
        <item x="250"/>
        <item x="197"/>
        <item x="93"/>
        <item x="240"/>
        <item x="122"/>
        <item x="207"/>
        <item x="20"/>
        <item x="94"/>
        <item x="176"/>
        <item x="231"/>
        <item x="212"/>
        <item x="24"/>
        <item x="114"/>
        <item x="137"/>
        <item x="72"/>
        <item x="39"/>
        <item x="91"/>
        <item x="134"/>
        <item x="37"/>
        <item x="0"/>
        <item x="47"/>
        <item x="229"/>
        <item x="235"/>
        <item x="202"/>
        <item x="115"/>
        <item x="127"/>
        <item x="204"/>
        <item x="29"/>
        <item x="139"/>
        <item x="1"/>
        <item x="104"/>
        <item x="150"/>
        <item x="186"/>
        <item x="71"/>
        <item x="42"/>
        <item x="190"/>
        <item x="236"/>
        <item x="159"/>
        <item x="191"/>
        <item x="119"/>
        <item x="78"/>
        <item x="116"/>
        <item x="100"/>
        <item x="61"/>
        <item x="234"/>
        <item x="25"/>
        <item x="14"/>
        <item x="195"/>
        <item x="241"/>
        <item x="3"/>
        <item x="106"/>
        <item x="181"/>
        <item x="201"/>
        <item x="217"/>
        <item x="65"/>
        <item x="220"/>
        <item x="167"/>
        <item x="79"/>
        <item x="148"/>
        <item x="172"/>
        <item x="8"/>
        <item x="249"/>
        <item x="232"/>
        <item x="226"/>
        <item x="120"/>
        <item x="214"/>
        <item x="103"/>
        <item x="107"/>
        <item x="156"/>
        <item x="157"/>
        <item x="89"/>
        <item x="41"/>
        <item x="203"/>
        <item x="224"/>
        <item x="9"/>
        <item x="209"/>
        <item x="28"/>
        <item x="188"/>
        <item x="101"/>
        <item x="49"/>
        <item x="19"/>
        <item x="166"/>
        <item x="7"/>
        <item x="109"/>
        <item x="81"/>
        <item x="124"/>
        <item x="184"/>
        <item x="123"/>
        <item x="46"/>
        <item x="147"/>
        <item x="5"/>
        <item x="173"/>
        <item x="164"/>
        <item x="52"/>
        <item x="59"/>
        <item x="189"/>
        <item x="233"/>
        <item x="77"/>
        <item x="57"/>
        <item x="10"/>
        <item x="82"/>
        <item x="132"/>
        <item x="13"/>
        <item x="170"/>
        <item x="179"/>
        <item x="96"/>
        <item x="84"/>
        <item x="168"/>
        <item x="45"/>
        <item x="11"/>
        <item x="187"/>
        <item x="178"/>
        <item x="205"/>
        <item x="34"/>
        <item x="228"/>
        <item x="143"/>
        <item x="128"/>
        <item x="17"/>
        <item x="162"/>
        <item x="206"/>
        <item x="138"/>
        <item x="208"/>
        <item x="32"/>
        <item x="26"/>
        <item x="219"/>
        <item x="180"/>
        <item x="33"/>
        <item x="38"/>
        <item x="247"/>
        <item x="63"/>
        <item x="92"/>
        <item x="68"/>
        <item x="192"/>
        <item x="158"/>
        <item x="131"/>
        <item x="246"/>
        <item x="108"/>
        <item x="53"/>
        <item x="169"/>
        <item x="83"/>
        <item x="22"/>
        <item x="182"/>
        <item x="67"/>
        <item x="151"/>
        <item x="152"/>
        <item x="4"/>
        <item x="74"/>
        <item x="62"/>
        <item x="55"/>
        <item x="154"/>
        <item x="31"/>
        <item x="23"/>
        <item t="default"/>
      </items>
    </pivotField>
    <pivotField axis="axisRow" showAll="0">
      <items count="5">
        <item x="1"/>
        <item x="0"/>
        <item x="3"/>
        <item x="2"/>
        <item t="default"/>
      </items>
    </pivotField>
    <pivotField showAll="0"/>
    <pivotField axis="axisRow" showAll="0">
      <items count="5">
        <item x="3"/>
        <item x="1"/>
        <item x="2"/>
        <item x="0"/>
        <item t="default"/>
      </items>
    </pivotField>
    <pivotField showAll="0"/>
    <pivotField showAll="0"/>
    <pivotField numFmtId="1" showAll="0"/>
    <pivotField numFmtId="165" showAll="0"/>
    <pivotField dataField="1" numFmtId="165" showAll="0"/>
    <pivotField numFmtId="165" showAll="0"/>
    <pivotField numFmtId="165"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 dragToRow="0" dragToCol="0" dragToPage="0" showAll="0" defaultSubtotal="0"/>
  </pivotFields>
  <rowFields count="2">
    <field x="4"/>
    <field x="2"/>
  </rowFields>
  <rowItems count="21">
    <i>
      <x/>
    </i>
    <i r="1">
      <x/>
    </i>
    <i r="1">
      <x v="1"/>
    </i>
    <i r="1">
      <x v="2"/>
    </i>
    <i r="1">
      <x v="3"/>
    </i>
    <i>
      <x v="1"/>
    </i>
    <i r="1">
      <x/>
    </i>
    <i r="1">
      <x v="1"/>
    </i>
    <i r="1">
      <x v="2"/>
    </i>
    <i r="1">
      <x v="3"/>
    </i>
    <i>
      <x v="2"/>
    </i>
    <i r="1">
      <x/>
    </i>
    <i r="1">
      <x v="1"/>
    </i>
    <i r="1">
      <x v="2"/>
    </i>
    <i r="1">
      <x v="3"/>
    </i>
    <i>
      <x v="3"/>
    </i>
    <i r="1">
      <x/>
    </i>
    <i r="1">
      <x v="1"/>
    </i>
    <i r="1">
      <x v="2"/>
    </i>
    <i r="1">
      <x v="3"/>
    </i>
    <i t="grand">
      <x/>
    </i>
  </rowItems>
  <colItems count="1">
    <i/>
  </colItems>
  <dataFields count="1">
    <dataField name="Sum of Revenue" fld="9"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12578BB-56BF-45D6-8E86-837E596AF52F}"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4" firstHeaderRow="0" firstDataRow="1" firstDataCol="1"/>
  <pivotFields count="18">
    <pivotField showAll="0"/>
    <pivotField numFmtId="164" showAll="0">
      <items count="252">
        <item x="242"/>
        <item x="210"/>
        <item x="86"/>
        <item x="248"/>
        <item x="153"/>
        <item x="200"/>
        <item x="230"/>
        <item x="16"/>
        <item x="73"/>
        <item x="163"/>
        <item x="136"/>
        <item x="155"/>
        <item x="238"/>
        <item x="18"/>
        <item x="113"/>
        <item x="174"/>
        <item x="44"/>
        <item x="95"/>
        <item x="15"/>
        <item x="227"/>
        <item x="198"/>
        <item x="66"/>
        <item x="222"/>
        <item x="102"/>
        <item x="98"/>
        <item x="2"/>
        <item x="223"/>
        <item x="244"/>
        <item x="90"/>
        <item x="121"/>
        <item x="245"/>
        <item x="133"/>
        <item x="112"/>
        <item x="50"/>
        <item x="69"/>
        <item x="30"/>
        <item x="225"/>
        <item x="213"/>
        <item x="216"/>
        <item x="171"/>
        <item x="140"/>
        <item x="221"/>
        <item x="43"/>
        <item x="117"/>
        <item x="141"/>
        <item x="111"/>
        <item x="76"/>
        <item x="215"/>
        <item x="193"/>
        <item x="160"/>
        <item x="99"/>
        <item x="85"/>
        <item x="54"/>
        <item x="21"/>
        <item x="183"/>
        <item x="194"/>
        <item x="149"/>
        <item x="185"/>
        <item x="56"/>
        <item x="60"/>
        <item x="218"/>
        <item x="40"/>
        <item x="129"/>
        <item x="239"/>
        <item x="130"/>
        <item x="125"/>
        <item x="196"/>
        <item x="165"/>
        <item x="97"/>
        <item x="145"/>
        <item x="177"/>
        <item x="64"/>
        <item x="87"/>
        <item x="135"/>
        <item x="105"/>
        <item x="35"/>
        <item x="75"/>
        <item x="48"/>
        <item x="142"/>
        <item x="243"/>
        <item x="27"/>
        <item x="58"/>
        <item x="88"/>
        <item x="161"/>
        <item x="199"/>
        <item x="146"/>
        <item x="51"/>
        <item x="36"/>
        <item x="118"/>
        <item x="80"/>
        <item x="70"/>
        <item x="12"/>
        <item x="6"/>
        <item x="211"/>
        <item x="237"/>
        <item x="126"/>
        <item x="110"/>
        <item x="175"/>
        <item x="144"/>
        <item x="250"/>
        <item x="197"/>
        <item x="93"/>
        <item x="240"/>
        <item x="122"/>
        <item x="207"/>
        <item x="20"/>
        <item x="94"/>
        <item x="176"/>
        <item x="231"/>
        <item x="212"/>
        <item x="24"/>
        <item x="114"/>
        <item x="137"/>
        <item x="72"/>
        <item x="39"/>
        <item x="91"/>
        <item x="134"/>
        <item x="37"/>
        <item x="0"/>
        <item x="47"/>
        <item x="229"/>
        <item x="235"/>
        <item x="202"/>
        <item x="115"/>
        <item x="127"/>
        <item x="204"/>
        <item x="29"/>
        <item x="139"/>
        <item x="1"/>
        <item x="104"/>
        <item x="150"/>
        <item x="186"/>
        <item x="71"/>
        <item x="42"/>
        <item x="190"/>
        <item x="236"/>
        <item x="159"/>
        <item x="191"/>
        <item x="119"/>
        <item x="78"/>
        <item x="116"/>
        <item x="100"/>
        <item x="61"/>
        <item x="234"/>
        <item x="25"/>
        <item x="14"/>
        <item x="195"/>
        <item x="241"/>
        <item x="3"/>
        <item x="106"/>
        <item x="181"/>
        <item x="201"/>
        <item x="217"/>
        <item x="65"/>
        <item x="220"/>
        <item x="167"/>
        <item x="79"/>
        <item x="148"/>
        <item x="172"/>
        <item x="8"/>
        <item x="249"/>
        <item x="232"/>
        <item x="226"/>
        <item x="120"/>
        <item x="214"/>
        <item x="103"/>
        <item x="107"/>
        <item x="156"/>
        <item x="157"/>
        <item x="89"/>
        <item x="41"/>
        <item x="203"/>
        <item x="224"/>
        <item x="9"/>
        <item x="209"/>
        <item x="28"/>
        <item x="188"/>
        <item x="101"/>
        <item x="49"/>
        <item x="19"/>
        <item x="166"/>
        <item x="7"/>
        <item x="109"/>
        <item x="81"/>
        <item x="124"/>
        <item x="184"/>
        <item x="123"/>
        <item x="46"/>
        <item x="147"/>
        <item x="5"/>
        <item x="173"/>
        <item x="164"/>
        <item x="52"/>
        <item x="59"/>
        <item x="189"/>
        <item x="233"/>
        <item x="77"/>
        <item x="57"/>
        <item x="10"/>
        <item x="82"/>
        <item x="132"/>
        <item x="13"/>
        <item x="170"/>
        <item x="179"/>
        <item x="96"/>
        <item x="84"/>
        <item x="168"/>
        <item x="45"/>
        <item x="11"/>
        <item x="187"/>
        <item x="178"/>
        <item x="205"/>
        <item x="34"/>
        <item x="228"/>
        <item x="143"/>
        <item x="128"/>
        <item x="17"/>
        <item x="162"/>
        <item x="206"/>
        <item x="138"/>
        <item x="208"/>
        <item x="32"/>
        <item x="26"/>
        <item x="219"/>
        <item x="180"/>
        <item x="33"/>
        <item x="38"/>
        <item x="247"/>
        <item x="63"/>
        <item x="92"/>
        <item x="68"/>
        <item x="192"/>
        <item x="158"/>
        <item x="131"/>
        <item x="246"/>
        <item x="108"/>
        <item x="53"/>
        <item x="169"/>
        <item x="83"/>
        <item x="22"/>
        <item x="182"/>
        <item x="67"/>
        <item x="151"/>
        <item x="152"/>
        <item x="4"/>
        <item x="74"/>
        <item x="62"/>
        <item x="55"/>
        <item x="154"/>
        <item x="31"/>
        <item x="23"/>
        <item t="default"/>
      </items>
    </pivotField>
    <pivotField axis="axisRow" showAll="0">
      <items count="5">
        <item x="1"/>
        <item x="0"/>
        <item x="3"/>
        <item x="2"/>
        <item t="default"/>
      </items>
    </pivotField>
    <pivotField showAll="0"/>
    <pivotField axis="axisRow" showAll="0">
      <items count="5">
        <item x="3"/>
        <item x="1"/>
        <item x="2"/>
        <item x="0"/>
        <item t="default"/>
      </items>
    </pivotField>
    <pivotField showAll="0"/>
    <pivotField showAll="0"/>
    <pivotField numFmtId="1" showAll="0"/>
    <pivotField numFmtId="165" showAll="0"/>
    <pivotField dataField="1" numFmtId="165" showAll="0"/>
    <pivotField numFmtId="165" showAll="0"/>
    <pivotField dataField="1" numFmtId="165"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 dragToRow="0" dragToCol="0" dragToPage="0" showAll="0" defaultSubtotal="0"/>
  </pivotFields>
  <rowFields count="2">
    <field x="2"/>
    <field x="4"/>
  </rowFields>
  <rowItems count="21">
    <i>
      <x/>
    </i>
    <i r="1">
      <x/>
    </i>
    <i r="1">
      <x v="1"/>
    </i>
    <i r="1">
      <x v="2"/>
    </i>
    <i r="1">
      <x v="3"/>
    </i>
    <i>
      <x v="1"/>
    </i>
    <i r="1">
      <x/>
    </i>
    <i r="1">
      <x v="1"/>
    </i>
    <i r="1">
      <x v="2"/>
    </i>
    <i r="1">
      <x v="3"/>
    </i>
    <i>
      <x v="2"/>
    </i>
    <i r="1">
      <x/>
    </i>
    <i r="1">
      <x v="1"/>
    </i>
    <i r="1">
      <x v="2"/>
    </i>
    <i r="1">
      <x v="3"/>
    </i>
    <i>
      <x v="3"/>
    </i>
    <i r="1">
      <x/>
    </i>
    <i r="1">
      <x v="1"/>
    </i>
    <i r="1">
      <x v="2"/>
    </i>
    <i r="1">
      <x v="3"/>
    </i>
    <i t="grand">
      <x/>
    </i>
  </rowItems>
  <colFields count="1">
    <field x="-2"/>
  </colFields>
  <colItems count="2">
    <i>
      <x/>
    </i>
    <i i="1">
      <x v="1"/>
    </i>
  </colItems>
  <dataFields count="2">
    <dataField name="Total Revenue" fld="9" baseField="0" baseItem="0" numFmtId="165"/>
    <dataField name="Total Profit" fld="11" baseField="0" baseItem="0" numFmtId="165"/>
  </dataFields>
  <formats count="10">
    <format dxfId="40">
      <pivotArea collapsedLevelsAreSubtotals="1" fieldPosition="0">
        <references count="2">
          <reference field="2" count="1" selected="0">
            <x v="0"/>
          </reference>
          <reference field="4" count="1">
            <x v="2"/>
          </reference>
        </references>
      </pivotArea>
    </format>
    <format dxfId="39">
      <pivotArea dataOnly="0" labelOnly="1" fieldPosition="0">
        <references count="2">
          <reference field="2" count="1" selected="0">
            <x v="0"/>
          </reference>
          <reference field="4" count="1">
            <x v="2"/>
          </reference>
        </references>
      </pivotArea>
    </format>
    <format dxfId="38">
      <pivotArea collapsedLevelsAreSubtotals="1" fieldPosition="0">
        <references count="2">
          <reference field="2" count="1" selected="0">
            <x v="1"/>
          </reference>
          <reference field="4" count="1">
            <x v="1"/>
          </reference>
        </references>
      </pivotArea>
    </format>
    <format dxfId="37">
      <pivotArea dataOnly="0" labelOnly="1" fieldPosition="0">
        <references count="2">
          <reference field="2" count="1" selected="0">
            <x v="1"/>
          </reference>
          <reference field="4" count="1">
            <x v="1"/>
          </reference>
        </references>
      </pivotArea>
    </format>
    <format dxfId="36">
      <pivotArea collapsedLevelsAreSubtotals="1" fieldPosition="0">
        <references count="2">
          <reference field="2" count="1" selected="0">
            <x v="2"/>
          </reference>
          <reference field="4" count="1">
            <x v="1"/>
          </reference>
        </references>
      </pivotArea>
    </format>
    <format dxfId="35">
      <pivotArea dataOnly="0" labelOnly="1" fieldPosition="0">
        <references count="2">
          <reference field="2" count="1" selected="0">
            <x v="2"/>
          </reference>
          <reference field="4" count="1">
            <x v="1"/>
          </reference>
        </references>
      </pivotArea>
    </format>
    <format dxfId="34">
      <pivotArea collapsedLevelsAreSubtotals="1" fieldPosition="0">
        <references count="2">
          <reference field="2" count="1" selected="0">
            <x v="3"/>
          </reference>
          <reference field="4" count="1">
            <x v="1"/>
          </reference>
        </references>
      </pivotArea>
    </format>
    <format dxfId="33">
      <pivotArea dataOnly="0" labelOnly="1" fieldPosition="0">
        <references count="2">
          <reference field="2" count="1" selected="0">
            <x v="3"/>
          </reference>
          <reference field="4" count="1">
            <x v="1"/>
          </reference>
        </references>
      </pivotArea>
    </format>
    <format dxfId="29">
      <pivotArea dataOnly="0" labelOnly="1" outline="0" fieldPosition="0">
        <references count="1">
          <reference field="4294967294" count="1">
            <x v="0"/>
          </reference>
        </references>
      </pivotArea>
    </format>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B07689-A3F8-4A92-9038-3137F280A321}"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6:C85" firstHeaderRow="0" firstDataRow="1" firstDataCol="1"/>
  <pivotFields count="18">
    <pivotField showAll="0"/>
    <pivotField numFmtId="164" showAll="0">
      <items count="252">
        <item x="242"/>
        <item x="210"/>
        <item x="86"/>
        <item x="248"/>
        <item x="153"/>
        <item x="200"/>
        <item x="230"/>
        <item x="16"/>
        <item x="73"/>
        <item x="163"/>
        <item x="136"/>
        <item x="155"/>
        <item x="238"/>
        <item x="18"/>
        <item x="113"/>
        <item x="174"/>
        <item x="44"/>
        <item x="95"/>
        <item x="15"/>
        <item x="227"/>
        <item x="198"/>
        <item x="66"/>
        <item x="222"/>
        <item x="102"/>
        <item x="98"/>
        <item x="2"/>
        <item x="223"/>
        <item x="244"/>
        <item x="90"/>
        <item x="121"/>
        <item x="245"/>
        <item x="133"/>
        <item x="112"/>
        <item x="50"/>
        <item x="69"/>
        <item x="30"/>
        <item x="225"/>
        <item x="213"/>
        <item x="216"/>
        <item x="171"/>
        <item x="140"/>
        <item x="221"/>
        <item x="43"/>
        <item x="117"/>
        <item x="141"/>
        <item x="111"/>
        <item x="76"/>
        <item x="215"/>
        <item x="193"/>
        <item x="160"/>
        <item x="99"/>
        <item x="85"/>
        <item x="54"/>
        <item x="21"/>
        <item x="183"/>
        <item x="194"/>
        <item x="149"/>
        <item x="185"/>
        <item x="56"/>
        <item x="60"/>
        <item x="218"/>
        <item x="40"/>
        <item x="129"/>
        <item x="239"/>
        <item x="130"/>
        <item x="125"/>
        <item x="196"/>
        <item x="165"/>
        <item x="97"/>
        <item x="145"/>
        <item x="177"/>
        <item x="64"/>
        <item x="87"/>
        <item x="135"/>
        <item x="105"/>
        <item x="35"/>
        <item x="75"/>
        <item x="48"/>
        <item x="142"/>
        <item x="243"/>
        <item x="27"/>
        <item x="58"/>
        <item x="88"/>
        <item x="161"/>
        <item x="199"/>
        <item x="146"/>
        <item x="51"/>
        <item x="36"/>
        <item x="118"/>
        <item x="80"/>
        <item x="70"/>
        <item x="12"/>
        <item x="6"/>
        <item x="211"/>
        <item x="237"/>
        <item x="126"/>
        <item x="110"/>
        <item x="175"/>
        <item x="144"/>
        <item x="250"/>
        <item x="197"/>
        <item x="93"/>
        <item x="240"/>
        <item x="122"/>
        <item x="207"/>
        <item x="20"/>
        <item x="94"/>
        <item x="176"/>
        <item x="231"/>
        <item x="212"/>
        <item x="24"/>
        <item x="114"/>
        <item x="137"/>
        <item x="72"/>
        <item x="39"/>
        <item x="91"/>
        <item x="134"/>
        <item x="37"/>
        <item x="0"/>
        <item x="47"/>
        <item x="229"/>
        <item x="235"/>
        <item x="202"/>
        <item x="115"/>
        <item x="127"/>
        <item x="204"/>
        <item x="29"/>
        <item x="139"/>
        <item x="1"/>
        <item x="104"/>
        <item x="150"/>
        <item x="186"/>
        <item x="71"/>
        <item x="42"/>
        <item x="190"/>
        <item x="236"/>
        <item x="159"/>
        <item x="191"/>
        <item x="119"/>
        <item x="78"/>
        <item x="116"/>
        <item x="100"/>
        <item x="61"/>
        <item x="234"/>
        <item x="25"/>
        <item x="14"/>
        <item x="195"/>
        <item x="241"/>
        <item x="3"/>
        <item x="106"/>
        <item x="181"/>
        <item x="201"/>
        <item x="217"/>
        <item x="65"/>
        <item x="220"/>
        <item x="167"/>
        <item x="79"/>
        <item x="148"/>
        <item x="172"/>
        <item x="8"/>
        <item x="249"/>
        <item x="232"/>
        <item x="226"/>
        <item x="120"/>
        <item x="214"/>
        <item x="103"/>
        <item x="107"/>
        <item x="156"/>
        <item x="157"/>
        <item x="89"/>
        <item x="41"/>
        <item x="203"/>
        <item x="224"/>
        <item x="9"/>
        <item x="209"/>
        <item x="28"/>
        <item x="188"/>
        <item x="101"/>
        <item x="49"/>
        <item x="19"/>
        <item x="166"/>
        <item x="7"/>
        <item x="109"/>
        <item x="81"/>
        <item x="124"/>
        <item x="184"/>
        <item x="123"/>
        <item x="46"/>
        <item x="147"/>
        <item x="5"/>
        <item x="173"/>
        <item x="164"/>
        <item x="52"/>
        <item x="59"/>
        <item x="189"/>
        <item x="233"/>
        <item x="77"/>
        <item x="57"/>
        <item x="10"/>
        <item x="82"/>
        <item x="132"/>
        <item x="13"/>
        <item x="170"/>
        <item x="179"/>
        <item x="96"/>
        <item x="84"/>
        <item x="168"/>
        <item x="45"/>
        <item x="11"/>
        <item x="187"/>
        <item x="178"/>
        <item x="205"/>
        <item x="34"/>
        <item x="228"/>
        <item x="143"/>
        <item x="128"/>
        <item x="17"/>
        <item x="162"/>
        <item x="206"/>
        <item x="138"/>
        <item x="208"/>
        <item x="32"/>
        <item x="26"/>
        <item x="219"/>
        <item x="180"/>
        <item x="33"/>
        <item x="38"/>
        <item x="247"/>
        <item x="63"/>
        <item x="92"/>
        <item x="68"/>
        <item x="192"/>
        <item x="158"/>
        <item x="131"/>
        <item x="246"/>
        <item x="108"/>
        <item x="53"/>
        <item x="169"/>
        <item x="83"/>
        <item x="22"/>
        <item x="182"/>
        <item x="67"/>
        <item x="151"/>
        <item x="152"/>
        <item x="4"/>
        <item x="74"/>
        <item x="62"/>
        <item x="55"/>
        <item x="154"/>
        <item x="31"/>
        <item x="23"/>
        <item t="default"/>
      </items>
    </pivotField>
    <pivotField showAll="0">
      <items count="5">
        <item x="1"/>
        <item x="0"/>
        <item x="3"/>
        <item x="2"/>
        <item t="default"/>
      </items>
    </pivotField>
    <pivotField showAll="0"/>
    <pivotField showAll="0">
      <items count="5">
        <item x="3"/>
        <item x="1"/>
        <item x="2"/>
        <item x="0"/>
        <item t="default"/>
      </items>
    </pivotField>
    <pivotField showAll="0"/>
    <pivotField axis="axisRow" showAll="0">
      <items count="9">
        <item x="7"/>
        <item x="3"/>
        <item x="6"/>
        <item x="0"/>
        <item x="2"/>
        <item x="4"/>
        <item x="1"/>
        <item x="5"/>
        <item t="default"/>
      </items>
    </pivotField>
    <pivotField numFmtId="1" showAll="0"/>
    <pivotField numFmtId="165" showAll="0"/>
    <pivotField dataField="1" numFmtId="165" showAll="0"/>
    <pivotField numFmtId="165" showAll="0"/>
    <pivotField dataField="1" numFmtId="165" showAll="0"/>
    <pivotField showAll="0"/>
    <pivotField showAll="0">
      <items count="4">
        <item x="1"/>
        <item x="0"/>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 dragToRow="0" dragToCol="0" dragToPage="0" showAll="0" defaultSubtotal="0"/>
  </pivotFields>
  <rowFields count="1">
    <field x="6"/>
  </rowFields>
  <rowItems count="9">
    <i>
      <x/>
    </i>
    <i>
      <x v="1"/>
    </i>
    <i>
      <x v="2"/>
    </i>
    <i>
      <x v="3"/>
    </i>
    <i>
      <x v="4"/>
    </i>
    <i>
      <x v="5"/>
    </i>
    <i>
      <x v="6"/>
    </i>
    <i>
      <x v="7"/>
    </i>
    <i t="grand">
      <x/>
    </i>
  </rowItems>
  <colFields count="1">
    <field x="-2"/>
  </colFields>
  <colItems count="2">
    <i>
      <x/>
    </i>
    <i i="1">
      <x v="1"/>
    </i>
  </colItems>
  <dataFields count="2">
    <dataField name="Sum of Revenue" fld="9" baseField="0" baseItem="0" numFmtId="165"/>
    <dataField name="Sum of Profit" fld="11"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93D9986-F091-42F4-B4BB-E111BF437CED}"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09:G114" firstHeaderRow="0" firstDataRow="1" firstDataCol="1"/>
  <pivotFields count="18">
    <pivotField showAll="0"/>
    <pivotField numFmtId="164" showAll="0">
      <items count="252">
        <item x="242"/>
        <item x="210"/>
        <item x="86"/>
        <item x="248"/>
        <item x="153"/>
        <item x="200"/>
        <item x="230"/>
        <item x="16"/>
        <item x="73"/>
        <item x="163"/>
        <item x="136"/>
        <item x="155"/>
        <item x="238"/>
        <item x="18"/>
        <item x="113"/>
        <item x="174"/>
        <item x="44"/>
        <item x="95"/>
        <item x="15"/>
        <item x="227"/>
        <item x="198"/>
        <item x="66"/>
        <item x="222"/>
        <item x="102"/>
        <item x="98"/>
        <item x="2"/>
        <item x="223"/>
        <item x="244"/>
        <item x="90"/>
        <item x="121"/>
        <item x="245"/>
        <item x="133"/>
        <item x="112"/>
        <item x="50"/>
        <item x="69"/>
        <item x="30"/>
        <item x="225"/>
        <item x="213"/>
        <item x="216"/>
        <item x="171"/>
        <item x="140"/>
        <item x="221"/>
        <item x="43"/>
        <item x="117"/>
        <item x="141"/>
        <item x="111"/>
        <item x="76"/>
        <item x="215"/>
        <item x="193"/>
        <item x="160"/>
        <item x="99"/>
        <item x="85"/>
        <item x="54"/>
        <item x="21"/>
        <item x="183"/>
        <item x="194"/>
        <item x="149"/>
        <item x="185"/>
        <item x="56"/>
        <item x="60"/>
        <item x="218"/>
        <item x="40"/>
        <item x="129"/>
        <item x="239"/>
        <item x="130"/>
        <item x="125"/>
        <item x="196"/>
        <item x="165"/>
        <item x="97"/>
        <item x="145"/>
        <item x="177"/>
        <item x="64"/>
        <item x="87"/>
        <item x="135"/>
        <item x="105"/>
        <item x="35"/>
        <item x="75"/>
        <item x="48"/>
        <item x="142"/>
        <item x="243"/>
        <item x="27"/>
        <item x="58"/>
        <item x="88"/>
        <item x="161"/>
        <item x="199"/>
        <item x="146"/>
        <item x="51"/>
        <item x="36"/>
        <item x="118"/>
        <item x="80"/>
        <item x="70"/>
        <item x="12"/>
        <item x="6"/>
        <item x="211"/>
        <item x="237"/>
        <item x="126"/>
        <item x="110"/>
        <item x="175"/>
        <item x="144"/>
        <item x="250"/>
        <item x="197"/>
        <item x="93"/>
        <item x="240"/>
        <item x="122"/>
        <item x="207"/>
        <item x="20"/>
        <item x="94"/>
        <item x="176"/>
        <item x="231"/>
        <item x="212"/>
        <item x="24"/>
        <item x="114"/>
        <item x="137"/>
        <item x="72"/>
        <item x="39"/>
        <item x="91"/>
        <item x="134"/>
        <item x="37"/>
        <item x="0"/>
        <item x="47"/>
        <item x="229"/>
        <item x="235"/>
        <item x="202"/>
        <item x="115"/>
        <item x="127"/>
        <item x="204"/>
        <item x="29"/>
        <item x="139"/>
        <item x="1"/>
        <item x="104"/>
        <item x="150"/>
        <item x="186"/>
        <item x="71"/>
        <item x="42"/>
        <item x="190"/>
        <item x="236"/>
        <item x="159"/>
        <item x="191"/>
        <item x="119"/>
        <item x="78"/>
        <item x="116"/>
        <item x="100"/>
        <item x="61"/>
        <item x="234"/>
        <item x="25"/>
        <item x="14"/>
        <item x="195"/>
        <item x="241"/>
        <item x="3"/>
        <item x="106"/>
        <item x="181"/>
        <item x="201"/>
        <item x="217"/>
        <item x="65"/>
        <item x="220"/>
        <item x="167"/>
        <item x="79"/>
        <item x="148"/>
        <item x="172"/>
        <item x="8"/>
        <item x="249"/>
        <item x="232"/>
        <item x="226"/>
        <item x="120"/>
        <item x="214"/>
        <item x="103"/>
        <item x="107"/>
        <item x="156"/>
        <item x="157"/>
        <item x="89"/>
        <item x="41"/>
        <item x="203"/>
        <item x="224"/>
        <item x="9"/>
        <item x="209"/>
        <item x="28"/>
        <item x="188"/>
        <item x="101"/>
        <item x="49"/>
        <item x="19"/>
        <item x="166"/>
        <item x="7"/>
        <item x="109"/>
        <item x="81"/>
        <item x="124"/>
        <item x="184"/>
        <item x="123"/>
        <item x="46"/>
        <item x="147"/>
        <item x="5"/>
        <item x="173"/>
        <item x="164"/>
        <item x="52"/>
        <item x="59"/>
        <item x="189"/>
        <item x="233"/>
        <item x="77"/>
        <item x="57"/>
        <item x="10"/>
        <item x="82"/>
        <item x="132"/>
        <item x="13"/>
        <item x="170"/>
        <item x="179"/>
        <item x="96"/>
        <item x="84"/>
        <item x="168"/>
        <item x="45"/>
        <item x="11"/>
        <item x="187"/>
        <item x="178"/>
        <item x="205"/>
        <item x="34"/>
        <item x="228"/>
        <item x="143"/>
        <item x="128"/>
        <item x="17"/>
        <item x="162"/>
        <item x="206"/>
        <item x="138"/>
        <item x="208"/>
        <item x="32"/>
        <item x="26"/>
        <item x="219"/>
        <item x="180"/>
        <item x="33"/>
        <item x="38"/>
        <item x="247"/>
        <item x="63"/>
        <item x="92"/>
        <item x="68"/>
        <item x="192"/>
        <item x="158"/>
        <item x="131"/>
        <item x="246"/>
        <item x="108"/>
        <item x="53"/>
        <item x="169"/>
        <item x="83"/>
        <item x="22"/>
        <item x="182"/>
        <item x="67"/>
        <item x="151"/>
        <item x="152"/>
        <item x="4"/>
        <item x="74"/>
        <item x="62"/>
        <item x="55"/>
        <item x="154"/>
        <item x="31"/>
        <item x="23"/>
        <item t="default"/>
      </items>
    </pivotField>
    <pivotField showAll="0">
      <items count="5">
        <item x="1"/>
        <item x="0"/>
        <item x="3"/>
        <item x="2"/>
        <item t="default"/>
      </items>
    </pivotField>
    <pivotField showAll="0"/>
    <pivotField showAll="0">
      <items count="5">
        <item x="3"/>
        <item x="1"/>
        <item x="2"/>
        <item x="0"/>
        <item t="default"/>
      </items>
    </pivotField>
    <pivotField showAll="0" measureFilter="1" sortType="ascending">
      <items count="25">
        <item x="20"/>
        <item x="11"/>
        <item x="4"/>
        <item x="13"/>
        <item x="7"/>
        <item x="16"/>
        <item x="21"/>
        <item x="2"/>
        <item x="14"/>
        <item x="12"/>
        <item x="15"/>
        <item x="17"/>
        <item x="8"/>
        <item x="9"/>
        <item x="0"/>
        <item x="18"/>
        <item x="10"/>
        <item x="19"/>
        <item x="5"/>
        <item x="3"/>
        <item x="22"/>
        <item x="6"/>
        <item x="23"/>
        <item x="1"/>
        <item t="default"/>
      </items>
    </pivotField>
    <pivotField showAll="0">
      <items count="9">
        <item x="7"/>
        <item x="3"/>
        <item x="6"/>
        <item x="0"/>
        <item x="2"/>
        <item x="4"/>
        <item x="1"/>
        <item x="5"/>
        <item t="default"/>
      </items>
    </pivotField>
    <pivotField dataField="1" numFmtId="1" showAll="0"/>
    <pivotField numFmtId="165" showAll="0"/>
    <pivotField dataField="1" numFmtId="165" showAll="0">
      <items count="301">
        <item x="168"/>
        <item x="146"/>
        <item x="97"/>
        <item x="36"/>
        <item x="35"/>
        <item x="232"/>
        <item x="103"/>
        <item x="145"/>
        <item x="267"/>
        <item x="127"/>
        <item x="60"/>
        <item x="79"/>
        <item x="196"/>
        <item x="89"/>
        <item x="42"/>
        <item x="3"/>
        <item x="134"/>
        <item x="113"/>
        <item x="26"/>
        <item x="16"/>
        <item x="277"/>
        <item x="12"/>
        <item x="280"/>
        <item x="215"/>
        <item x="84"/>
        <item x="5"/>
        <item x="292"/>
        <item x="272"/>
        <item x="130"/>
        <item x="181"/>
        <item x="64"/>
        <item x="63"/>
        <item x="11"/>
        <item x="249"/>
        <item x="40"/>
        <item x="67"/>
        <item x="70"/>
        <item x="235"/>
        <item x="158"/>
        <item x="59"/>
        <item x="284"/>
        <item x="0"/>
        <item x="245"/>
        <item x="77"/>
        <item x="19"/>
        <item x="218"/>
        <item x="278"/>
        <item x="256"/>
        <item x="240"/>
        <item x="8"/>
        <item x="39"/>
        <item x="32"/>
        <item x="82"/>
        <item x="223"/>
        <item x="266"/>
        <item x="100"/>
        <item x="283"/>
        <item x="287"/>
        <item x="151"/>
        <item x="80"/>
        <item x="296"/>
        <item x="162"/>
        <item x="156"/>
        <item x="73"/>
        <item x="233"/>
        <item x="122"/>
        <item x="197"/>
        <item x="285"/>
        <item x="102"/>
        <item x="46"/>
        <item x="66"/>
        <item x="189"/>
        <item x="9"/>
        <item x="87"/>
        <item x="139"/>
        <item x="188"/>
        <item x="126"/>
        <item x="22"/>
        <item x="120"/>
        <item x="234"/>
        <item x="184"/>
        <item x="53"/>
        <item x="112"/>
        <item x="13"/>
        <item x="43"/>
        <item x="41"/>
        <item x="260"/>
        <item x="148"/>
        <item x="116"/>
        <item x="219"/>
        <item x="268"/>
        <item x="163"/>
        <item x="55"/>
        <item x="187"/>
        <item x="201"/>
        <item x="109"/>
        <item x="276"/>
        <item x="81"/>
        <item x="54"/>
        <item x="144"/>
        <item x="7"/>
        <item x="92"/>
        <item x="141"/>
        <item x="210"/>
        <item x="263"/>
        <item x="83"/>
        <item x="155"/>
        <item x="238"/>
        <item x="176"/>
        <item x="179"/>
        <item x="95"/>
        <item x="93"/>
        <item x="200"/>
        <item x="164"/>
        <item x="236"/>
        <item x="4"/>
        <item x="47"/>
        <item x="173"/>
        <item x="251"/>
        <item x="153"/>
        <item x="216"/>
        <item x="185"/>
        <item x="31"/>
        <item x="33"/>
        <item x="38"/>
        <item x="220"/>
        <item x="125"/>
        <item x="270"/>
        <item x="229"/>
        <item x="191"/>
        <item x="119"/>
        <item x="174"/>
        <item x="198"/>
        <item x="180"/>
        <item x="50"/>
        <item x="118"/>
        <item x="206"/>
        <item x="230"/>
        <item x="241"/>
        <item x="222"/>
        <item x="37"/>
        <item x="161"/>
        <item x="252"/>
        <item x="24"/>
        <item x="58"/>
        <item x="71"/>
        <item x="44"/>
        <item x="171"/>
        <item x="255"/>
        <item x="25"/>
        <item x="244"/>
        <item x="107"/>
        <item x="214"/>
        <item x="253"/>
        <item x="27"/>
        <item x="20"/>
        <item x="262"/>
        <item x="221"/>
        <item x="86"/>
        <item x="212"/>
        <item x="2"/>
        <item x="15"/>
        <item x="133"/>
        <item x="195"/>
        <item x="111"/>
        <item x="88"/>
        <item x="17"/>
        <item x="209"/>
        <item x="90"/>
        <item x="48"/>
        <item x="275"/>
        <item x="248"/>
        <item x="14"/>
        <item x="6"/>
        <item x="49"/>
        <item x="213"/>
        <item x="117"/>
        <item x="246"/>
        <item x="193"/>
        <item x="273"/>
        <item x="192"/>
        <item x="147"/>
        <item x="115"/>
        <item x="45"/>
        <item x="258"/>
        <item x="51"/>
        <item x="293"/>
        <item x="203"/>
        <item x="85"/>
        <item x="225"/>
        <item x="28"/>
        <item x="152"/>
        <item x="30"/>
        <item x="154"/>
        <item x="169"/>
        <item x="128"/>
        <item x="269"/>
        <item x="104"/>
        <item x="140"/>
        <item x="101"/>
        <item x="243"/>
        <item x="207"/>
        <item x="202"/>
        <item x="69"/>
        <item x="288"/>
        <item x="175"/>
        <item x="247"/>
        <item x="190"/>
        <item x="274"/>
        <item x="183"/>
        <item x="227"/>
        <item x="295"/>
        <item x="182"/>
        <item x="239"/>
        <item x="194"/>
        <item x="105"/>
        <item x="261"/>
        <item x="170"/>
        <item x="136"/>
        <item x="98"/>
        <item x="21"/>
        <item x="297"/>
        <item x="177"/>
        <item x="29"/>
        <item x="96"/>
        <item x="124"/>
        <item x="217"/>
        <item x="62"/>
        <item x="172"/>
        <item x="143"/>
        <item x="129"/>
        <item x="131"/>
        <item x="254"/>
        <item x="264"/>
        <item x="265"/>
        <item x="123"/>
        <item x="294"/>
        <item x="289"/>
        <item x="224"/>
        <item x="18"/>
        <item x="231"/>
        <item x="299"/>
        <item x="282"/>
        <item x="132"/>
        <item x="23"/>
        <item x="166"/>
        <item x="211"/>
        <item x="34"/>
        <item x="167"/>
        <item x="178"/>
        <item x="91"/>
        <item x="150"/>
        <item x="159"/>
        <item x="56"/>
        <item x="208"/>
        <item x="228"/>
        <item x="291"/>
        <item x="68"/>
        <item x="106"/>
        <item x="298"/>
        <item x="76"/>
        <item x="259"/>
        <item x="226"/>
        <item x="1"/>
        <item x="199"/>
        <item x="186"/>
        <item x="61"/>
        <item x="165"/>
        <item x="121"/>
        <item x="157"/>
        <item x="94"/>
        <item x="75"/>
        <item x="99"/>
        <item x="138"/>
        <item x="110"/>
        <item x="242"/>
        <item x="205"/>
        <item x="271"/>
        <item x="237"/>
        <item x="137"/>
        <item x="52"/>
        <item x="281"/>
        <item x="108"/>
        <item x="142"/>
        <item x="290"/>
        <item x="160"/>
        <item x="257"/>
        <item x="72"/>
        <item x="78"/>
        <item x="149"/>
        <item x="204"/>
        <item x="250"/>
        <item x="135"/>
        <item x="74"/>
        <item x="57"/>
        <item x="10"/>
        <item x="114"/>
        <item x="286"/>
        <item x="65"/>
        <item x="279"/>
        <item t="default"/>
      </items>
    </pivotField>
    <pivotField numFmtId="165" showAll="0"/>
    <pivotField numFmtId="165" showAll="0"/>
    <pivotField axis="axisRow" showAll="0">
      <items count="3">
        <item h="1" x="0"/>
        <item x="1"/>
        <item t="default"/>
      </items>
    </pivotField>
    <pivotField axis="axisRow" showAll="0">
      <items count="4">
        <item x="1"/>
        <item x="0"/>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 dragToRow="0" dragToCol="0" dragToPage="0" showAll="0" defaultSubtotal="0"/>
  </pivotFields>
  <rowFields count="2">
    <field x="12"/>
    <field x="13"/>
  </rowFields>
  <rowItems count="5">
    <i>
      <x v="1"/>
    </i>
    <i r="1">
      <x/>
    </i>
    <i r="1">
      <x v="1"/>
    </i>
    <i r="1">
      <x v="2"/>
    </i>
    <i t="grand">
      <x/>
    </i>
  </rowItems>
  <colFields count="1">
    <field x="-2"/>
  </colFields>
  <colItems count="2">
    <i>
      <x/>
    </i>
    <i i="1">
      <x v="1"/>
    </i>
  </colItems>
  <dataFields count="2">
    <dataField name="Sum of Revenue" fld="9" baseField="0" baseItem="0"/>
    <dataField name="Sum of Quantity" fld="7" showDataAs="percentOfTotal" baseField="0" baseItem="0" numFmtId="10"/>
  </dataFields>
  <formats count="3">
    <format dxfId="21">
      <pivotArea outline="0" collapsedLevelsAreSubtotals="1" fieldPosition="0"/>
    </format>
    <format dxfId="22">
      <pivotArea dataOnly="0" labelOnly="1" outline="0" axis="axisValues" fieldPosition="0"/>
    </format>
    <format dxfId="23">
      <pivotArea outline="0" fieldPosition="0">
        <references count="1">
          <reference field="4294967294" count="1">
            <x v="1"/>
          </reference>
        </references>
      </pivotArea>
    </format>
  </formats>
  <pivotTableStyleInfo name="PivotStyleLight16" showRowHeaders="1" showColHeaders="1" showRowStripes="0" showColStripes="0" showLastColumn="1"/>
  <filters count="1">
    <filter fld="5" type="count" evalOrder="-1" id="4"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EFC05E4-F671-4115-94EC-BC65EBC791AC}"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2:B137" firstHeaderRow="1" firstDataRow="1" firstDataCol="1"/>
  <pivotFields count="18">
    <pivotField showAll="0"/>
    <pivotField numFmtId="164" showAll="0">
      <items count="252">
        <item x="242"/>
        <item x="210"/>
        <item x="86"/>
        <item x="248"/>
        <item x="153"/>
        <item x="200"/>
        <item x="230"/>
        <item x="16"/>
        <item x="73"/>
        <item x="163"/>
        <item x="136"/>
        <item x="155"/>
        <item x="238"/>
        <item x="18"/>
        <item x="113"/>
        <item x="174"/>
        <item x="44"/>
        <item x="95"/>
        <item x="15"/>
        <item x="227"/>
        <item x="198"/>
        <item x="66"/>
        <item x="222"/>
        <item x="102"/>
        <item x="98"/>
        <item x="2"/>
        <item x="223"/>
        <item x="244"/>
        <item x="90"/>
        <item x="121"/>
        <item x="245"/>
        <item x="133"/>
        <item x="112"/>
        <item x="50"/>
        <item x="69"/>
        <item x="30"/>
        <item x="225"/>
        <item x="213"/>
        <item x="216"/>
        <item x="171"/>
        <item x="140"/>
        <item x="221"/>
        <item x="43"/>
        <item x="117"/>
        <item x="141"/>
        <item x="111"/>
        <item x="76"/>
        <item x="215"/>
        <item x="193"/>
        <item x="160"/>
        <item x="99"/>
        <item x="85"/>
        <item x="54"/>
        <item x="21"/>
        <item x="183"/>
        <item x="194"/>
        <item x="149"/>
        <item x="185"/>
        <item x="56"/>
        <item x="60"/>
        <item x="218"/>
        <item x="40"/>
        <item x="129"/>
        <item x="239"/>
        <item x="130"/>
        <item x="125"/>
        <item x="196"/>
        <item x="165"/>
        <item x="97"/>
        <item x="145"/>
        <item x="177"/>
        <item x="64"/>
        <item x="87"/>
        <item x="135"/>
        <item x="105"/>
        <item x="35"/>
        <item x="75"/>
        <item x="48"/>
        <item x="142"/>
        <item x="243"/>
        <item x="27"/>
        <item x="58"/>
        <item x="88"/>
        <item x="161"/>
        <item x="199"/>
        <item x="146"/>
        <item x="51"/>
        <item x="36"/>
        <item x="118"/>
        <item x="80"/>
        <item x="70"/>
        <item x="12"/>
        <item x="6"/>
        <item x="211"/>
        <item x="237"/>
        <item x="126"/>
        <item x="110"/>
        <item x="175"/>
        <item x="144"/>
        <item x="250"/>
        <item x="197"/>
        <item x="93"/>
        <item x="240"/>
        <item x="122"/>
        <item x="207"/>
        <item x="20"/>
        <item x="94"/>
        <item x="176"/>
        <item x="231"/>
        <item x="212"/>
        <item x="24"/>
        <item x="114"/>
        <item x="137"/>
        <item x="72"/>
        <item x="39"/>
        <item x="91"/>
        <item x="134"/>
        <item x="37"/>
        <item x="0"/>
        <item x="47"/>
        <item x="229"/>
        <item x="235"/>
        <item x="202"/>
        <item x="115"/>
        <item x="127"/>
        <item x="204"/>
        <item x="29"/>
        <item x="139"/>
        <item x="1"/>
        <item x="104"/>
        <item x="150"/>
        <item x="186"/>
        <item x="71"/>
        <item x="42"/>
        <item x="190"/>
        <item x="236"/>
        <item x="159"/>
        <item x="191"/>
        <item x="119"/>
        <item x="78"/>
        <item x="116"/>
        <item x="100"/>
        <item x="61"/>
        <item x="234"/>
        <item x="25"/>
        <item x="14"/>
        <item x="195"/>
        <item x="241"/>
        <item x="3"/>
        <item x="106"/>
        <item x="181"/>
        <item x="201"/>
        <item x="217"/>
        <item x="65"/>
        <item x="220"/>
        <item x="167"/>
        <item x="79"/>
        <item x="148"/>
        <item x="172"/>
        <item x="8"/>
        <item x="249"/>
        <item x="232"/>
        <item x="226"/>
        <item x="120"/>
        <item x="214"/>
        <item x="103"/>
        <item x="107"/>
        <item x="156"/>
        <item x="157"/>
        <item x="89"/>
        <item x="41"/>
        <item x="203"/>
        <item x="224"/>
        <item x="9"/>
        <item x="209"/>
        <item x="28"/>
        <item x="188"/>
        <item x="101"/>
        <item x="49"/>
        <item x="19"/>
        <item x="166"/>
        <item x="7"/>
        <item x="109"/>
        <item x="81"/>
        <item x="124"/>
        <item x="184"/>
        <item x="123"/>
        <item x="46"/>
        <item x="147"/>
        <item x="5"/>
        <item x="173"/>
        <item x="164"/>
        <item x="52"/>
        <item x="59"/>
        <item x="189"/>
        <item x="233"/>
        <item x="77"/>
        <item x="57"/>
        <item x="10"/>
        <item x="82"/>
        <item x="132"/>
        <item x="13"/>
        <item x="170"/>
        <item x="179"/>
        <item x="96"/>
        <item x="84"/>
        <item x="168"/>
        <item x="45"/>
        <item x="11"/>
        <item x="187"/>
        <item x="178"/>
        <item x="205"/>
        <item x="34"/>
        <item x="228"/>
        <item x="143"/>
        <item x="128"/>
        <item x="17"/>
        <item x="162"/>
        <item x="206"/>
        <item x="138"/>
        <item x="208"/>
        <item x="32"/>
        <item x="26"/>
        <item x="219"/>
        <item x="180"/>
        <item x="33"/>
        <item x="38"/>
        <item x="247"/>
        <item x="63"/>
        <item x="92"/>
        <item x="68"/>
        <item x="192"/>
        <item x="158"/>
        <item x="131"/>
        <item x="246"/>
        <item x="108"/>
        <item x="53"/>
        <item x="169"/>
        <item x="83"/>
        <item x="22"/>
        <item x="182"/>
        <item x="67"/>
        <item x="151"/>
        <item x="152"/>
        <item x="4"/>
        <item x="74"/>
        <item x="62"/>
        <item x="55"/>
        <item x="154"/>
        <item x="31"/>
        <item x="23"/>
        <item t="default"/>
      </items>
    </pivotField>
    <pivotField axis="axisRow" showAll="0">
      <items count="5">
        <item x="1"/>
        <item x="0"/>
        <item x="3"/>
        <item x="2"/>
        <item t="default"/>
      </items>
    </pivotField>
    <pivotField showAll="0"/>
    <pivotField showAll="0">
      <items count="5">
        <item x="3"/>
        <item x="1"/>
        <item x="2"/>
        <item x="0"/>
        <item t="default"/>
      </items>
    </pivotField>
    <pivotField showAll="0"/>
    <pivotField showAll="0"/>
    <pivotField numFmtId="1" showAll="0"/>
    <pivotField numFmtId="165" showAll="0"/>
    <pivotField dataField="1" numFmtId="165" showAll="0"/>
    <pivotField numFmtId="165" showAll="0"/>
    <pivotField numFmtId="165"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s>
  <rowFields count="1">
    <field x="2"/>
  </rowFields>
  <rowItems count="5">
    <i>
      <x/>
    </i>
    <i>
      <x v="1"/>
    </i>
    <i>
      <x v="2"/>
    </i>
    <i>
      <x v="3"/>
    </i>
    <i t="grand">
      <x/>
    </i>
  </rowItems>
  <colItems count="1">
    <i/>
  </colItems>
  <dataFields count="1">
    <dataField name="Sum of Revenue"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9DC6EAF-B327-4EED-93E0-3AB81DB6D201}"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42:B247" firstHeaderRow="1" firstDataRow="1" firstDataCol="1"/>
  <pivotFields count="18">
    <pivotField showAll="0"/>
    <pivotField numFmtId="164" showAll="0">
      <items count="252">
        <item x="242"/>
        <item x="210"/>
        <item x="86"/>
        <item x="248"/>
        <item x="153"/>
        <item x="200"/>
        <item x="230"/>
        <item x="16"/>
        <item x="73"/>
        <item x="163"/>
        <item x="136"/>
        <item x="155"/>
        <item x="238"/>
        <item x="18"/>
        <item x="113"/>
        <item x="174"/>
        <item x="44"/>
        <item x="95"/>
        <item x="15"/>
        <item x="227"/>
        <item x="198"/>
        <item x="66"/>
        <item x="222"/>
        <item x="102"/>
        <item x="98"/>
        <item x="2"/>
        <item x="223"/>
        <item x="244"/>
        <item x="90"/>
        <item x="121"/>
        <item x="245"/>
        <item x="133"/>
        <item x="112"/>
        <item x="50"/>
        <item x="69"/>
        <item x="30"/>
        <item x="225"/>
        <item x="213"/>
        <item x="216"/>
        <item x="171"/>
        <item x="140"/>
        <item x="221"/>
        <item x="43"/>
        <item x="117"/>
        <item x="141"/>
        <item x="111"/>
        <item x="76"/>
        <item x="215"/>
        <item x="193"/>
        <item x="160"/>
        <item x="99"/>
        <item x="85"/>
        <item x="54"/>
        <item x="21"/>
        <item x="183"/>
        <item x="194"/>
        <item x="149"/>
        <item x="185"/>
        <item x="56"/>
        <item x="60"/>
        <item x="218"/>
        <item x="40"/>
        <item x="129"/>
        <item x="239"/>
        <item x="130"/>
        <item x="125"/>
        <item x="196"/>
        <item x="165"/>
        <item x="97"/>
        <item x="145"/>
        <item x="177"/>
        <item x="64"/>
        <item x="87"/>
        <item x="135"/>
        <item x="105"/>
        <item x="35"/>
        <item x="75"/>
        <item x="48"/>
        <item x="142"/>
        <item x="243"/>
        <item x="27"/>
        <item x="58"/>
        <item x="88"/>
        <item x="161"/>
        <item x="199"/>
        <item x="146"/>
        <item x="51"/>
        <item x="36"/>
        <item x="118"/>
        <item x="80"/>
        <item x="70"/>
        <item x="12"/>
        <item x="6"/>
        <item x="211"/>
        <item x="237"/>
        <item x="126"/>
        <item x="110"/>
        <item x="175"/>
        <item x="144"/>
        <item x="250"/>
        <item x="197"/>
        <item x="93"/>
        <item x="240"/>
        <item x="122"/>
        <item x="207"/>
        <item x="20"/>
        <item x="94"/>
        <item x="176"/>
        <item x="231"/>
        <item x="212"/>
        <item x="24"/>
        <item x="114"/>
        <item x="137"/>
        <item x="72"/>
        <item x="39"/>
        <item x="91"/>
        <item x="134"/>
        <item x="37"/>
        <item x="0"/>
        <item x="47"/>
        <item x="229"/>
        <item x="235"/>
        <item x="202"/>
        <item x="115"/>
        <item x="127"/>
        <item x="204"/>
        <item x="29"/>
        <item x="139"/>
        <item x="1"/>
        <item x="104"/>
        <item x="150"/>
        <item x="186"/>
        <item x="71"/>
        <item x="42"/>
        <item x="190"/>
        <item x="236"/>
        <item x="159"/>
        <item x="191"/>
        <item x="119"/>
        <item x="78"/>
        <item x="116"/>
        <item x="100"/>
        <item x="61"/>
        <item x="234"/>
        <item x="25"/>
        <item x="14"/>
        <item x="195"/>
        <item x="241"/>
        <item x="3"/>
        <item x="106"/>
        <item x="181"/>
        <item x="201"/>
        <item x="217"/>
        <item x="65"/>
        <item x="220"/>
        <item x="167"/>
        <item x="79"/>
        <item x="148"/>
        <item x="172"/>
        <item x="8"/>
        <item x="249"/>
        <item x="232"/>
        <item x="226"/>
        <item x="120"/>
        <item x="214"/>
        <item x="103"/>
        <item x="107"/>
        <item x="156"/>
        <item x="157"/>
        <item x="89"/>
        <item x="41"/>
        <item x="203"/>
        <item x="224"/>
        <item x="9"/>
        <item x="209"/>
        <item x="28"/>
        <item x="188"/>
        <item x="101"/>
        <item x="49"/>
        <item x="19"/>
        <item x="166"/>
        <item x="7"/>
        <item x="109"/>
        <item x="81"/>
        <item x="124"/>
        <item x="184"/>
        <item x="123"/>
        <item x="46"/>
        <item x="147"/>
        <item x="5"/>
        <item x="173"/>
        <item x="164"/>
        <item x="52"/>
        <item x="59"/>
        <item x="189"/>
        <item x="233"/>
        <item x="77"/>
        <item x="57"/>
        <item x="10"/>
        <item x="82"/>
        <item x="132"/>
        <item x="13"/>
        <item x="170"/>
        <item x="179"/>
        <item x="96"/>
        <item x="84"/>
        <item x="168"/>
        <item x="45"/>
        <item x="11"/>
        <item x="187"/>
        <item x="178"/>
        <item x="205"/>
        <item x="34"/>
        <item x="228"/>
        <item x="143"/>
        <item x="128"/>
        <item x="17"/>
        <item x="162"/>
        <item x="206"/>
        <item x="138"/>
        <item x="208"/>
        <item x="32"/>
        <item x="26"/>
        <item x="219"/>
        <item x="180"/>
        <item x="33"/>
        <item x="38"/>
        <item x="247"/>
        <item x="63"/>
        <item x="92"/>
        <item x="68"/>
        <item x="192"/>
        <item x="158"/>
        <item x="131"/>
        <item x="246"/>
        <item x="108"/>
        <item x="53"/>
        <item x="169"/>
        <item x="83"/>
        <item x="22"/>
        <item x="182"/>
        <item x="67"/>
        <item x="151"/>
        <item x="152"/>
        <item x="4"/>
        <item x="74"/>
        <item x="62"/>
        <item x="55"/>
        <item x="154"/>
        <item x="31"/>
        <item x="23"/>
        <item t="default"/>
      </items>
    </pivotField>
    <pivotField axis="axisRow" showAll="0">
      <items count="5">
        <item x="1"/>
        <item x="0"/>
        <item x="3"/>
        <item x="2"/>
        <item t="default"/>
      </items>
    </pivotField>
    <pivotField showAll="0"/>
    <pivotField showAll="0">
      <items count="5">
        <item x="3"/>
        <item x="1"/>
        <item x="2"/>
        <item x="0"/>
        <item t="default"/>
      </items>
    </pivotField>
    <pivotField showAll="0"/>
    <pivotField showAll="0"/>
    <pivotField numFmtId="1" showAll="0"/>
    <pivotField numFmtId="165" showAll="0"/>
    <pivotField dataField="1" numFmtId="165" showAll="0"/>
    <pivotField numFmtId="165" showAll="0"/>
    <pivotField numFmtId="165" showAll="0"/>
    <pivotField showAll="0"/>
    <pivotField showAll="0"/>
    <pivotField showAll="0" defaultSubtotal="0"/>
    <pivotField showAll="0" defaultSubtotal="0"/>
    <pivotField showAll="0" defaultSubtotal="0">
      <items count="5">
        <item x="0"/>
        <item x="1"/>
        <item x="2"/>
        <item x="3"/>
        <item x="4"/>
      </items>
    </pivotField>
    <pivotField dragToRow="0" dragToCol="0" dragToPage="0" showAll="0" defaultSubtotal="0"/>
  </pivotFields>
  <rowFields count="1">
    <field x="2"/>
  </rowFields>
  <rowItems count="5">
    <i>
      <x/>
    </i>
    <i>
      <x v="1"/>
    </i>
    <i>
      <x v="2"/>
    </i>
    <i>
      <x v="3"/>
    </i>
    <i t="grand">
      <x/>
    </i>
  </rowItems>
  <colItems count="1">
    <i/>
  </colItems>
  <dataFields count="1">
    <dataField name="Sum of Revenue" fld="9"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2DBBF0F-587A-4794-A068-91DDDE619E2E}"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7:C70" firstHeaderRow="0" firstDataRow="1" firstDataCol="1"/>
  <pivotFields count="18">
    <pivotField showAll="0"/>
    <pivotField axis="axisRow" numFmtId="164" showAll="0">
      <items count="252">
        <item x="242"/>
        <item x="210"/>
        <item x="86"/>
        <item x="248"/>
        <item x="153"/>
        <item x="200"/>
        <item x="230"/>
        <item x="16"/>
        <item x="73"/>
        <item x="163"/>
        <item x="136"/>
        <item x="155"/>
        <item x="238"/>
        <item x="18"/>
        <item x="113"/>
        <item x="174"/>
        <item x="44"/>
        <item x="95"/>
        <item x="15"/>
        <item x="227"/>
        <item x="198"/>
        <item x="66"/>
        <item x="222"/>
        <item x="102"/>
        <item x="98"/>
        <item x="2"/>
        <item x="223"/>
        <item x="244"/>
        <item x="90"/>
        <item x="121"/>
        <item x="245"/>
        <item x="133"/>
        <item x="112"/>
        <item x="50"/>
        <item x="69"/>
        <item x="30"/>
        <item x="225"/>
        <item x="213"/>
        <item x="216"/>
        <item x="171"/>
        <item x="140"/>
        <item x="221"/>
        <item x="43"/>
        <item x="117"/>
        <item x="141"/>
        <item x="111"/>
        <item x="76"/>
        <item x="215"/>
        <item x="193"/>
        <item x="160"/>
        <item x="99"/>
        <item x="85"/>
        <item x="54"/>
        <item x="21"/>
        <item x="183"/>
        <item x="194"/>
        <item x="149"/>
        <item x="185"/>
        <item x="56"/>
        <item x="60"/>
        <item x="218"/>
        <item x="40"/>
        <item x="129"/>
        <item x="239"/>
        <item x="130"/>
        <item x="125"/>
        <item x="196"/>
        <item x="165"/>
        <item x="97"/>
        <item x="145"/>
        <item x="177"/>
        <item x="64"/>
        <item x="87"/>
        <item x="135"/>
        <item x="105"/>
        <item x="35"/>
        <item x="75"/>
        <item x="48"/>
        <item x="142"/>
        <item x="243"/>
        <item x="27"/>
        <item x="58"/>
        <item x="88"/>
        <item x="161"/>
        <item x="199"/>
        <item x="146"/>
        <item x="51"/>
        <item x="36"/>
        <item x="118"/>
        <item x="80"/>
        <item x="70"/>
        <item x="12"/>
        <item x="6"/>
        <item x="211"/>
        <item x="237"/>
        <item x="126"/>
        <item x="110"/>
        <item x="175"/>
        <item x="144"/>
        <item x="250"/>
        <item x="197"/>
        <item x="93"/>
        <item x="240"/>
        <item x="122"/>
        <item x="207"/>
        <item x="20"/>
        <item x="94"/>
        <item x="176"/>
        <item x="231"/>
        <item x="212"/>
        <item x="24"/>
        <item x="114"/>
        <item x="137"/>
        <item x="72"/>
        <item x="39"/>
        <item x="91"/>
        <item x="134"/>
        <item x="37"/>
        <item x="0"/>
        <item x="47"/>
        <item x="229"/>
        <item x="235"/>
        <item x="202"/>
        <item x="115"/>
        <item x="127"/>
        <item x="204"/>
        <item x="29"/>
        <item x="139"/>
        <item x="1"/>
        <item x="104"/>
        <item x="150"/>
        <item x="186"/>
        <item x="71"/>
        <item x="42"/>
        <item x="190"/>
        <item x="236"/>
        <item x="159"/>
        <item x="191"/>
        <item x="119"/>
        <item x="78"/>
        <item x="116"/>
        <item x="100"/>
        <item x="61"/>
        <item x="234"/>
        <item x="25"/>
        <item x="14"/>
        <item x="195"/>
        <item x="241"/>
        <item x="3"/>
        <item x="106"/>
        <item x="181"/>
        <item x="201"/>
        <item x="217"/>
        <item x="65"/>
        <item x="220"/>
        <item x="167"/>
        <item x="79"/>
        <item x="148"/>
        <item x="172"/>
        <item x="8"/>
        <item x="249"/>
        <item x="232"/>
        <item x="226"/>
        <item x="120"/>
        <item x="214"/>
        <item x="103"/>
        <item x="107"/>
        <item x="156"/>
        <item x="157"/>
        <item x="89"/>
        <item x="41"/>
        <item x="203"/>
        <item x="224"/>
        <item x="9"/>
        <item x="209"/>
        <item x="28"/>
        <item x="188"/>
        <item x="101"/>
        <item x="49"/>
        <item x="19"/>
        <item x="166"/>
        <item x="7"/>
        <item x="109"/>
        <item x="81"/>
        <item x="124"/>
        <item x="184"/>
        <item x="123"/>
        <item x="46"/>
        <item x="147"/>
        <item x="5"/>
        <item x="173"/>
        <item x="164"/>
        <item x="52"/>
        <item x="59"/>
        <item x="189"/>
        <item x="233"/>
        <item x="77"/>
        <item x="57"/>
        <item x="10"/>
        <item x="82"/>
        <item x="132"/>
        <item x="13"/>
        <item x="170"/>
        <item x="179"/>
        <item x="96"/>
        <item x="84"/>
        <item x="168"/>
        <item x="45"/>
        <item x="11"/>
        <item x="187"/>
        <item x="178"/>
        <item x="205"/>
        <item x="34"/>
        <item x="228"/>
        <item x="143"/>
        <item x="128"/>
        <item x="17"/>
        <item x="162"/>
        <item x="206"/>
        <item x="138"/>
        <item x="208"/>
        <item x="32"/>
        <item x="26"/>
        <item x="219"/>
        <item x="180"/>
        <item x="33"/>
        <item x="38"/>
        <item x="247"/>
        <item x="63"/>
        <item x="92"/>
        <item x="68"/>
        <item x="192"/>
        <item x="158"/>
        <item x="131"/>
        <item x="246"/>
        <item x="108"/>
        <item x="53"/>
        <item x="169"/>
        <item x="83"/>
        <item x="22"/>
        <item x="182"/>
        <item x="67"/>
        <item x="151"/>
        <item x="152"/>
        <item x="4"/>
        <item x="74"/>
        <item x="62"/>
        <item x="55"/>
        <item x="154"/>
        <item x="31"/>
        <item x="23"/>
        <item t="default"/>
      </items>
    </pivotField>
    <pivotField showAll="0">
      <items count="5">
        <item x="1"/>
        <item x="0"/>
        <item x="3"/>
        <item x="2"/>
        <item t="default"/>
      </items>
    </pivotField>
    <pivotField showAll="0"/>
    <pivotField showAll="0">
      <items count="5">
        <item x="3"/>
        <item x="1"/>
        <item x="2"/>
        <item x="0"/>
        <item t="default"/>
      </items>
    </pivotField>
    <pivotField showAll="0"/>
    <pivotField showAll="0"/>
    <pivotField numFmtId="1" showAll="0"/>
    <pivotField numFmtId="165" showAll="0"/>
    <pivotField dataField="1" numFmtId="165" showAll="0"/>
    <pivotField numFmtId="165" showAll="0"/>
    <pivotField dataField="1" numFmtId="165"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 dragToRow="0" dragToCol="0" dragToPage="0" showAll="0" defaultSubtotal="0"/>
  </pivotFields>
  <rowFields count="2">
    <field x="14"/>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Revenue" fld="9" baseField="0" baseItem="0" numFmtId="165"/>
    <dataField name="Sum of Profit" fld="11" baseField="0" baseItem="0" numFmtId="165"/>
  </dataFields>
  <formats count="5">
    <format dxfId="44">
      <pivotArea collapsedLevelsAreSubtotals="1" fieldPosition="0">
        <references count="1">
          <reference field="14" count="1">
            <x v="2"/>
          </reference>
        </references>
      </pivotArea>
    </format>
    <format dxfId="43">
      <pivotArea dataOnly="0" labelOnly="1" fieldPosition="0">
        <references count="1">
          <reference field="14" count="1">
            <x v="2"/>
          </reference>
        </references>
      </pivotArea>
    </format>
    <format dxfId="42">
      <pivotArea collapsedLevelsAreSubtotals="1" fieldPosition="0">
        <references count="1">
          <reference field="14" count="1">
            <x v="6"/>
          </reference>
        </references>
      </pivotArea>
    </format>
    <format dxfId="41">
      <pivotArea dataOnly="0" labelOnly="1" fieldPosition="0">
        <references count="1">
          <reference field="14" count="1">
            <x v="6"/>
          </reference>
        </references>
      </pivotArea>
    </format>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B386FD9-1642-4716-A5AF-FC548991CD84}"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15:B236" firstHeaderRow="1" firstDataRow="1" firstDataCol="1"/>
  <pivotFields count="18">
    <pivotField showAll="0"/>
    <pivotField numFmtId="164" showAll="0">
      <items count="252">
        <item x="242"/>
        <item x="210"/>
        <item x="86"/>
        <item x="248"/>
        <item x="153"/>
        <item x="200"/>
        <item x="230"/>
        <item x="16"/>
        <item x="73"/>
        <item x="163"/>
        <item x="136"/>
        <item x="155"/>
        <item x="238"/>
        <item x="18"/>
        <item x="113"/>
        <item x="174"/>
        <item x="44"/>
        <item x="95"/>
        <item x="15"/>
        <item x="227"/>
        <item x="198"/>
        <item x="66"/>
        <item x="222"/>
        <item x="102"/>
        <item x="98"/>
        <item x="2"/>
        <item x="223"/>
        <item x="244"/>
        <item x="90"/>
        <item x="121"/>
        <item x="245"/>
        <item x="133"/>
        <item x="112"/>
        <item x="50"/>
        <item x="69"/>
        <item x="30"/>
        <item x="225"/>
        <item x="213"/>
        <item x="216"/>
        <item x="171"/>
        <item x="140"/>
        <item x="221"/>
        <item x="43"/>
        <item x="117"/>
        <item x="141"/>
        <item x="111"/>
        <item x="76"/>
        <item x="215"/>
        <item x="193"/>
        <item x="160"/>
        <item x="99"/>
        <item x="85"/>
        <item x="54"/>
        <item x="21"/>
        <item x="183"/>
        <item x="194"/>
        <item x="149"/>
        <item x="185"/>
        <item x="56"/>
        <item x="60"/>
        <item x="218"/>
        <item x="40"/>
        <item x="129"/>
        <item x="239"/>
        <item x="130"/>
        <item x="125"/>
        <item x="196"/>
        <item x="165"/>
        <item x="97"/>
        <item x="145"/>
        <item x="177"/>
        <item x="64"/>
        <item x="87"/>
        <item x="135"/>
        <item x="105"/>
        <item x="35"/>
        <item x="75"/>
        <item x="48"/>
        <item x="142"/>
        <item x="243"/>
        <item x="27"/>
        <item x="58"/>
        <item x="88"/>
        <item x="161"/>
        <item x="199"/>
        <item x="146"/>
        <item x="51"/>
        <item x="36"/>
        <item x="118"/>
        <item x="80"/>
        <item x="70"/>
        <item x="12"/>
        <item x="6"/>
        <item x="211"/>
        <item x="237"/>
        <item x="126"/>
        <item x="110"/>
        <item x="175"/>
        <item x="144"/>
        <item x="250"/>
        <item x="197"/>
        <item x="93"/>
        <item x="240"/>
        <item x="122"/>
        <item x="207"/>
        <item x="20"/>
        <item x="94"/>
        <item x="176"/>
        <item x="231"/>
        <item x="212"/>
        <item x="24"/>
        <item x="114"/>
        <item x="137"/>
        <item x="72"/>
        <item x="39"/>
        <item x="91"/>
        <item x="134"/>
        <item x="37"/>
        <item x="0"/>
        <item x="47"/>
        <item x="229"/>
        <item x="235"/>
        <item x="202"/>
        <item x="115"/>
        <item x="127"/>
        <item x="204"/>
        <item x="29"/>
        <item x="139"/>
        <item x="1"/>
        <item x="104"/>
        <item x="150"/>
        <item x="186"/>
        <item x="71"/>
        <item x="42"/>
        <item x="190"/>
        <item x="236"/>
        <item x="159"/>
        <item x="191"/>
        <item x="119"/>
        <item x="78"/>
        <item x="116"/>
        <item x="100"/>
        <item x="61"/>
        <item x="234"/>
        <item x="25"/>
        <item x="14"/>
        <item x="195"/>
        <item x="241"/>
        <item x="3"/>
        <item x="106"/>
        <item x="181"/>
        <item x="201"/>
        <item x="217"/>
        <item x="65"/>
        <item x="220"/>
        <item x="167"/>
        <item x="79"/>
        <item x="148"/>
        <item x="172"/>
        <item x="8"/>
        <item x="249"/>
        <item x="232"/>
        <item x="226"/>
        <item x="120"/>
        <item x="214"/>
        <item x="103"/>
        <item x="107"/>
        <item x="156"/>
        <item x="157"/>
        <item x="89"/>
        <item x="41"/>
        <item x="203"/>
        <item x="224"/>
        <item x="9"/>
        <item x="209"/>
        <item x="28"/>
        <item x="188"/>
        <item x="101"/>
        <item x="49"/>
        <item x="19"/>
        <item x="166"/>
        <item x="7"/>
        <item x="109"/>
        <item x="81"/>
        <item x="124"/>
        <item x="184"/>
        <item x="123"/>
        <item x="46"/>
        <item x="147"/>
        <item x="5"/>
        <item x="173"/>
        <item x="164"/>
        <item x="52"/>
        <item x="59"/>
        <item x="189"/>
        <item x="233"/>
        <item x="77"/>
        <item x="57"/>
        <item x="10"/>
        <item x="82"/>
        <item x="132"/>
        <item x="13"/>
        <item x="170"/>
        <item x="179"/>
        <item x="96"/>
        <item x="84"/>
        <item x="168"/>
        <item x="45"/>
        <item x="11"/>
        <item x="187"/>
        <item x="178"/>
        <item x="205"/>
        <item x="34"/>
        <item x="228"/>
        <item x="143"/>
        <item x="128"/>
        <item x="17"/>
        <item x="162"/>
        <item x="206"/>
        <item x="138"/>
        <item x="208"/>
        <item x="32"/>
        <item x="26"/>
        <item x="219"/>
        <item x="180"/>
        <item x="33"/>
        <item x="38"/>
        <item x="247"/>
        <item x="63"/>
        <item x="92"/>
        <item x="68"/>
        <item x="192"/>
        <item x="158"/>
        <item x="131"/>
        <item x="246"/>
        <item x="108"/>
        <item x="53"/>
        <item x="169"/>
        <item x="83"/>
        <item x="22"/>
        <item x="182"/>
        <item x="67"/>
        <item x="151"/>
        <item x="152"/>
        <item x="4"/>
        <item x="74"/>
        <item x="62"/>
        <item x="55"/>
        <item x="154"/>
        <item x="31"/>
        <item x="23"/>
        <item t="default"/>
      </items>
    </pivotField>
    <pivotField showAll="0">
      <items count="5">
        <item x="1"/>
        <item x="0"/>
        <item x="3"/>
        <item x="2"/>
        <item t="default"/>
      </items>
    </pivotField>
    <pivotField showAll="0"/>
    <pivotField showAll="0">
      <items count="5">
        <item x="3"/>
        <item x="1"/>
        <item x="2"/>
        <item x="0"/>
        <item t="default"/>
      </items>
    </pivotField>
    <pivotField showAll="0"/>
    <pivotField showAll="0"/>
    <pivotField numFmtId="1" showAll="0"/>
    <pivotField numFmtId="165" showAll="0"/>
    <pivotField dataField="1" numFmtId="165" showAll="0"/>
    <pivotField numFmtId="165" showAll="0"/>
    <pivotField numFmtId="165"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axis="axisRow" showAll="0" defaultSubtotal="0">
      <items count="5">
        <item h="1" x="0"/>
        <item h="1" x="1"/>
        <item x="2"/>
        <item x="3"/>
        <item h="1" x="4"/>
      </items>
    </pivotField>
    <pivotField dragToRow="0" dragToCol="0" dragToPage="0" showAll="0" defaultSubtotal="0"/>
  </pivotFields>
  <rowFields count="2">
    <field x="16"/>
    <field x="14"/>
  </rowFields>
  <rowItems count="21">
    <i>
      <x v="2"/>
    </i>
    <i r="1">
      <x v="1"/>
    </i>
    <i r="1">
      <x v="2"/>
    </i>
    <i r="1">
      <x v="3"/>
    </i>
    <i r="1">
      <x v="4"/>
    </i>
    <i r="1">
      <x v="5"/>
    </i>
    <i r="1">
      <x v="6"/>
    </i>
    <i r="1">
      <x v="7"/>
    </i>
    <i r="1">
      <x v="8"/>
    </i>
    <i r="1">
      <x v="9"/>
    </i>
    <i r="1">
      <x v="10"/>
    </i>
    <i r="1">
      <x v="11"/>
    </i>
    <i r="1">
      <x v="12"/>
    </i>
    <i>
      <x v="3"/>
    </i>
    <i r="1">
      <x v="1"/>
    </i>
    <i r="1">
      <x v="2"/>
    </i>
    <i r="1">
      <x v="3"/>
    </i>
    <i r="1">
      <x v="4"/>
    </i>
    <i r="1">
      <x v="5"/>
    </i>
    <i r="1">
      <x v="6"/>
    </i>
    <i t="grand">
      <x/>
    </i>
  </rowItems>
  <colItems count="1">
    <i/>
  </colItems>
  <dataFields count="1">
    <dataField name="Sum of Revenue" fld="9" baseField="0" baseItem="0" numFmtId="165"/>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5A1DAA6-7A1F-4A34-994E-DCB378165990}"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9:C114" firstHeaderRow="0" firstDataRow="1" firstDataCol="1"/>
  <pivotFields count="18">
    <pivotField showAll="0"/>
    <pivotField numFmtId="164" showAll="0">
      <items count="252">
        <item x="242"/>
        <item x="210"/>
        <item x="86"/>
        <item x="248"/>
        <item x="153"/>
        <item x="200"/>
        <item x="230"/>
        <item x="16"/>
        <item x="73"/>
        <item x="163"/>
        <item x="136"/>
        <item x="155"/>
        <item x="238"/>
        <item x="18"/>
        <item x="113"/>
        <item x="174"/>
        <item x="44"/>
        <item x="95"/>
        <item x="15"/>
        <item x="227"/>
        <item x="198"/>
        <item x="66"/>
        <item x="222"/>
        <item x="102"/>
        <item x="98"/>
        <item x="2"/>
        <item x="223"/>
        <item x="244"/>
        <item x="90"/>
        <item x="121"/>
        <item x="245"/>
        <item x="133"/>
        <item x="112"/>
        <item x="50"/>
        <item x="69"/>
        <item x="30"/>
        <item x="225"/>
        <item x="213"/>
        <item x="216"/>
        <item x="171"/>
        <item x="140"/>
        <item x="221"/>
        <item x="43"/>
        <item x="117"/>
        <item x="141"/>
        <item x="111"/>
        <item x="76"/>
        <item x="215"/>
        <item x="193"/>
        <item x="160"/>
        <item x="99"/>
        <item x="85"/>
        <item x="54"/>
        <item x="21"/>
        <item x="183"/>
        <item x="194"/>
        <item x="149"/>
        <item x="185"/>
        <item x="56"/>
        <item x="60"/>
        <item x="218"/>
        <item x="40"/>
        <item x="129"/>
        <item x="239"/>
        <item x="130"/>
        <item x="125"/>
        <item x="196"/>
        <item x="165"/>
        <item x="97"/>
        <item x="145"/>
        <item x="177"/>
        <item x="64"/>
        <item x="87"/>
        <item x="135"/>
        <item x="105"/>
        <item x="35"/>
        <item x="75"/>
        <item x="48"/>
        <item x="142"/>
        <item x="243"/>
        <item x="27"/>
        <item x="58"/>
        <item x="88"/>
        <item x="161"/>
        <item x="199"/>
        <item x="146"/>
        <item x="51"/>
        <item x="36"/>
        <item x="118"/>
        <item x="80"/>
        <item x="70"/>
        <item x="12"/>
        <item x="6"/>
        <item x="211"/>
        <item x="237"/>
        <item x="126"/>
        <item x="110"/>
        <item x="175"/>
        <item x="144"/>
        <item x="250"/>
        <item x="197"/>
        <item x="93"/>
        <item x="240"/>
        <item x="122"/>
        <item x="207"/>
        <item x="20"/>
        <item x="94"/>
        <item x="176"/>
        <item x="231"/>
        <item x="212"/>
        <item x="24"/>
        <item x="114"/>
        <item x="137"/>
        <item x="72"/>
        <item x="39"/>
        <item x="91"/>
        <item x="134"/>
        <item x="37"/>
        <item x="0"/>
        <item x="47"/>
        <item x="229"/>
        <item x="235"/>
        <item x="202"/>
        <item x="115"/>
        <item x="127"/>
        <item x="204"/>
        <item x="29"/>
        <item x="139"/>
        <item x="1"/>
        <item x="104"/>
        <item x="150"/>
        <item x="186"/>
        <item x="71"/>
        <item x="42"/>
        <item x="190"/>
        <item x="236"/>
        <item x="159"/>
        <item x="191"/>
        <item x="119"/>
        <item x="78"/>
        <item x="116"/>
        <item x="100"/>
        <item x="61"/>
        <item x="234"/>
        <item x="25"/>
        <item x="14"/>
        <item x="195"/>
        <item x="241"/>
        <item x="3"/>
        <item x="106"/>
        <item x="181"/>
        <item x="201"/>
        <item x="217"/>
        <item x="65"/>
        <item x="220"/>
        <item x="167"/>
        <item x="79"/>
        <item x="148"/>
        <item x="172"/>
        <item x="8"/>
        <item x="249"/>
        <item x="232"/>
        <item x="226"/>
        <item x="120"/>
        <item x="214"/>
        <item x="103"/>
        <item x="107"/>
        <item x="156"/>
        <item x="157"/>
        <item x="89"/>
        <item x="41"/>
        <item x="203"/>
        <item x="224"/>
        <item x="9"/>
        <item x="209"/>
        <item x="28"/>
        <item x="188"/>
        <item x="101"/>
        <item x="49"/>
        <item x="19"/>
        <item x="166"/>
        <item x="7"/>
        <item x="109"/>
        <item x="81"/>
        <item x="124"/>
        <item x="184"/>
        <item x="123"/>
        <item x="46"/>
        <item x="147"/>
        <item x="5"/>
        <item x="173"/>
        <item x="164"/>
        <item x="52"/>
        <item x="59"/>
        <item x="189"/>
        <item x="233"/>
        <item x="77"/>
        <item x="57"/>
        <item x="10"/>
        <item x="82"/>
        <item x="132"/>
        <item x="13"/>
        <item x="170"/>
        <item x="179"/>
        <item x="96"/>
        <item x="84"/>
        <item x="168"/>
        <item x="45"/>
        <item x="11"/>
        <item x="187"/>
        <item x="178"/>
        <item x="205"/>
        <item x="34"/>
        <item x="228"/>
        <item x="143"/>
        <item x="128"/>
        <item x="17"/>
        <item x="162"/>
        <item x="206"/>
        <item x="138"/>
        <item x="208"/>
        <item x="32"/>
        <item x="26"/>
        <item x="219"/>
        <item x="180"/>
        <item x="33"/>
        <item x="38"/>
        <item x="247"/>
        <item x="63"/>
        <item x="92"/>
        <item x="68"/>
        <item x="192"/>
        <item x="158"/>
        <item x="131"/>
        <item x="246"/>
        <item x="108"/>
        <item x="53"/>
        <item x="169"/>
        <item x="83"/>
        <item x="22"/>
        <item x="182"/>
        <item x="67"/>
        <item x="151"/>
        <item x="152"/>
        <item x="4"/>
        <item x="74"/>
        <item x="62"/>
        <item x="55"/>
        <item x="154"/>
        <item x="31"/>
        <item x="23"/>
        <item t="default"/>
      </items>
    </pivotField>
    <pivotField showAll="0">
      <items count="5">
        <item x="1"/>
        <item x="0"/>
        <item x="3"/>
        <item x="2"/>
        <item t="default"/>
      </items>
    </pivotField>
    <pivotField showAll="0"/>
    <pivotField showAll="0">
      <items count="5">
        <item x="3"/>
        <item x="1"/>
        <item x="2"/>
        <item x="0"/>
        <item t="default"/>
      </items>
    </pivotField>
    <pivotField showAll="0" measureFilter="1" sortType="ascending">
      <items count="25">
        <item x="20"/>
        <item x="11"/>
        <item x="4"/>
        <item x="13"/>
        <item x="7"/>
        <item x="16"/>
        <item x="21"/>
        <item x="2"/>
        <item x="14"/>
        <item x="12"/>
        <item x="15"/>
        <item x="17"/>
        <item x="8"/>
        <item x="9"/>
        <item x="0"/>
        <item x="18"/>
        <item x="10"/>
        <item x="19"/>
        <item x="5"/>
        <item x="3"/>
        <item x="22"/>
        <item x="6"/>
        <item x="23"/>
        <item x="1"/>
        <item t="default"/>
      </items>
    </pivotField>
    <pivotField showAll="0">
      <items count="9">
        <item x="7"/>
        <item x="3"/>
        <item x="6"/>
        <item x="0"/>
        <item x="2"/>
        <item x="4"/>
        <item x="1"/>
        <item x="5"/>
        <item t="default"/>
      </items>
    </pivotField>
    <pivotField dataField="1" numFmtId="1" showAll="0"/>
    <pivotField numFmtId="165" showAll="0"/>
    <pivotField dataField="1" numFmtId="165" showAll="0">
      <items count="301">
        <item x="168"/>
        <item x="146"/>
        <item x="97"/>
        <item x="36"/>
        <item x="35"/>
        <item x="232"/>
        <item x="103"/>
        <item x="145"/>
        <item x="267"/>
        <item x="127"/>
        <item x="60"/>
        <item x="79"/>
        <item x="196"/>
        <item x="89"/>
        <item x="42"/>
        <item x="3"/>
        <item x="134"/>
        <item x="113"/>
        <item x="26"/>
        <item x="16"/>
        <item x="277"/>
        <item x="12"/>
        <item x="280"/>
        <item x="215"/>
        <item x="84"/>
        <item x="5"/>
        <item x="292"/>
        <item x="272"/>
        <item x="130"/>
        <item x="181"/>
        <item x="64"/>
        <item x="63"/>
        <item x="11"/>
        <item x="249"/>
        <item x="40"/>
        <item x="67"/>
        <item x="70"/>
        <item x="235"/>
        <item x="158"/>
        <item x="59"/>
        <item x="284"/>
        <item x="0"/>
        <item x="245"/>
        <item x="77"/>
        <item x="19"/>
        <item x="218"/>
        <item x="278"/>
        <item x="256"/>
        <item x="240"/>
        <item x="8"/>
        <item x="39"/>
        <item x="32"/>
        <item x="82"/>
        <item x="223"/>
        <item x="266"/>
        <item x="100"/>
        <item x="283"/>
        <item x="287"/>
        <item x="151"/>
        <item x="80"/>
        <item x="296"/>
        <item x="162"/>
        <item x="156"/>
        <item x="73"/>
        <item x="233"/>
        <item x="122"/>
        <item x="197"/>
        <item x="285"/>
        <item x="102"/>
        <item x="46"/>
        <item x="66"/>
        <item x="189"/>
        <item x="9"/>
        <item x="87"/>
        <item x="139"/>
        <item x="188"/>
        <item x="126"/>
        <item x="22"/>
        <item x="120"/>
        <item x="234"/>
        <item x="184"/>
        <item x="53"/>
        <item x="112"/>
        <item x="13"/>
        <item x="43"/>
        <item x="41"/>
        <item x="260"/>
        <item x="148"/>
        <item x="116"/>
        <item x="219"/>
        <item x="268"/>
        <item x="163"/>
        <item x="55"/>
        <item x="187"/>
        <item x="201"/>
        <item x="109"/>
        <item x="276"/>
        <item x="81"/>
        <item x="54"/>
        <item x="144"/>
        <item x="7"/>
        <item x="92"/>
        <item x="141"/>
        <item x="210"/>
        <item x="263"/>
        <item x="83"/>
        <item x="155"/>
        <item x="238"/>
        <item x="176"/>
        <item x="179"/>
        <item x="95"/>
        <item x="93"/>
        <item x="200"/>
        <item x="164"/>
        <item x="236"/>
        <item x="4"/>
        <item x="47"/>
        <item x="173"/>
        <item x="251"/>
        <item x="153"/>
        <item x="216"/>
        <item x="185"/>
        <item x="31"/>
        <item x="33"/>
        <item x="38"/>
        <item x="220"/>
        <item x="125"/>
        <item x="270"/>
        <item x="229"/>
        <item x="191"/>
        <item x="119"/>
        <item x="174"/>
        <item x="198"/>
        <item x="180"/>
        <item x="50"/>
        <item x="118"/>
        <item x="206"/>
        <item x="230"/>
        <item x="241"/>
        <item x="222"/>
        <item x="37"/>
        <item x="161"/>
        <item x="252"/>
        <item x="24"/>
        <item x="58"/>
        <item x="71"/>
        <item x="44"/>
        <item x="171"/>
        <item x="255"/>
        <item x="25"/>
        <item x="244"/>
        <item x="107"/>
        <item x="214"/>
        <item x="253"/>
        <item x="27"/>
        <item x="20"/>
        <item x="262"/>
        <item x="221"/>
        <item x="86"/>
        <item x="212"/>
        <item x="2"/>
        <item x="15"/>
        <item x="133"/>
        <item x="195"/>
        <item x="111"/>
        <item x="88"/>
        <item x="17"/>
        <item x="209"/>
        <item x="90"/>
        <item x="48"/>
        <item x="275"/>
        <item x="248"/>
        <item x="14"/>
        <item x="6"/>
        <item x="49"/>
        <item x="213"/>
        <item x="117"/>
        <item x="246"/>
        <item x="193"/>
        <item x="273"/>
        <item x="192"/>
        <item x="147"/>
        <item x="115"/>
        <item x="45"/>
        <item x="258"/>
        <item x="51"/>
        <item x="293"/>
        <item x="203"/>
        <item x="85"/>
        <item x="225"/>
        <item x="28"/>
        <item x="152"/>
        <item x="30"/>
        <item x="154"/>
        <item x="169"/>
        <item x="128"/>
        <item x="269"/>
        <item x="104"/>
        <item x="140"/>
        <item x="101"/>
        <item x="243"/>
        <item x="207"/>
        <item x="202"/>
        <item x="69"/>
        <item x="288"/>
        <item x="175"/>
        <item x="247"/>
        <item x="190"/>
        <item x="274"/>
        <item x="183"/>
        <item x="227"/>
        <item x="295"/>
        <item x="182"/>
        <item x="239"/>
        <item x="194"/>
        <item x="105"/>
        <item x="261"/>
        <item x="170"/>
        <item x="136"/>
        <item x="98"/>
        <item x="21"/>
        <item x="297"/>
        <item x="177"/>
        <item x="29"/>
        <item x="96"/>
        <item x="124"/>
        <item x="217"/>
        <item x="62"/>
        <item x="172"/>
        <item x="143"/>
        <item x="129"/>
        <item x="131"/>
        <item x="254"/>
        <item x="264"/>
        <item x="265"/>
        <item x="123"/>
        <item x="294"/>
        <item x="289"/>
        <item x="224"/>
        <item x="18"/>
        <item x="231"/>
        <item x="299"/>
        <item x="282"/>
        <item x="132"/>
        <item x="23"/>
        <item x="166"/>
        <item x="211"/>
        <item x="34"/>
        <item x="167"/>
        <item x="178"/>
        <item x="91"/>
        <item x="150"/>
        <item x="159"/>
        <item x="56"/>
        <item x="208"/>
        <item x="228"/>
        <item x="291"/>
        <item x="68"/>
        <item x="106"/>
        <item x="298"/>
        <item x="76"/>
        <item x="259"/>
        <item x="226"/>
        <item x="1"/>
        <item x="199"/>
        <item x="186"/>
        <item x="61"/>
        <item x="165"/>
        <item x="121"/>
        <item x="157"/>
        <item x="94"/>
        <item x="75"/>
        <item x="99"/>
        <item x="138"/>
        <item x="110"/>
        <item x="242"/>
        <item x="205"/>
        <item x="271"/>
        <item x="237"/>
        <item x="137"/>
        <item x="52"/>
        <item x="281"/>
        <item x="108"/>
        <item x="142"/>
        <item x="290"/>
        <item x="160"/>
        <item x="257"/>
        <item x="72"/>
        <item x="78"/>
        <item x="149"/>
        <item x="204"/>
        <item x="250"/>
        <item x="135"/>
        <item x="74"/>
        <item x="57"/>
        <item x="10"/>
        <item x="114"/>
        <item x="286"/>
        <item x="65"/>
        <item x="279"/>
        <item t="default"/>
      </items>
    </pivotField>
    <pivotField numFmtId="165" showAll="0"/>
    <pivotField numFmtId="165" showAll="0"/>
    <pivotField axis="axisRow" showAll="0">
      <items count="3">
        <item x="0"/>
        <item h="1" x="1"/>
        <item t="default"/>
      </items>
    </pivotField>
    <pivotField axis="axisRow" showAll="0">
      <items count="4">
        <item x="1"/>
        <item x="0"/>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 dragToRow="0" dragToCol="0" dragToPage="0" showAll="0" defaultSubtotal="0"/>
  </pivotFields>
  <rowFields count="2">
    <field x="12"/>
    <field x="13"/>
  </rowFields>
  <rowItems count="5">
    <i>
      <x/>
    </i>
    <i r="1">
      <x/>
    </i>
    <i r="1">
      <x v="1"/>
    </i>
    <i r="1">
      <x v="2"/>
    </i>
    <i t="grand">
      <x/>
    </i>
  </rowItems>
  <colFields count="1">
    <field x="-2"/>
  </colFields>
  <colItems count="2">
    <i>
      <x/>
    </i>
    <i i="1">
      <x v="1"/>
    </i>
  </colItems>
  <dataFields count="2">
    <dataField name="Sum of Revenue" fld="9" baseField="0" baseItem="0"/>
    <dataField name="Sum of Quantity" fld="7" showDataAs="percentOfTotal" baseField="0" baseItem="0" numFmtId="10"/>
  </dataFields>
  <formats count="3">
    <format dxfId="16">
      <pivotArea outline="0" collapsedLevelsAreSubtotals="1" fieldPosition="0"/>
    </format>
    <format dxfId="17">
      <pivotArea dataOnly="0" labelOnly="1" outline="0" axis="axisValues" fieldPosition="0"/>
    </format>
    <format dxfId="18">
      <pivotArea outline="0" fieldPosition="0">
        <references count="1">
          <reference field="4294967294" count="1">
            <x v="1"/>
          </reference>
        </references>
      </pivotArea>
    </format>
  </formats>
  <pivotTableStyleInfo name="PivotStyleLight16" showRowHeaders="1" showColHeaders="1" showRowStripes="0" showColStripes="0" showLastColumn="1"/>
  <filters count="1">
    <filter fld="5" type="count" evalOrder="-1" id="4"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F2468F03-BE2D-4111-AB55-DB1D926D62AF}" sourceName="Salesperson">
  <pivotTables>
    <pivotTable tabId="6" name="PivotTable4"/>
    <pivotTable tabId="6" name="PivotTable5"/>
    <pivotTable tabId="6" name="PivotTable6"/>
    <pivotTable tabId="6" name="PivotTable7"/>
    <pivotTable tabId="6" name="PivotTable16"/>
  </pivotTables>
  <data>
    <tabular pivotCacheId="348265304">
      <items count="8">
        <i x="7" s="1"/>
        <i x="3" s="1"/>
        <i x="6" s="1"/>
        <i x="0" s="1"/>
        <i x="2" s="1"/>
        <i x="4" s="1"/>
        <i x="1"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C5609F24-F479-4D92-A1E3-E79526D34460}" sourceName="Channel">
  <pivotTables>
    <pivotTable tabId="6" name="PivotTable4"/>
  </pivotTables>
  <data>
    <tabular pivotCacheId="348265304">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EFD47E12-2E20-4412-9381-E881C0825DAA}" cache="Slicer_Salesperson" caption="Salesperson" rowHeight="241300"/>
  <slicer name="Channel" xr10:uid="{004F458F-D730-4BA6-9F68-D40C922E8AC0}" cache="Slicer_Channel" caption="Channel"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5F64F0E-B4CD-4D3E-BF5F-DBCA54BC0209}" name="Table5" displayName="Table5" ref="A3:N26" totalsRowShown="0">
  <autoFilter ref="A3:N26" xr:uid="{85F64F0E-B4CD-4D3E-BF5F-DBCA54BC0209}"/>
  <tableColumns count="14">
    <tableColumn id="1" xr3:uid="{A1516B36-7F20-4DD6-BB6D-37DDD878C10B}" name="OrderID"/>
    <tableColumn id="2" xr3:uid="{5009828B-E750-4ABE-8C67-35B913DC1E9B}" name="OrderDate" dataDxfId="32"/>
    <tableColumn id="3" xr3:uid="{AE467EB7-C156-45C5-B2E4-B90ACEDABE7A}" name="Region"/>
    <tableColumn id="4" xr3:uid="{783177E0-C068-461F-85C5-5CF8D4876552}" name="City"/>
    <tableColumn id="5" xr3:uid="{B2D01936-902E-4EA8-B869-A25FA55C057B}" name="Category"/>
    <tableColumn id="6" xr3:uid="{D453DC00-3288-42C0-9D4A-EEA13E0D4288}" name="Product"/>
    <tableColumn id="7" xr3:uid="{F64AE984-F7F2-4EC3-82A1-051F18AAFB22}" name="Salesperson"/>
    <tableColumn id="8" xr3:uid="{5769BCF2-47FE-4B51-9C59-5C0098164B46}" name="Quantity"/>
    <tableColumn id="9" xr3:uid="{35E1278E-7A4C-4210-8E1F-EB518EE38B17}" name="UnitPrice"/>
    <tableColumn id="10" xr3:uid="{E5BD53EC-F659-4F1E-B5AB-759F58D3321D}" name="Revenue"/>
    <tableColumn id="11" xr3:uid="{1F4166F2-8E62-480A-8F1E-D983BC1F373E}" name="Cost"/>
    <tableColumn id="12" xr3:uid="{37B4D772-060E-4672-9BFE-1CAC0D739908}" name="Profit"/>
    <tableColumn id="13" xr3:uid="{A61B3DE9-0429-452F-B902-7051DBC6B733}" name="CustomerType"/>
    <tableColumn id="14" xr3:uid="{6E92D944-8CFC-4F08-8FB2-6F9E483903C5}" name="Channel"/>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Data" displayName="SalesData" ref="A2:P302">
  <autoFilter ref="A2:P302" xr:uid="{00000000-0009-0000-0100-000001000000}"/>
  <tableColumns count="16">
    <tableColumn id="1" xr3:uid="{00000000-0010-0000-0000-000001000000}" name="OrderID"/>
    <tableColumn id="2" xr3:uid="{00000000-0010-0000-0000-000002000000}" name="OrderDate"/>
    <tableColumn id="3" xr3:uid="{00000000-0010-0000-0000-000003000000}" name="Region"/>
    <tableColumn id="4" xr3:uid="{00000000-0010-0000-0000-000004000000}" name="City"/>
    <tableColumn id="5" xr3:uid="{00000000-0010-0000-0000-000005000000}" name="Category"/>
    <tableColumn id="6" xr3:uid="{00000000-0010-0000-0000-000006000000}" name="Product"/>
    <tableColumn id="7" xr3:uid="{00000000-0010-0000-0000-000007000000}" name="Salesperson"/>
    <tableColumn id="8" xr3:uid="{00000000-0010-0000-0000-000008000000}" name="Quantity"/>
    <tableColumn id="9" xr3:uid="{00000000-0010-0000-0000-000009000000}" name="UnitPrice"/>
    <tableColumn id="10" xr3:uid="{00000000-0010-0000-0000-00000A000000}" name="Revenue"/>
    <tableColumn id="11" xr3:uid="{00000000-0010-0000-0000-00000B000000}" name="Cost"/>
    <tableColumn id="12" xr3:uid="{00000000-0010-0000-0000-00000C000000}" name="Profit"/>
    <tableColumn id="13" xr3:uid="{00000000-0010-0000-0000-00000D000000}" name="CustomerType"/>
    <tableColumn id="14" xr3:uid="{00000000-0010-0000-0000-00000E000000}" name="Channel"/>
    <tableColumn id="15" xr3:uid="{E0AF0845-C33C-4FD4-A5BA-BA35480A24B5}" name="revenu %" dataDxfId="31">
      <calculatedColumnFormula>SalesData[[#This Row],[UnitPrice]]/SalesData[[#This Row],[Revenue]]</calculatedColumnFormula>
    </tableColumn>
    <tableColumn id="16" xr3:uid="{872BC6D5-37AF-4B94-B3FB-6FCCAB682742}" name="profit %" dataDxfId="30">
      <calculatedColumnFormula>SalesData[[#This Row],[Profit]]/SalesData[[#This Row],[Revenue]]</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MetricsData" displayName="MetricsData" ref="A2:K38">
  <autoFilter ref="A2:K38" xr:uid="{00000000-0009-0000-0100-000002000000}"/>
  <tableColumns count="11">
    <tableColumn id="1" xr3:uid="{00000000-0010-0000-0100-000001000000}" name="Month"/>
    <tableColumn id="2" xr3:uid="{00000000-0010-0000-0100-000002000000}" name="YearMonth"/>
    <tableColumn id="3" xr3:uid="{00000000-0010-0000-0100-000003000000}" name="DigitalAdSpend"/>
    <tableColumn id="4" xr3:uid="{00000000-0010-0000-0100-000004000000}" name="TVSpend"/>
    <tableColumn id="5" xr3:uid="{00000000-0010-0000-0100-000005000000}" name="SocialSpend"/>
    <tableColumn id="6" xr3:uid="{00000000-0010-0000-0100-000006000000}" name="EmailCampaigns"/>
    <tableColumn id="7" xr3:uid="{00000000-0010-0000-0100-000007000000}" name="WebsiteVisits"/>
    <tableColumn id="8" xr3:uid="{00000000-0010-0000-0100-000008000000}" name="LeadsGenerated"/>
    <tableColumn id="9" xr3:uid="{00000000-0010-0000-0100-000009000000}" name="ClosedDeals"/>
    <tableColumn id="10" xr3:uid="{00000000-0010-0000-0100-00000A000000}" name="Revenue"/>
    <tableColumn id="11" xr3:uid="{7D8B5E17-A17F-4572-9325-37C1803F1CC8}" name="BIN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7"/>
  <sheetViews>
    <sheetView topLeftCell="A23" workbookViewId="0">
      <selection sqref="A1:F1"/>
    </sheetView>
  </sheetViews>
  <sheetFormatPr defaultRowHeight="15" x14ac:dyDescent="0.25"/>
  <cols>
    <col min="1" max="1" width="26" customWidth="1"/>
    <col min="2" max="2" width="95" customWidth="1"/>
    <col min="3" max="6" width="12" customWidth="1"/>
  </cols>
  <sheetData>
    <row r="1" spans="1:6" ht="30" customHeight="1" x14ac:dyDescent="0.25">
      <c r="A1" s="49" t="s">
        <v>0</v>
      </c>
      <c r="B1" s="50"/>
      <c r="C1" s="50"/>
      <c r="D1" s="50"/>
      <c r="E1" s="50"/>
      <c r="F1" s="50"/>
    </row>
    <row r="2" spans="1:6" ht="16.5" x14ac:dyDescent="0.25">
      <c r="A2" s="52" t="s">
        <v>1</v>
      </c>
      <c r="B2" s="50"/>
      <c r="C2" s="50"/>
      <c r="D2" s="50"/>
      <c r="E2" s="50"/>
      <c r="F2" s="50"/>
    </row>
    <row r="3" spans="1:6" x14ac:dyDescent="0.25">
      <c r="A3" s="53" t="s">
        <v>2</v>
      </c>
      <c r="B3" s="50"/>
      <c r="C3" s="50"/>
      <c r="D3" s="50"/>
      <c r="E3" s="50"/>
      <c r="F3" s="50"/>
    </row>
    <row r="5" spans="1:6" ht="15.75" x14ac:dyDescent="0.25">
      <c r="A5" s="1" t="s">
        <v>3</v>
      </c>
    </row>
    <row r="6" spans="1:6" ht="18" customHeight="1" x14ac:dyDescent="0.25">
      <c r="A6" s="51" t="s">
        <v>4</v>
      </c>
      <c r="B6" s="50"/>
      <c r="C6" s="50"/>
      <c r="D6" s="50"/>
      <c r="E6" s="50"/>
      <c r="F6" s="50"/>
    </row>
    <row r="7" spans="1:6" ht="18" customHeight="1" x14ac:dyDescent="0.25">
      <c r="A7" s="51" t="s">
        <v>5</v>
      </c>
      <c r="B7" s="50"/>
      <c r="C7" s="50"/>
      <c r="D7" s="50"/>
      <c r="E7" s="50"/>
      <c r="F7" s="50"/>
    </row>
    <row r="8" spans="1:6" ht="18" customHeight="1" x14ac:dyDescent="0.25">
      <c r="A8" s="51" t="s">
        <v>6</v>
      </c>
      <c r="B8" s="50"/>
      <c r="C8" s="50"/>
      <c r="D8" s="50"/>
      <c r="E8" s="50"/>
      <c r="F8" s="50"/>
    </row>
    <row r="9" spans="1:6" ht="18" customHeight="1" x14ac:dyDescent="0.25">
      <c r="A9" s="51" t="s">
        <v>7</v>
      </c>
      <c r="B9" s="50"/>
      <c r="C9" s="50"/>
      <c r="D9" s="50"/>
      <c r="E9" s="50"/>
      <c r="F9" s="50"/>
    </row>
    <row r="10" spans="1:6" ht="18" customHeight="1" x14ac:dyDescent="0.25">
      <c r="A10" s="51" t="s">
        <v>8</v>
      </c>
      <c r="B10" s="50"/>
      <c r="C10" s="50"/>
      <c r="D10" s="50"/>
      <c r="E10" s="50"/>
      <c r="F10" s="50"/>
    </row>
    <row r="11" spans="1:6" ht="18" customHeight="1" x14ac:dyDescent="0.25">
      <c r="A11" s="51" t="s">
        <v>9</v>
      </c>
      <c r="B11" s="50"/>
      <c r="C11" s="50"/>
      <c r="D11" s="50"/>
      <c r="E11" s="50"/>
      <c r="F11" s="50"/>
    </row>
    <row r="12" spans="1:6" ht="18" customHeight="1" x14ac:dyDescent="0.25">
      <c r="A12" s="51" t="s">
        <v>10</v>
      </c>
      <c r="B12" s="50"/>
      <c r="C12" s="50"/>
      <c r="D12" s="50"/>
      <c r="E12" s="50"/>
      <c r="F12" s="50"/>
    </row>
    <row r="13" spans="1:6" ht="18" customHeight="1" x14ac:dyDescent="0.25">
      <c r="A13" s="51" t="s">
        <v>11</v>
      </c>
      <c r="B13" s="50"/>
      <c r="C13" s="50"/>
      <c r="D13" s="50"/>
      <c r="E13" s="50"/>
      <c r="F13" s="50"/>
    </row>
    <row r="15" spans="1:6" ht="15.75" x14ac:dyDescent="0.25">
      <c r="A15" s="2" t="s">
        <v>12</v>
      </c>
    </row>
    <row r="16" spans="1:6" x14ac:dyDescent="0.25">
      <c r="A16" s="51" t="s">
        <v>13</v>
      </c>
      <c r="B16" s="50"/>
      <c r="C16" s="50"/>
      <c r="D16" s="50"/>
      <c r="E16" s="50"/>
      <c r="F16" s="50"/>
    </row>
    <row r="17" spans="1:6" x14ac:dyDescent="0.25">
      <c r="A17" s="51" t="s">
        <v>14</v>
      </c>
      <c r="B17" s="50"/>
      <c r="C17" s="50"/>
      <c r="D17" s="50"/>
      <c r="E17" s="50"/>
      <c r="F17" s="50"/>
    </row>
    <row r="18" spans="1:6" x14ac:dyDescent="0.25">
      <c r="A18" s="51" t="s">
        <v>15</v>
      </c>
      <c r="B18" s="50"/>
      <c r="C18" s="50"/>
      <c r="D18" s="50"/>
      <c r="E18" s="50"/>
      <c r="F18" s="50"/>
    </row>
    <row r="19" spans="1:6" x14ac:dyDescent="0.25">
      <c r="A19" s="51" t="s">
        <v>16</v>
      </c>
      <c r="B19" s="50"/>
      <c r="C19" s="50"/>
      <c r="D19" s="50"/>
      <c r="E19" s="50"/>
      <c r="F19" s="50"/>
    </row>
    <row r="20" spans="1:6" x14ac:dyDescent="0.25">
      <c r="A20" s="51" t="s">
        <v>17</v>
      </c>
      <c r="B20" s="50"/>
      <c r="C20" s="50"/>
      <c r="D20" s="50"/>
      <c r="E20" s="50"/>
      <c r="F20" s="50"/>
    </row>
    <row r="21" spans="1:6" x14ac:dyDescent="0.25">
      <c r="A21" s="51" t="s">
        <v>18</v>
      </c>
      <c r="B21" s="50"/>
      <c r="C21" s="50"/>
      <c r="D21" s="50"/>
      <c r="E21" s="50"/>
      <c r="F21" s="50"/>
    </row>
    <row r="22" spans="1:6" x14ac:dyDescent="0.25">
      <c r="A22" s="51" t="s">
        <v>19</v>
      </c>
      <c r="B22" s="50"/>
      <c r="C22" s="50"/>
      <c r="D22" s="50"/>
      <c r="E22" s="50"/>
      <c r="F22" s="50"/>
    </row>
    <row r="24" spans="1:6" ht="15.75" x14ac:dyDescent="0.25">
      <c r="A24" s="3" t="s">
        <v>20</v>
      </c>
    </row>
    <row r="25" spans="1:6" x14ac:dyDescent="0.25">
      <c r="A25" s="4" t="s">
        <v>21</v>
      </c>
      <c r="B25" s="4" t="s">
        <v>22</v>
      </c>
    </row>
    <row r="26" spans="1:6" x14ac:dyDescent="0.25">
      <c r="A26" s="5" t="s">
        <v>23</v>
      </c>
      <c r="B26" s="6" t="s">
        <v>24</v>
      </c>
    </row>
    <row r="27" spans="1:6" x14ac:dyDescent="0.25">
      <c r="A27" s="5" t="s">
        <v>25</v>
      </c>
      <c r="B27" s="6" t="s">
        <v>26</v>
      </c>
    </row>
    <row r="28" spans="1:6" x14ac:dyDescent="0.25">
      <c r="A28" s="5" t="s">
        <v>27</v>
      </c>
      <c r="B28" s="6" t="s">
        <v>28</v>
      </c>
    </row>
    <row r="29" spans="1:6" x14ac:dyDescent="0.25">
      <c r="A29" s="5" t="s">
        <v>29</v>
      </c>
      <c r="B29" s="6" t="s">
        <v>30</v>
      </c>
    </row>
    <row r="30" spans="1:6" x14ac:dyDescent="0.25">
      <c r="A30" s="5" t="s">
        <v>31</v>
      </c>
      <c r="B30" s="6" t="s">
        <v>32</v>
      </c>
    </row>
    <row r="32" spans="1:6" ht="15.75" x14ac:dyDescent="0.25">
      <c r="A32" s="7" t="s">
        <v>33</v>
      </c>
    </row>
    <row r="33" spans="1:6" x14ac:dyDescent="0.25">
      <c r="A33" s="51" t="s">
        <v>34</v>
      </c>
      <c r="B33" s="50"/>
      <c r="C33" s="50"/>
      <c r="D33" s="50"/>
      <c r="E33" s="50"/>
      <c r="F33" s="50"/>
    </row>
    <row r="34" spans="1:6" x14ac:dyDescent="0.25">
      <c r="A34" s="51" t="s">
        <v>35</v>
      </c>
      <c r="B34" s="50"/>
      <c r="C34" s="50"/>
      <c r="D34" s="50"/>
      <c r="E34" s="50"/>
      <c r="F34" s="50"/>
    </row>
    <row r="35" spans="1:6" x14ac:dyDescent="0.25">
      <c r="A35" s="51" t="s">
        <v>36</v>
      </c>
      <c r="B35" s="50"/>
      <c r="C35" s="50"/>
      <c r="D35" s="50"/>
      <c r="E35" s="50"/>
      <c r="F35" s="50"/>
    </row>
    <row r="36" spans="1:6" x14ac:dyDescent="0.25">
      <c r="A36" s="51" t="s">
        <v>37</v>
      </c>
      <c r="B36" s="50"/>
      <c r="C36" s="50"/>
      <c r="D36" s="50"/>
      <c r="E36" s="50"/>
      <c r="F36" s="50"/>
    </row>
    <row r="37" spans="1:6" x14ac:dyDescent="0.25">
      <c r="A37" s="51" t="s">
        <v>38</v>
      </c>
      <c r="B37" s="50"/>
      <c r="C37" s="50"/>
      <c r="D37" s="50"/>
      <c r="E37" s="50"/>
      <c r="F37" s="50"/>
    </row>
  </sheetData>
  <mergeCells count="23">
    <mergeCell ref="A37:F37"/>
    <mergeCell ref="A12:F12"/>
    <mergeCell ref="A18:F18"/>
    <mergeCell ref="A3:F3"/>
    <mergeCell ref="A21:F21"/>
    <mergeCell ref="A35:F35"/>
    <mergeCell ref="A34:F34"/>
    <mergeCell ref="A36:F36"/>
    <mergeCell ref="A1:F1"/>
    <mergeCell ref="A6:F6"/>
    <mergeCell ref="A7:F7"/>
    <mergeCell ref="A2:F2"/>
    <mergeCell ref="A33:F33"/>
    <mergeCell ref="A8:F8"/>
    <mergeCell ref="A22:F22"/>
    <mergeCell ref="A17:F17"/>
    <mergeCell ref="A20:F20"/>
    <mergeCell ref="A10:F10"/>
    <mergeCell ref="A13:F13"/>
    <mergeCell ref="A19:F19"/>
    <mergeCell ref="A9:F9"/>
    <mergeCell ref="A11:F11"/>
    <mergeCell ref="A16:F1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D0940-E01E-4C9C-80AE-E8B40886D3C1}">
  <dimension ref="A1:N26"/>
  <sheetViews>
    <sheetView workbookViewId="0">
      <selection activeCell="A3" sqref="A3:N26"/>
    </sheetView>
  </sheetViews>
  <sheetFormatPr defaultRowHeight="15" x14ac:dyDescent="0.25"/>
  <cols>
    <col min="1" max="1" width="10.5703125" bestFit="1" customWidth="1"/>
    <col min="2" max="2" width="12.5703125" bestFit="1" customWidth="1"/>
    <col min="3" max="3" width="9.42578125" bestFit="1" customWidth="1"/>
    <col min="4" max="4" width="14.5703125" bestFit="1" customWidth="1"/>
    <col min="5" max="5" width="11.140625" bestFit="1" customWidth="1"/>
    <col min="6" max="6" width="16.7109375" bestFit="1" customWidth="1"/>
    <col min="7" max="7" width="14" bestFit="1" customWidth="1"/>
    <col min="8" max="8" width="11" bestFit="1" customWidth="1"/>
    <col min="9" max="9" width="11.5703125" bestFit="1" customWidth="1"/>
    <col min="10" max="10" width="11.140625" bestFit="1" customWidth="1"/>
    <col min="11" max="12" width="9.28515625" bestFit="1" customWidth="1"/>
    <col min="13" max="13" width="16.28515625" bestFit="1" customWidth="1"/>
    <col min="14" max="14" width="10.5703125" bestFit="1" customWidth="1"/>
  </cols>
  <sheetData>
    <row r="1" spans="1:14" x14ac:dyDescent="0.25">
      <c r="A1" s="28" t="s">
        <v>567</v>
      </c>
    </row>
    <row r="3" spans="1:14" x14ac:dyDescent="0.25">
      <c r="A3" t="s">
        <v>40</v>
      </c>
      <c r="B3" t="s">
        <v>41</v>
      </c>
      <c r="C3" t="s">
        <v>42</v>
      </c>
      <c r="D3" t="s">
        <v>43</v>
      </c>
      <c r="E3" t="s">
        <v>44</v>
      </c>
      <c r="F3" t="s">
        <v>45</v>
      </c>
      <c r="G3" t="s">
        <v>46</v>
      </c>
      <c r="H3" t="s">
        <v>47</v>
      </c>
      <c r="I3" t="s">
        <v>48</v>
      </c>
      <c r="J3" t="s">
        <v>49</v>
      </c>
      <c r="K3" t="s">
        <v>50</v>
      </c>
      <c r="L3" t="s">
        <v>51</v>
      </c>
      <c r="M3" t="s">
        <v>52</v>
      </c>
      <c r="N3" t="s">
        <v>53</v>
      </c>
    </row>
    <row r="4" spans="1:14" x14ac:dyDescent="0.25">
      <c r="A4" t="s">
        <v>396</v>
      </c>
      <c r="B4" s="27">
        <v>45270</v>
      </c>
      <c r="C4" t="s">
        <v>68</v>
      </c>
      <c r="D4" t="s">
        <v>79</v>
      </c>
      <c r="E4" t="s">
        <v>70</v>
      </c>
      <c r="F4" t="s">
        <v>115</v>
      </c>
      <c r="G4" t="s">
        <v>96</v>
      </c>
      <c r="H4">
        <v>24</v>
      </c>
      <c r="I4">
        <v>719.52</v>
      </c>
      <c r="J4">
        <v>17268.48</v>
      </c>
      <c r="K4">
        <v>8598.7000000000007</v>
      </c>
      <c r="L4">
        <v>8669.7800000000007</v>
      </c>
      <c r="M4" t="s">
        <v>60</v>
      </c>
      <c r="N4" t="s">
        <v>66</v>
      </c>
    </row>
    <row r="5" spans="1:14" x14ac:dyDescent="0.25">
      <c r="A5" t="s">
        <v>389</v>
      </c>
      <c r="B5" s="27">
        <v>45322</v>
      </c>
      <c r="C5" t="s">
        <v>68</v>
      </c>
      <c r="D5" t="s">
        <v>123</v>
      </c>
      <c r="E5" t="s">
        <v>70</v>
      </c>
      <c r="F5" t="s">
        <v>71</v>
      </c>
      <c r="G5" t="s">
        <v>72</v>
      </c>
      <c r="H5">
        <v>10</v>
      </c>
      <c r="I5">
        <v>608.86</v>
      </c>
      <c r="J5">
        <v>6088.6</v>
      </c>
      <c r="K5">
        <v>3941.17</v>
      </c>
      <c r="L5">
        <v>2147.4299999999998</v>
      </c>
      <c r="M5" t="s">
        <v>60</v>
      </c>
      <c r="N5" t="s">
        <v>128</v>
      </c>
    </row>
    <row r="6" spans="1:14" x14ac:dyDescent="0.25">
      <c r="A6" t="s">
        <v>67</v>
      </c>
      <c r="B6" s="27">
        <v>45021</v>
      </c>
      <c r="C6" t="s">
        <v>68</v>
      </c>
      <c r="D6" t="s">
        <v>69</v>
      </c>
      <c r="E6" t="s">
        <v>70</v>
      </c>
      <c r="F6" t="s">
        <v>71</v>
      </c>
      <c r="G6" t="s">
        <v>72</v>
      </c>
      <c r="H6">
        <v>11</v>
      </c>
      <c r="I6">
        <v>306.85000000000002</v>
      </c>
      <c r="J6">
        <v>3375.35</v>
      </c>
      <c r="K6">
        <v>1628.41</v>
      </c>
      <c r="L6">
        <v>1746.94</v>
      </c>
      <c r="M6" t="s">
        <v>65</v>
      </c>
      <c r="N6" t="s">
        <v>66</v>
      </c>
    </row>
    <row r="7" spans="1:14" x14ac:dyDescent="0.25">
      <c r="A7" t="s">
        <v>388</v>
      </c>
      <c r="B7" s="27">
        <v>44954</v>
      </c>
      <c r="C7" t="s">
        <v>68</v>
      </c>
      <c r="D7" t="s">
        <v>123</v>
      </c>
      <c r="E7" t="s">
        <v>70</v>
      </c>
      <c r="F7" t="s">
        <v>115</v>
      </c>
      <c r="G7" t="s">
        <v>80</v>
      </c>
      <c r="H7">
        <v>8</v>
      </c>
      <c r="I7">
        <v>532.79</v>
      </c>
      <c r="J7">
        <v>4262.32</v>
      </c>
      <c r="K7">
        <v>2531.83</v>
      </c>
      <c r="L7">
        <v>1730.49</v>
      </c>
      <c r="M7" t="s">
        <v>65</v>
      </c>
      <c r="N7" t="s">
        <v>61</v>
      </c>
    </row>
    <row r="8" spans="1:14" x14ac:dyDescent="0.25">
      <c r="A8" t="s">
        <v>78</v>
      </c>
      <c r="B8" s="27">
        <v>45814</v>
      </c>
      <c r="C8" t="s">
        <v>68</v>
      </c>
      <c r="D8" t="s">
        <v>79</v>
      </c>
      <c r="E8" t="s">
        <v>70</v>
      </c>
      <c r="F8" t="s">
        <v>71</v>
      </c>
      <c r="G8" t="s">
        <v>80</v>
      </c>
      <c r="H8">
        <v>2</v>
      </c>
      <c r="I8">
        <v>621.24</v>
      </c>
      <c r="J8">
        <v>1242.48</v>
      </c>
      <c r="K8">
        <v>800.39</v>
      </c>
      <c r="L8">
        <v>442.09</v>
      </c>
      <c r="M8" t="s">
        <v>60</v>
      </c>
      <c r="N8" t="s">
        <v>66</v>
      </c>
    </row>
    <row r="9" spans="1:14" x14ac:dyDescent="0.25">
      <c r="A9" t="s">
        <v>380</v>
      </c>
      <c r="B9" s="27">
        <v>45568</v>
      </c>
      <c r="C9" t="s">
        <v>68</v>
      </c>
      <c r="D9" t="s">
        <v>79</v>
      </c>
      <c r="E9" t="s">
        <v>70</v>
      </c>
      <c r="F9" t="s">
        <v>113</v>
      </c>
      <c r="G9" t="s">
        <v>88</v>
      </c>
      <c r="H9">
        <v>11</v>
      </c>
      <c r="I9">
        <v>812.21</v>
      </c>
      <c r="J9">
        <v>8934.31</v>
      </c>
      <c r="K9">
        <v>5727.37</v>
      </c>
      <c r="L9">
        <v>3206.94</v>
      </c>
      <c r="M9" t="s">
        <v>60</v>
      </c>
      <c r="N9" t="s">
        <v>66</v>
      </c>
    </row>
    <row r="10" spans="1:14" x14ac:dyDescent="0.25">
      <c r="A10" t="s">
        <v>376</v>
      </c>
      <c r="B10" s="27">
        <v>45076</v>
      </c>
      <c r="C10" t="s">
        <v>68</v>
      </c>
      <c r="D10" t="s">
        <v>69</v>
      </c>
      <c r="E10" t="s">
        <v>70</v>
      </c>
      <c r="F10" t="s">
        <v>160</v>
      </c>
      <c r="G10" t="s">
        <v>125</v>
      </c>
      <c r="H10">
        <v>9</v>
      </c>
      <c r="I10">
        <v>789.98</v>
      </c>
      <c r="J10">
        <v>7109.82</v>
      </c>
      <c r="K10">
        <v>3247.75</v>
      </c>
      <c r="L10">
        <v>3862.07</v>
      </c>
      <c r="M10" t="s">
        <v>60</v>
      </c>
      <c r="N10" t="s">
        <v>66</v>
      </c>
    </row>
    <row r="11" spans="1:14" x14ac:dyDescent="0.25">
      <c r="A11" t="s">
        <v>367</v>
      </c>
      <c r="B11" s="27">
        <v>45537</v>
      </c>
      <c r="C11" t="s">
        <v>68</v>
      </c>
      <c r="D11" t="s">
        <v>69</v>
      </c>
      <c r="E11" t="s">
        <v>70</v>
      </c>
      <c r="F11" t="s">
        <v>115</v>
      </c>
      <c r="G11" t="s">
        <v>80</v>
      </c>
      <c r="H11">
        <v>6</v>
      </c>
      <c r="I11">
        <v>385.11</v>
      </c>
      <c r="J11">
        <v>2310.66</v>
      </c>
      <c r="K11">
        <v>1065.2</v>
      </c>
      <c r="L11">
        <v>1245.46</v>
      </c>
      <c r="M11" t="s">
        <v>65</v>
      </c>
      <c r="N11" t="s">
        <v>128</v>
      </c>
    </row>
    <row r="12" spans="1:14" x14ac:dyDescent="0.25">
      <c r="A12" t="s">
        <v>352</v>
      </c>
      <c r="B12" s="27">
        <v>45334</v>
      </c>
      <c r="C12" t="s">
        <v>68</v>
      </c>
      <c r="D12" t="s">
        <v>171</v>
      </c>
      <c r="E12" t="s">
        <v>70</v>
      </c>
      <c r="F12" t="s">
        <v>115</v>
      </c>
      <c r="G12" t="s">
        <v>84</v>
      </c>
      <c r="H12">
        <v>20</v>
      </c>
      <c r="I12">
        <v>855.77</v>
      </c>
      <c r="J12">
        <v>17115.400000000001</v>
      </c>
      <c r="K12">
        <v>8185.39</v>
      </c>
      <c r="L12">
        <v>8930.01</v>
      </c>
      <c r="M12" t="s">
        <v>65</v>
      </c>
      <c r="N12" t="s">
        <v>66</v>
      </c>
    </row>
    <row r="13" spans="1:14" x14ac:dyDescent="0.25">
      <c r="A13" t="s">
        <v>343</v>
      </c>
      <c r="B13" s="27">
        <v>45164</v>
      </c>
      <c r="C13" t="s">
        <v>68</v>
      </c>
      <c r="D13" t="s">
        <v>171</v>
      </c>
      <c r="E13" t="s">
        <v>70</v>
      </c>
      <c r="F13" t="s">
        <v>71</v>
      </c>
      <c r="G13" t="s">
        <v>80</v>
      </c>
      <c r="H13">
        <v>17</v>
      </c>
      <c r="I13">
        <v>690.27</v>
      </c>
      <c r="J13">
        <v>11734.59</v>
      </c>
      <c r="K13">
        <v>6105.5</v>
      </c>
      <c r="L13">
        <v>5629.09</v>
      </c>
      <c r="M13" t="s">
        <v>60</v>
      </c>
      <c r="N13" t="s">
        <v>128</v>
      </c>
    </row>
    <row r="14" spans="1:14" x14ac:dyDescent="0.25">
      <c r="A14" t="s">
        <v>323</v>
      </c>
      <c r="B14" s="27">
        <v>45497</v>
      </c>
      <c r="C14" t="s">
        <v>68</v>
      </c>
      <c r="D14" t="s">
        <v>79</v>
      </c>
      <c r="E14" t="s">
        <v>70</v>
      </c>
      <c r="F14" t="s">
        <v>115</v>
      </c>
      <c r="G14" t="s">
        <v>96</v>
      </c>
      <c r="H14">
        <v>22</v>
      </c>
      <c r="I14">
        <v>506.43</v>
      </c>
      <c r="J14">
        <v>11141.46</v>
      </c>
      <c r="K14">
        <v>6015.64</v>
      </c>
      <c r="L14">
        <v>5125.82</v>
      </c>
      <c r="M14" t="s">
        <v>65</v>
      </c>
      <c r="N14" t="s">
        <v>66</v>
      </c>
    </row>
    <row r="15" spans="1:14" x14ac:dyDescent="0.25">
      <c r="A15" t="s">
        <v>309</v>
      </c>
      <c r="B15" s="27">
        <v>45070</v>
      </c>
      <c r="C15" t="s">
        <v>68</v>
      </c>
      <c r="D15" t="s">
        <v>79</v>
      </c>
      <c r="E15" t="s">
        <v>70</v>
      </c>
      <c r="F15" t="s">
        <v>87</v>
      </c>
      <c r="G15" t="s">
        <v>72</v>
      </c>
      <c r="H15">
        <v>14</v>
      </c>
      <c r="I15">
        <v>501.53</v>
      </c>
      <c r="J15">
        <v>7021.42</v>
      </c>
      <c r="K15">
        <v>3125.61</v>
      </c>
      <c r="L15">
        <v>3895.81</v>
      </c>
      <c r="M15" t="s">
        <v>60</v>
      </c>
      <c r="N15" t="s">
        <v>66</v>
      </c>
    </row>
    <row r="16" spans="1:14" x14ac:dyDescent="0.25">
      <c r="A16" t="s">
        <v>281</v>
      </c>
      <c r="B16" s="27">
        <v>45183</v>
      </c>
      <c r="C16" t="s">
        <v>68</v>
      </c>
      <c r="D16" t="s">
        <v>123</v>
      </c>
      <c r="E16" t="s">
        <v>70</v>
      </c>
      <c r="F16" t="s">
        <v>115</v>
      </c>
      <c r="G16" t="s">
        <v>59</v>
      </c>
      <c r="H16">
        <v>12</v>
      </c>
      <c r="I16">
        <v>855.94</v>
      </c>
      <c r="J16">
        <v>10271.280000000001</v>
      </c>
      <c r="K16">
        <v>5859.56</v>
      </c>
      <c r="L16">
        <v>4411.72</v>
      </c>
      <c r="M16" t="s">
        <v>65</v>
      </c>
      <c r="N16" t="s">
        <v>66</v>
      </c>
    </row>
    <row r="17" spans="1:14" x14ac:dyDescent="0.25">
      <c r="A17" t="s">
        <v>280</v>
      </c>
      <c r="B17" s="27">
        <v>45083</v>
      </c>
      <c r="C17" t="s">
        <v>68</v>
      </c>
      <c r="D17" t="s">
        <v>123</v>
      </c>
      <c r="E17" t="s">
        <v>70</v>
      </c>
      <c r="F17" t="s">
        <v>87</v>
      </c>
      <c r="G17" t="s">
        <v>72</v>
      </c>
      <c r="H17">
        <v>17</v>
      </c>
      <c r="I17">
        <v>825.78</v>
      </c>
      <c r="J17">
        <v>14038.26</v>
      </c>
      <c r="K17">
        <v>6121.66</v>
      </c>
      <c r="L17">
        <v>7916.6</v>
      </c>
      <c r="M17" t="s">
        <v>60</v>
      </c>
      <c r="N17" t="s">
        <v>61</v>
      </c>
    </row>
    <row r="18" spans="1:14" x14ac:dyDescent="0.25">
      <c r="A18" t="s">
        <v>275</v>
      </c>
      <c r="B18" s="27">
        <v>45800</v>
      </c>
      <c r="C18" t="s">
        <v>68</v>
      </c>
      <c r="D18" t="s">
        <v>171</v>
      </c>
      <c r="E18" t="s">
        <v>70</v>
      </c>
      <c r="F18" t="s">
        <v>113</v>
      </c>
      <c r="G18" t="s">
        <v>77</v>
      </c>
      <c r="H18">
        <v>23</v>
      </c>
      <c r="I18">
        <v>830.51</v>
      </c>
      <c r="J18">
        <v>19101.73</v>
      </c>
      <c r="K18">
        <v>10743.73</v>
      </c>
      <c r="L18">
        <v>8358</v>
      </c>
      <c r="M18" t="s">
        <v>60</v>
      </c>
      <c r="N18" t="s">
        <v>66</v>
      </c>
    </row>
    <row r="19" spans="1:14" x14ac:dyDescent="0.25">
      <c r="A19" t="s">
        <v>265</v>
      </c>
      <c r="B19" s="27">
        <v>45660</v>
      </c>
      <c r="C19" t="s">
        <v>68</v>
      </c>
      <c r="D19" t="s">
        <v>79</v>
      </c>
      <c r="E19" t="s">
        <v>70</v>
      </c>
      <c r="F19" t="s">
        <v>71</v>
      </c>
      <c r="G19" t="s">
        <v>88</v>
      </c>
      <c r="H19">
        <v>23</v>
      </c>
      <c r="I19">
        <v>471.4</v>
      </c>
      <c r="J19">
        <v>10842.2</v>
      </c>
      <c r="K19">
        <v>5126.8500000000004</v>
      </c>
      <c r="L19">
        <v>5715.35</v>
      </c>
      <c r="M19" t="s">
        <v>60</v>
      </c>
      <c r="N19" t="s">
        <v>66</v>
      </c>
    </row>
    <row r="20" spans="1:14" x14ac:dyDescent="0.25">
      <c r="A20" t="s">
        <v>112</v>
      </c>
      <c r="B20" s="27">
        <v>44959</v>
      </c>
      <c r="C20" t="s">
        <v>68</v>
      </c>
      <c r="D20" t="s">
        <v>69</v>
      </c>
      <c r="E20" t="s">
        <v>70</v>
      </c>
      <c r="F20" t="s">
        <v>113</v>
      </c>
      <c r="G20" t="s">
        <v>59</v>
      </c>
      <c r="H20">
        <v>1</v>
      </c>
      <c r="I20">
        <v>137.21</v>
      </c>
      <c r="J20">
        <v>137.21</v>
      </c>
      <c r="K20">
        <v>82.74</v>
      </c>
      <c r="L20">
        <v>54.47</v>
      </c>
      <c r="M20" t="s">
        <v>60</v>
      </c>
      <c r="N20" t="s">
        <v>66</v>
      </c>
    </row>
    <row r="21" spans="1:14" x14ac:dyDescent="0.25">
      <c r="A21" t="s">
        <v>114</v>
      </c>
      <c r="B21" s="27">
        <v>45730</v>
      </c>
      <c r="C21" t="s">
        <v>68</v>
      </c>
      <c r="D21" t="s">
        <v>69</v>
      </c>
      <c r="E21" t="s">
        <v>70</v>
      </c>
      <c r="F21" t="s">
        <v>115</v>
      </c>
      <c r="G21" t="s">
        <v>88</v>
      </c>
      <c r="H21">
        <v>7</v>
      </c>
      <c r="I21">
        <v>521.16999999999996</v>
      </c>
      <c r="J21">
        <v>3648.19</v>
      </c>
      <c r="K21">
        <v>2297.5300000000002</v>
      </c>
      <c r="L21">
        <v>1350.66</v>
      </c>
      <c r="M21" t="s">
        <v>65</v>
      </c>
      <c r="N21" t="s">
        <v>66</v>
      </c>
    </row>
    <row r="22" spans="1:14" x14ac:dyDescent="0.25">
      <c r="A22" t="s">
        <v>247</v>
      </c>
      <c r="B22" s="27">
        <v>45308</v>
      </c>
      <c r="C22" t="s">
        <v>68</v>
      </c>
      <c r="D22" t="s">
        <v>69</v>
      </c>
      <c r="E22" t="s">
        <v>70</v>
      </c>
      <c r="F22" t="s">
        <v>117</v>
      </c>
      <c r="G22" t="s">
        <v>59</v>
      </c>
      <c r="H22">
        <v>23</v>
      </c>
      <c r="I22">
        <v>437.96</v>
      </c>
      <c r="J22">
        <v>10073.08</v>
      </c>
      <c r="K22">
        <v>5514.33</v>
      </c>
      <c r="L22">
        <v>4558.75</v>
      </c>
      <c r="M22" t="s">
        <v>60</v>
      </c>
      <c r="N22" t="s">
        <v>128</v>
      </c>
    </row>
    <row r="23" spans="1:14" x14ac:dyDescent="0.25">
      <c r="A23" t="s">
        <v>232</v>
      </c>
      <c r="B23" s="27">
        <v>45600</v>
      </c>
      <c r="C23" t="s">
        <v>68</v>
      </c>
      <c r="D23" t="s">
        <v>69</v>
      </c>
      <c r="E23" t="s">
        <v>70</v>
      </c>
      <c r="F23" t="s">
        <v>115</v>
      </c>
      <c r="G23" t="s">
        <v>77</v>
      </c>
      <c r="H23">
        <v>11</v>
      </c>
      <c r="I23">
        <v>366.84</v>
      </c>
      <c r="J23">
        <v>4035.24</v>
      </c>
      <c r="K23">
        <v>1907.09</v>
      </c>
      <c r="L23">
        <v>2128.15</v>
      </c>
      <c r="M23" t="s">
        <v>60</v>
      </c>
      <c r="N23" t="s">
        <v>61</v>
      </c>
    </row>
    <row r="24" spans="1:14" x14ac:dyDescent="0.25">
      <c r="A24" t="s">
        <v>222</v>
      </c>
      <c r="B24" s="27">
        <v>45452</v>
      </c>
      <c r="C24" t="s">
        <v>68</v>
      </c>
      <c r="D24" t="s">
        <v>69</v>
      </c>
      <c r="E24" t="s">
        <v>70</v>
      </c>
      <c r="F24" t="s">
        <v>71</v>
      </c>
      <c r="G24" t="s">
        <v>72</v>
      </c>
      <c r="H24">
        <v>17</v>
      </c>
      <c r="I24">
        <v>172.19</v>
      </c>
      <c r="J24">
        <v>2927.23</v>
      </c>
      <c r="K24">
        <v>1283.3900000000001</v>
      </c>
      <c r="L24">
        <v>1643.84</v>
      </c>
      <c r="M24" t="s">
        <v>65</v>
      </c>
      <c r="N24" t="s">
        <v>128</v>
      </c>
    </row>
    <row r="25" spans="1:14" x14ac:dyDescent="0.25">
      <c r="A25" t="s">
        <v>214</v>
      </c>
      <c r="B25" s="27">
        <v>44991</v>
      </c>
      <c r="C25" t="s">
        <v>68</v>
      </c>
      <c r="D25" t="s">
        <v>69</v>
      </c>
      <c r="E25" t="s">
        <v>70</v>
      </c>
      <c r="F25" t="s">
        <v>160</v>
      </c>
      <c r="G25" t="s">
        <v>125</v>
      </c>
      <c r="H25">
        <v>20</v>
      </c>
      <c r="I25">
        <v>804.07</v>
      </c>
      <c r="J25">
        <v>16081.4</v>
      </c>
      <c r="K25">
        <v>9372.3700000000008</v>
      </c>
      <c r="L25">
        <v>6709.03</v>
      </c>
      <c r="M25" t="s">
        <v>60</v>
      </c>
      <c r="N25" t="s">
        <v>61</v>
      </c>
    </row>
    <row r="26" spans="1:14" x14ac:dyDescent="0.25">
      <c r="A26" t="s">
        <v>209</v>
      </c>
      <c r="B26" s="27">
        <v>45026</v>
      </c>
      <c r="C26" t="s">
        <v>68</v>
      </c>
      <c r="D26" t="s">
        <v>123</v>
      </c>
      <c r="E26" t="s">
        <v>70</v>
      </c>
      <c r="F26" t="s">
        <v>113</v>
      </c>
      <c r="G26" t="s">
        <v>77</v>
      </c>
      <c r="H26">
        <v>22</v>
      </c>
      <c r="I26">
        <v>698.57</v>
      </c>
      <c r="J26">
        <v>15368.54</v>
      </c>
      <c r="K26">
        <v>9875.31</v>
      </c>
      <c r="L26">
        <v>5493.23</v>
      </c>
      <c r="M26" t="s">
        <v>60</v>
      </c>
      <c r="N26" t="s">
        <v>61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481ED-B699-41C6-892F-FCD9C4B501CA}">
  <dimension ref="A1:S374"/>
  <sheetViews>
    <sheetView topLeftCell="A328" zoomScale="77" workbookViewId="0">
      <selection activeCell="L370" sqref="L370"/>
    </sheetView>
  </sheetViews>
  <sheetFormatPr defaultRowHeight="15" x14ac:dyDescent="0.25"/>
  <cols>
    <col min="1" max="1" width="13.7109375" bestFit="1" customWidth="1"/>
    <col min="2" max="2" width="15.5703125" bestFit="1" customWidth="1"/>
    <col min="3" max="3" width="15.42578125" bestFit="1" customWidth="1"/>
    <col min="4" max="4" width="13" bestFit="1" customWidth="1"/>
    <col min="5" max="5" width="13.7109375" bestFit="1" customWidth="1"/>
    <col min="6" max="6" width="15.5703125" bestFit="1" customWidth="1"/>
    <col min="7" max="7" width="15.42578125" bestFit="1" customWidth="1"/>
    <col min="8" max="8" width="13" customWidth="1"/>
    <col min="9" max="9" width="13.140625" bestFit="1" customWidth="1"/>
    <col min="10" max="10" width="15.5703125" bestFit="1" customWidth="1"/>
    <col min="11" max="11" width="13.140625" bestFit="1" customWidth="1"/>
    <col min="12" max="12" width="15.5703125" bestFit="1" customWidth="1"/>
    <col min="13" max="13" width="15.42578125" bestFit="1" customWidth="1"/>
    <col min="14" max="14" width="10.42578125" bestFit="1" customWidth="1"/>
    <col min="15" max="15" width="14.85546875" customWidth="1"/>
    <col min="16" max="16" width="29.140625" customWidth="1"/>
    <col min="17" max="31" width="10.42578125" bestFit="1" customWidth="1"/>
    <col min="32" max="32" width="13" bestFit="1" customWidth="1"/>
  </cols>
  <sheetData>
    <row r="1" spans="1:17" ht="15.75" x14ac:dyDescent="0.25">
      <c r="A1" s="21" t="s">
        <v>560</v>
      </c>
      <c r="B1" s="48" t="s">
        <v>500</v>
      </c>
      <c r="C1" s="48"/>
      <c r="D1" s="48"/>
      <c r="E1" s="48"/>
      <c r="F1" s="48"/>
      <c r="G1" s="48"/>
      <c r="H1" s="48"/>
      <c r="I1" s="48"/>
      <c r="J1" s="48"/>
      <c r="K1" s="48"/>
      <c r="L1" s="48"/>
      <c r="M1" s="48"/>
      <c r="N1" s="48"/>
      <c r="O1" s="48"/>
      <c r="P1" s="48"/>
      <c r="Q1" s="48"/>
    </row>
    <row r="3" spans="1:17" x14ac:dyDescent="0.25">
      <c r="A3" s="22" t="s">
        <v>561</v>
      </c>
      <c r="B3" s="62" t="s">
        <v>672</v>
      </c>
      <c r="C3" t="s">
        <v>673</v>
      </c>
    </row>
    <row r="4" spans="1:17" x14ac:dyDescent="0.25">
      <c r="A4" s="23" t="s">
        <v>68</v>
      </c>
      <c r="B4" s="62">
        <v>414213.69</v>
      </c>
      <c r="C4" s="62">
        <v>195947.24000000002</v>
      </c>
    </row>
    <row r="5" spans="1:17" x14ac:dyDescent="0.25">
      <c r="A5" s="24" t="s">
        <v>93</v>
      </c>
      <c r="B5" s="62">
        <v>33101.75</v>
      </c>
      <c r="C5" s="62">
        <v>15132.990000000002</v>
      </c>
    </row>
    <row r="6" spans="1:17" x14ac:dyDescent="0.25">
      <c r="A6" s="24" t="s">
        <v>63</v>
      </c>
      <c r="B6" s="62">
        <v>173040.69</v>
      </c>
      <c r="C6" s="62">
        <v>84143.799999999988</v>
      </c>
    </row>
    <row r="7" spans="1:17" x14ac:dyDescent="0.25">
      <c r="A7" s="26" t="s">
        <v>70</v>
      </c>
      <c r="B7" s="63">
        <v>204129.25</v>
      </c>
      <c r="C7" s="63">
        <v>94971.73000000001</v>
      </c>
    </row>
    <row r="8" spans="1:17" x14ac:dyDescent="0.25">
      <c r="A8" s="24" t="s">
        <v>57</v>
      </c>
      <c r="B8" s="62">
        <v>3941.9999999999995</v>
      </c>
      <c r="C8" s="62">
        <v>1698.7200000000003</v>
      </c>
    </row>
    <row r="9" spans="1:17" x14ac:dyDescent="0.25">
      <c r="A9" s="23" t="s">
        <v>55</v>
      </c>
      <c r="B9" s="62">
        <v>318109.90999999997</v>
      </c>
      <c r="C9" s="62">
        <v>143331.92999999996</v>
      </c>
    </row>
    <row r="10" spans="1:17" x14ac:dyDescent="0.25">
      <c r="A10" s="24" t="s">
        <v>93</v>
      </c>
      <c r="B10" s="62">
        <v>32879.64</v>
      </c>
      <c r="C10" s="62">
        <v>14780.169999999998</v>
      </c>
    </row>
    <row r="11" spans="1:17" x14ac:dyDescent="0.25">
      <c r="A11" s="26" t="s">
        <v>63</v>
      </c>
      <c r="B11" s="63">
        <v>158195.5</v>
      </c>
      <c r="C11" s="63">
        <v>75164.50999999998</v>
      </c>
    </row>
    <row r="12" spans="1:17" x14ac:dyDescent="0.25">
      <c r="A12" s="24" t="s">
        <v>70</v>
      </c>
      <c r="B12" s="62">
        <v>115417.89999999998</v>
      </c>
      <c r="C12" s="62">
        <v>48041.539999999994</v>
      </c>
    </row>
    <row r="13" spans="1:17" x14ac:dyDescent="0.25">
      <c r="A13" s="24" t="s">
        <v>57</v>
      </c>
      <c r="B13" s="62">
        <v>11616.869999999999</v>
      </c>
      <c r="C13" s="62">
        <v>5345.71</v>
      </c>
    </row>
    <row r="14" spans="1:17" x14ac:dyDescent="0.25">
      <c r="A14" s="23" t="s">
        <v>98</v>
      </c>
      <c r="B14" s="62">
        <v>429454.21</v>
      </c>
      <c r="C14" s="62">
        <v>181386.8</v>
      </c>
    </row>
    <row r="15" spans="1:17" x14ac:dyDescent="0.25">
      <c r="A15" s="24" t="s">
        <v>93</v>
      </c>
      <c r="B15" s="62">
        <v>40530.30999999999</v>
      </c>
      <c r="C15" s="62">
        <v>16162.550000000003</v>
      </c>
    </row>
    <row r="16" spans="1:17" x14ac:dyDescent="0.25">
      <c r="A16" s="26" t="s">
        <v>63</v>
      </c>
      <c r="B16" s="63">
        <v>256982.95</v>
      </c>
      <c r="C16" s="63">
        <v>112003.09</v>
      </c>
    </row>
    <row r="17" spans="1:11" x14ac:dyDescent="0.25">
      <c r="A17" s="24" t="s">
        <v>70</v>
      </c>
      <c r="B17" s="62">
        <v>120337.7</v>
      </c>
      <c r="C17" s="62">
        <v>47931.98</v>
      </c>
    </row>
    <row r="18" spans="1:11" x14ac:dyDescent="0.25">
      <c r="A18" s="24" t="s">
        <v>57</v>
      </c>
      <c r="B18" s="62">
        <v>11603.25</v>
      </c>
      <c r="C18" s="62">
        <v>5289.1799999999994</v>
      </c>
    </row>
    <row r="19" spans="1:11" x14ac:dyDescent="0.25">
      <c r="A19" s="23" t="s">
        <v>74</v>
      </c>
      <c r="B19" s="62">
        <v>424026.68</v>
      </c>
      <c r="C19" s="62">
        <v>183240.14000000004</v>
      </c>
    </row>
    <row r="20" spans="1:11" x14ac:dyDescent="0.25">
      <c r="A20" s="24" t="s">
        <v>93</v>
      </c>
      <c r="B20" s="62">
        <v>23083.65</v>
      </c>
      <c r="C20" s="62">
        <v>9987.3200000000015</v>
      </c>
    </row>
    <row r="21" spans="1:11" x14ac:dyDescent="0.25">
      <c r="A21" s="26" t="s">
        <v>63</v>
      </c>
      <c r="B21" s="63">
        <v>218701.11000000002</v>
      </c>
      <c r="C21" s="63">
        <v>93864.35</v>
      </c>
    </row>
    <row r="22" spans="1:11" x14ac:dyDescent="0.25">
      <c r="A22" s="24" t="s">
        <v>70</v>
      </c>
      <c r="B22" s="62">
        <v>172925.02999999997</v>
      </c>
      <c r="C22" s="62">
        <v>75309.500000000015</v>
      </c>
    </row>
    <row r="23" spans="1:11" x14ac:dyDescent="0.25">
      <c r="A23" s="24" t="s">
        <v>57</v>
      </c>
      <c r="B23" s="62">
        <v>9316.89</v>
      </c>
      <c r="C23" s="62">
        <v>4078.97</v>
      </c>
    </row>
    <row r="24" spans="1:11" x14ac:dyDescent="0.25">
      <c r="A24" s="23" t="s">
        <v>562</v>
      </c>
      <c r="B24" s="62">
        <v>1585804.49</v>
      </c>
      <c r="C24" s="62">
        <v>703906.11</v>
      </c>
    </row>
    <row r="28" spans="1:11" ht="15.75" x14ac:dyDescent="0.25">
      <c r="A28" s="21" t="s">
        <v>566</v>
      </c>
      <c r="B28" s="29" t="s">
        <v>502</v>
      </c>
      <c r="C28" s="29"/>
      <c r="D28" s="29"/>
      <c r="E28" s="29"/>
      <c r="F28" s="29"/>
      <c r="G28" s="29"/>
      <c r="H28" s="29"/>
      <c r="I28" s="29"/>
      <c r="J28" s="29"/>
      <c r="K28" s="21"/>
    </row>
    <row r="30" spans="1:11" x14ac:dyDescent="0.25">
      <c r="A30" s="22" t="s">
        <v>561</v>
      </c>
      <c r="B30" t="s">
        <v>672</v>
      </c>
      <c r="C30" t="s">
        <v>673</v>
      </c>
      <c r="D30" t="s">
        <v>589</v>
      </c>
    </row>
    <row r="31" spans="1:11" x14ac:dyDescent="0.25">
      <c r="A31" s="23" t="s">
        <v>68</v>
      </c>
      <c r="B31" s="62">
        <v>414213.69</v>
      </c>
      <c r="C31" s="62">
        <v>195947.24000000002</v>
      </c>
      <c r="D31" s="31">
        <v>0.26120098196972569</v>
      </c>
    </row>
    <row r="32" spans="1:11" x14ac:dyDescent="0.25">
      <c r="A32" s="24" t="s">
        <v>93</v>
      </c>
      <c r="B32" s="62">
        <v>33101.75</v>
      </c>
      <c r="C32" s="62">
        <v>15132.990000000002</v>
      </c>
      <c r="D32" s="31">
        <v>2.0873790059706541E-2</v>
      </c>
    </row>
    <row r="33" spans="1:4" x14ac:dyDescent="0.25">
      <c r="A33" s="64" t="s">
        <v>63</v>
      </c>
      <c r="B33" s="68">
        <v>173040.69</v>
      </c>
      <c r="C33" s="68">
        <v>84143.799999999988</v>
      </c>
      <c r="D33" s="65">
        <v>0.10911855218672006</v>
      </c>
    </row>
    <row r="34" spans="1:4" x14ac:dyDescent="0.25">
      <c r="A34" s="64" t="s">
        <v>70</v>
      </c>
      <c r="B34" s="68">
        <v>204129.25</v>
      </c>
      <c r="C34" s="68">
        <v>94971.73000000001</v>
      </c>
      <c r="D34" s="65">
        <v>0.12872283518379998</v>
      </c>
    </row>
    <row r="35" spans="1:4" x14ac:dyDescent="0.25">
      <c r="A35" s="24" t="s">
        <v>57</v>
      </c>
      <c r="B35" s="62">
        <v>3941.9999999999995</v>
      </c>
      <c r="C35" s="62">
        <v>1698.7200000000003</v>
      </c>
      <c r="D35" s="31">
        <v>2.4858045394990651E-3</v>
      </c>
    </row>
    <row r="36" spans="1:4" x14ac:dyDescent="0.25">
      <c r="A36" s="23" t="s">
        <v>55</v>
      </c>
      <c r="B36" s="62">
        <v>318109.90999999997</v>
      </c>
      <c r="C36" s="62">
        <v>143331.92999999996</v>
      </c>
      <c r="D36" s="31">
        <v>0.20059844199331278</v>
      </c>
    </row>
    <row r="37" spans="1:4" x14ac:dyDescent="0.25">
      <c r="A37" s="24" t="s">
        <v>93</v>
      </c>
      <c r="B37" s="62">
        <v>32879.64</v>
      </c>
      <c r="C37" s="62">
        <v>14780.169999999998</v>
      </c>
      <c r="D37" s="31">
        <v>2.0733728657812034E-2</v>
      </c>
    </row>
    <row r="38" spans="1:4" x14ac:dyDescent="0.25">
      <c r="A38" s="64" t="s">
        <v>63</v>
      </c>
      <c r="B38" s="68">
        <v>158195.5</v>
      </c>
      <c r="C38" s="68">
        <v>75164.50999999998</v>
      </c>
      <c r="D38" s="65">
        <v>9.9757253178164473E-2</v>
      </c>
    </row>
    <row r="39" spans="1:4" x14ac:dyDescent="0.25">
      <c r="A39" s="64" t="s">
        <v>70</v>
      </c>
      <c r="B39" s="68">
        <v>115417.89999999998</v>
      </c>
      <c r="C39" s="68">
        <v>48041.539999999994</v>
      </c>
      <c r="D39" s="65">
        <v>7.2781922820763345E-2</v>
      </c>
    </row>
    <row r="40" spans="1:4" x14ac:dyDescent="0.25">
      <c r="A40" s="24" t="s">
        <v>57</v>
      </c>
      <c r="B40" s="62">
        <v>11616.869999999999</v>
      </c>
      <c r="C40" s="62">
        <v>5345.71</v>
      </c>
      <c r="D40" s="31">
        <v>7.3255373365729336E-3</v>
      </c>
    </row>
    <row r="41" spans="1:4" x14ac:dyDescent="0.25">
      <c r="A41" s="23" t="s">
        <v>98</v>
      </c>
      <c r="B41" s="62">
        <v>429454.21</v>
      </c>
      <c r="C41" s="62">
        <v>181386.8</v>
      </c>
      <c r="D41" s="31">
        <v>0.27081157400430872</v>
      </c>
    </row>
    <row r="42" spans="1:4" x14ac:dyDescent="0.25">
      <c r="A42" s="24" t="s">
        <v>93</v>
      </c>
      <c r="B42" s="62">
        <v>40530.30999999999</v>
      </c>
      <c r="C42" s="62">
        <v>16162.550000000003</v>
      </c>
      <c r="D42" s="31">
        <v>2.5558201061721041E-2</v>
      </c>
    </row>
    <row r="43" spans="1:4" x14ac:dyDescent="0.25">
      <c r="A43" s="64" t="s">
        <v>63</v>
      </c>
      <c r="B43" s="68">
        <v>256982.95</v>
      </c>
      <c r="C43" s="68">
        <v>112003.09</v>
      </c>
      <c r="D43" s="65">
        <v>0.16205210139113682</v>
      </c>
    </row>
    <row r="44" spans="1:4" x14ac:dyDescent="0.25">
      <c r="A44" s="64" t="s">
        <v>70</v>
      </c>
      <c r="B44" s="68">
        <v>120337.7</v>
      </c>
      <c r="C44" s="68">
        <v>47931.98</v>
      </c>
      <c r="D44" s="65">
        <v>7.5884322915493824E-2</v>
      </c>
    </row>
    <row r="45" spans="1:4" x14ac:dyDescent="0.25">
      <c r="A45" s="24" t="s">
        <v>57</v>
      </c>
      <c r="B45" s="62">
        <v>11603.25</v>
      </c>
      <c r="C45" s="62">
        <v>5289.1799999999994</v>
      </c>
      <c r="D45" s="31">
        <v>7.3169486359570086E-3</v>
      </c>
    </row>
    <row r="46" spans="1:4" x14ac:dyDescent="0.25">
      <c r="A46" s="23" t="s">
        <v>74</v>
      </c>
      <c r="B46" s="62">
        <v>424026.68</v>
      </c>
      <c r="C46" s="62">
        <v>183240.14000000004</v>
      </c>
      <c r="D46" s="31">
        <v>0.26738900203265281</v>
      </c>
    </row>
    <row r="47" spans="1:4" x14ac:dyDescent="0.25">
      <c r="A47" s="24" t="s">
        <v>93</v>
      </c>
      <c r="B47" s="62">
        <v>23083.65</v>
      </c>
      <c r="C47" s="62">
        <v>9987.3200000000015</v>
      </c>
      <c r="D47" s="31">
        <v>1.4556428705785794E-2</v>
      </c>
    </row>
    <row r="48" spans="1:4" x14ac:dyDescent="0.25">
      <c r="A48" s="64" t="s">
        <v>63</v>
      </c>
      <c r="B48" s="68">
        <v>218701.11000000002</v>
      </c>
      <c r="C48" s="68">
        <v>93864.35</v>
      </c>
      <c r="D48" s="65">
        <v>0.13791177372691132</v>
      </c>
    </row>
    <row r="49" spans="1:10" x14ac:dyDescent="0.25">
      <c r="A49" s="64" t="s">
        <v>70</v>
      </c>
      <c r="B49" s="68">
        <v>172925.02999999997</v>
      </c>
      <c r="C49" s="68">
        <v>75309.500000000015</v>
      </c>
      <c r="D49" s="65">
        <v>0.10904561759690816</v>
      </c>
    </row>
    <row r="50" spans="1:10" x14ac:dyDescent="0.25">
      <c r="A50" s="24" t="s">
        <v>57</v>
      </c>
      <c r="B50" s="62">
        <v>9316.89</v>
      </c>
      <c r="C50" s="62">
        <v>4078.97</v>
      </c>
      <c r="D50" s="31">
        <v>5.8751820030475506E-3</v>
      </c>
    </row>
    <row r="51" spans="1:10" x14ac:dyDescent="0.25">
      <c r="A51" s="23" t="s">
        <v>562</v>
      </c>
      <c r="B51" s="62">
        <v>1585804.49</v>
      </c>
      <c r="C51" s="62">
        <v>703906.11</v>
      </c>
      <c r="D51" s="31">
        <v>1</v>
      </c>
    </row>
    <row r="55" spans="1:10" x14ac:dyDescent="0.25">
      <c r="A55" s="21" t="s">
        <v>568</v>
      </c>
      <c r="B55" s="47" t="s">
        <v>504</v>
      </c>
      <c r="C55" s="47"/>
      <c r="D55" s="47"/>
      <c r="E55" s="47"/>
      <c r="F55" s="47"/>
      <c r="G55" s="47"/>
      <c r="H55" s="47"/>
      <c r="I55" s="47"/>
      <c r="J55" s="47"/>
    </row>
    <row r="57" spans="1:10" x14ac:dyDescent="0.25">
      <c r="A57" s="22" t="s">
        <v>561</v>
      </c>
      <c r="B57" t="s">
        <v>564</v>
      </c>
      <c r="C57" t="s">
        <v>563</v>
      </c>
    </row>
    <row r="58" spans="1:10" x14ac:dyDescent="0.25">
      <c r="A58" s="23" t="s">
        <v>569</v>
      </c>
      <c r="B58" s="62">
        <v>143926.21000000005</v>
      </c>
      <c r="C58" s="62">
        <v>62408.890000000014</v>
      </c>
    </row>
    <row r="59" spans="1:10" x14ac:dyDescent="0.25">
      <c r="A59" s="32" t="s">
        <v>570</v>
      </c>
      <c r="B59" s="63">
        <v>209031.88</v>
      </c>
      <c r="C59" s="63">
        <v>96792.199999999983</v>
      </c>
    </row>
    <row r="60" spans="1:10" x14ac:dyDescent="0.25">
      <c r="A60" s="23" t="s">
        <v>571</v>
      </c>
      <c r="B60" s="62">
        <v>153548.30000000002</v>
      </c>
      <c r="C60" s="62">
        <v>63400.05</v>
      </c>
    </row>
    <row r="61" spans="1:10" x14ac:dyDescent="0.25">
      <c r="A61" s="23" t="s">
        <v>572</v>
      </c>
      <c r="B61" s="62">
        <v>169999.03</v>
      </c>
      <c r="C61" s="62">
        <v>76325.589999999982</v>
      </c>
    </row>
    <row r="62" spans="1:10" x14ac:dyDescent="0.25">
      <c r="A62" s="23" t="s">
        <v>573</v>
      </c>
      <c r="B62" s="62">
        <v>153610.84999999998</v>
      </c>
      <c r="C62" s="62">
        <v>70641.949999999983</v>
      </c>
    </row>
    <row r="63" spans="1:10" x14ac:dyDescent="0.25">
      <c r="A63" s="33" t="s">
        <v>574</v>
      </c>
      <c r="B63" s="66">
        <v>171989.09</v>
      </c>
      <c r="C63" s="66">
        <v>77827</v>
      </c>
    </row>
    <row r="64" spans="1:10" x14ac:dyDescent="0.25">
      <c r="A64" s="23" t="s">
        <v>575</v>
      </c>
      <c r="B64" s="62">
        <v>36684.889999999992</v>
      </c>
      <c r="C64" s="62">
        <v>16584.239999999998</v>
      </c>
    </row>
    <row r="65" spans="1:14" x14ac:dyDescent="0.25">
      <c r="A65" s="23" t="s">
        <v>576</v>
      </c>
      <c r="B65" s="62">
        <v>142387.19</v>
      </c>
      <c r="C65" s="62">
        <v>67942.25999999998</v>
      </c>
    </row>
    <row r="66" spans="1:14" x14ac:dyDescent="0.25">
      <c r="A66" s="23" t="s">
        <v>577</v>
      </c>
      <c r="B66" s="62">
        <v>119736.94000000002</v>
      </c>
      <c r="C66" s="62">
        <v>54685.960000000006</v>
      </c>
    </row>
    <row r="67" spans="1:14" x14ac:dyDescent="0.25">
      <c r="A67" s="23" t="s">
        <v>578</v>
      </c>
      <c r="B67" s="62">
        <v>118200.72</v>
      </c>
      <c r="C67" s="62">
        <v>44876.79</v>
      </c>
    </row>
    <row r="68" spans="1:14" x14ac:dyDescent="0.25">
      <c r="A68" s="23" t="s">
        <v>579</v>
      </c>
      <c r="B68" s="62">
        <v>103918.76000000002</v>
      </c>
      <c r="C68" s="62">
        <v>44044.74</v>
      </c>
    </row>
    <row r="69" spans="1:14" x14ac:dyDescent="0.25">
      <c r="A69" s="23" t="s">
        <v>580</v>
      </c>
      <c r="B69" s="62">
        <v>62770.63</v>
      </c>
      <c r="C69" s="62">
        <v>28376.44</v>
      </c>
    </row>
    <row r="70" spans="1:14" x14ac:dyDescent="0.25">
      <c r="A70" s="23" t="s">
        <v>562</v>
      </c>
      <c r="B70" s="62">
        <v>1585804.49</v>
      </c>
      <c r="C70" s="62">
        <v>703906.10999999987</v>
      </c>
    </row>
    <row r="74" spans="1:14" x14ac:dyDescent="0.25">
      <c r="A74" s="21" t="s">
        <v>582</v>
      </c>
      <c r="B74" s="47" t="s">
        <v>506</v>
      </c>
      <c r="C74" s="47"/>
      <c r="D74" s="47"/>
      <c r="E74" s="47"/>
      <c r="F74" s="47"/>
      <c r="G74" s="47"/>
      <c r="H74" s="47"/>
      <c r="I74" s="47"/>
      <c r="J74" s="47"/>
      <c r="K74" s="47"/>
      <c r="L74" s="47"/>
      <c r="M74" s="47"/>
      <c r="N74" s="47"/>
    </row>
    <row r="76" spans="1:14" x14ac:dyDescent="0.25">
      <c r="A76" s="22" t="s">
        <v>561</v>
      </c>
      <c r="B76" t="s">
        <v>564</v>
      </c>
      <c r="C76" t="s">
        <v>563</v>
      </c>
    </row>
    <row r="77" spans="1:14" x14ac:dyDescent="0.25">
      <c r="A77" s="23" t="s">
        <v>125</v>
      </c>
      <c r="B77" s="25">
        <v>229606.18</v>
      </c>
      <c r="C77" s="25">
        <v>100747.32</v>
      </c>
    </row>
    <row r="78" spans="1:14" x14ac:dyDescent="0.25">
      <c r="A78" s="23" t="s">
        <v>80</v>
      </c>
      <c r="B78" s="25">
        <v>117535.74000000002</v>
      </c>
      <c r="C78" s="25">
        <v>48597.279999999999</v>
      </c>
    </row>
    <row r="79" spans="1:14" x14ac:dyDescent="0.25">
      <c r="A79" s="23" t="s">
        <v>96</v>
      </c>
      <c r="B79" s="25">
        <v>131476.67000000001</v>
      </c>
      <c r="C79" s="25">
        <v>54895.849999999991</v>
      </c>
    </row>
    <row r="80" spans="1:14" x14ac:dyDescent="0.25">
      <c r="A80" s="23" t="s">
        <v>59</v>
      </c>
      <c r="B80" s="25">
        <v>219880.87</v>
      </c>
      <c r="C80" s="25">
        <v>105221.28</v>
      </c>
    </row>
    <row r="81" spans="1:10" x14ac:dyDescent="0.25">
      <c r="A81" s="23" t="s">
        <v>77</v>
      </c>
      <c r="B81" s="25">
        <v>223028.55000000002</v>
      </c>
      <c r="C81" s="25">
        <v>98134.040000000008</v>
      </c>
    </row>
    <row r="82" spans="1:10" x14ac:dyDescent="0.25">
      <c r="A82" s="23" t="s">
        <v>84</v>
      </c>
      <c r="B82" s="25">
        <v>233246.03999999992</v>
      </c>
      <c r="C82" s="25">
        <v>103539.47999999998</v>
      </c>
    </row>
    <row r="83" spans="1:10" x14ac:dyDescent="0.25">
      <c r="A83" s="23" t="s">
        <v>72</v>
      </c>
      <c r="B83" s="25">
        <v>263667.91000000009</v>
      </c>
      <c r="C83" s="25">
        <v>116162.00999999998</v>
      </c>
    </row>
    <row r="84" spans="1:10" x14ac:dyDescent="0.25">
      <c r="A84" s="23" t="s">
        <v>88</v>
      </c>
      <c r="B84" s="25">
        <v>167362.53</v>
      </c>
      <c r="C84" s="25">
        <v>76608.850000000006</v>
      </c>
    </row>
    <row r="85" spans="1:10" x14ac:dyDescent="0.25">
      <c r="A85" s="23" t="s">
        <v>562</v>
      </c>
      <c r="B85" s="25">
        <v>1585804.4900000002</v>
      </c>
      <c r="C85" s="25">
        <v>703906.11</v>
      </c>
    </row>
    <row r="92" spans="1:10" x14ac:dyDescent="0.25">
      <c r="A92" s="21" t="s">
        <v>584</v>
      </c>
      <c r="B92" s="47" t="s">
        <v>508</v>
      </c>
      <c r="C92" s="47"/>
      <c r="D92" s="47"/>
      <c r="E92" s="47"/>
      <c r="F92" s="47"/>
      <c r="G92" s="47"/>
      <c r="H92" s="47"/>
      <c r="I92" s="47"/>
      <c r="J92" s="47"/>
    </row>
    <row r="94" spans="1:10" x14ac:dyDescent="0.25">
      <c r="A94" s="22" t="s">
        <v>561</v>
      </c>
      <c r="B94" t="s">
        <v>564</v>
      </c>
      <c r="C94" t="s">
        <v>675</v>
      </c>
    </row>
    <row r="95" spans="1:10" x14ac:dyDescent="0.25">
      <c r="A95" s="23" t="s">
        <v>115</v>
      </c>
      <c r="B95" s="67">
        <v>115346.34999999999</v>
      </c>
      <c r="C95" s="67">
        <v>16</v>
      </c>
    </row>
    <row r="96" spans="1:10" x14ac:dyDescent="0.25">
      <c r="A96" s="23" t="s">
        <v>71</v>
      </c>
      <c r="B96" s="67">
        <v>131051.22</v>
      </c>
      <c r="C96" s="67">
        <v>19</v>
      </c>
    </row>
    <row r="97" spans="1:14" x14ac:dyDescent="0.25">
      <c r="A97" s="23" t="s">
        <v>113</v>
      </c>
      <c r="B97" s="67">
        <v>150338.81</v>
      </c>
      <c r="C97" s="67">
        <v>15</v>
      </c>
    </row>
    <row r="98" spans="1:14" x14ac:dyDescent="0.25">
      <c r="A98" s="23" t="s">
        <v>124</v>
      </c>
      <c r="B98" s="67">
        <v>81892.109999999986</v>
      </c>
      <c r="C98" s="67">
        <v>11</v>
      </c>
    </row>
    <row r="99" spans="1:14" x14ac:dyDescent="0.25">
      <c r="A99" s="23" t="s">
        <v>136</v>
      </c>
      <c r="B99" s="67">
        <v>111936.78</v>
      </c>
      <c r="C99" s="67">
        <v>12</v>
      </c>
    </row>
    <row r="100" spans="1:14" x14ac:dyDescent="0.25">
      <c r="A100" s="23" t="s">
        <v>100</v>
      </c>
      <c r="B100" s="67">
        <v>189493.75</v>
      </c>
      <c r="C100" s="67">
        <v>16</v>
      </c>
    </row>
    <row r="101" spans="1:14" x14ac:dyDescent="0.25">
      <c r="A101" s="23" t="s">
        <v>90</v>
      </c>
      <c r="B101" s="67">
        <v>223188.72</v>
      </c>
      <c r="C101" s="67">
        <v>19</v>
      </c>
    </row>
    <row r="102" spans="1:14" x14ac:dyDescent="0.25">
      <c r="A102" s="23" t="s">
        <v>64</v>
      </c>
      <c r="B102" s="67">
        <v>164081.44</v>
      </c>
      <c r="C102" s="67">
        <v>16</v>
      </c>
    </row>
    <row r="103" spans="1:14" x14ac:dyDescent="0.25">
      <c r="A103" s="23" t="s">
        <v>562</v>
      </c>
      <c r="B103" s="67">
        <v>1167329.18</v>
      </c>
      <c r="C103" s="67">
        <v>124</v>
      </c>
    </row>
    <row r="107" spans="1:14" x14ac:dyDescent="0.25">
      <c r="A107" s="21" t="s">
        <v>586</v>
      </c>
      <c r="B107" s="47" t="s">
        <v>510</v>
      </c>
      <c r="C107" s="47"/>
      <c r="D107" s="47"/>
      <c r="E107" s="47"/>
      <c r="F107" s="47"/>
      <c r="G107" s="47"/>
      <c r="H107" s="47"/>
      <c r="I107" s="47"/>
      <c r="J107" s="47"/>
    </row>
    <row r="109" spans="1:14" x14ac:dyDescent="0.25">
      <c r="A109" s="22" t="s">
        <v>561</v>
      </c>
      <c r="B109" t="s">
        <v>564</v>
      </c>
      <c r="C109" t="s">
        <v>585</v>
      </c>
      <c r="E109" s="22" t="s">
        <v>561</v>
      </c>
      <c r="F109" t="s">
        <v>564</v>
      </c>
      <c r="G109" t="s">
        <v>585</v>
      </c>
      <c r="K109" s="22" t="s">
        <v>595</v>
      </c>
    </row>
    <row r="110" spans="1:14" x14ac:dyDescent="0.25">
      <c r="A110" s="23" t="s">
        <v>60</v>
      </c>
      <c r="B110" s="67">
        <v>792048.60999999987</v>
      </c>
      <c r="C110" s="31">
        <v>1</v>
      </c>
      <c r="E110" s="23" t="s">
        <v>65</v>
      </c>
      <c r="F110" s="67">
        <v>793755.88000000012</v>
      </c>
      <c r="G110" s="31">
        <v>1</v>
      </c>
      <c r="J110" s="22" t="s">
        <v>561</v>
      </c>
      <c r="K110" t="s">
        <v>66</v>
      </c>
      <c r="L110" t="s">
        <v>61</v>
      </c>
      <c r="M110" t="s">
        <v>128</v>
      </c>
      <c r="N110" t="s">
        <v>562</v>
      </c>
    </row>
    <row r="111" spans="1:14" x14ac:dyDescent="0.25">
      <c r="A111" s="24" t="s">
        <v>66</v>
      </c>
      <c r="B111" s="67">
        <v>268316.46999999997</v>
      </c>
      <c r="C111" s="31">
        <v>0.39559877175025587</v>
      </c>
      <c r="E111" s="24" t="s">
        <v>66</v>
      </c>
      <c r="F111" s="67">
        <v>342107.68000000005</v>
      </c>
      <c r="G111" s="31">
        <v>0.35063113604488078</v>
      </c>
      <c r="J111" s="23" t="s">
        <v>564</v>
      </c>
      <c r="K111" s="67"/>
      <c r="L111" s="67"/>
      <c r="M111" s="67"/>
      <c r="N111" s="67"/>
    </row>
    <row r="112" spans="1:14" x14ac:dyDescent="0.25">
      <c r="A112" s="24" t="s">
        <v>61</v>
      </c>
      <c r="B112" s="67">
        <v>282202.90999999997</v>
      </c>
      <c r="C112" s="31">
        <v>0.33572159672466734</v>
      </c>
      <c r="E112" s="24" t="s">
        <v>61</v>
      </c>
      <c r="F112" s="67">
        <v>206246.89999999997</v>
      </c>
      <c r="G112" s="31">
        <v>0.32959326788218796</v>
      </c>
      <c r="J112" s="24" t="s">
        <v>60</v>
      </c>
      <c r="K112" s="67">
        <v>268316.47000000003</v>
      </c>
      <c r="L112" s="67">
        <v>282202.91000000003</v>
      </c>
      <c r="M112" s="67">
        <v>241529.23000000004</v>
      </c>
      <c r="N112" s="67">
        <v>792048.6100000001</v>
      </c>
    </row>
    <row r="113" spans="1:14" x14ac:dyDescent="0.25">
      <c r="A113" s="24" t="s">
        <v>128</v>
      </c>
      <c r="B113" s="67">
        <v>241529.23000000004</v>
      </c>
      <c r="C113" s="31">
        <v>0.26867963152507679</v>
      </c>
      <c r="E113" s="24" t="s">
        <v>128</v>
      </c>
      <c r="F113" s="67">
        <v>245401.3</v>
      </c>
      <c r="G113" s="31">
        <v>0.31977559607293127</v>
      </c>
      <c r="J113" s="24" t="s">
        <v>65</v>
      </c>
      <c r="K113" s="67">
        <v>342107.68</v>
      </c>
      <c r="L113" s="67">
        <v>206246.89999999997</v>
      </c>
      <c r="M113" s="67">
        <v>245401.3</v>
      </c>
      <c r="N113" s="67">
        <v>793755.87999999989</v>
      </c>
    </row>
    <row r="114" spans="1:14" x14ac:dyDescent="0.25">
      <c r="A114" s="23" t="s">
        <v>562</v>
      </c>
      <c r="B114" s="67">
        <v>792048.60999999987</v>
      </c>
      <c r="C114" s="31">
        <v>1</v>
      </c>
      <c r="E114" s="23" t="s">
        <v>562</v>
      </c>
      <c r="F114" s="67">
        <v>793755.88000000012</v>
      </c>
      <c r="G114" s="31">
        <v>1</v>
      </c>
      <c r="J114" s="23" t="s">
        <v>585</v>
      </c>
      <c r="K114" s="31"/>
      <c r="L114" s="31"/>
      <c r="M114" s="31"/>
      <c r="N114" s="31"/>
    </row>
    <row r="115" spans="1:14" x14ac:dyDescent="0.25">
      <c r="J115" s="24" t="s">
        <v>60</v>
      </c>
      <c r="K115" s="31">
        <v>0.18885902760811141</v>
      </c>
      <c r="L115" s="31">
        <v>0.16027363791839727</v>
      </c>
      <c r="M115" s="31">
        <v>0.12826777424871733</v>
      </c>
      <c r="N115" s="31">
        <v>0.477400439775226</v>
      </c>
    </row>
    <row r="116" spans="1:14" x14ac:dyDescent="0.25">
      <c r="J116" s="24" t="s">
        <v>65</v>
      </c>
      <c r="K116" s="31">
        <v>0.18323967749816761</v>
      </c>
      <c r="L116" s="31">
        <v>0.17224529684827755</v>
      </c>
      <c r="M116" s="31">
        <v>0.16711458587832886</v>
      </c>
      <c r="N116" s="31">
        <v>0.52259956022477405</v>
      </c>
    </row>
    <row r="117" spans="1:14" x14ac:dyDescent="0.25">
      <c r="J117" s="23" t="s">
        <v>677</v>
      </c>
      <c r="K117" s="67">
        <v>610424.15</v>
      </c>
      <c r="L117" s="67">
        <v>488449.81</v>
      </c>
      <c r="M117" s="67">
        <v>486930.53</v>
      </c>
      <c r="N117" s="67">
        <v>1585804.49</v>
      </c>
    </row>
    <row r="118" spans="1:14" x14ac:dyDescent="0.25">
      <c r="J118" s="23" t="s">
        <v>678</v>
      </c>
      <c r="K118" s="31">
        <v>0.37209870510627902</v>
      </c>
      <c r="L118" s="31">
        <v>0.33251893476667482</v>
      </c>
      <c r="M118" s="31">
        <v>0.29538236012704616</v>
      </c>
      <c r="N118" s="31">
        <v>1</v>
      </c>
    </row>
    <row r="119" spans="1:14" x14ac:dyDescent="0.25">
      <c r="A119" s="21" t="s">
        <v>587</v>
      </c>
      <c r="B119" s="47" t="s">
        <v>512</v>
      </c>
      <c r="C119" s="47"/>
      <c r="D119" s="47"/>
      <c r="E119" s="47"/>
      <c r="F119" s="47"/>
      <c r="G119" s="47"/>
      <c r="H119" s="47"/>
      <c r="I119" s="47"/>
      <c r="J119" s="47"/>
      <c r="K119" s="47"/>
    </row>
    <row r="121" spans="1:14" x14ac:dyDescent="0.25">
      <c r="A121" s="22" t="s">
        <v>561</v>
      </c>
      <c r="B121" t="s">
        <v>563</v>
      </c>
      <c r="C121" t="s">
        <v>564</v>
      </c>
      <c r="D121" t="s">
        <v>679</v>
      </c>
    </row>
    <row r="122" spans="1:14" x14ac:dyDescent="0.25">
      <c r="A122" s="23" t="s">
        <v>93</v>
      </c>
      <c r="B122" s="62">
        <v>56063.029999999984</v>
      </c>
      <c r="C122" s="62">
        <v>129595.34999999999</v>
      </c>
      <c r="D122" s="31">
        <v>0.43260062957505796</v>
      </c>
    </row>
    <row r="123" spans="1:14" x14ac:dyDescent="0.25">
      <c r="A123" s="23" t="s">
        <v>63</v>
      </c>
      <c r="B123" s="62">
        <v>365175.74999999994</v>
      </c>
      <c r="C123" s="62">
        <v>806920.25000000012</v>
      </c>
      <c r="D123" s="31">
        <v>0.45255494579544869</v>
      </c>
    </row>
    <row r="124" spans="1:14" x14ac:dyDescent="0.25">
      <c r="A124" s="23" t="s">
        <v>70</v>
      </c>
      <c r="B124" s="62">
        <v>266254.74999999988</v>
      </c>
      <c r="C124" s="62">
        <v>612809.87999999989</v>
      </c>
      <c r="D124" s="31">
        <v>0.43448181677488606</v>
      </c>
    </row>
    <row r="125" spans="1:14" x14ac:dyDescent="0.25">
      <c r="A125" s="23" t="s">
        <v>57</v>
      </c>
      <c r="B125" s="62">
        <v>16412.579999999994</v>
      </c>
      <c r="C125" s="62">
        <v>36479.009999999987</v>
      </c>
      <c r="D125" s="31">
        <v>0.44991845995820612</v>
      </c>
    </row>
    <row r="126" spans="1:14" x14ac:dyDescent="0.25">
      <c r="A126" s="23" t="s">
        <v>562</v>
      </c>
      <c r="B126" s="62">
        <v>703906.10999999975</v>
      </c>
      <c r="C126" s="62">
        <v>1585804.49</v>
      </c>
      <c r="D126" s="31">
        <v>0.44387950370855611</v>
      </c>
    </row>
    <row r="130" spans="1:19" x14ac:dyDescent="0.25">
      <c r="A130" s="21" t="s">
        <v>590</v>
      </c>
      <c r="B130" s="47" t="s">
        <v>514</v>
      </c>
      <c r="C130" s="47"/>
      <c r="D130" s="47"/>
      <c r="E130" s="47"/>
      <c r="F130" s="47"/>
      <c r="G130" s="47"/>
      <c r="H130" s="47"/>
      <c r="I130" s="47"/>
      <c r="J130" s="47"/>
      <c r="K130" s="47"/>
      <c r="L130" s="47"/>
      <c r="M130" s="47"/>
      <c r="N130" s="47"/>
      <c r="O130" s="47"/>
      <c r="P130" s="47"/>
      <c r="Q130" s="47"/>
      <c r="R130" s="47"/>
      <c r="S130" s="47"/>
    </row>
    <row r="132" spans="1:19" x14ac:dyDescent="0.25">
      <c r="A132" s="22" t="s">
        <v>561</v>
      </c>
      <c r="B132" t="s">
        <v>564</v>
      </c>
      <c r="D132" s="28"/>
    </row>
    <row r="133" spans="1:19" x14ac:dyDescent="0.25">
      <c r="A133" s="23" t="s">
        <v>68</v>
      </c>
      <c r="B133" s="25">
        <v>414213.69</v>
      </c>
      <c r="D133" s="31"/>
    </row>
    <row r="134" spans="1:19" x14ac:dyDescent="0.25">
      <c r="A134" s="23" t="s">
        <v>55</v>
      </c>
      <c r="B134" s="25">
        <v>318109.91000000003</v>
      </c>
      <c r="D134" s="44">
        <f>GETPIVOTDATA("Sum of Revenue",B132,"Region","North")</f>
        <v>318109.91000000003</v>
      </c>
    </row>
    <row r="135" spans="1:19" x14ac:dyDescent="0.25">
      <c r="A135" s="23" t="s">
        <v>98</v>
      </c>
      <c r="B135" s="25">
        <v>429454.21</v>
      </c>
      <c r="D135" s="31"/>
    </row>
    <row r="136" spans="1:19" x14ac:dyDescent="0.25">
      <c r="A136" s="23" t="s">
        <v>74</v>
      </c>
      <c r="B136" s="25">
        <v>424026.67999999993</v>
      </c>
      <c r="D136" s="31"/>
    </row>
    <row r="137" spans="1:19" x14ac:dyDescent="0.25">
      <c r="A137" s="23" t="s">
        <v>562</v>
      </c>
      <c r="B137" s="25">
        <v>1585804.49</v>
      </c>
      <c r="D137" s="31"/>
    </row>
    <row r="142" spans="1:19" x14ac:dyDescent="0.25">
      <c r="A142" s="21" t="s">
        <v>591</v>
      </c>
      <c r="B142" s="21" t="s">
        <v>516</v>
      </c>
      <c r="C142" s="21"/>
      <c r="D142" s="21"/>
      <c r="E142" s="21"/>
      <c r="F142" s="21"/>
      <c r="G142" s="21"/>
      <c r="H142" s="21"/>
      <c r="I142" s="21"/>
      <c r="J142" s="21"/>
      <c r="K142" s="21"/>
      <c r="L142" s="21"/>
    </row>
    <row r="144" spans="1:19" x14ac:dyDescent="0.25">
      <c r="A144" s="22" t="s">
        <v>564</v>
      </c>
      <c r="B144" s="22" t="s">
        <v>595</v>
      </c>
    </row>
    <row r="145" spans="1:5" x14ac:dyDescent="0.25">
      <c r="A145" s="22" t="s">
        <v>561</v>
      </c>
      <c r="B145" t="s">
        <v>592</v>
      </c>
      <c r="C145" t="s">
        <v>593</v>
      </c>
      <c r="D145" t="s">
        <v>594</v>
      </c>
      <c r="E145" t="s">
        <v>562</v>
      </c>
    </row>
    <row r="146" spans="1:5" x14ac:dyDescent="0.25">
      <c r="A146" s="23" t="s">
        <v>569</v>
      </c>
      <c r="B146" s="25">
        <v>19331.3</v>
      </c>
      <c r="C146" s="25">
        <v>69718.790000000008</v>
      </c>
      <c r="D146" s="25">
        <v>54876.12</v>
      </c>
      <c r="E146" s="25">
        <v>143926.21000000002</v>
      </c>
    </row>
    <row r="147" spans="1:5" x14ac:dyDescent="0.25">
      <c r="A147" s="23" t="s">
        <v>570</v>
      </c>
      <c r="B147" s="25">
        <v>109926.51</v>
      </c>
      <c r="C147" s="25">
        <v>136307.13</v>
      </c>
      <c r="D147" s="25">
        <v>106724.45000000001</v>
      </c>
      <c r="E147" s="25">
        <v>352958.09</v>
      </c>
    </row>
    <row r="148" spans="1:5" x14ac:dyDescent="0.25">
      <c r="A148" s="23" t="s">
        <v>571</v>
      </c>
      <c r="B148" s="25">
        <v>148839</v>
      </c>
      <c r="C148" s="25">
        <v>203679.78</v>
      </c>
      <c r="D148" s="25">
        <v>153987.61000000002</v>
      </c>
      <c r="E148" s="25">
        <v>506506.39</v>
      </c>
    </row>
    <row r="149" spans="1:5" x14ac:dyDescent="0.25">
      <c r="A149" s="23" t="s">
        <v>572</v>
      </c>
      <c r="B149" s="25">
        <v>214177.38999999998</v>
      </c>
      <c r="C149" s="25">
        <v>254249.41</v>
      </c>
      <c r="D149" s="25">
        <v>208078.62</v>
      </c>
      <c r="E149" s="25">
        <v>676505.41999999993</v>
      </c>
    </row>
    <row r="150" spans="1:5" x14ac:dyDescent="0.25">
      <c r="A150" s="23" t="s">
        <v>573</v>
      </c>
      <c r="B150" s="25">
        <v>273513.48</v>
      </c>
      <c r="C150" s="25">
        <v>269922.09999999998</v>
      </c>
      <c r="D150" s="25">
        <v>286680.69</v>
      </c>
      <c r="E150" s="25">
        <v>830116.2699999999</v>
      </c>
    </row>
    <row r="151" spans="1:5" x14ac:dyDescent="0.25">
      <c r="A151" s="23" t="s">
        <v>574</v>
      </c>
      <c r="B151" s="25">
        <v>372114.61</v>
      </c>
      <c r="C151" s="25">
        <v>284286.95999999996</v>
      </c>
      <c r="D151" s="25">
        <v>345703.79000000004</v>
      </c>
      <c r="E151" s="25">
        <v>1002105.3599999999</v>
      </c>
    </row>
    <row r="152" spans="1:5" x14ac:dyDescent="0.25">
      <c r="A152" s="23" t="s">
        <v>575</v>
      </c>
      <c r="B152" s="25">
        <v>385634.66</v>
      </c>
      <c r="C152" s="25">
        <v>307451.8</v>
      </c>
      <c r="D152" s="25">
        <v>345703.79000000004</v>
      </c>
      <c r="E152" s="25">
        <v>1038790.2499999999</v>
      </c>
    </row>
    <row r="153" spans="1:5" x14ac:dyDescent="0.25">
      <c r="A153" s="23" t="s">
        <v>576</v>
      </c>
      <c r="B153" s="25">
        <v>481584.77999999997</v>
      </c>
      <c r="C153" s="25">
        <v>353888.87</v>
      </c>
      <c r="D153" s="25">
        <v>345703.79000000004</v>
      </c>
      <c r="E153" s="25">
        <v>1181177.44</v>
      </c>
    </row>
    <row r="154" spans="1:5" x14ac:dyDescent="0.25">
      <c r="A154" s="23" t="s">
        <v>577</v>
      </c>
      <c r="B154" s="25">
        <v>532352.41999999993</v>
      </c>
      <c r="C154" s="25">
        <v>422858.17000000004</v>
      </c>
      <c r="D154" s="25">
        <v>345703.79000000004</v>
      </c>
      <c r="E154" s="25">
        <v>1300914.3799999999</v>
      </c>
    </row>
    <row r="155" spans="1:5" x14ac:dyDescent="0.25">
      <c r="A155" s="23" t="s">
        <v>578</v>
      </c>
      <c r="B155" s="25">
        <v>588290.62999999989</v>
      </c>
      <c r="C155" s="25">
        <v>485120.68000000005</v>
      </c>
      <c r="D155" s="25">
        <v>345703.79000000004</v>
      </c>
      <c r="E155" s="25">
        <v>1419115.0999999999</v>
      </c>
    </row>
    <row r="156" spans="1:5" x14ac:dyDescent="0.25">
      <c r="A156" s="23" t="s">
        <v>579</v>
      </c>
      <c r="B156" s="25">
        <v>630448.30999999994</v>
      </c>
      <c r="C156" s="25">
        <v>546881.76</v>
      </c>
      <c r="D156" s="25">
        <v>345703.79000000004</v>
      </c>
      <c r="E156" s="25">
        <v>1523033.8599999999</v>
      </c>
    </row>
    <row r="157" spans="1:5" x14ac:dyDescent="0.25">
      <c r="A157" s="23" t="s">
        <v>580</v>
      </c>
      <c r="B157" s="25">
        <v>681540.36</v>
      </c>
      <c r="C157" s="25">
        <v>558560.34</v>
      </c>
      <c r="D157" s="25">
        <v>345703.79000000004</v>
      </c>
      <c r="E157" s="25">
        <v>1585804.4899999998</v>
      </c>
    </row>
    <row r="158" spans="1:5" x14ac:dyDescent="0.25">
      <c r="A158" s="23" t="s">
        <v>562</v>
      </c>
      <c r="B158" s="25"/>
      <c r="C158" s="25"/>
      <c r="D158" s="25"/>
      <c r="E158" s="25"/>
    </row>
    <row r="163" spans="1:19" x14ac:dyDescent="0.25">
      <c r="A163" s="21" t="s">
        <v>596</v>
      </c>
      <c r="B163" s="47" t="s">
        <v>518</v>
      </c>
      <c r="C163" s="47"/>
      <c r="D163" s="47"/>
      <c r="E163" s="47"/>
      <c r="F163" s="47"/>
      <c r="G163" s="47"/>
      <c r="H163" s="47"/>
      <c r="I163" s="47"/>
      <c r="J163" s="47"/>
      <c r="K163" s="47"/>
      <c r="L163" s="47"/>
      <c r="M163" s="47"/>
      <c r="N163" s="47"/>
      <c r="O163" s="47"/>
      <c r="P163" s="47"/>
      <c r="Q163" s="47"/>
      <c r="R163" s="21"/>
      <c r="S163" s="21"/>
    </row>
    <row r="173" spans="1:19" x14ac:dyDescent="0.25">
      <c r="A173" s="21" t="s">
        <v>597</v>
      </c>
      <c r="B173" s="47" t="s">
        <v>520</v>
      </c>
      <c r="C173" s="47"/>
      <c r="D173" s="47"/>
      <c r="E173" s="47"/>
      <c r="F173" s="47"/>
      <c r="G173" s="47"/>
      <c r="H173" s="47"/>
      <c r="I173" s="47"/>
      <c r="J173" s="47"/>
      <c r="K173" s="47"/>
      <c r="L173" s="47"/>
      <c r="M173" s="47"/>
      <c r="N173" s="47"/>
      <c r="O173" s="47"/>
    </row>
    <row r="184" spans="1:13" x14ac:dyDescent="0.25">
      <c r="A184" s="21" t="s">
        <v>598</v>
      </c>
      <c r="B184" s="47" t="s">
        <v>525</v>
      </c>
      <c r="C184" s="47"/>
      <c r="D184" s="47"/>
      <c r="E184" s="47"/>
      <c r="F184" s="47"/>
      <c r="G184" s="47"/>
      <c r="H184" s="47"/>
      <c r="I184" s="47"/>
      <c r="J184" s="47"/>
      <c r="K184" s="47"/>
      <c r="L184" s="47"/>
      <c r="M184" s="47"/>
    </row>
    <row r="186" spans="1:13" x14ac:dyDescent="0.25">
      <c r="A186" s="22" t="s">
        <v>561</v>
      </c>
      <c r="B186" t="s">
        <v>564</v>
      </c>
    </row>
    <row r="187" spans="1:13" x14ac:dyDescent="0.25">
      <c r="A187" s="23" t="s">
        <v>93</v>
      </c>
      <c r="B187" s="25">
        <v>129595.34999999998</v>
      </c>
    </row>
    <row r="188" spans="1:13" x14ac:dyDescent="0.25">
      <c r="A188" s="24" t="s">
        <v>68</v>
      </c>
      <c r="B188" s="25">
        <v>33101.75</v>
      </c>
    </row>
    <row r="189" spans="1:13" x14ac:dyDescent="0.25">
      <c r="A189" s="24" t="s">
        <v>55</v>
      </c>
      <c r="B189" s="25">
        <v>32879.64</v>
      </c>
    </row>
    <row r="190" spans="1:13" x14ac:dyDescent="0.25">
      <c r="A190" s="24" t="s">
        <v>98</v>
      </c>
      <c r="B190" s="25">
        <v>40530.30999999999</v>
      </c>
    </row>
    <row r="191" spans="1:13" x14ac:dyDescent="0.25">
      <c r="A191" s="24" t="s">
        <v>74</v>
      </c>
      <c r="B191" s="25">
        <v>23083.65</v>
      </c>
    </row>
    <row r="192" spans="1:13" x14ac:dyDescent="0.25">
      <c r="A192" s="23" t="s">
        <v>63</v>
      </c>
      <c r="B192" s="25">
        <v>806920.25</v>
      </c>
    </row>
    <row r="193" spans="1:2" x14ac:dyDescent="0.25">
      <c r="A193" s="24" t="s">
        <v>68</v>
      </c>
      <c r="B193" s="25">
        <v>173040.69</v>
      </c>
    </row>
    <row r="194" spans="1:2" x14ac:dyDescent="0.25">
      <c r="A194" s="24" t="s">
        <v>55</v>
      </c>
      <c r="B194" s="25">
        <v>158195.5</v>
      </c>
    </row>
    <row r="195" spans="1:2" x14ac:dyDescent="0.25">
      <c r="A195" s="24" t="s">
        <v>98</v>
      </c>
      <c r="B195" s="25">
        <v>256982.95</v>
      </c>
    </row>
    <row r="196" spans="1:2" x14ac:dyDescent="0.25">
      <c r="A196" s="24" t="s">
        <v>74</v>
      </c>
      <c r="B196" s="25">
        <v>218701.11000000002</v>
      </c>
    </row>
    <row r="197" spans="1:2" x14ac:dyDescent="0.25">
      <c r="A197" s="23" t="s">
        <v>70</v>
      </c>
      <c r="B197" s="25">
        <v>612809.87999999989</v>
      </c>
    </row>
    <row r="198" spans="1:2" x14ac:dyDescent="0.25">
      <c r="A198" s="24" t="s">
        <v>68</v>
      </c>
      <c r="B198" s="25">
        <v>204129.25</v>
      </c>
    </row>
    <row r="199" spans="1:2" x14ac:dyDescent="0.25">
      <c r="A199" s="24" t="s">
        <v>55</v>
      </c>
      <c r="B199" s="25">
        <v>115417.89999999998</v>
      </c>
    </row>
    <row r="200" spans="1:2" x14ac:dyDescent="0.25">
      <c r="A200" s="24" t="s">
        <v>98</v>
      </c>
      <c r="B200" s="25">
        <v>120337.7</v>
      </c>
    </row>
    <row r="201" spans="1:2" x14ac:dyDescent="0.25">
      <c r="A201" s="24" t="s">
        <v>74</v>
      </c>
      <c r="B201" s="25">
        <v>172925.02999999997</v>
      </c>
    </row>
    <row r="202" spans="1:2" x14ac:dyDescent="0.25">
      <c r="A202" s="23" t="s">
        <v>57</v>
      </c>
      <c r="B202" s="25">
        <v>36479.009999999995</v>
      </c>
    </row>
    <row r="203" spans="1:2" x14ac:dyDescent="0.25">
      <c r="A203" s="24" t="s">
        <v>68</v>
      </c>
      <c r="B203" s="25">
        <v>3941.9999999999995</v>
      </c>
    </row>
    <row r="204" spans="1:2" x14ac:dyDescent="0.25">
      <c r="A204" s="24" t="s">
        <v>55</v>
      </c>
      <c r="B204" s="25">
        <v>11616.869999999999</v>
      </c>
    </row>
    <row r="205" spans="1:2" x14ac:dyDescent="0.25">
      <c r="A205" s="24" t="s">
        <v>98</v>
      </c>
      <c r="B205" s="25">
        <v>11603.25</v>
      </c>
    </row>
    <row r="206" spans="1:2" x14ac:dyDescent="0.25">
      <c r="A206" s="24" t="s">
        <v>74</v>
      </c>
      <c r="B206" s="25">
        <v>9316.89</v>
      </c>
    </row>
    <row r="207" spans="1:2" x14ac:dyDescent="0.25">
      <c r="A207" s="23" t="s">
        <v>562</v>
      </c>
      <c r="B207" s="25">
        <v>1585804.49</v>
      </c>
    </row>
    <row r="213" spans="1:13" x14ac:dyDescent="0.25">
      <c r="A213" s="21" t="s">
        <v>599</v>
      </c>
      <c r="B213" s="47" t="s">
        <v>527</v>
      </c>
      <c r="C213" s="47"/>
      <c r="D213" s="47"/>
      <c r="E213" s="47"/>
      <c r="F213" s="47"/>
      <c r="G213" s="47"/>
      <c r="H213" s="47"/>
      <c r="I213" s="47"/>
      <c r="J213" s="47"/>
      <c r="K213" s="47"/>
      <c r="L213" s="47"/>
      <c r="M213" s="47"/>
    </row>
    <row r="215" spans="1:13" x14ac:dyDescent="0.25">
      <c r="A215" s="22" t="s">
        <v>561</v>
      </c>
      <c r="B215" t="s">
        <v>564</v>
      </c>
    </row>
    <row r="216" spans="1:13" x14ac:dyDescent="0.25">
      <c r="A216" s="23" t="s">
        <v>593</v>
      </c>
      <c r="B216" s="25"/>
    </row>
    <row r="217" spans="1:13" x14ac:dyDescent="0.25">
      <c r="A217" s="24" t="s">
        <v>569</v>
      </c>
      <c r="B217" s="25">
        <v>69718.790000000008</v>
      </c>
    </row>
    <row r="218" spans="1:13" x14ac:dyDescent="0.25">
      <c r="A218" s="24" t="s">
        <v>570</v>
      </c>
      <c r="B218" s="25">
        <v>66588.340000000011</v>
      </c>
    </row>
    <row r="219" spans="1:13" x14ac:dyDescent="0.25">
      <c r="A219" s="24" t="s">
        <v>571</v>
      </c>
      <c r="B219" s="25">
        <v>67372.649999999994</v>
      </c>
    </row>
    <row r="220" spans="1:13" x14ac:dyDescent="0.25">
      <c r="A220" s="24" t="s">
        <v>572</v>
      </c>
      <c r="B220" s="25">
        <v>50569.630000000005</v>
      </c>
    </row>
    <row r="221" spans="1:13" x14ac:dyDescent="0.25">
      <c r="A221" s="24" t="s">
        <v>573</v>
      </c>
      <c r="B221" s="25">
        <v>15672.689999999999</v>
      </c>
    </row>
    <row r="222" spans="1:13" x14ac:dyDescent="0.25">
      <c r="A222" s="24" t="s">
        <v>574</v>
      </c>
      <c r="B222" s="25">
        <v>14364.86</v>
      </c>
    </row>
    <row r="223" spans="1:13" x14ac:dyDescent="0.25">
      <c r="A223" s="24" t="s">
        <v>575</v>
      </c>
      <c r="B223" s="25">
        <v>23164.84</v>
      </c>
    </row>
    <row r="224" spans="1:13" x14ac:dyDescent="0.25">
      <c r="A224" s="24" t="s">
        <v>576</v>
      </c>
      <c r="B224" s="25">
        <v>46437.07</v>
      </c>
    </row>
    <row r="225" spans="1:17" x14ac:dyDescent="0.25">
      <c r="A225" s="24" t="s">
        <v>577</v>
      </c>
      <c r="B225" s="25">
        <v>68969.3</v>
      </c>
    </row>
    <row r="226" spans="1:17" x14ac:dyDescent="0.25">
      <c r="A226" s="24" t="s">
        <v>578</v>
      </c>
      <c r="B226" s="25">
        <v>62262.509999999995</v>
      </c>
    </row>
    <row r="227" spans="1:17" x14ac:dyDescent="0.25">
      <c r="A227" s="24" t="s">
        <v>579</v>
      </c>
      <c r="B227" s="25">
        <v>61761.079999999994</v>
      </c>
    </row>
    <row r="228" spans="1:17" x14ac:dyDescent="0.25">
      <c r="A228" s="24" t="s">
        <v>580</v>
      </c>
      <c r="B228" s="25">
        <v>11678.58</v>
      </c>
    </row>
    <row r="229" spans="1:17" x14ac:dyDescent="0.25">
      <c r="A229" s="23" t="s">
        <v>594</v>
      </c>
      <c r="B229" s="25"/>
    </row>
    <row r="230" spans="1:17" x14ac:dyDescent="0.25">
      <c r="A230" s="24" t="s">
        <v>569</v>
      </c>
      <c r="B230" s="25">
        <v>54876.119999999988</v>
      </c>
    </row>
    <row r="231" spans="1:17" x14ac:dyDescent="0.25">
      <c r="A231" s="24" t="s">
        <v>570</v>
      </c>
      <c r="B231" s="25">
        <v>51848.33</v>
      </c>
    </row>
    <row r="232" spans="1:17" x14ac:dyDescent="0.25">
      <c r="A232" s="24" t="s">
        <v>571</v>
      </c>
      <c r="B232" s="25">
        <v>47263.16</v>
      </c>
    </row>
    <row r="233" spans="1:17" x14ac:dyDescent="0.25">
      <c r="A233" s="24" t="s">
        <v>572</v>
      </c>
      <c r="B233" s="25">
        <v>54091.009999999987</v>
      </c>
    </row>
    <row r="234" spans="1:17" x14ac:dyDescent="0.25">
      <c r="A234" s="24" t="s">
        <v>573</v>
      </c>
      <c r="B234" s="25">
        <v>78602.069999999992</v>
      </c>
    </row>
    <row r="235" spans="1:17" x14ac:dyDescent="0.25">
      <c r="A235" s="24" t="s">
        <v>574</v>
      </c>
      <c r="B235" s="25">
        <v>59023.100000000006</v>
      </c>
    </row>
    <row r="236" spans="1:17" x14ac:dyDescent="0.25">
      <c r="A236" s="23" t="s">
        <v>562</v>
      </c>
      <c r="B236" s="25">
        <v>904264.12999999989</v>
      </c>
    </row>
    <row r="240" spans="1:17" x14ac:dyDescent="0.25">
      <c r="A240" s="21" t="s">
        <v>600</v>
      </c>
      <c r="B240" s="47" t="s">
        <v>529</v>
      </c>
      <c r="C240" s="47"/>
      <c r="D240" s="47"/>
      <c r="E240" s="47"/>
      <c r="F240" s="47"/>
      <c r="G240" s="47"/>
      <c r="H240" s="47"/>
      <c r="I240" s="47"/>
      <c r="J240" s="47"/>
      <c r="K240" s="47"/>
      <c r="L240" s="47"/>
      <c r="M240" s="47"/>
      <c r="N240" s="47"/>
      <c r="O240" s="47"/>
      <c r="P240" s="47"/>
      <c r="Q240" s="47"/>
    </row>
    <row r="242" spans="1:18" x14ac:dyDescent="0.25">
      <c r="A242" s="22" t="s">
        <v>561</v>
      </c>
      <c r="B242" t="s">
        <v>564</v>
      </c>
    </row>
    <row r="243" spans="1:18" x14ac:dyDescent="0.25">
      <c r="A243" s="23" t="s">
        <v>68</v>
      </c>
      <c r="B243" s="25">
        <v>414213.69</v>
      </c>
    </row>
    <row r="244" spans="1:18" x14ac:dyDescent="0.25">
      <c r="A244" s="23" t="s">
        <v>55</v>
      </c>
      <c r="B244" s="25">
        <v>318109.91000000003</v>
      </c>
    </row>
    <row r="245" spans="1:18" x14ac:dyDescent="0.25">
      <c r="A245" s="23" t="s">
        <v>98</v>
      </c>
      <c r="B245" s="25">
        <v>429454.21</v>
      </c>
    </row>
    <row r="246" spans="1:18" x14ac:dyDescent="0.25">
      <c r="A246" s="23" t="s">
        <v>74</v>
      </c>
      <c r="B246" s="25">
        <v>424026.67999999993</v>
      </c>
    </row>
    <row r="247" spans="1:18" x14ac:dyDescent="0.25">
      <c r="A247" s="23" t="s">
        <v>562</v>
      </c>
      <c r="B247" s="25">
        <v>1585804.49</v>
      </c>
    </row>
    <row r="249" spans="1:18" x14ac:dyDescent="0.25">
      <c r="A249" s="21" t="s">
        <v>601</v>
      </c>
      <c r="B249" s="47" t="s">
        <v>532</v>
      </c>
      <c r="C249" s="47"/>
      <c r="D249" s="47"/>
      <c r="E249" s="47"/>
      <c r="F249" s="47"/>
      <c r="G249" s="47"/>
      <c r="H249" s="47"/>
      <c r="I249" s="47"/>
      <c r="J249" s="47"/>
      <c r="K249" s="47"/>
      <c r="L249" s="47"/>
      <c r="M249" s="47"/>
      <c r="N249" s="47"/>
      <c r="O249" s="47"/>
      <c r="P249" s="47"/>
      <c r="Q249" s="47"/>
    </row>
    <row r="251" spans="1:18" x14ac:dyDescent="0.25">
      <c r="B251">
        <f>CORREL(MetricsData[DigitalAdSpend],MetricsData[Revenue])</f>
        <v>0.94409572543394871</v>
      </c>
    </row>
    <row r="255" spans="1:18" x14ac:dyDescent="0.25">
      <c r="A255" s="21" t="s">
        <v>602</v>
      </c>
      <c r="B255" s="47" t="s">
        <v>535</v>
      </c>
      <c r="C255" s="47"/>
      <c r="D255" s="47"/>
      <c r="E255" s="47"/>
      <c r="F255" s="47"/>
      <c r="G255" s="47"/>
      <c r="H255" s="47"/>
      <c r="I255" s="47"/>
      <c r="J255" s="47"/>
      <c r="K255" s="47"/>
      <c r="L255" s="47"/>
      <c r="M255" s="47"/>
      <c r="N255" s="47"/>
      <c r="O255" s="47"/>
      <c r="P255" s="47"/>
      <c r="Q255" s="47"/>
      <c r="R255" s="47"/>
    </row>
    <row r="257" spans="1:19" x14ac:dyDescent="0.25">
      <c r="A257" s="36"/>
      <c r="B257" s="36" t="s">
        <v>418</v>
      </c>
      <c r="C257" s="36" t="s">
        <v>419</v>
      </c>
      <c r="D257" s="36" t="s">
        <v>420</v>
      </c>
      <c r="E257" s="36" t="s">
        <v>421</v>
      </c>
      <c r="F257" s="36" t="s">
        <v>422</v>
      </c>
      <c r="G257" s="36" t="s">
        <v>423</v>
      </c>
      <c r="H257" s="36" t="s">
        <v>424</v>
      </c>
      <c r="I257" s="36" t="s">
        <v>49</v>
      </c>
    </row>
    <row r="258" spans="1:19" x14ac:dyDescent="0.25">
      <c r="A258" s="37" t="s">
        <v>418</v>
      </c>
      <c r="B258" s="37">
        <v>1</v>
      </c>
      <c r="C258" s="37"/>
      <c r="D258" s="37"/>
      <c r="E258" s="37"/>
      <c r="F258" s="37"/>
      <c r="G258" s="37"/>
      <c r="H258" s="37"/>
      <c r="I258" s="37"/>
    </row>
    <row r="259" spans="1:19" x14ac:dyDescent="0.25">
      <c r="A259" s="37" t="s">
        <v>419</v>
      </c>
      <c r="B259" s="37">
        <v>0.86385225395663379</v>
      </c>
      <c r="C259" s="37">
        <v>1</v>
      </c>
      <c r="D259" s="37"/>
      <c r="E259" s="37"/>
      <c r="F259" s="37"/>
      <c r="G259" s="37"/>
      <c r="H259" s="37"/>
      <c r="I259" s="37"/>
    </row>
    <row r="260" spans="1:19" x14ac:dyDescent="0.25">
      <c r="A260" s="37" t="s">
        <v>420</v>
      </c>
      <c r="B260" s="37">
        <v>0.95728170141930313</v>
      </c>
      <c r="C260" s="37">
        <v>0.86717483999546874</v>
      </c>
      <c r="D260" s="37">
        <v>1</v>
      </c>
      <c r="E260" s="37"/>
      <c r="F260" s="37"/>
      <c r="G260" s="37"/>
      <c r="H260" s="37"/>
      <c r="I260" s="37"/>
    </row>
    <row r="261" spans="1:19" x14ac:dyDescent="0.25">
      <c r="A261" s="37" t="s">
        <v>421</v>
      </c>
      <c r="B261" s="37">
        <v>0.92147368007087083</v>
      </c>
      <c r="C261" s="37">
        <v>0.80358196641362456</v>
      </c>
      <c r="D261" s="37">
        <v>0.9333281860080701</v>
      </c>
      <c r="E261" s="37">
        <v>1</v>
      </c>
      <c r="F261" s="37"/>
      <c r="G261" s="37"/>
      <c r="H261" s="37"/>
      <c r="I261" s="37"/>
    </row>
    <row r="262" spans="1:19" x14ac:dyDescent="0.25">
      <c r="A262" s="37" t="s">
        <v>422</v>
      </c>
      <c r="B262" s="37">
        <v>0.95371421831574665</v>
      </c>
      <c r="C262" s="37">
        <v>0.84496538241161767</v>
      </c>
      <c r="D262" s="37">
        <v>0.9374130967834331</v>
      </c>
      <c r="E262" s="37">
        <v>0.88799246703086299</v>
      </c>
      <c r="F262" s="37">
        <v>1</v>
      </c>
      <c r="G262" s="37"/>
      <c r="H262" s="37"/>
      <c r="I262" s="37"/>
    </row>
    <row r="263" spans="1:19" x14ac:dyDescent="0.25">
      <c r="A263" s="37" t="s">
        <v>423</v>
      </c>
      <c r="B263" s="37">
        <v>0.94960903587995082</v>
      </c>
      <c r="C263" s="37">
        <v>0.84456099457845202</v>
      </c>
      <c r="D263" s="37">
        <v>0.92943209032683805</v>
      </c>
      <c r="E263" s="37">
        <v>0.88000268446230734</v>
      </c>
      <c r="F263" s="37">
        <v>0.99721636363516175</v>
      </c>
      <c r="G263" s="37">
        <v>1</v>
      </c>
      <c r="H263" s="37"/>
      <c r="I263" s="37"/>
    </row>
    <row r="264" spans="1:19" x14ac:dyDescent="0.25">
      <c r="A264" s="37" t="s">
        <v>424</v>
      </c>
      <c r="B264" s="37">
        <v>0.94380830110391922</v>
      </c>
      <c r="C264" s="37">
        <v>0.84062776775288239</v>
      </c>
      <c r="D264" s="37">
        <v>0.92939857386609237</v>
      </c>
      <c r="E264" s="37">
        <v>0.88635150348208913</v>
      </c>
      <c r="F264" s="37">
        <v>0.99469448851559561</v>
      </c>
      <c r="G264" s="37">
        <v>0.99664822266817321</v>
      </c>
      <c r="H264" s="37">
        <v>1</v>
      </c>
      <c r="I264" s="37"/>
    </row>
    <row r="265" spans="1:19" x14ac:dyDescent="0.25">
      <c r="A265" s="37" t="s">
        <v>49</v>
      </c>
      <c r="B265" s="37">
        <v>0.94409572543394871</v>
      </c>
      <c r="C265" s="37">
        <v>0.84086446249735558</v>
      </c>
      <c r="D265" s="37">
        <v>0.92935358209014685</v>
      </c>
      <c r="E265" s="37">
        <v>0.88573972367351606</v>
      </c>
      <c r="F265" s="37">
        <v>0.99483729957754019</v>
      </c>
      <c r="G265" s="37">
        <v>0.99666504600400307</v>
      </c>
      <c r="H265" s="37">
        <v>0.99988100287899651</v>
      </c>
      <c r="I265" s="37">
        <v>1</v>
      </c>
    </row>
    <row r="269" spans="1:19" x14ac:dyDescent="0.25">
      <c r="A269" s="21" t="s">
        <v>603</v>
      </c>
      <c r="B269" s="47" t="s">
        <v>538</v>
      </c>
      <c r="C269" s="47"/>
      <c r="D269" s="47"/>
      <c r="E269" s="47"/>
      <c r="F269" s="47"/>
      <c r="G269" s="47"/>
      <c r="H269" s="47"/>
      <c r="I269" s="47"/>
      <c r="J269" s="47"/>
      <c r="K269" s="47"/>
      <c r="L269" s="47"/>
      <c r="M269" s="47"/>
      <c r="N269" s="47"/>
      <c r="O269" s="47"/>
      <c r="P269" s="47"/>
      <c r="Q269" s="47"/>
      <c r="R269" s="47"/>
      <c r="S269" s="47"/>
    </row>
    <row r="270" spans="1:19" ht="15.75" thickBot="1" x14ac:dyDescent="0.3"/>
    <row r="271" spans="1:19" x14ac:dyDescent="0.25">
      <c r="A271" s="35" t="s">
        <v>418</v>
      </c>
      <c r="B271" s="35"/>
      <c r="C271" s="35" t="s">
        <v>419</v>
      </c>
      <c r="D271" s="35"/>
      <c r="E271" s="35" t="s">
        <v>420</v>
      </c>
      <c r="F271" s="35"/>
      <c r="G271" s="35" t="s">
        <v>421</v>
      </c>
      <c r="H271" s="35"/>
      <c r="I271" s="35" t="s">
        <v>422</v>
      </c>
      <c r="J271" s="35"/>
      <c r="K271" s="35" t="s">
        <v>423</v>
      </c>
      <c r="L271" s="35"/>
      <c r="M271" s="35" t="s">
        <v>424</v>
      </c>
      <c r="N271" s="35"/>
      <c r="O271" s="35" t="s">
        <v>49</v>
      </c>
      <c r="P271" s="35"/>
    </row>
    <row r="273" spans="1:16" x14ac:dyDescent="0.25">
      <c r="A273" t="s">
        <v>604</v>
      </c>
      <c r="B273">
        <v>18261.305555555555</v>
      </c>
      <c r="C273" t="s">
        <v>604</v>
      </c>
      <c r="D273">
        <v>21641.805555555555</v>
      </c>
      <c r="E273" t="s">
        <v>604</v>
      </c>
      <c r="F273">
        <v>11461.027777777777</v>
      </c>
      <c r="G273" t="s">
        <v>604</v>
      </c>
      <c r="H273">
        <v>14.777777777777779</v>
      </c>
      <c r="I273" t="s">
        <v>604</v>
      </c>
      <c r="J273">
        <v>116226.11111111111</v>
      </c>
      <c r="K273" t="s">
        <v>604</v>
      </c>
      <c r="L273">
        <v>4060.3888888888887</v>
      </c>
      <c r="M273" t="s">
        <v>604</v>
      </c>
      <c r="N273">
        <v>893.66666666666663</v>
      </c>
      <c r="O273" s="38" t="s">
        <v>604</v>
      </c>
      <c r="P273" s="38">
        <v>1655713.6666666667</v>
      </c>
    </row>
    <row r="274" spans="1:16" x14ac:dyDescent="0.25">
      <c r="A274" t="s">
        <v>605</v>
      </c>
      <c r="B274">
        <v>624.74035218634003</v>
      </c>
      <c r="C274" t="s">
        <v>605</v>
      </c>
      <c r="D274">
        <v>398.54280369876318</v>
      </c>
      <c r="E274" t="s">
        <v>605</v>
      </c>
      <c r="F274">
        <v>488.24790653101883</v>
      </c>
      <c r="G274" t="s">
        <v>605</v>
      </c>
      <c r="H274">
        <v>0.79293618621832518</v>
      </c>
      <c r="I274" t="s">
        <v>605</v>
      </c>
      <c r="J274">
        <v>2238.7350686456321</v>
      </c>
      <c r="K274" t="s">
        <v>605</v>
      </c>
      <c r="L274">
        <v>77.330883353820596</v>
      </c>
      <c r="M274" t="s">
        <v>605</v>
      </c>
      <c r="N274">
        <v>16.998786137802021</v>
      </c>
      <c r="O274" s="38" t="s">
        <v>605</v>
      </c>
      <c r="P274" s="38">
        <v>31530.944471655192</v>
      </c>
    </row>
    <row r="275" spans="1:16" x14ac:dyDescent="0.25">
      <c r="A275" t="s">
        <v>606</v>
      </c>
      <c r="B275">
        <v>17749.5</v>
      </c>
      <c r="C275" t="s">
        <v>606</v>
      </c>
      <c r="D275">
        <v>21693.5</v>
      </c>
      <c r="E275" t="s">
        <v>606</v>
      </c>
      <c r="F275">
        <v>11539</v>
      </c>
      <c r="G275" t="s">
        <v>606</v>
      </c>
      <c r="H275">
        <v>14.5</v>
      </c>
      <c r="I275" t="s">
        <v>606</v>
      </c>
      <c r="J275">
        <v>113616</v>
      </c>
      <c r="K275" t="s">
        <v>606</v>
      </c>
      <c r="L275">
        <v>3968.5</v>
      </c>
      <c r="M275" t="s">
        <v>606</v>
      </c>
      <c r="N275">
        <v>883</v>
      </c>
      <c r="O275" s="38" t="s">
        <v>606</v>
      </c>
      <c r="P275" s="38">
        <v>1637040</v>
      </c>
    </row>
    <row r="276" spans="1:16" x14ac:dyDescent="0.25">
      <c r="A276" t="s">
        <v>607</v>
      </c>
      <c r="B276">
        <v>17520</v>
      </c>
      <c r="C276" t="s">
        <v>607</v>
      </c>
      <c r="D276" t="e">
        <v>#N/A</v>
      </c>
      <c r="E276" t="s">
        <v>607</v>
      </c>
      <c r="F276" t="e">
        <v>#N/A</v>
      </c>
      <c r="G276" t="s">
        <v>607</v>
      </c>
      <c r="H276">
        <v>19</v>
      </c>
      <c r="I276" t="s">
        <v>607</v>
      </c>
      <c r="J276" t="e">
        <v>#N/A</v>
      </c>
      <c r="K276" t="s">
        <v>607</v>
      </c>
      <c r="L276">
        <v>3570</v>
      </c>
      <c r="M276" t="s">
        <v>607</v>
      </c>
      <c r="N276" t="e">
        <v>#N/A</v>
      </c>
      <c r="O276" t="s">
        <v>607</v>
      </c>
      <c r="P276" t="e">
        <v>#N/A</v>
      </c>
    </row>
    <row r="277" spans="1:16" x14ac:dyDescent="0.25">
      <c r="A277" t="s">
        <v>608</v>
      </c>
      <c r="B277">
        <v>3748.4421131180402</v>
      </c>
      <c r="C277" t="s">
        <v>608</v>
      </c>
      <c r="D277">
        <v>2391.256822192579</v>
      </c>
      <c r="E277" t="s">
        <v>608</v>
      </c>
      <c r="F277">
        <v>2929.4874391861131</v>
      </c>
      <c r="G277" t="s">
        <v>608</v>
      </c>
      <c r="H277">
        <v>4.7576171173099508</v>
      </c>
      <c r="I277" t="s">
        <v>608</v>
      </c>
      <c r="J277">
        <v>13432.410411873792</v>
      </c>
      <c r="K277" t="s">
        <v>608</v>
      </c>
      <c r="L277">
        <v>463.9853001229236</v>
      </c>
      <c r="M277" t="s">
        <v>608</v>
      </c>
      <c r="N277">
        <v>101.99271682681213</v>
      </c>
      <c r="O277" t="s">
        <v>608</v>
      </c>
      <c r="P277">
        <v>189185.66682993114</v>
      </c>
    </row>
    <row r="278" spans="1:16" x14ac:dyDescent="0.25">
      <c r="A278" t="s">
        <v>609</v>
      </c>
      <c r="B278">
        <v>14050818.275396837</v>
      </c>
      <c r="C278" t="s">
        <v>609</v>
      </c>
      <c r="D278">
        <v>5718109.1896825517</v>
      </c>
      <c r="E278" t="s">
        <v>609</v>
      </c>
      <c r="F278">
        <v>8581896.6563492101</v>
      </c>
      <c r="G278" t="s">
        <v>609</v>
      </c>
      <c r="H278">
        <v>22.634920634920647</v>
      </c>
      <c r="I278" t="s">
        <v>609</v>
      </c>
      <c r="J278">
        <v>180429649.47301549</v>
      </c>
      <c r="K278" t="s">
        <v>609</v>
      </c>
      <c r="L278">
        <v>215282.3587301595</v>
      </c>
      <c r="M278" t="s">
        <v>609</v>
      </c>
      <c r="N278">
        <v>10402.514285714286</v>
      </c>
      <c r="O278" t="s">
        <v>609</v>
      </c>
      <c r="P278">
        <v>35791216533.885712</v>
      </c>
    </row>
    <row r="279" spans="1:16" x14ac:dyDescent="0.25">
      <c r="A279" t="s">
        <v>610</v>
      </c>
      <c r="B279">
        <v>-0.88267486108419924</v>
      </c>
      <c r="C279" t="s">
        <v>610</v>
      </c>
      <c r="D279">
        <v>-0.88722249065066006</v>
      </c>
      <c r="E279" t="s">
        <v>610</v>
      </c>
      <c r="F279">
        <v>-1.1659212355429647</v>
      </c>
      <c r="G279" t="s">
        <v>610</v>
      </c>
      <c r="H279">
        <v>-0.77328814579640825</v>
      </c>
      <c r="I279" t="s">
        <v>610</v>
      </c>
      <c r="J279">
        <v>-1.2905576274596506</v>
      </c>
      <c r="K279" t="s">
        <v>610</v>
      </c>
      <c r="L279">
        <v>-1.3637696689548591</v>
      </c>
      <c r="M279" t="s">
        <v>610</v>
      </c>
      <c r="N279">
        <v>-1.2468617056493358</v>
      </c>
      <c r="O279" t="s">
        <v>610</v>
      </c>
      <c r="P279">
        <v>-1.2440881026151818</v>
      </c>
    </row>
    <row r="280" spans="1:16" x14ac:dyDescent="0.25">
      <c r="A280" t="s">
        <v>611</v>
      </c>
      <c r="B280">
        <v>-5.1594597658711126E-2</v>
      </c>
      <c r="C280" t="s">
        <v>611</v>
      </c>
      <c r="D280">
        <v>-0.19529335687430877</v>
      </c>
      <c r="E280" t="s">
        <v>611</v>
      </c>
      <c r="F280">
        <v>-3.4318121989858216E-2</v>
      </c>
      <c r="G280" t="s">
        <v>611</v>
      </c>
      <c r="H280">
        <v>9.0609759756847222E-2</v>
      </c>
      <c r="I280" t="s">
        <v>611</v>
      </c>
      <c r="J280">
        <v>2.8949074764023166E-2</v>
      </c>
      <c r="K280" t="s">
        <v>611</v>
      </c>
      <c r="L280">
        <v>4.4438262196895464E-2</v>
      </c>
      <c r="M280" t="s">
        <v>611</v>
      </c>
      <c r="N280">
        <v>-5.8377542342057165E-2</v>
      </c>
      <c r="O280" s="38" t="s">
        <v>611</v>
      </c>
      <c r="P280" s="38">
        <v>-7.4427729324885825E-2</v>
      </c>
    </row>
    <row r="281" spans="1:16" x14ac:dyDescent="0.25">
      <c r="A281" t="s">
        <v>612</v>
      </c>
      <c r="B281">
        <v>13896</v>
      </c>
      <c r="C281" t="s">
        <v>612</v>
      </c>
      <c r="D281">
        <v>8229</v>
      </c>
      <c r="E281" t="s">
        <v>612</v>
      </c>
      <c r="F281">
        <v>9670</v>
      </c>
      <c r="G281" t="s">
        <v>612</v>
      </c>
      <c r="H281">
        <v>19</v>
      </c>
      <c r="I281" t="s">
        <v>612</v>
      </c>
      <c r="J281">
        <v>48339</v>
      </c>
      <c r="K281" t="s">
        <v>612</v>
      </c>
      <c r="L281">
        <v>1640</v>
      </c>
      <c r="M281" t="s">
        <v>612</v>
      </c>
      <c r="N281">
        <v>370</v>
      </c>
      <c r="O281" t="s">
        <v>612</v>
      </c>
      <c r="P281">
        <v>684238</v>
      </c>
    </row>
    <row r="282" spans="1:16" x14ac:dyDescent="0.25">
      <c r="A282" t="s">
        <v>613</v>
      </c>
      <c r="B282">
        <v>11131</v>
      </c>
      <c r="C282" t="s">
        <v>613</v>
      </c>
      <c r="D282">
        <v>17027</v>
      </c>
      <c r="E282" t="s">
        <v>613</v>
      </c>
      <c r="F282">
        <v>6441</v>
      </c>
      <c r="G282" t="s">
        <v>613</v>
      </c>
      <c r="H282">
        <v>6</v>
      </c>
      <c r="I282" t="s">
        <v>613</v>
      </c>
      <c r="J282">
        <v>89428</v>
      </c>
      <c r="K282" t="s">
        <v>613</v>
      </c>
      <c r="L282">
        <v>3196</v>
      </c>
      <c r="M282" t="s">
        <v>613</v>
      </c>
      <c r="N282">
        <v>684</v>
      </c>
      <c r="O282" t="s">
        <v>613</v>
      </c>
      <c r="P282">
        <v>1265997</v>
      </c>
    </row>
    <row r="283" spans="1:16" x14ac:dyDescent="0.25">
      <c r="A283" t="s">
        <v>614</v>
      </c>
      <c r="B283">
        <v>25027</v>
      </c>
      <c r="C283" t="s">
        <v>614</v>
      </c>
      <c r="D283">
        <v>25256</v>
      </c>
      <c r="E283" t="s">
        <v>614</v>
      </c>
      <c r="F283">
        <v>16111</v>
      </c>
      <c r="G283" t="s">
        <v>614</v>
      </c>
      <c r="H283">
        <v>25</v>
      </c>
      <c r="I283" t="s">
        <v>614</v>
      </c>
      <c r="J283">
        <v>137767</v>
      </c>
      <c r="K283" t="s">
        <v>614</v>
      </c>
      <c r="L283">
        <v>4836</v>
      </c>
      <c r="M283" t="s">
        <v>614</v>
      </c>
      <c r="N283">
        <v>1054</v>
      </c>
      <c r="O283" t="s">
        <v>614</v>
      </c>
      <c r="P283">
        <v>1950235</v>
      </c>
    </row>
    <row r="284" spans="1:16" x14ac:dyDescent="0.25">
      <c r="A284" t="s">
        <v>615</v>
      </c>
      <c r="B284">
        <v>657407</v>
      </c>
      <c r="C284" t="s">
        <v>615</v>
      </c>
      <c r="D284">
        <v>779105</v>
      </c>
      <c r="E284" t="s">
        <v>615</v>
      </c>
      <c r="F284">
        <v>412597</v>
      </c>
      <c r="G284" t="s">
        <v>615</v>
      </c>
      <c r="H284">
        <v>532</v>
      </c>
      <c r="I284" t="s">
        <v>615</v>
      </c>
      <c r="J284">
        <v>4184140</v>
      </c>
      <c r="K284" t="s">
        <v>615</v>
      </c>
      <c r="L284">
        <v>146174</v>
      </c>
      <c r="M284" t="s">
        <v>615</v>
      </c>
      <c r="N284">
        <v>32172</v>
      </c>
      <c r="O284" t="s">
        <v>615</v>
      </c>
      <c r="P284">
        <v>59605692</v>
      </c>
    </row>
    <row r="285" spans="1:16" ht="15.75" thickBot="1" x14ac:dyDescent="0.3">
      <c r="A285" s="34" t="s">
        <v>616</v>
      </c>
      <c r="B285" s="34">
        <v>36</v>
      </c>
      <c r="C285" s="34" t="s">
        <v>616</v>
      </c>
      <c r="D285" s="34">
        <v>36</v>
      </c>
      <c r="E285" s="34" t="s">
        <v>616</v>
      </c>
      <c r="F285" s="34">
        <v>36</v>
      </c>
      <c r="G285" s="34" t="s">
        <v>616</v>
      </c>
      <c r="H285" s="34">
        <v>36</v>
      </c>
      <c r="I285" s="34" t="s">
        <v>616</v>
      </c>
      <c r="J285" s="34">
        <v>36</v>
      </c>
      <c r="K285" s="34" t="s">
        <v>616</v>
      </c>
      <c r="L285" s="34">
        <v>36</v>
      </c>
      <c r="M285" s="34" t="s">
        <v>616</v>
      </c>
      <c r="N285" s="34">
        <v>36</v>
      </c>
      <c r="O285" s="34" t="s">
        <v>616</v>
      </c>
      <c r="P285" s="34">
        <v>36</v>
      </c>
    </row>
    <row r="290" spans="1:17" x14ac:dyDescent="0.25">
      <c r="A290" s="21" t="s">
        <v>617</v>
      </c>
      <c r="B290" s="47" t="s">
        <v>618</v>
      </c>
      <c r="C290" s="47"/>
      <c r="D290" s="47"/>
      <c r="E290" s="47"/>
      <c r="F290" s="47"/>
      <c r="G290" s="47"/>
      <c r="H290" s="47"/>
      <c r="I290" s="47"/>
      <c r="J290" s="47"/>
      <c r="K290" s="47"/>
      <c r="L290" s="47"/>
      <c r="M290" s="47"/>
      <c r="N290" s="47"/>
      <c r="O290" s="47"/>
      <c r="P290" s="47"/>
      <c r="Q290" s="47"/>
    </row>
    <row r="291" spans="1:17" x14ac:dyDescent="0.25">
      <c r="B291" s="47" t="s">
        <v>619</v>
      </c>
      <c r="C291" s="47"/>
      <c r="D291" s="47"/>
      <c r="E291" s="47"/>
      <c r="F291" s="47"/>
      <c r="G291" s="47"/>
      <c r="H291" s="47"/>
    </row>
    <row r="293" spans="1:17" x14ac:dyDescent="0.25">
      <c r="A293" t="s">
        <v>620</v>
      </c>
    </row>
    <row r="295" spans="1:17" x14ac:dyDescent="0.25">
      <c r="A295" s="40" t="s">
        <v>621</v>
      </c>
      <c r="B295" s="40"/>
    </row>
    <row r="296" spans="1:17" x14ac:dyDescent="0.25">
      <c r="A296" s="39" t="s">
        <v>622</v>
      </c>
      <c r="B296" s="39">
        <v>0.94861370304591064</v>
      </c>
    </row>
    <row r="297" spans="1:17" x14ac:dyDescent="0.25">
      <c r="A297" s="39" t="s">
        <v>623</v>
      </c>
      <c r="B297" s="39">
        <v>0.8998679576064752</v>
      </c>
    </row>
    <row r="298" spans="1:17" x14ac:dyDescent="0.25">
      <c r="A298" s="39" t="s">
        <v>624</v>
      </c>
      <c r="B298" s="39">
        <v>0.8904805786320823</v>
      </c>
    </row>
    <row r="299" spans="1:17" x14ac:dyDescent="0.25">
      <c r="A299" s="39" t="s">
        <v>605</v>
      </c>
      <c r="B299" s="39">
        <v>62608.572295213839</v>
      </c>
    </row>
    <row r="300" spans="1:17" x14ac:dyDescent="0.25">
      <c r="A300" s="39" t="s">
        <v>625</v>
      </c>
      <c r="B300" s="39">
        <v>36</v>
      </c>
    </row>
    <row r="302" spans="1:17" x14ac:dyDescent="0.25">
      <c r="A302" t="s">
        <v>626</v>
      </c>
    </row>
    <row r="303" spans="1:17" x14ac:dyDescent="0.25">
      <c r="A303" s="36"/>
      <c r="B303" s="36" t="s">
        <v>631</v>
      </c>
      <c r="C303" s="36" t="s">
        <v>632</v>
      </c>
      <c r="D303" s="36" t="s">
        <v>633</v>
      </c>
      <c r="E303" s="36" t="s">
        <v>634</v>
      </c>
      <c r="F303" s="36" t="s">
        <v>635</v>
      </c>
    </row>
    <row r="304" spans="1:17" x14ac:dyDescent="0.25">
      <c r="A304" s="37" t="s">
        <v>627</v>
      </c>
      <c r="B304" s="37">
        <v>3</v>
      </c>
      <c r="C304" s="37">
        <v>1127257912290.9597</v>
      </c>
      <c r="D304" s="37">
        <v>375752637430.31989</v>
      </c>
      <c r="E304" s="37">
        <v>95.859340510396919</v>
      </c>
      <c r="F304" s="37">
        <v>4.4891064996969119E-16</v>
      </c>
    </row>
    <row r="305" spans="1:16" x14ac:dyDescent="0.25">
      <c r="A305" s="37" t="s">
        <v>628</v>
      </c>
      <c r="B305" s="37">
        <v>32</v>
      </c>
      <c r="C305" s="37">
        <v>125434666395.04057</v>
      </c>
      <c r="D305" s="37">
        <v>3919833324.8450179</v>
      </c>
      <c r="E305" s="37"/>
      <c r="F305" s="37"/>
    </row>
    <row r="306" spans="1:16" x14ac:dyDescent="0.25">
      <c r="A306" s="37" t="s">
        <v>629</v>
      </c>
      <c r="B306" s="37">
        <v>35</v>
      </c>
      <c r="C306" s="37">
        <v>1252692578686.0002</v>
      </c>
      <c r="D306" s="37"/>
      <c r="E306" s="37"/>
      <c r="F306" s="37"/>
    </row>
    <row r="308" spans="1:16" x14ac:dyDescent="0.25">
      <c r="A308" s="36"/>
      <c r="B308" s="36" t="s">
        <v>636</v>
      </c>
      <c r="C308" s="36" t="s">
        <v>605</v>
      </c>
      <c r="D308" s="36" t="s">
        <v>637</v>
      </c>
      <c r="E308" s="36" t="s">
        <v>638</v>
      </c>
      <c r="F308" s="36" t="s">
        <v>639</v>
      </c>
      <c r="G308" s="36" t="s">
        <v>640</v>
      </c>
      <c r="H308" s="36" t="s">
        <v>641</v>
      </c>
      <c r="I308" s="36" t="s">
        <v>642</v>
      </c>
    </row>
    <row r="309" spans="1:16" x14ac:dyDescent="0.25">
      <c r="A309" s="37" t="s">
        <v>630</v>
      </c>
      <c r="B309" s="37">
        <v>774505.78175836883</v>
      </c>
      <c r="C309" s="37">
        <v>128292.82647204022</v>
      </c>
      <c r="D309" s="37">
        <v>6.0370154985022682</v>
      </c>
      <c r="E309" s="37">
        <v>9.7519833368245909E-7</v>
      </c>
      <c r="F309" s="37">
        <v>513181.84579072939</v>
      </c>
      <c r="G309" s="37">
        <v>1035829.7177260083</v>
      </c>
      <c r="H309" s="37">
        <v>513181.84579072939</v>
      </c>
      <c r="I309" s="37">
        <v>1035829.7177260083</v>
      </c>
    </row>
    <row r="310" spans="1:16" x14ac:dyDescent="0.25">
      <c r="A310" s="37" t="s">
        <v>418</v>
      </c>
      <c r="B310" s="37">
        <v>31.734643728105851</v>
      </c>
      <c r="C310" s="37">
        <v>10.042973094248218</v>
      </c>
      <c r="D310" s="37">
        <v>3.1598853676388741</v>
      </c>
      <c r="E310" s="37">
        <v>3.4387263211358592E-3</v>
      </c>
      <c r="F310" s="37">
        <v>11.277776964958992</v>
      </c>
      <c r="G310" s="37">
        <v>52.191510491252714</v>
      </c>
      <c r="H310" s="37">
        <v>11.277776964958992</v>
      </c>
      <c r="I310" s="37">
        <v>52.191510491252714</v>
      </c>
    </row>
    <row r="311" spans="1:16" x14ac:dyDescent="0.25">
      <c r="A311" s="37" t="s">
        <v>419</v>
      </c>
      <c r="B311" s="37">
        <v>4.3860054551515733</v>
      </c>
      <c r="C311" s="37">
        <v>9.1408768885162104</v>
      </c>
      <c r="D311" s="37">
        <v>0.47982327173247052</v>
      </c>
      <c r="E311" s="37">
        <v>0.63461655779652582</v>
      </c>
      <c r="F311" s="37">
        <v>-14.23335146753092</v>
      </c>
      <c r="G311" s="37">
        <v>23.005362377834064</v>
      </c>
      <c r="H311" s="37">
        <v>-14.23335146753092</v>
      </c>
      <c r="I311" s="37">
        <v>23.005362377834064</v>
      </c>
    </row>
    <row r="312" spans="1:16" x14ac:dyDescent="0.25">
      <c r="A312" s="37" t="s">
        <v>420</v>
      </c>
      <c r="B312" s="37">
        <v>18.041207636507231</v>
      </c>
      <c r="C312" s="37">
        <v>12.998695483438869</v>
      </c>
      <c r="D312" s="37">
        <v>1.3879244774595136</v>
      </c>
      <c r="E312" s="37">
        <v>0.17474871129867961</v>
      </c>
      <c r="F312" s="37">
        <v>-8.4362686151936188</v>
      </c>
      <c r="G312" s="37">
        <v>44.518683888208081</v>
      </c>
      <c r="H312" s="37">
        <v>-8.4362686151936188</v>
      </c>
      <c r="I312" s="37">
        <v>44.518683888208081</v>
      </c>
    </row>
    <row r="318" spans="1:16" x14ac:dyDescent="0.25">
      <c r="A318" s="21" t="s">
        <v>643</v>
      </c>
      <c r="B318" s="47" t="s">
        <v>542</v>
      </c>
      <c r="C318" s="47"/>
      <c r="D318" s="47"/>
      <c r="E318" s="47"/>
      <c r="F318" s="47"/>
      <c r="G318" s="47"/>
      <c r="H318" s="47"/>
      <c r="I318" s="47"/>
      <c r="J318" s="47"/>
      <c r="K318" s="47"/>
      <c r="L318" s="47"/>
      <c r="M318" s="47"/>
      <c r="N318" s="47"/>
      <c r="O318" s="47"/>
      <c r="P318" s="47"/>
    </row>
    <row r="319" spans="1:16" ht="15.75" thickBot="1" x14ac:dyDescent="0.3"/>
    <row r="320" spans="1:16" x14ac:dyDescent="0.25">
      <c r="A320" t="s">
        <v>645</v>
      </c>
      <c r="B320">
        <f>ROUNDUP(1+3.322*LOG10(COUNT(MetricsData[ClosedDeals])),0)</f>
        <v>7</v>
      </c>
      <c r="C320" s="35" t="s">
        <v>647</v>
      </c>
      <c r="D320" s="35" t="s">
        <v>644</v>
      </c>
    </row>
    <row r="321" spans="1:15" x14ac:dyDescent="0.25">
      <c r="A321" t="s">
        <v>648</v>
      </c>
      <c r="B321" s="41">
        <f>MIN('Metric Data'!I14:I38)</f>
        <v>791</v>
      </c>
      <c r="C321">
        <v>700</v>
      </c>
      <c r="D321">
        <v>1</v>
      </c>
    </row>
    <row r="322" spans="1:15" x14ac:dyDescent="0.25">
      <c r="A322" t="s">
        <v>649</v>
      </c>
      <c r="B322" s="41">
        <f>MAX('Metric Data'!I14:I38)</f>
        <v>1054</v>
      </c>
      <c r="C322">
        <v>750</v>
      </c>
      <c r="D322">
        <v>1</v>
      </c>
    </row>
    <row r="323" spans="1:15" x14ac:dyDescent="0.25">
      <c r="A323" t="s">
        <v>650</v>
      </c>
      <c r="B323" s="41">
        <f>MAX(MetricsData[ClosedDeals])-MIN(MetricsData[ClosedDeals])</f>
        <v>370</v>
      </c>
      <c r="C323">
        <v>800</v>
      </c>
      <c r="D323">
        <v>5</v>
      </c>
    </row>
    <row r="324" spans="1:15" x14ac:dyDescent="0.25">
      <c r="A324" t="s">
        <v>651</v>
      </c>
      <c r="B324">
        <f>B323/B320</f>
        <v>52.857142857142854</v>
      </c>
      <c r="C324">
        <v>850</v>
      </c>
      <c r="D324">
        <v>8</v>
      </c>
    </row>
    <row r="325" spans="1:15" x14ac:dyDescent="0.25">
      <c r="C325">
        <v>900</v>
      </c>
      <c r="D325">
        <v>5</v>
      </c>
    </row>
    <row r="326" spans="1:15" x14ac:dyDescent="0.25">
      <c r="C326">
        <v>950</v>
      </c>
      <c r="D326">
        <v>1</v>
      </c>
    </row>
    <row r="327" spans="1:15" x14ac:dyDescent="0.25">
      <c r="C327">
        <v>1000</v>
      </c>
      <c r="D327">
        <v>9</v>
      </c>
    </row>
    <row r="328" spans="1:15" x14ac:dyDescent="0.25">
      <c r="C328">
        <v>1050</v>
      </c>
      <c r="D328">
        <v>5</v>
      </c>
    </row>
    <row r="330" spans="1:15" ht="15.75" thickBot="1" x14ac:dyDescent="0.3">
      <c r="C330" s="34"/>
      <c r="D330" s="34"/>
    </row>
    <row r="336" spans="1:15" x14ac:dyDescent="0.25">
      <c r="A336" s="21" t="s">
        <v>652</v>
      </c>
      <c r="B336" s="47" t="s">
        <v>545</v>
      </c>
      <c r="C336" s="47"/>
      <c r="D336" s="47"/>
      <c r="E336" s="47"/>
      <c r="F336" s="47"/>
      <c r="G336" s="47"/>
      <c r="H336" s="47"/>
      <c r="I336" s="47"/>
      <c r="J336" s="47"/>
      <c r="K336" s="47"/>
      <c r="L336" s="47"/>
      <c r="M336" s="47"/>
      <c r="N336" s="47"/>
      <c r="O336" s="47"/>
    </row>
    <row r="338" spans="1:2" x14ac:dyDescent="0.25">
      <c r="A338" s="8" t="s">
        <v>49</v>
      </c>
      <c r="B338" s="8" t="s">
        <v>654</v>
      </c>
    </row>
    <row r="339" spans="1:2" x14ac:dyDescent="0.25">
      <c r="A339" s="42">
        <v>1265997</v>
      </c>
      <c r="B339" s="42" t="e">
        <v>#N/A</v>
      </c>
    </row>
    <row r="340" spans="1:2" x14ac:dyDescent="0.25">
      <c r="A340" s="13">
        <v>1403219</v>
      </c>
      <c r="B340" s="13" t="e">
        <v>#N/A</v>
      </c>
    </row>
    <row r="341" spans="1:2" x14ac:dyDescent="0.25">
      <c r="A341" s="42">
        <v>1520259</v>
      </c>
      <c r="B341" s="42">
        <f t="shared" ref="B341:B374" si="0">AVERAGE(A339:A341)</f>
        <v>1396491.6666666667</v>
      </c>
    </row>
    <row r="342" spans="1:2" x14ac:dyDescent="0.25">
      <c r="A342" s="13">
        <v>1378611</v>
      </c>
      <c r="B342" s="13">
        <f t="shared" si="0"/>
        <v>1434029.6666666667</v>
      </c>
    </row>
    <row r="343" spans="1:2" x14ac:dyDescent="0.25">
      <c r="A343" s="42">
        <v>1425157</v>
      </c>
      <c r="B343" s="42">
        <f t="shared" si="0"/>
        <v>1441342.3333333333</v>
      </c>
    </row>
    <row r="344" spans="1:2" x14ac:dyDescent="0.25">
      <c r="A344" s="13">
        <v>1488548</v>
      </c>
      <c r="B344" s="13">
        <f t="shared" si="0"/>
        <v>1430772</v>
      </c>
    </row>
    <row r="345" spans="1:2" x14ac:dyDescent="0.25">
      <c r="A345" s="42">
        <v>1579256</v>
      </c>
      <c r="B345" s="42">
        <f t="shared" si="0"/>
        <v>1497653.6666666667</v>
      </c>
    </row>
    <row r="346" spans="1:2" x14ac:dyDescent="0.25">
      <c r="A346" s="13">
        <v>1538159</v>
      </c>
      <c r="B346" s="13">
        <f t="shared" si="0"/>
        <v>1535321</v>
      </c>
    </row>
    <row r="347" spans="1:2" x14ac:dyDescent="0.25">
      <c r="A347" s="42">
        <v>1493262</v>
      </c>
      <c r="B347" s="42">
        <f t="shared" si="0"/>
        <v>1536892.3333333333</v>
      </c>
    </row>
    <row r="348" spans="1:2" x14ac:dyDescent="0.25">
      <c r="A348" s="13">
        <v>1439547</v>
      </c>
      <c r="B348" s="13">
        <f t="shared" si="0"/>
        <v>1490322.6666666667</v>
      </c>
    </row>
    <row r="349" spans="1:2" x14ac:dyDescent="0.25">
      <c r="A349" s="42">
        <v>1490544</v>
      </c>
      <c r="B349" s="42">
        <f t="shared" si="0"/>
        <v>1474451</v>
      </c>
    </row>
    <row r="350" spans="1:2" x14ac:dyDescent="0.25">
      <c r="A350" s="13">
        <v>1575856</v>
      </c>
      <c r="B350" s="13">
        <f t="shared" si="0"/>
        <v>1501982.3333333333</v>
      </c>
    </row>
    <row r="351" spans="1:2" x14ac:dyDescent="0.25">
      <c r="A351" s="42">
        <v>1472146</v>
      </c>
      <c r="B351" s="42">
        <f t="shared" si="0"/>
        <v>1512848.6666666667</v>
      </c>
    </row>
    <row r="352" spans="1:2" x14ac:dyDescent="0.25">
      <c r="A352" s="13">
        <v>1489287</v>
      </c>
      <c r="B352" s="13">
        <f t="shared" si="0"/>
        <v>1512429.6666666667</v>
      </c>
    </row>
    <row r="353" spans="1:2" x14ac:dyDescent="0.25">
      <c r="A353" s="42">
        <v>1477384</v>
      </c>
      <c r="B353" s="42">
        <f t="shared" si="0"/>
        <v>1479605.6666666667</v>
      </c>
    </row>
    <row r="354" spans="1:2" x14ac:dyDescent="0.25">
      <c r="A354" s="13">
        <v>1602204</v>
      </c>
      <c r="B354" s="13">
        <f t="shared" si="0"/>
        <v>1522958.3333333333</v>
      </c>
    </row>
    <row r="355" spans="1:2" x14ac:dyDescent="0.25">
      <c r="A355" s="42">
        <v>1539006</v>
      </c>
      <c r="B355" s="42">
        <f t="shared" si="0"/>
        <v>1539531.3333333333</v>
      </c>
    </row>
    <row r="356" spans="1:2" x14ac:dyDescent="0.25">
      <c r="A356" s="13">
        <v>1618509</v>
      </c>
      <c r="B356" s="13">
        <f t="shared" si="0"/>
        <v>1586573</v>
      </c>
    </row>
    <row r="357" spans="1:2" x14ac:dyDescent="0.25">
      <c r="A357" s="42">
        <v>1655571</v>
      </c>
      <c r="B357" s="42">
        <f t="shared" si="0"/>
        <v>1604362</v>
      </c>
    </row>
    <row r="358" spans="1:2" x14ac:dyDescent="0.25">
      <c r="A358" s="13">
        <v>1656170</v>
      </c>
      <c r="B358" s="13">
        <f t="shared" si="0"/>
        <v>1643416.6666666667</v>
      </c>
    </row>
    <row r="359" spans="1:2" x14ac:dyDescent="0.25">
      <c r="A359" s="42">
        <v>1763165</v>
      </c>
      <c r="B359" s="42">
        <f t="shared" si="0"/>
        <v>1691635.3333333333</v>
      </c>
    </row>
    <row r="360" spans="1:2" x14ac:dyDescent="0.25">
      <c r="A360" s="13">
        <v>1728942</v>
      </c>
      <c r="B360" s="13">
        <f t="shared" si="0"/>
        <v>1716092.3333333333</v>
      </c>
    </row>
    <row r="361" spans="1:2" x14ac:dyDescent="0.25">
      <c r="A361" s="42">
        <v>1844695</v>
      </c>
      <c r="B361" s="42">
        <f t="shared" si="0"/>
        <v>1778934</v>
      </c>
    </row>
    <row r="362" spans="1:2" x14ac:dyDescent="0.25">
      <c r="A362" s="13">
        <v>1778867</v>
      </c>
      <c r="B362" s="13">
        <f t="shared" si="0"/>
        <v>1784168</v>
      </c>
    </row>
    <row r="363" spans="1:2" x14ac:dyDescent="0.25">
      <c r="A363" s="42">
        <v>1837739</v>
      </c>
      <c r="B363" s="42">
        <f t="shared" si="0"/>
        <v>1820433.6666666667</v>
      </c>
    </row>
    <row r="364" spans="1:2" x14ac:dyDescent="0.25">
      <c r="A364" s="13">
        <v>1899009</v>
      </c>
      <c r="B364" s="13">
        <f t="shared" si="0"/>
        <v>1838538.3333333333</v>
      </c>
    </row>
    <row r="365" spans="1:2" x14ac:dyDescent="0.25">
      <c r="A365" s="42">
        <v>1838684</v>
      </c>
      <c r="B365" s="42">
        <f t="shared" si="0"/>
        <v>1858477.3333333333</v>
      </c>
    </row>
    <row r="366" spans="1:2" x14ac:dyDescent="0.25">
      <c r="A366" s="13">
        <v>1811721</v>
      </c>
      <c r="B366" s="13">
        <f t="shared" si="0"/>
        <v>1849804.6666666667</v>
      </c>
    </row>
    <row r="367" spans="1:2" x14ac:dyDescent="0.25">
      <c r="A367" s="42">
        <v>1784969</v>
      </c>
      <c r="B367" s="42">
        <f t="shared" si="0"/>
        <v>1811791.3333333333</v>
      </c>
    </row>
    <row r="368" spans="1:2" x14ac:dyDescent="0.25">
      <c r="A368" s="13">
        <v>1911995</v>
      </c>
      <c r="B368" s="13">
        <f t="shared" si="0"/>
        <v>1836228.3333333333</v>
      </c>
    </row>
    <row r="369" spans="1:2" x14ac:dyDescent="0.25">
      <c r="A369" s="42">
        <v>1890579</v>
      </c>
      <c r="B369" s="42">
        <f t="shared" si="0"/>
        <v>1862514.3333333333</v>
      </c>
    </row>
    <row r="370" spans="1:2" x14ac:dyDescent="0.25">
      <c r="A370" s="13">
        <v>1817900</v>
      </c>
      <c r="B370" s="13">
        <f t="shared" si="0"/>
        <v>1873491.3333333333</v>
      </c>
    </row>
    <row r="371" spans="1:2" x14ac:dyDescent="0.25">
      <c r="A371" s="42">
        <v>1877992</v>
      </c>
      <c r="B371" s="42">
        <f t="shared" si="0"/>
        <v>1862157</v>
      </c>
    </row>
    <row r="372" spans="1:2" x14ac:dyDescent="0.25">
      <c r="A372" s="13">
        <v>1950235</v>
      </c>
      <c r="B372" s="13">
        <f t="shared" si="0"/>
        <v>1882042.3333333333</v>
      </c>
    </row>
    <row r="373" spans="1:2" x14ac:dyDescent="0.25">
      <c r="A373" s="42">
        <v>1927937</v>
      </c>
      <c r="B373" s="42">
        <f t="shared" si="0"/>
        <v>1918721.3333333333</v>
      </c>
    </row>
    <row r="374" spans="1:2" x14ac:dyDescent="0.25">
      <c r="A374" s="13">
        <v>1832571</v>
      </c>
      <c r="B374" s="13">
        <f t="shared" si="0"/>
        <v>1903581</v>
      </c>
    </row>
  </sheetData>
  <mergeCells count="19">
    <mergeCell ref="B213:M213"/>
    <mergeCell ref="B240:Q240"/>
    <mergeCell ref="B249:Q249"/>
    <mergeCell ref="B1:Q1"/>
    <mergeCell ref="B55:J55"/>
    <mergeCell ref="B74:N74"/>
    <mergeCell ref="B92:J92"/>
    <mergeCell ref="B184:M184"/>
    <mergeCell ref="B130:S130"/>
    <mergeCell ref="B163:Q163"/>
    <mergeCell ref="B173:O173"/>
    <mergeCell ref="B107:J107"/>
    <mergeCell ref="B119:K119"/>
    <mergeCell ref="B336:O336"/>
    <mergeCell ref="B255:R255"/>
    <mergeCell ref="B269:S269"/>
    <mergeCell ref="B290:Q290"/>
    <mergeCell ref="B291:H291"/>
    <mergeCell ref="B318:P318"/>
  </mergeCells>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02"/>
  <sheetViews>
    <sheetView workbookViewId="0">
      <pane ySplit="2" topLeftCell="A244" activePane="bottomLeft" state="frozen"/>
      <selection pane="bottomLeft" activeCell="N269" sqref="N269"/>
    </sheetView>
  </sheetViews>
  <sheetFormatPr defaultRowHeight="15" x14ac:dyDescent="0.25"/>
  <cols>
    <col min="1" max="2" width="12" customWidth="1"/>
    <col min="3" max="3" width="10" customWidth="1"/>
    <col min="4" max="4" width="17.7109375" customWidth="1"/>
    <col min="5" max="5" width="22" customWidth="1"/>
    <col min="6" max="6" width="19.140625" customWidth="1"/>
    <col min="7" max="7" width="14" customWidth="1"/>
    <col min="8" max="8" width="15.140625" customWidth="1"/>
    <col min="9" max="9" width="15.5703125" customWidth="1"/>
    <col min="10" max="10" width="15.85546875" customWidth="1"/>
    <col min="11" max="12" width="11" customWidth="1"/>
    <col min="13" max="13" width="16.7109375" customWidth="1"/>
    <col min="14" max="14" width="15" customWidth="1"/>
    <col min="15" max="15" width="12.42578125" customWidth="1"/>
    <col min="16" max="16" width="13.7109375" customWidth="1"/>
  </cols>
  <sheetData>
    <row r="1" spans="1:16" ht="24" customHeight="1" x14ac:dyDescent="0.25">
      <c r="A1" s="54" t="s">
        <v>39</v>
      </c>
      <c r="B1" s="50"/>
      <c r="C1" s="50"/>
      <c r="D1" s="50"/>
      <c r="E1" s="50"/>
      <c r="F1" s="50"/>
      <c r="G1" s="50"/>
      <c r="H1" s="50"/>
      <c r="I1" s="50"/>
      <c r="J1" s="50"/>
      <c r="K1" s="50"/>
      <c r="L1" s="50"/>
      <c r="M1" s="50"/>
      <c r="N1" s="50"/>
    </row>
    <row r="2" spans="1:16" x14ac:dyDescent="0.25">
      <c r="A2" s="8" t="s">
        <v>40</v>
      </c>
      <c r="B2" s="8" t="s">
        <v>41</v>
      </c>
      <c r="C2" s="8" t="s">
        <v>42</v>
      </c>
      <c r="D2" s="8" t="s">
        <v>43</v>
      </c>
      <c r="E2" s="8" t="s">
        <v>44</v>
      </c>
      <c r="F2" s="8" t="s">
        <v>45</v>
      </c>
      <c r="G2" s="8" t="s">
        <v>46</v>
      </c>
      <c r="H2" s="8" t="s">
        <v>47</v>
      </c>
      <c r="I2" s="8" t="s">
        <v>48</v>
      </c>
      <c r="J2" s="8" t="s">
        <v>49</v>
      </c>
      <c r="K2" s="8" t="s">
        <v>50</v>
      </c>
      <c r="L2" s="8" t="s">
        <v>51</v>
      </c>
      <c r="M2" s="8" t="s">
        <v>52</v>
      </c>
      <c r="N2" s="8" t="s">
        <v>53</v>
      </c>
      <c r="O2" t="s">
        <v>581</v>
      </c>
      <c r="P2" t="s">
        <v>588</v>
      </c>
    </row>
    <row r="3" spans="1:16" x14ac:dyDescent="0.25">
      <c r="A3" s="9" t="s">
        <v>54</v>
      </c>
      <c r="B3" s="10">
        <v>45359</v>
      </c>
      <c r="C3" s="9" t="s">
        <v>55</v>
      </c>
      <c r="D3" s="9" t="s">
        <v>56</v>
      </c>
      <c r="E3" s="9" t="s">
        <v>57</v>
      </c>
      <c r="F3" s="9" t="s">
        <v>58</v>
      </c>
      <c r="G3" s="9" t="s">
        <v>59</v>
      </c>
      <c r="H3" s="11">
        <v>5</v>
      </c>
      <c r="I3" s="12">
        <v>59.5</v>
      </c>
      <c r="J3" s="12">
        <v>297.5</v>
      </c>
      <c r="K3" s="12">
        <v>183.33</v>
      </c>
      <c r="L3" s="12">
        <v>114.17</v>
      </c>
      <c r="M3" s="9" t="s">
        <v>60</v>
      </c>
      <c r="N3" s="9" t="s">
        <v>61</v>
      </c>
      <c r="O3" s="31">
        <f>SalesData[[#This Row],[UnitPrice]]/SalesData[[#This Row],[Revenue]]</f>
        <v>0.2</v>
      </c>
      <c r="P3" s="31">
        <f>SalesData[[#This Row],[Profit]]/SalesData[[#This Row],[Revenue]]</f>
        <v>0.38376470588235295</v>
      </c>
    </row>
    <row r="4" spans="1:16" x14ac:dyDescent="0.25">
      <c r="A4" s="9" t="s">
        <v>62</v>
      </c>
      <c r="B4" s="10">
        <v>45386</v>
      </c>
      <c r="C4" s="9" t="s">
        <v>55</v>
      </c>
      <c r="D4" s="9" t="s">
        <v>56</v>
      </c>
      <c r="E4" s="9" t="s">
        <v>63</v>
      </c>
      <c r="F4" s="9" t="s">
        <v>64</v>
      </c>
      <c r="G4" s="9" t="s">
        <v>59</v>
      </c>
      <c r="H4" s="11">
        <v>17</v>
      </c>
      <c r="I4" s="12">
        <v>793.96</v>
      </c>
      <c r="J4" s="12">
        <v>13497.32</v>
      </c>
      <c r="K4" s="12">
        <v>7865.71</v>
      </c>
      <c r="L4" s="12">
        <v>5631.61</v>
      </c>
      <c r="M4" s="9" t="s">
        <v>65</v>
      </c>
      <c r="N4" s="9" t="s">
        <v>66</v>
      </c>
      <c r="O4" s="31">
        <f>SalesData[[#This Row],[UnitPrice]]/SalesData[[#This Row],[Revenue]]</f>
        <v>5.8823529411764712E-2</v>
      </c>
      <c r="P4" s="31">
        <f>SalesData[[#This Row],[Profit]]/SalesData[[#This Row],[Revenue]]</f>
        <v>0.41723912598945567</v>
      </c>
    </row>
    <row r="5" spans="1:16" x14ac:dyDescent="0.25">
      <c r="A5" s="9" t="s">
        <v>67</v>
      </c>
      <c r="B5" s="10">
        <v>45021</v>
      </c>
      <c r="C5" s="9" t="s">
        <v>68</v>
      </c>
      <c r="D5" s="9" t="s">
        <v>69</v>
      </c>
      <c r="E5" s="9" t="s">
        <v>70</v>
      </c>
      <c r="F5" s="9" t="s">
        <v>71</v>
      </c>
      <c r="G5" s="9" t="s">
        <v>72</v>
      </c>
      <c r="H5" s="11">
        <v>11</v>
      </c>
      <c r="I5" s="12">
        <v>306.85000000000002</v>
      </c>
      <c r="J5" s="12">
        <v>3375.35</v>
      </c>
      <c r="K5" s="12">
        <v>1628.41</v>
      </c>
      <c r="L5" s="12">
        <v>1746.94</v>
      </c>
      <c r="M5" s="9" t="s">
        <v>65</v>
      </c>
      <c r="N5" s="9" t="s">
        <v>66</v>
      </c>
      <c r="O5" s="31">
        <f>SalesData[[#This Row],[UnitPrice]]/SalesData[[#This Row],[Revenue]]</f>
        <v>9.0909090909090912E-2</v>
      </c>
      <c r="P5" s="31">
        <f>SalesData[[#This Row],[Profit]]/SalesData[[#This Row],[Revenue]]</f>
        <v>0.5175581791517917</v>
      </c>
    </row>
    <row r="6" spans="1:16" x14ac:dyDescent="0.25">
      <c r="A6" s="9" t="s">
        <v>73</v>
      </c>
      <c r="B6" s="10">
        <v>45492</v>
      </c>
      <c r="C6" s="9" t="s">
        <v>74</v>
      </c>
      <c r="D6" s="9" t="s">
        <v>75</v>
      </c>
      <c r="E6" s="9" t="s">
        <v>57</v>
      </c>
      <c r="F6" s="9" t="s">
        <v>76</v>
      </c>
      <c r="G6" s="9" t="s">
        <v>77</v>
      </c>
      <c r="H6" s="11">
        <v>2</v>
      </c>
      <c r="I6" s="12">
        <v>59</v>
      </c>
      <c r="J6" s="12">
        <v>118</v>
      </c>
      <c r="K6" s="12">
        <v>67.91</v>
      </c>
      <c r="L6" s="12">
        <v>50.09</v>
      </c>
      <c r="M6" s="9" t="s">
        <v>65</v>
      </c>
      <c r="N6" s="9" t="s">
        <v>66</v>
      </c>
      <c r="O6" s="31">
        <f>SalesData[[#This Row],[UnitPrice]]/SalesData[[#This Row],[Revenue]]</f>
        <v>0.5</v>
      </c>
      <c r="P6" s="31">
        <f>SalesData[[#This Row],[Profit]]/SalesData[[#This Row],[Revenue]]</f>
        <v>0.42449152542372887</v>
      </c>
    </row>
    <row r="7" spans="1:16" x14ac:dyDescent="0.25">
      <c r="A7" s="9" t="s">
        <v>78</v>
      </c>
      <c r="B7" s="10">
        <v>45814</v>
      </c>
      <c r="C7" s="9" t="s">
        <v>68</v>
      </c>
      <c r="D7" s="9" t="s">
        <v>79</v>
      </c>
      <c r="E7" s="9" t="s">
        <v>70</v>
      </c>
      <c r="F7" s="9" t="s">
        <v>71</v>
      </c>
      <c r="G7" s="9" t="s">
        <v>80</v>
      </c>
      <c r="H7" s="11">
        <v>2</v>
      </c>
      <c r="I7" s="12">
        <v>621.24</v>
      </c>
      <c r="J7" s="12">
        <v>1242.48</v>
      </c>
      <c r="K7" s="12">
        <v>800.39</v>
      </c>
      <c r="L7" s="12">
        <v>442.09</v>
      </c>
      <c r="M7" s="9" t="s">
        <v>60</v>
      </c>
      <c r="N7" s="9" t="s">
        <v>66</v>
      </c>
      <c r="O7" s="31">
        <f>SalesData[[#This Row],[UnitPrice]]/SalesData[[#This Row],[Revenue]]</f>
        <v>0.5</v>
      </c>
      <c r="P7" s="31">
        <f>SalesData[[#This Row],[Profit]]/SalesData[[#This Row],[Revenue]]</f>
        <v>0.35581256841156395</v>
      </c>
    </row>
    <row r="8" spans="1:16" x14ac:dyDescent="0.25">
      <c r="A8" s="9" t="s">
        <v>81</v>
      </c>
      <c r="B8" s="10">
        <v>45626</v>
      </c>
      <c r="C8" s="9" t="s">
        <v>55</v>
      </c>
      <c r="D8" s="9" t="s">
        <v>82</v>
      </c>
      <c r="E8" s="9" t="s">
        <v>57</v>
      </c>
      <c r="F8" s="9" t="s">
        <v>83</v>
      </c>
      <c r="G8" s="9" t="s">
        <v>84</v>
      </c>
      <c r="H8" s="11">
        <v>6</v>
      </c>
      <c r="I8" s="12">
        <v>32.39</v>
      </c>
      <c r="J8" s="12">
        <v>194.34</v>
      </c>
      <c r="K8" s="12">
        <v>93.43</v>
      </c>
      <c r="L8" s="12">
        <v>100.91</v>
      </c>
      <c r="M8" s="9" t="s">
        <v>65</v>
      </c>
      <c r="N8" s="9" t="s">
        <v>61</v>
      </c>
      <c r="O8" s="31">
        <f>SalesData[[#This Row],[UnitPrice]]/SalesData[[#This Row],[Revenue]]</f>
        <v>0.16666666666666666</v>
      </c>
      <c r="P8" s="31">
        <f>SalesData[[#This Row],[Profit]]/SalesData[[#This Row],[Revenue]]</f>
        <v>0.51924462282597506</v>
      </c>
    </row>
    <row r="9" spans="1:16" x14ac:dyDescent="0.25">
      <c r="A9" s="9" t="s">
        <v>85</v>
      </c>
      <c r="B9" s="10">
        <v>45259</v>
      </c>
      <c r="C9" s="9" t="s">
        <v>55</v>
      </c>
      <c r="D9" s="9" t="s">
        <v>86</v>
      </c>
      <c r="E9" s="9" t="s">
        <v>70</v>
      </c>
      <c r="F9" s="9" t="s">
        <v>87</v>
      </c>
      <c r="G9" s="9" t="s">
        <v>88</v>
      </c>
      <c r="H9" s="11">
        <v>13</v>
      </c>
      <c r="I9" s="12">
        <v>300.36</v>
      </c>
      <c r="J9" s="12">
        <v>3904.68</v>
      </c>
      <c r="K9" s="12">
        <v>2687.84</v>
      </c>
      <c r="L9" s="12">
        <v>1216.8399999999999</v>
      </c>
      <c r="M9" s="9" t="s">
        <v>60</v>
      </c>
      <c r="N9" s="9" t="s">
        <v>61</v>
      </c>
      <c r="O9" s="31">
        <f>SalesData[[#This Row],[UnitPrice]]/SalesData[[#This Row],[Revenue]]</f>
        <v>7.6923076923076927E-2</v>
      </c>
      <c r="P9" s="31">
        <f>SalesData[[#This Row],[Profit]]/SalesData[[#This Row],[Revenue]]</f>
        <v>0.31163629285882583</v>
      </c>
    </row>
    <row r="10" spans="1:16" x14ac:dyDescent="0.25">
      <c r="A10" s="9" t="s">
        <v>89</v>
      </c>
      <c r="B10" s="10">
        <v>45598</v>
      </c>
      <c r="C10" s="9" t="s">
        <v>55</v>
      </c>
      <c r="D10" s="9" t="s">
        <v>86</v>
      </c>
      <c r="E10" s="9" t="s">
        <v>63</v>
      </c>
      <c r="F10" s="9" t="s">
        <v>90</v>
      </c>
      <c r="G10" s="9" t="s">
        <v>72</v>
      </c>
      <c r="H10" s="11">
        <v>9</v>
      </c>
      <c r="I10" s="12">
        <v>113.98</v>
      </c>
      <c r="J10" s="12">
        <v>1025.82</v>
      </c>
      <c r="K10" s="12">
        <v>702.49</v>
      </c>
      <c r="L10" s="12">
        <v>323.33</v>
      </c>
      <c r="M10" s="9" t="s">
        <v>65</v>
      </c>
      <c r="N10" s="9" t="s">
        <v>66</v>
      </c>
      <c r="O10" s="31">
        <f>SalesData[[#This Row],[UnitPrice]]/SalesData[[#This Row],[Revenue]]</f>
        <v>0.11111111111111112</v>
      </c>
      <c r="P10" s="31">
        <f>SalesData[[#This Row],[Profit]]/SalesData[[#This Row],[Revenue]]</f>
        <v>0.31519174903979258</v>
      </c>
    </row>
    <row r="11" spans="1:16" x14ac:dyDescent="0.25">
      <c r="A11" s="9" t="s">
        <v>91</v>
      </c>
      <c r="B11" s="10">
        <v>45525</v>
      </c>
      <c r="C11" s="9" t="s">
        <v>74</v>
      </c>
      <c r="D11" s="9" t="s">
        <v>92</v>
      </c>
      <c r="E11" s="9" t="s">
        <v>93</v>
      </c>
      <c r="F11" s="9" t="s">
        <v>94</v>
      </c>
      <c r="G11" s="9" t="s">
        <v>77</v>
      </c>
      <c r="H11" s="11">
        <v>5</v>
      </c>
      <c r="I11" s="12">
        <v>76.47</v>
      </c>
      <c r="J11" s="12">
        <v>382.35</v>
      </c>
      <c r="K11" s="12">
        <v>222.83</v>
      </c>
      <c r="L11" s="12">
        <v>159.52000000000001</v>
      </c>
      <c r="M11" s="9" t="s">
        <v>65</v>
      </c>
      <c r="N11" s="9" t="s">
        <v>61</v>
      </c>
      <c r="O11" s="31">
        <f>SalesData[[#This Row],[UnitPrice]]/SalesData[[#This Row],[Revenue]]</f>
        <v>0.19999999999999998</v>
      </c>
      <c r="P11" s="31">
        <f>SalesData[[#This Row],[Profit]]/SalesData[[#This Row],[Revenue]]</f>
        <v>0.4172093631489473</v>
      </c>
    </row>
    <row r="12" spans="1:16" x14ac:dyDescent="0.25">
      <c r="A12" s="9" t="s">
        <v>95</v>
      </c>
      <c r="B12" s="10">
        <v>45569</v>
      </c>
      <c r="C12" s="9" t="s">
        <v>74</v>
      </c>
      <c r="D12" s="9" t="s">
        <v>92</v>
      </c>
      <c r="E12" s="9" t="s">
        <v>57</v>
      </c>
      <c r="F12" s="9" t="s">
        <v>58</v>
      </c>
      <c r="G12" s="9" t="s">
        <v>96</v>
      </c>
      <c r="H12" s="11">
        <v>17</v>
      </c>
      <c r="I12" s="12">
        <v>41.52</v>
      </c>
      <c r="J12" s="12">
        <v>705.84</v>
      </c>
      <c r="K12" s="12">
        <v>451.16</v>
      </c>
      <c r="L12" s="12">
        <v>254.68</v>
      </c>
      <c r="M12" s="9" t="s">
        <v>60</v>
      </c>
      <c r="N12" s="9" t="s">
        <v>66</v>
      </c>
      <c r="O12" s="31">
        <f>SalesData[[#This Row],[UnitPrice]]/SalesData[[#This Row],[Revenue]]</f>
        <v>5.8823529411764705E-2</v>
      </c>
      <c r="P12" s="31">
        <f>SalesData[[#This Row],[Profit]]/SalesData[[#This Row],[Revenue]]</f>
        <v>0.36081831576561257</v>
      </c>
    </row>
    <row r="13" spans="1:16" x14ac:dyDescent="0.25">
      <c r="A13" s="9" t="s">
        <v>97</v>
      </c>
      <c r="B13" s="10">
        <v>45665</v>
      </c>
      <c r="C13" s="9" t="s">
        <v>98</v>
      </c>
      <c r="D13" s="9" t="s">
        <v>99</v>
      </c>
      <c r="E13" s="9" t="s">
        <v>63</v>
      </c>
      <c r="F13" s="9" t="s">
        <v>100</v>
      </c>
      <c r="G13" s="9" t="s">
        <v>72</v>
      </c>
      <c r="H13" s="11">
        <v>20</v>
      </c>
      <c r="I13" s="12">
        <v>1294.08</v>
      </c>
      <c r="J13" s="12">
        <v>25881.599999999999</v>
      </c>
      <c r="K13" s="12">
        <v>14841.63</v>
      </c>
      <c r="L13" s="12">
        <v>11039.97</v>
      </c>
      <c r="M13" s="9" t="s">
        <v>60</v>
      </c>
      <c r="N13" s="9" t="s">
        <v>61</v>
      </c>
      <c r="O13" s="31">
        <f>SalesData[[#This Row],[UnitPrice]]/SalesData[[#This Row],[Revenue]]</f>
        <v>0.05</v>
      </c>
      <c r="P13" s="31">
        <f>SalesData[[#This Row],[Profit]]/SalesData[[#This Row],[Revenue]]</f>
        <v>0.42655670437685461</v>
      </c>
    </row>
    <row r="14" spans="1:16" x14ac:dyDescent="0.25">
      <c r="A14" s="9" t="s">
        <v>101</v>
      </c>
      <c r="B14" s="10">
        <v>45707</v>
      </c>
      <c r="C14" s="9" t="s">
        <v>55</v>
      </c>
      <c r="D14" s="9" t="s">
        <v>102</v>
      </c>
      <c r="E14" s="9" t="s">
        <v>57</v>
      </c>
      <c r="F14" s="9" t="s">
        <v>103</v>
      </c>
      <c r="G14" s="9" t="s">
        <v>77</v>
      </c>
      <c r="H14" s="11">
        <v>14</v>
      </c>
      <c r="I14" s="12">
        <v>16.7</v>
      </c>
      <c r="J14" s="12">
        <v>233.8</v>
      </c>
      <c r="K14" s="12">
        <v>98.42</v>
      </c>
      <c r="L14" s="12">
        <v>135.38</v>
      </c>
      <c r="M14" s="9" t="s">
        <v>65</v>
      </c>
      <c r="N14" s="9" t="s">
        <v>61</v>
      </c>
      <c r="O14" s="31">
        <f>SalesData[[#This Row],[UnitPrice]]/SalesData[[#This Row],[Revenue]]</f>
        <v>7.1428571428571425E-2</v>
      </c>
      <c r="P14" s="31">
        <f>SalesData[[#This Row],[Profit]]/SalesData[[#This Row],[Revenue]]</f>
        <v>0.57904191616766465</v>
      </c>
    </row>
    <row r="15" spans="1:16" x14ac:dyDescent="0.25">
      <c r="A15" s="9" t="s">
        <v>104</v>
      </c>
      <c r="B15" s="10">
        <v>45258</v>
      </c>
      <c r="C15" s="9" t="s">
        <v>98</v>
      </c>
      <c r="D15" s="9" t="s">
        <v>105</v>
      </c>
      <c r="E15" s="9" t="s">
        <v>57</v>
      </c>
      <c r="F15" s="9" t="s">
        <v>106</v>
      </c>
      <c r="G15" s="9" t="s">
        <v>59</v>
      </c>
      <c r="H15" s="11">
        <v>5</v>
      </c>
      <c r="I15" s="12">
        <v>32.659999999999997</v>
      </c>
      <c r="J15" s="12">
        <v>163.30000000000001</v>
      </c>
      <c r="K15" s="12">
        <v>76.239999999999995</v>
      </c>
      <c r="L15" s="12">
        <v>87.06</v>
      </c>
      <c r="M15" s="9" t="s">
        <v>60</v>
      </c>
      <c r="N15" s="9" t="s">
        <v>61</v>
      </c>
      <c r="O15" s="31">
        <f>SalesData[[#This Row],[UnitPrice]]/SalesData[[#This Row],[Revenue]]</f>
        <v>0.19999999999999996</v>
      </c>
      <c r="P15" s="31">
        <f>SalesData[[#This Row],[Profit]]/SalesData[[#This Row],[Revenue]]</f>
        <v>0.53312921004286584</v>
      </c>
    </row>
    <row r="16" spans="1:16" x14ac:dyDescent="0.25">
      <c r="A16" s="9" t="s">
        <v>107</v>
      </c>
      <c r="B16" s="10">
        <v>45676</v>
      </c>
      <c r="C16" s="9" t="s">
        <v>74</v>
      </c>
      <c r="D16" s="9" t="s">
        <v>75</v>
      </c>
      <c r="E16" s="9" t="s">
        <v>63</v>
      </c>
      <c r="F16" s="9" t="s">
        <v>90</v>
      </c>
      <c r="G16" s="9" t="s">
        <v>77</v>
      </c>
      <c r="H16" s="11">
        <v>8</v>
      </c>
      <c r="I16" s="12">
        <v>103.5</v>
      </c>
      <c r="J16" s="12">
        <v>828</v>
      </c>
      <c r="K16" s="12">
        <v>558.59</v>
      </c>
      <c r="L16" s="12">
        <v>269.41000000000003</v>
      </c>
      <c r="M16" s="9" t="s">
        <v>60</v>
      </c>
      <c r="N16" s="9" t="s">
        <v>66</v>
      </c>
      <c r="O16" s="31">
        <f>SalesData[[#This Row],[UnitPrice]]/SalesData[[#This Row],[Revenue]]</f>
        <v>0.125</v>
      </c>
      <c r="P16" s="31">
        <f>SalesData[[#This Row],[Profit]]/SalesData[[#This Row],[Revenue]]</f>
        <v>0.32537439613526575</v>
      </c>
    </row>
    <row r="17" spans="1:16" x14ac:dyDescent="0.25">
      <c r="A17" s="9" t="s">
        <v>108</v>
      </c>
      <c r="B17" s="10">
        <v>45479</v>
      </c>
      <c r="C17" s="9" t="s">
        <v>74</v>
      </c>
      <c r="D17" s="9" t="s">
        <v>75</v>
      </c>
      <c r="E17" s="9" t="s">
        <v>70</v>
      </c>
      <c r="F17" s="9" t="s">
        <v>87</v>
      </c>
      <c r="G17" s="9" t="s">
        <v>88</v>
      </c>
      <c r="H17" s="11">
        <v>18</v>
      </c>
      <c r="I17" s="12">
        <v>214.4</v>
      </c>
      <c r="J17" s="12">
        <v>3859.2</v>
      </c>
      <c r="K17" s="12">
        <v>2211.42</v>
      </c>
      <c r="L17" s="12">
        <v>1647.78</v>
      </c>
      <c r="M17" s="9" t="s">
        <v>65</v>
      </c>
      <c r="N17" s="9" t="s">
        <v>66</v>
      </c>
      <c r="O17" s="31">
        <f>SalesData[[#This Row],[UnitPrice]]/SalesData[[#This Row],[Revenue]]</f>
        <v>5.5555555555555559E-2</v>
      </c>
      <c r="P17" s="31">
        <f>SalesData[[#This Row],[Profit]]/SalesData[[#This Row],[Revenue]]</f>
        <v>0.42697450248756219</v>
      </c>
    </row>
    <row r="18" spans="1:16" x14ac:dyDescent="0.25">
      <c r="A18" s="9" t="s">
        <v>109</v>
      </c>
      <c r="B18" s="10">
        <v>44992</v>
      </c>
      <c r="C18" s="9" t="s">
        <v>98</v>
      </c>
      <c r="D18" s="9" t="s">
        <v>110</v>
      </c>
      <c r="E18" s="9" t="s">
        <v>93</v>
      </c>
      <c r="F18" s="9" t="s">
        <v>111</v>
      </c>
      <c r="G18" s="9" t="s">
        <v>84</v>
      </c>
      <c r="H18" s="11">
        <v>15</v>
      </c>
      <c r="I18" s="12">
        <v>226.01</v>
      </c>
      <c r="J18" s="12">
        <v>3390.15</v>
      </c>
      <c r="K18" s="12">
        <v>1867.74</v>
      </c>
      <c r="L18" s="12">
        <v>1522.41</v>
      </c>
      <c r="M18" s="9" t="s">
        <v>60</v>
      </c>
      <c r="N18" s="9" t="s">
        <v>66</v>
      </c>
      <c r="O18" s="31">
        <f>SalesData[[#This Row],[UnitPrice]]/SalesData[[#This Row],[Revenue]]</f>
        <v>6.6666666666666666E-2</v>
      </c>
      <c r="P18" s="31">
        <f>SalesData[[#This Row],[Profit]]/SalesData[[#This Row],[Revenue]]</f>
        <v>0.4490686252820672</v>
      </c>
    </row>
    <row r="19" spans="1:16" x14ac:dyDescent="0.25">
      <c r="A19" s="9" t="s">
        <v>112</v>
      </c>
      <c r="B19" s="10">
        <v>44959</v>
      </c>
      <c r="C19" s="9" t="s">
        <v>68</v>
      </c>
      <c r="D19" s="9" t="s">
        <v>69</v>
      </c>
      <c r="E19" s="9" t="s">
        <v>70</v>
      </c>
      <c r="F19" s="9" t="s">
        <v>113</v>
      </c>
      <c r="G19" s="9" t="s">
        <v>59</v>
      </c>
      <c r="H19" s="11">
        <v>1</v>
      </c>
      <c r="I19" s="12">
        <v>137.21</v>
      </c>
      <c r="J19" s="12">
        <v>137.21</v>
      </c>
      <c r="K19" s="12">
        <v>82.74</v>
      </c>
      <c r="L19" s="12">
        <v>54.47</v>
      </c>
      <c r="M19" s="9" t="s">
        <v>60</v>
      </c>
      <c r="N19" s="9" t="s">
        <v>66</v>
      </c>
      <c r="O19" s="31">
        <f>SalesData[[#This Row],[UnitPrice]]/SalesData[[#This Row],[Revenue]]</f>
        <v>1</v>
      </c>
      <c r="P19" s="31">
        <f>SalesData[[#This Row],[Profit]]/SalesData[[#This Row],[Revenue]]</f>
        <v>0.39698272720647182</v>
      </c>
    </row>
    <row r="20" spans="1:16" x14ac:dyDescent="0.25">
      <c r="A20" s="9" t="s">
        <v>114</v>
      </c>
      <c r="B20" s="10">
        <v>45730</v>
      </c>
      <c r="C20" s="9" t="s">
        <v>68</v>
      </c>
      <c r="D20" s="9" t="s">
        <v>69</v>
      </c>
      <c r="E20" s="9" t="s">
        <v>70</v>
      </c>
      <c r="F20" s="9" t="s">
        <v>115</v>
      </c>
      <c r="G20" s="9" t="s">
        <v>88</v>
      </c>
      <c r="H20" s="11">
        <v>7</v>
      </c>
      <c r="I20" s="12">
        <v>521.16999999999996</v>
      </c>
      <c r="J20" s="12">
        <v>3648.19</v>
      </c>
      <c r="K20" s="12">
        <v>2297.5300000000002</v>
      </c>
      <c r="L20" s="12">
        <v>1350.66</v>
      </c>
      <c r="M20" s="9" t="s">
        <v>65</v>
      </c>
      <c r="N20" s="9" t="s">
        <v>66</v>
      </c>
      <c r="O20" s="31">
        <f>SalesData[[#This Row],[UnitPrice]]/SalesData[[#This Row],[Revenue]]</f>
        <v>0.14285714285714285</v>
      </c>
      <c r="P20" s="31">
        <f>SalesData[[#This Row],[Profit]]/SalesData[[#This Row],[Revenue]]</f>
        <v>0.37022742784778206</v>
      </c>
    </row>
    <row r="21" spans="1:16" x14ac:dyDescent="0.25">
      <c r="A21" s="9" t="s">
        <v>116</v>
      </c>
      <c r="B21" s="10">
        <v>44982</v>
      </c>
      <c r="C21" s="9" t="s">
        <v>74</v>
      </c>
      <c r="D21" s="9" t="s">
        <v>92</v>
      </c>
      <c r="E21" s="9" t="s">
        <v>70</v>
      </c>
      <c r="F21" s="9" t="s">
        <v>117</v>
      </c>
      <c r="G21" s="9" t="s">
        <v>80</v>
      </c>
      <c r="H21" s="11">
        <v>22</v>
      </c>
      <c r="I21" s="12">
        <v>432.46</v>
      </c>
      <c r="J21" s="12">
        <v>9514.1200000000008</v>
      </c>
      <c r="K21" s="12">
        <v>5164.62</v>
      </c>
      <c r="L21" s="12">
        <v>4349.5</v>
      </c>
      <c r="M21" s="9" t="s">
        <v>65</v>
      </c>
      <c r="N21" s="9" t="s">
        <v>61</v>
      </c>
      <c r="O21" s="31">
        <f>SalesData[[#This Row],[UnitPrice]]/SalesData[[#This Row],[Revenue]]</f>
        <v>4.5454545454545449E-2</v>
      </c>
      <c r="P21" s="31">
        <f>SalesData[[#This Row],[Profit]]/SalesData[[#This Row],[Revenue]]</f>
        <v>0.45716261724678686</v>
      </c>
    </row>
    <row r="22" spans="1:16" x14ac:dyDescent="0.25">
      <c r="A22" s="9" t="s">
        <v>118</v>
      </c>
      <c r="B22" s="10">
        <v>45359</v>
      </c>
      <c r="C22" s="9" t="s">
        <v>55</v>
      </c>
      <c r="D22" s="9" t="s">
        <v>56</v>
      </c>
      <c r="E22" s="9" t="s">
        <v>93</v>
      </c>
      <c r="F22" s="9" t="s">
        <v>111</v>
      </c>
      <c r="G22" s="9" t="s">
        <v>84</v>
      </c>
      <c r="H22" s="11">
        <v>4</v>
      </c>
      <c r="I22" s="12">
        <v>76.930000000000007</v>
      </c>
      <c r="J22" s="12">
        <v>307.72000000000003</v>
      </c>
      <c r="K22" s="12">
        <v>146.22</v>
      </c>
      <c r="L22" s="12">
        <v>161.5</v>
      </c>
      <c r="M22" s="9" t="s">
        <v>65</v>
      </c>
      <c r="N22" s="9" t="s">
        <v>66</v>
      </c>
      <c r="O22" s="31">
        <f>SalesData[[#This Row],[UnitPrice]]/SalesData[[#This Row],[Revenue]]</f>
        <v>0.25</v>
      </c>
      <c r="P22" s="31">
        <f>SalesData[[#This Row],[Profit]]/SalesData[[#This Row],[Revenue]]</f>
        <v>0.52482776550110488</v>
      </c>
    </row>
    <row r="23" spans="1:16" x14ac:dyDescent="0.25">
      <c r="A23" s="9" t="s">
        <v>119</v>
      </c>
      <c r="B23" s="10">
        <v>45594</v>
      </c>
      <c r="C23" s="9" t="s">
        <v>98</v>
      </c>
      <c r="D23" s="9" t="s">
        <v>110</v>
      </c>
      <c r="E23" s="9" t="s">
        <v>93</v>
      </c>
      <c r="F23" s="9" t="s">
        <v>94</v>
      </c>
      <c r="G23" s="9" t="s">
        <v>80</v>
      </c>
      <c r="H23" s="11">
        <v>15</v>
      </c>
      <c r="I23" s="12">
        <v>205.04</v>
      </c>
      <c r="J23" s="12">
        <v>3075.6</v>
      </c>
      <c r="K23" s="12">
        <v>2055.21</v>
      </c>
      <c r="L23" s="12">
        <v>1020.39</v>
      </c>
      <c r="M23" s="9" t="s">
        <v>60</v>
      </c>
      <c r="N23" s="9" t="s">
        <v>66</v>
      </c>
      <c r="O23" s="31">
        <f>SalesData[[#This Row],[UnitPrice]]/SalesData[[#This Row],[Revenue]]</f>
        <v>6.6666666666666666E-2</v>
      </c>
      <c r="P23" s="31">
        <f>SalesData[[#This Row],[Profit]]/SalesData[[#This Row],[Revenue]]</f>
        <v>0.33176941084666406</v>
      </c>
    </row>
    <row r="24" spans="1:16" x14ac:dyDescent="0.25">
      <c r="A24" s="9" t="s">
        <v>120</v>
      </c>
      <c r="B24" s="10">
        <v>45315</v>
      </c>
      <c r="C24" s="9" t="s">
        <v>55</v>
      </c>
      <c r="D24" s="9" t="s">
        <v>56</v>
      </c>
      <c r="E24" s="9" t="s">
        <v>70</v>
      </c>
      <c r="F24" s="9" t="s">
        <v>87</v>
      </c>
      <c r="G24" s="9" t="s">
        <v>72</v>
      </c>
      <c r="H24" s="11">
        <v>16</v>
      </c>
      <c r="I24" s="12">
        <v>473.71</v>
      </c>
      <c r="J24" s="12">
        <v>7579.36</v>
      </c>
      <c r="K24" s="12">
        <v>5083.8500000000004</v>
      </c>
      <c r="L24" s="12">
        <v>2495.5100000000002</v>
      </c>
      <c r="M24" s="9" t="s">
        <v>60</v>
      </c>
      <c r="N24" s="9" t="s">
        <v>66</v>
      </c>
      <c r="O24" s="31">
        <f>SalesData[[#This Row],[UnitPrice]]/SalesData[[#This Row],[Revenue]]</f>
        <v>6.25E-2</v>
      </c>
      <c r="P24" s="31">
        <f>SalesData[[#This Row],[Profit]]/SalesData[[#This Row],[Revenue]]</f>
        <v>0.32925075468113407</v>
      </c>
    </row>
    <row r="25" spans="1:16" x14ac:dyDescent="0.25">
      <c r="A25" s="9" t="s">
        <v>121</v>
      </c>
      <c r="B25" s="10">
        <v>45121</v>
      </c>
      <c r="C25" s="9" t="s">
        <v>55</v>
      </c>
      <c r="D25" s="9" t="s">
        <v>82</v>
      </c>
      <c r="E25" s="9" t="s">
        <v>57</v>
      </c>
      <c r="F25" s="9" t="s">
        <v>83</v>
      </c>
      <c r="G25" s="9" t="s">
        <v>77</v>
      </c>
      <c r="H25" s="11">
        <v>14</v>
      </c>
      <c r="I25" s="12">
        <v>56.54</v>
      </c>
      <c r="J25" s="12">
        <v>791.56</v>
      </c>
      <c r="K25" s="12">
        <v>500.14</v>
      </c>
      <c r="L25" s="12">
        <v>291.42</v>
      </c>
      <c r="M25" s="9" t="s">
        <v>65</v>
      </c>
      <c r="N25" s="9" t="s">
        <v>66</v>
      </c>
      <c r="O25" s="31">
        <f>SalesData[[#This Row],[UnitPrice]]/SalesData[[#This Row],[Revenue]]</f>
        <v>7.1428571428571438E-2</v>
      </c>
      <c r="P25" s="31">
        <f>SalesData[[#This Row],[Profit]]/SalesData[[#This Row],[Revenue]]</f>
        <v>0.36815907827580985</v>
      </c>
    </row>
    <row r="26" spans="1:16" x14ac:dyDescent="0.25">
      <c r="A26" s="9" t="s">
        <v>122</v>
      </c>
      <c r="B26" s="10">
        <v>45800</v>
      </c>
      <c r="C26" s="9" t="s">
        <v>68</v>
      </c>
      <c r="D26" s="9" t="s">
        <v>123</v>
      </c>
      <c r="E26" s="9" t="s">
        <v>63</v>
      </c>
      <c r="F26" s="9" t="s">
        <v>124</v>
      </c>
      <c r="G26" s="9" t="s">
        <v>125</v>
      </c>
      <c r="H26" s="11">
        <v>24</v>
      </c>
      <c r="I26" s="12">
        <v>427.96</v>
      </c>
      <c r="J26" s="12">
        <v>10271.040000000001</v>
      </c>
      <c r="K26" s="12">
        <v>4463.1899999999996</v>
      </c>
      <c r="L26" s="12">
        <v>5807.85</v>
      </c>
      <c r="M26" s="9" t="s">
        <v>65</v>
      </c>
      <c r="N26" s="9" t="s">
        <v>61</v>
      </c>
      <c r="O26" s="31">
        <f>SalesData[[#This Row],[UnitPrice]]/SalesData[[#This Row],[Revenue]]</f>
        <v>4.1666666666666664E-2</v>
      </c>
      <c r="P26" s="31">
        <f>SalesData[[#This Row],[Profit]]/SalesData[[#This Row],[Revenue]]</f>
        <v>0.56545880456117392</v>
      </c>
    </row>
    <row r="27" spans="1:16" x14ac:dyDescent="0.25">
      <c r="A27" s="9" t="s">
        <v>126</v>
      </c>
      <c r="B27" s="10">
        <v>45838</v>
      </c>
      <c r="C27" s="9" t="s">
        <v>98</v>
      </c>
      <c r="D27" s="9" t="s">
        <v>105</v>
      </c>
      <c r="E27" s="9" t="s">
        <v>63</v>
      </c>
      <c r="F27" s="9" t="s">
        <v>64</v>
      </c>
      <c r="G27" s="9" t="s">
        <v>80</v>
      </c>
      <c r="H27" s="11">
        <v>20</v>
      </c>
      <c r="I27" s="12">
        <v>116.23</v>
      </c>
      <c r="J27" s="12">
        <v>2324.6</v>
      </c>
      <c r="K27" s="12">
        <v>1557.31</v>
      </c>
      <c r="L27" s="12">
        <v>767.29</v>
      </c>
      <c r="M27" s="9" t="s">
        <v>65</v>
      </c>
      <c r="N27" s="9" t="s">
        <v>66</v>
      </c>
      <c r="O27" s="31">
        <f>SalesData[[#This Row],[UnitPrice]]/SalesData[[#This Row],[Revenue]]</f>
        <v>0.05</v>
      </c>
      <c r="P27" s="31">
        <f>SalesData[[#This Row],[Profit]]/SalesData[[#This Row],[Revenue]]</f>
        <v>0.33007399122429665</v>
      </c>
    </row>
    <row r="28" spans="1:16" x14ac:dyDescent="0.25">
      <c r="A28" s="9" t="s">
        <v>127</v>
      </c>
      <c r="B28" s="10">
        <v>45332</v>
      </c>
      <c r="C28" s="9" t="s">
        <v>98</v>
      </c>
      <c r="D28" s="9" t="s">
        <v>105</v>
      </c>
      <c r="E28" s="9" t="s">
        <v>63</v>
      </c>
      <c r="F28" s="9" t="s">
        <v>100</v>
      </c>
      <c r="G28" s="9" t="s">
        <v>84</v>
      </c>
      <c r="H28" s="11">
        <v>9</v>
      </c>
      <c r="I28" s="12">
        <v>289.2</v>
      </c>
      <c r="J28" s="12">
        <v>2602.8000000000002</v>
      </c>
      <c r="K28" s="12">
        <v>1633.77</v>
      </c>
      <c r="L28" s="12">
        <v>969.03</v>
      </c>
      <c r="M28" s="9" t="s">
        <v>60</v>
      </c>
      <c r="N28" s="9" t="s">
        <v>128</v>
      </c>
      <c r="O28" s="31">
        <f>SalesData[[#This Row],[UnitPrice]]/SalesData[[#This Row],[Revenue]]</f>
        <v>0.1111111111111111</v>
      </c>
      <c r="P28" s="31">
        <f>SalesData[[#This Row],[Profit]]/SalesData[[#This Row],[Revenue]]</f>
        <v>0.37230290456431531</v>
      </c>
    </row>
    <row r="29" spans="1:16" x14ac:dyDescent="0.25">
      <c r="A29" s="9" t="s">
        <v>129</v>
      </c>
      <c r="B29" s="10">
        <v>45477</v>
      </c>
      <c r="C29" s="9" t="s">
        <v>98</v>
      </c>
      <c r="D29" s="9" t="s">
        <v>110</v>
      </c>
      <c r="E29" s="9" t="s">
        <v>93</v>
      </c>
      <c r="F29" s="9" t="s">
        <v>130</v>
      </c>
      <c r="G29" s="9" t="s">
        <v>80</v>
      </c>
      <c r="H29" s="11">
        <v>1</v>
      </c>
      <c r="I29" s="12">
        <v>124.94</v>
      </c>
      <c r="J29" s="12">
        <v>124.94</v>
      </c>
      <c r="K29" s="12">
        <v>88.65</v>
      </c>
      <c r="L29" s="12">
        <v>36.29</v>
      </c>
      <c r="M29" s="9" t="s">
        <v>60</v>
      </c>
      <c r="N29" s="9" t="s">
        <v>66</v>
      </c>
      <c r="O29" s="31">
        <f>SalesData[[#This Row],[UnitPrice]]/SalesData[[#This Row],[Revenue]]</f>
        <v>1</v>
      </c>
      <c r="P29" s="31">
        <f>SalesData[[#This Row],[Profit]]/SalesData[[#This Row],[Revenue]]</f>
        <v>0.29045942052185048</v>
      </c>
    </row>
    <row r="30" spans="1:16" x14ac:dyDescent="0.25">
      <c r="A30" s="9" t="s">
        <v>131</v>
      </c>
      <c r="B30" s="10">
        <v>45753</v>
      </c>
      <c r="C30" s="9" t="s">
        <v>98</v>
      </c>
      <c r="D30" s="9" t="s">
        <v>110</v>
      </c>
      <c r="E30" s="9" t="s">
        <v>70</v>
      </c>
      <c r="F30" s="9" t="s">
        <v>115</v>
      </c>
      <c r="G30" s="9" t="s">
        <v>80</v>
      </c>
      <c r="H30" s="11">
        <v>8</v>
      </c>
      <c r="I30" s="12">
        <v>382.01</v>
      </c>
      <c r="J30" s="12">
        <v>3056.08</v>
      </c>
      <c r="K30" s="12">
        <v>1423.36</v>
      </c>
      <c r="L30" s="12">
        <v>1632.72</v>
      </c>
      <c r="M30" s="9" t="s">
        <v>65</v>
      </c>
      <c r="N30" s="9" t="s">
        <v>61</v>
      </c>
      <c r="O30" s="31">
        <f>SalesData[[#This Row],[UnitPrice]]/SalesData[[#This Row],[Revenue]]</f>
        <v>0.125</v>
      </c>
      <c r="P30" s="31">
        <f>SalesData[[#This Row],[Profit]]/SalesData[[#This Row],[Revenue]]</f>
        <v>0.53425303002539204</v>
      </c>
    </row>
    <row r="31" spans="1:16" x14ac:dyDescent="0.25">
      <c r="A31" s="9" t="s">
        <v>132</v>
      </c>
      <c r="B31" s="10">
        <v>45215</v>
      </c>
      <c r="C31" s="9" t="s">
        <v>55</v>
      </c>
      <c r="D31" s="9" t="s">
        <v>102</v>
      </c>
      <c r="E31" s="9" t="s">
        <v>63</v>
      </c>
      <c r="F31" s="9" t="s">
        <v>64</v>
      </c>
      <c r="G31" s="9" t="s">
        <v>77</v>
      </c>
      <c r="H31" s="11">
        <v>4</v>
      </c>
      <c r="I31" s="12">
        <v>1159.04</v>
      </c>
      <c r="J31" s="12">
        <v>4636.16</v>
      </c>
      <c r="K31" s="12">
        <v>2945.36</v>
      </c>
      <c r="L31" s="12">
        <v>1690.8</v>
      </c>
      <c r="M31" s="9" t="s">
        <v>60</v>
      </c>
      <c r="N31" s="9" t="s">
        <v>128</v>
      </c>
      <c r="O31" s="31">
        <f>SalesData[[#This Row],[UnitPrice]]/SalesData[[#This Row],[Revenue]]</f>
        <v>0.25</v>
      </c>
      <c r="P31" s="31">
        <f>SalesData[[#This Row],[Profit]]/SalesData[[#This Row],[Revenue]]</f>
        <v>0.36469837106570957</v>
      </c>
    </row>
    <row r="32" spans="1:16" x14ac:dyDescent="0.25">
      <c r="A32" s="9" t="s">
        <v>133</v>
      </c>
      <c r="B32" s="10">
        <v>45576</v>
      </c>
      <c r="C32" s="9" t="s">
        <v>98</v>
      </c>
      <c r="D32" s="9" t="s">
        <v>110</v>
      </c>
      <c r="E32" s="9" t="s">
        <v>70</v>
      </c>
      <c r="F32" s="9" t="s">
        <v>71</v>
      </c>
      <c r="G32" s="9" t="s">
        <v>77</v>
      </c>
      <c r="H32" s="11">
        <v>17</v>
      </c>
      <c r="I32" s="12">
        <v>479.6</v>
      </c>
      <c r="J32" s="12">
        <v>8153.2</v>
      </c>
      <c r="K32" s="12">
        <v>5564.95</v>
      </c>
      <c r="L32" s="12">
        <v>2588.25</v>
      </c>
      <c r="M32" s="9" t="s">
        <v>60</v>
      </c>
      <c r="N32" s="9" t="s">
        <v>66</v>
      </c>
      <c r="O32" s="31">
        <f>SalesData[[#This Row],[UnitPrice]]/SalesData[[#This Row],[Revenue]]</f>
        <v>5.8823529411764712E-2</v>
      </c>
      <c r="P32" s="31">
        <f>SalesData[[#This Row],[Profit]]/SalesData[[#This Row],[Revenue]]</f>
        <v>0.31745204336947458</v>
      </c>
    </row>
    <row r="33" spans="1:16" x14ac:dyDescent="0.25">
      <c r="A33" s="9" t="s">
        <v>134</v>
      </c>
      <c r="B33" s="10">
        <v>45379</v>
      </c>
      <c r="C33" s="9" t="s">
        <v>74</v>
      </c>
      <c r="D33" s="9" t="s">
        <v>135</v>
      </c>
      <c r="E33" s="9" t="s">
        <v>63</v>
      </c>
      <c r="F33" s="9" t="s">
        <v>136</v>
      </c>
      <c r="G33" s="9" t="s">
        <v>84</v>
      </c>
      <c r="H33" s="11">
        <v>25</v>
      </c>
      <c r="I33" s="12">
        <v>196</v>
      </c>
      <c r="J33" s="12">
        <v>4900</v>
      </c>
      <c r="K33" s="12">
        <v>3450.29</v>
      </c>
      <c r="L33" s="12">
        <v>1449.71</v>
      </c>
      <c r="M33" s="9" t="s">
        <v>60</v>
      </c>
      <c r="N33" s="9" t="s">
        <v>61</v>
      </c>
      <c r="O33" s="31">
        <f>SalesData[[#This Row],[UnitPrice]]/SalesData[[#This Row],[Revenue]]</f>
        <v>0.04</v>
      </c>
      <c r="P33" s="31">
        <f>SalesData[[#This Row],[Profit]]/SalesData[[#This Row],[Revenue]]</f>
        <v>0.29585918367346942</v>
      </c>
    </row>
    <row r="34" spans="1:16" x14ac:dyDescent="0.25">
      <c r="A34" s="9" t="s">
        <v>137</v>
      </c>
      <c r="B34" s="10">
        <v>45057</v>
      </c>
      <c r="C34" s="9" t="s">
        <v>74</v>
      </c>
      <c r="D34" s="9" t="s">
        <v>75</v>
      </c>
      <c r="E34" s="9" t="s">
        <v>63</v>
      </c>
      <c r="F34" s="9" t="s">
        <v>136</v>
      </c>
      <c r="G34" s="9" t="s">
        <v>96</v>
      </c>
      <c r="H34" s="11">
        <v>18</v>
      </c>
      <c r="I34" s="12">
        <v>75.709999999999994</v>
      </c>
      <c r="J34" s="12">
        <v>1362.78</v>
      </c>
      <c r="K34" s="12">
        <v>718.28</v>
      </c>
      <c r="L34" s="12">
        <v>644.5</v>
      </c>
      <c r="M34" s="9" t="s">
        <v>60</v>
      </c>
      <c r="N34" s="9" t="s">
        <v>128</v>
      </c>
      <c r="O34" s="31">
        <f>SalesData[[#This Row],[UnitPrice]]/SalesData[[#This Row],[Revenue]]</f>
        <v>5.5555555555555552E-2</v>
      </c>
      <c r="P34" s="31">
        <f>SalesData[[#This Row],[Profit]]/SalesData[[#This Row],[Revenue]]</f>
        <v>0.47293033358282338</v>
      </c>
    </row>
    <row r="35" spans="1:16" x14ac:dyDescent="0.25">
      <c r="A35" s="9" t="s">
        <v>138</v>
      </c>
      <c r="B35" s="10">
        <v>45832</v>
      </c>
      <c r="C35" s="9" t="s">
        <v>55</v>
      </c>
      <c r="D35" s="9" t="s">
        <v>102</v>
      </c>
      <c r="E35" s="9" t="s">
        <v>57</v>
      </c>
      <c r="F35" s="9" t="s">
        <v>103</v>
      </c>
      <c r="G35" s="9" t="s">
        <v>84</v>
      </c>
      <c r="H35" s="11">
        <v>7</v>
      </c>
      <c r="I35" s="12">
        <v>55.47</v>
      </c>
      <c r="J35" s="12">
        <v>388.29</v>
      </c>
      <c r="K35" s="12">
        <v>238.18</v>
      </c>
      <c r="L35" s="12">
        <v>150.11000000000001</v>
      </c>
      <c r="M35" s="9" t="s">
        <v>65</v>
      </c>
      <c r="N35" s="9" t="s">
        <v>61</v>
      </c>
      <c r="O35" s="31">
        <f>SalesData[[#This Row],[UnitPrice]]/SalesData[[#This Row],[Revenue]]</f>
        <v>0.14285714285714285</v>
      </c>
      <c r="P35" s="31">
        <f>SalesData[[#This Row],[Profit]]/SalesData[[#This Row],[Revenue]]</f>
        <v>0.38659249529990475</v>
      </c>
    </row>
    <row r="36" spans="1:16" x14ac:dyDescent="0.25">
      <c r="A36" s="9" t="s">
        <v>139</v>
      </c>
      <c r="B36" s="10">
        <v>45748</v>
      </c>
      <c r="C36" s="9" t="s">
        <v>74</v>
      </c>
      <c r="D36" s="9" t="s">
        <v>140</v>
      </c>
      <c r="E36" s="9" t="s">
        <v>70</v>
      </c>
      <c r="F36" s="9" t="s">
        <v>87</v>
      </c>
      <c r="G36" s="9" t="s">
        <v>96</v>
      </c>
      <c r="H36" s="11">
        <v>14</v>
      </c>
      <c r="I36" s="12">
        <v>99.32</v>
      </c>
      <c r="J36" s="12">
        <v>1390.48</v>
      </c>
      <c r="K36" s="12">
        <v>881.01</v>
      </c>
      <c r="L36" s="12">
        <v>509.47</v>
      </c>
      <c r="M36" s="9" t="s">
        <v>65</v>
      </c>
      <c r="N36" s="9" t="s">
        <v>128</v>
      </c>
      <c r="O36" s="31">
        <f>SalesData[[#This Row],[UnitPrice]]/SalesData[[#This Row],[Revenue]]</f>
        <v>7.1428571428571425E-2</v>
      </c>
      <c r="P36" s="31">
        <f>SalesData[[#This Row],[Profit]]/SalesData[[#This Row],[Revenue]]</f>
        <v>0.36639865370231867</v>
      </c>
    </row>
    <row r="37" spans="1:16" x14ac:dyDescent="0.25">
      <c r="A37" s="9" t="s">
        <v>141</v>
      </c>
      <c r="B37" s="10">
        <v>45763</v>
      </c>
      <c r="C37" s="9" t="s">
        <v>98</v>
      </c>
      <c r="D37" s="9" t="s">
        <v>110</v>
      </c>
      <c r="E37" s="9" t="s">
        <v>70</v>
      </c>
      <c r="F37" s="9" t="s">
        <v>71</v>
      </c>
      <c r="G37" s="9" t="s">
        <v>80</v>
      </c>
      <c r="H37" s="11">
        <v>13</v>
      </c>
      <c r="I37" s="12">
        <v>794.18</v>
      </c>
      <c r="J37" s="12">
        <v>10324.34</v>
      </c>
      <c r="K37" s="12">
        <v>6906.9</v>
      </c>
      <c r="L37" s="12">
        <v>3417.44</v>
      </c>
      <c r="M37" s="9" t="s">
        <v>60</v>
      </c>
      <c r="N37" s="9" t="s">
        <v>66</v>
      </c>
      <c r="O37" s="31">
        <f>SalesData[[#This Row],[UnitPrice]]/SalesData[[#This Row],[Revenue]]</f>
        <v>7.6923076923076913E-2</v>
      </c>
      <c r="P37" s="31">
        <f>SalesData[[#This Row],[Profit]]/SalesData[[#This Row],[Revenue]]</f>
        <v>0.33100808380971569</v>
      </c>
    </row>
    <row r="38" spans="1:16" x14ac:dyDescent="0.25">
      <c r="A38" s="9" t="s">
        <v>142</v>
      </c>
      <c r="B38" s="10">
        <v>45718</v>
      </c>
      <c r="C38" s="9" t="s">
        <v>74</v>
      </c>
      <c r="D38" s="9" t="s">
        <v>135</v>
      </c>
      <c r="E38" s="9" t="s">
        <v>57</v>
      </c>
      <c r="F38" s="9" t="s">
        <v>58</v>
      </c>
      <c r="G38" s="9" t="s">
        <v>59</v>
      </c>
      <c r="H38" s="11">
        <v>1</v>
      </c>
      <c r="I38" s="12">
        <v>53.84</v>
      </c>
      <c r="J38" s="12">
        <v>53.84</v>
      </c>
      <c r="K38" s="12">
        <v>28.83</v>
      </c>
      <c r="L38" s="12">
        <v>25.01</v>
      </c>
      <c r="M38" s="9" t="s">
        <v>65</v>
      </c>
      <c r="N38" s="9" t="s">
        <v>66</v>
      </c>
      <c r="O38" s="31">
        <f>SalesData[[#This Row],[UnitPrice]]/SalesData[[#This Row],[Revenue]]</f>
        <v>1</v>
      </c>
      <c r="P38" s="31">
        <f>SalesData[[#This Row],[Profit]]/SalesData[[#This Row],[Revenue]]</f>
        <v>0.46452451708766718</v>
      </c>
    </row>
    <row r="39" spans="1:16" x14ac:dyDescent="0.25">
      <c r="A39" s="9" t="s">
        <v>143</v>
      </c>
      <c r="B39" s="10">
        <v>45198</v>
      </c>
      <c r="C39" s="9" t="s">
        <v>68</v>
      </c>
      <c r="D39" s="9" t="s">
        <v>79</v>
      </c>
      <c r="E39" s="9" t="s">
        <v>93</v>
      </c>
      <c r="F39" s="9" t="s">
        <v>111</v>
      </c>
      <c r="G39" s="9" t="s">
        <v>84</v>
      </c>
      <c r="H39" s="11">
        <v>1</v>
      </c>
      <c r="I39" s="12">
        <v>46.4</v>
      </c>
      <c r="J39" s="12">
        <v>46.4</v>
      </c>
      <c r="K39" s="12">
        <v>32.549999999999997</v>
      </c>
      <c r="L39" s="12">
        <v>13.85</v>
      </c>
      <c r="M39" s="9" t="s">
        <v>60</v>
      </c>
      <c r="N39" s="9" t="s">
        <v>61</v>
      </c>
      <c r="O39" s="31">
        <f>SalesData[[#This Row],[UnitPrice]]/SalesData[[#This Row],[Revenue]]</f>
        <v>1</v>
      </c>
      <c r="P39" s="31">
        <f>SalesData[[#This Row],[Profit]]/SalesData[[#This Row],[Revenue]]</f>
        <v>0.29849137931034481</v>
      </c>
    </row>
    <row r="40" spans="1:16" x14ac:dyDescent="0.25">
      <c r="A40" s="9" t="s">
        <v>144</v>
      </c>
      <c r="B40" s="10">
        <v>45121</v>
      </c>
      <c r="C40" s="9" t="s">
        <v>55</v>
      </c>
      <c r="D40" s="9" t="s">
        <v>56</v>
      </c>
      <c r="E40" s="9" t="s">
        <v>93</v>
      </c>
      <c r="F40" s="9" t="s">
        <v>130</v>
      </c>
      <c r="G40" s="9" t="s">
        <v>84</v>
      </c>
      <c r="H40" s="11">
        <v>14</v>
      </c>
      <c r="I40" s="12">
        <v>158.82</v>
      </c>
      <c r="J40" s="12">
        <v>2223.48</v>
      </c>
      <c r="K40" s="12">
        <v>1263.6300000000001</v>
      </c>
      <c r="L40" s="12">
        <v>959.85</v>
      </c>
      <c r="M40" s="9" t="s">
        <v>65</v>
      </c>
      <c r="N40" s="9" t="s">
        <v>61</v>
      </c>
      <c r="O40" s="31">
        <f>SalesData[[#This Row],[UnitPrice]]/SalesData[[#This Row],[Revenue]]</f>
        <v>7.1428571428571425E-2</v>
      </c>
      <c r="P40" s="31">
        <f>SalesData[[#This Row],[Profit]]/SalesData[[#This Row],[Revenue]]</f>
        <v>0.43168816449889363</v>
      </c>
    </row>
    <row r="41" spans="1:16" x14ac:dyDescent="0.25">
      <c r="A41" s="9" t="s">
        <v>145</v>
      </c>
      <c r="B41" s="10">
        <v>45248</v>
      </c>
      <c r="C41" s="9" t="s">
        <v>68</v>
      </c>
      <c r="D41" s="9" t="s">
        <v>69</v>
      </c>
      <c r="E41" s="9" t="s">
        <v>93</v>
      </c>
      <c r="F41" s="9" t="s">
        <v>146</v>
      </c>
      <c r="G41" s="9" t="s">
        <v>59</v>
      </c>
      <c r="H41" s="11">
        <v>12</v>
      </c>
      <c r="I41" s="12">
        <v>118.76</v>
      </c>
      <c r="J41" s="12">
        <v>1425.12</v>
      </c>
      <c r="K41" s="12">
        <v>990.71</v>
      </c>
      <c r="L41" s="12">
        <v>434.41</v>
      </c>
      <c r="M41" s="9" t="s">
        <v>65</v>
      </c>
      <c r="N41" s="9" t="s">
        <v>61</v>
      </c>
      <c r="O41" s="31">
        <f>SalesData[[#This Row],[UnitPrice]]/SalesData[[#This Row],[Revenue]]</f>
        <v>8.3333333333333343E-2</v>
      </c>
      <c r="P41" s="31">
        <f>SalesData[[#This Row],[Profit]]/SalesData[[#This Row],[Revenue]]</f>
        <v>0.30482345346356804</v>
      </c>
    </row>
    <row r="42" spans="1:16" x14ac:dyDescent="0.25">
      <c r="A42" s="9" t="s">
        <v>147</v>
      </c>
      <c r="B42" s="10">
        <v>45357</v>
      </c>
      <c r="C42" s="9" t="s">
        <v>55</v>
      </c>
      <c r="D42" s="9" t="s">
        <v>102</v>
      </c>
      <c r="E42" s="9" t="s">
        <v>57</v>
      </c>
      <c r="F42" s="9" t="s">
        <v>106</v>
      </c>
      <c r="G42" s="9" t="s">
        <v>72</v>
      </c>
      <c r="H42" s="11">
        <v>11</v>
      </c>
      <c r="I42" s="12">
        <v>34.770000000000003</v>
      </c>
      <c r="J42" s="12">
        <v>382.47</v>
      </c>
      <c r="K42" s="12">
        <v>193.43</v>
      </c>
      <c r="L42" s="12">
        <v>189.04</v>
      </c>
      <c r="M42" s="9" t="s">
        <v>60</v>
      </c>
      <c r="N42" s="9" t="s">
        <v>66</v>
      </c>
      <c r="O42" s="31">
        <f>SalesData[[#This Row],[UnitPrice]]/SalesData[[#This Row],[Revenue]]</f>
        <v>9.0909090909090912E-2</v>
      </c>
      <c r="P42" s="31">
        <f>SalesData[[#This Row],[Profit]]/SalesData[[#This Row],[Revenue]]</f>
        <v>0.49426098778989197</v>
      </c>
    </row>
    <row r="43" spans="1:16" x14ac:dyDescent="0.25">
      <c r="A43" s="9" t="s">
        <v>148</v>
      </c>
      <c r="B43" s="10">
        <v>45379</v>
      </c>
      <c r="C43" s="9" t="s">
        <v>74</v>
      </c>
      <c r="D43" s="9" t="s">
        <v>140</v>
      </c>
      <c r="E43" s="9" t="s">
        <v>57</v>
      </c>
      <c r="F43" s="9" t="s">
        <v>83</v>
      </c>
      <c r="G43" s="9" t="s">
        <v>125</v>
      </c>
      <c r="H43" s="11">
        <v>10</v>
      </c>
      <c r="I43" s="12">
        <v>26.22</v>
      </c>
      <c r="J43" s="12">
        <v>262.2</v>
      </c>
      <c r="K43" s="12">
        <v>142.81</v>
      </c>
      <c r="L43" s="12">
        <v>119.39</v>
      </c>
      <c r="M43" s="9" t="s">
        <v>65</v>
      </c>
      <c r="N43" s="9" t="s">
        <v>128</v>
      </c>
      <c r="O43" s="31">
        <f>SalesData[[#This Row],[UnitPrice]]/SalesData[[#This Row],[Revenue]]</f>
        <v>0.1</v>
      </c>
      <c r="P43" s="31">
        <f>SalesData[[#This Row],[Profit]]/SalesData[[#This Row],[Revenue]]</f>
        <v>0.45533943554538525</v>
      </c>
    </row>
    <row r="44" spans="1:16" x14ac:dyDescent="0.25">
      <c r="A44" s="9" t="s">
        <v>149</v>
      </c>
      <c r="B44" s="10">
        <v>45765</v>
      </c>
      <c r="C44" s="9" t="s">
        <v>74</v>
      </c>
      <c r="D44" s="9" t="s">
        <v>140</v>
      </c>
      <c r="E44" s="9" t="s">
        <v>93</v>
      </c>
      <c r="F44" s="9" t="s">
        <v>111</v>
      </c>
      <c r="G44" s="9" t="s">
        <v>96</v>
      </c>
      <c r="H44" s="11">
        <v>22</v>
      </c>
      <c r="I44" s="12">
        <v>39.409999999999997</v>
      </c>
      <c r="J44" s="12">
        <v>867.02</v>
      </c>
      <c r="K44" s="12">
        <v>493.75</v>
      </c>
      <c r="L44" s="12">
        <v>373.27</v>
      </c>
      <c r="M44" s="9" t="s">
        <v>65</v>
      </c>
      <c r="N44" s="9" t="s">
        <v>66</v>
      </c>
      <c r="O44" s="31">
        <f>SalesData[[#This Row],[UnitPrice]]/SalesData[[#This Row],[Revenue]]</f>
        <v>4.5454545454545449E-2</v>
      </c>
      <c r="P44" s="31">
        <f>SalesData[[#This Row],[Profit]]/SalesData[[#This Row],[Revenue]]</f>
        <v>0.43052063389541184</v>
      </c>
    </row>
    <row r="45" spans="1:16" x14ac:dyDescent="0.25">
      <c r="A45" s="9" t="s">
        <v>150</v>
      </c>
      <c r="B45" s="10">
        <v>45351</v>
      </c>
      <c r="C45" s="9" t="s">
        <v>98</v>
      </c>
      <c r="D45" s="9" t="s">
        <v>110</v>
      </c>
      <c r="E45" s="9" t="s">
        <v>70</v>
      </c>
      <c r="F45" s="9" t="s">
        <v>87</v>
      </c>
      <c r="G45" s="9" t="s">
        <v>96</v>
      </c>
      <c r="H45" s="11">
        <v>1</v>
      </c>
      <c r="I45" s="12">
        <v>116.9</v>
      </c>
      <c r="J45" s="12">
        <v>116.9</v>
      </c>
      <c r="K45" s="12">
        <v>82.45</v>
      </c>
      <c r="L45" s="12">
        <v>34.450000000000003</v>
      </c>
      <c r="M45" s="9" t="s">
        <v>60</v>
      </c>
      <c r="N45" s="9" t="s">
        <v>128</v>
      </c>
      <c r="O45" s="31">
        <f>SalesData[[#This Row],[UnitPrice]]/SalesData[[#This Row],[Revenue]]</f>
        <v>1</v>
      </c>
      <c r="P45" s="31">
        <f>SalesData[[#This Row],[Profit]]/SalesData[[#This Row],[Revenue]]</f>
        <v>0.29469632164242943</v>
      </c>
    </row>
    <row r="46" spans="1:16" x14ac:dyDescent="0.25">
      <c r="A46" s="9" t="s">
        <v>151</v>
      </c>
      <c r="B46" s="10">
        <v>45151</v>
      </c>
      <c r="C46" s="9" t="s">
        <v>98</v>
      </c>
      <c r="D46" s="9" t="s">
        <v>99</v>
      </c>
      <c r="E46" s="9" t="s">
        <v>93</v>
      </c>
      <c r="F46" s="9" t="s">
        <v>152</v>
      </c>
      <c r="G46" s="9" t="s">
        <v>59</v>
      </c>
      <c r="H46" s="11">
        <v>5</v>
      </c>
      <c r="I46" s="12">
        <v>170.23</v>
      </c>
      <c r="J46" s="12">
        <v>851.15</v>
      </c>
      <c r="K46" s="12">
        <v>358.85</v>
      </c>
      <c r="L46" s="12">
        <v>492.3</v>
      </c>
      <c r="M46" s="9" t="s">
        <v>60</v>
      </c>
      <c r="N46" s="9" t="s">
        <v>128</v>
      </c>
      <c r="O46" s="31">
        <f>SalesData[[#This Row],[UnitPrice]]/SalesData[[#This Row],[Revenue]]</f>
        <v>0.19999999999999998</v>
      </c>
      <c r="P46" s="31">
        <f>SalesData[[#This Row],[Profit]]/SalesData[[#This Row],[Revenue]]</f>
        <v>0.57839393761381663</v>
      </c>
    </row>
    <row r="47" spans="1:16" x14ac:dyDescent="0.25">
      <c r="A47" s="9" t="s">
        <v>153</v>
      </c>
      <c r="B47" s="10">
        <v>45554</v>
      </c>
      <c r="C47" s="9" t="s">
        <v>98</v>
      </c>
      <c r="D47" s="9" t="s">
        <v>99</v>
      </c>
      <c r="E47" s="9" t="s">
        <v>63</v>
      </c>
      <c r="F47" s="9" t="s">
        <v>124</v>
      </c>
      <c r="G47" s="9" t="s">
        <v>59</v>
      </c>
      <c r="H47" s="11">
        <v>4</v>
      </c>
      <c r="I47" s="12">
        <v>609.24</v>
      </c>
      <c r="J47" s="12">
        <v>2436.96</v>
      </c>
      <c r="K47" s="12">
        <v>1589.9</v>
      </c>
      <c r="L47" s="12">
        <v>847.06</v>
      </c>
      <c r="M47" s="9" t="s">
        <v>65</v>
      </c>
      <c r="N47" s="9" t="s">
        <v>128</v>
      </c>
      <c r="O47" s="31">
        <f>SalesData[[#This Row],[UnitPrice]]/SalesData[[#This Row],[Revenue]]</f>
        <v>0.25</v>
      </c>
      <c r="P47" s="31">
        <f>SalesData[[#This Row],[Profit]]/SalesData[[#This Row],[Revenue]]</f>
        <v>0.34758879915960866</v>
      </c>
    </row>
    <row r="48" spans="1:16" x14ac:dyDescent="0.25">
      <c r="A48" s="9" t="s">
        <v>154</v>
      </c>
      <c r="B48" s="10">
        <v>45423</v>
      </c>
      <c r="C48" s="9" t="s">
        <v>74</v>
      </c>
      <c r="D48" s="9" t="s">
        <v>92</v>
      </c>
      <c r="E48" s="9" t="s">
        <v>70</v>
      </c>
      <c r="F48" s="9" t="s">
        <v>71</v>
      </c>
      <c r="G48" s="9" t="s">
        <v>88</v>
      </c>
      <c r="H48" s="11">
        <v>15</v>
      </c>
      <c r="I48" s="12">
        <v>291.54000000000002</v>
      </c>
      <c r="J48" s="12">
        <v>4373.1000000000004</v>
      </c>
      <c r="K48" s="12">
        <v>2150.25</v>
      </c>
      <c r="L48" s="12">
        <v>2222.85</v>
      </c>
      <c r="M48" s="9" t="s">
        <v>65</v>
      </c>
      <c r="N48" s="9" t="s">
        <v>61</v>
      </c>
      <c r="O48" s="31">
        <f>SalesData[[#This Row],[UnitPrice]]/SalesData[[#This Row],[Revenue]]</f>
        <v>6.6666666666666666E-2</v>
      </c>
      <c r="P48" s="31">
        <f>SalesData[[#This Row],[Profit]]/SalesData[[#This Row],[Revenue]]</f>
        <v>0.50830074775330991</v>
      </c>
    </row>
    <row r="49" spans="1:16" x14ac:dyDescent="0.25">
      <c r="A49" s="9" t="s">
        <v>155</v>
      </c>
      <c r="B49" s="10">
        <v>45081</v>
      </c>
      <c r="C49" s="9" t="s">
        <v>98</v>
      </c>
      <c r="D49" s="9" t="s">
        <v>110</v>
      </c>
      <c r="E49" s="9" t="s">
        <v>93</v>
      </c>
      <c r="F49" s="9" t="s">
        <v>146</v>
      </c>
      <c r="G49" s="9" t="s">
        <v>77</v>
      </c>
      <c r="H49" s="11">
        <v>8</v>
      </c>
      <c r="I49" s="12">
        <v>82.22</v>
      </c>
      <c r="J49" s="12">
        <v>657.76</v>
      </c>
      <c r="K49" s="12">
        <v>337.24</v>
      </c>
      <c r="L49" s="12">
        <v>320.52</v>
      </c>
      <c r="M49" s="9" t="s">
        <v>60</v>
      </c>
      <c r="N49" s="9" t="s">
        <v>66</v>
      </c>
      <c r="O49" s="31">
        <f>SalesData[[#This Row],[UnitPrice]]/SalesData[[#This Row],[Revenue]]</f>
        <v>0.125</v>
      </c>
      <c r="P49" s="31">
        <f>SalesData[[#This Row],[Profit]]/SalesData[[#This Row],[Revenue]]</f>
        <v>0.48729019703235221</v>
      </c>
    </row>
    <row r="50" spans="1:16" x14ac:dyDescent="0.25">
      <c r="A50" s="9" t="s">
        <v>156</v>
      </c>
      <c r="B50" s="10">
        <v>44990</v>
      </c>
      <c r="C50" s="9" t="s">
        <v>98</v>
      </c>
      <c r="D50" s="9" t="s">
        <v>99</v>
      </c>
      <c r="E50" s="9" t="s">
        <v>70</v>
      </c>
      <c r="F50" s="9" t="s">
        <v>71</v>
      </c>
      <c r="G50" s="9" t="s">
        <v>59</v>
      </c>
      <c r="H50" s="11">
        <v>3</v>
      </c>
      <c r="I50" s="12">
        <v>419.19</v>
      </c>
      <c r="J50" s="12">
        <v>1257.57</v>
      </c>
      <c r="K50" s="12">
        <v>648.85</v>
      </c>
      <c r="L50" s="12">
        <v>608.72</v>
      </c>
      <c r="M50" s="9" t="s">
        <v>65</v>
      </c>
      <c r="N50" s="9" t="s">
        <v>128</v>
      </c>
      <c r="O50" s="31">
        <f>SalesData[[#This Row],[UnitPrice]]/SalesData[[#This Row],[Revenue]]</f>
        <v>0.33333333333333337</v>
      </c>
      <c r="P50" s="31">
        <f>SalesData[[#This Row],[Profit]]/SalesData[[#This Row],[Revenue]]</f>
        <v>0.48404462574647938</v>
      </c>
    </row>
    <row r="51" spans="1:16" x14ac:dyDescent="0.25">
      <c r="A51" s="9" t="s">
        <v>157</v>
      </c>
      <c r="B51" s="10">
        <v>45698</v>
      </c>
      <c r="C51" s="9" t="s">
        <v>98</v>
      </c>
      <c r="D51" s="9" t="s">
        <v>99</v>
      </c>
      <c r="E51" s="9" t="s">
        <v>93</v>
      </c>
      <c r="F51" s="9" t="s">
        <v>158</v>
      </c>
      <c r="G51" s="9" t="s">
        <v>125</v>
      </c>
      <c r="H51" s="11">
        <v>25</v>
      </c>
      <c r="I51" s="12">
        <v>151.83000000000001</v>
      </c>
      <c r="J51" s="12">
        <v>3795.75</v>
      </c>
      <c r="K51" s="12">
        <v>2119.2600000000002</v>
      </c>
      <c r="L51" s="12">
        <v>1676.49</v>
      </c>
      <c r="M51" s="9" t="s">
        <v>65</v>
      </c>
      <c r="N51" s="9" t="s">
        <v>128</v>
      </c>
      <c r="O51" s="31">
        <f>SalesData[[#This Row],[UnitPrice]]/SalesData[[#This Row],[Revenue]]</f>
        <v>0.04</v>
      </c>
      <c r="P51" s="31">
        <f>SalesData[[#This Row],[Profit]]/SalesData[[#This Row],[Revenue]]</f>
        <v>0.44167555819008103</v>
      </c>
    </row>
    <row r="52" spans="1:16" x14ac:dyDescent="0.25">
      <c r="A52" s="9" t="s">
        <v>159</v>
      </c>
      <c r="B52" s="10">
        <v>45622</v>
      </c>
      <c r="C52" s="9" t="s">
        <v>74</v>
      </c>
      <c r="D52" s="9" t="s">
        <v>92</v>
      </c>
      <c r="E52" s="9" t="s">
        <v>70</v>
      </c>
      <c r="F52" s="9" t="s">
        <v>160</v>
      </c>
      <c r="G52" s="9" t="s">
        <v>59</v>
      </c>
      <c r="H52" s="11">
        <v>9</v>
      </c>
      <c r="I52" s="12">
        <v>436.39</v>
      </c>
      <c r="J52" s="12">
        <v>3927.51</v>
      </c>
      <c r="K52" s="12">
        <v>1682.61</v>
      </c>
      <c r="L52" s="12">
        <v>2244.9</v>
      </c>
      <c r="M52" s="9" t="s">
        <v>65</v>
      </c>
      <c r="N52" s="9" t="s">
        <v>61</v>
      </c>
      <c r="O52" s="31">
        <f>SalesData[[#This Row],[UnitPrice]]/SalesData[[#This Row],[Revenue]]</f>
        <v>0.1111111111111111</v>
      </c>
      <c r="P52" s="31">
        <f>SalesData[[#This Row],[Profit]]/SalesData[[#This Row],[Revenue]]</f>
        <v>0.57158352238441146</v>
      </c>
    </row>
    <row r="53" spans="1:16" x14ac:dyDescent="0.25">
      <c r="A53" s="9" t="s">
        <v>161</v>
      </c>
      <c r="B53" s="10">
        <v>45365</v>
      </c>
      <c r="C53" s="9" t="s">
        <v>74</v>
      </c>
      <c r="D53" s="9" t="s">
        <v>140</v>
      </c>
      <c r="E53" s="9" t="s">
        <v>93</v>
      </c>
      <c r="F53" s="9" t="s">
        <v>94</v>
      </c>
      <c r="G53" s="9" t="s">
        <v>125</v>
      </c>
      <c r="H53" s="11">
        <v>13</v>
      </c>
      <c r="I53" s="12">
        <v>155.54</v>
      </c>
      <c r="J53" s="12">
        <v>2022.02</v>
      </c>
      <c r="K53" s="12">
        <v>1238.02</v>
      </c>
      <c r="L53" s="12">
        <v>784</v>
      </c>
      <c r="M53" s="9" t="s">
        <v>60</v>
      </c>
      <c r="N53" s="9" t="s">
        <v>61</v>
      </c>
      <c r="O53" s="31">
        <f>SalesData[[#This Row],[UnitPrice]]/SalesData[[#This Row],[Revenue]]</f>
        <v>7.6923076923076913E-2</v>
      </c>
      <c r="P53" s="31">
        <f>SalesData[[#This Row],[Profit]]/SalesData[[#This Row],[Revenue]]</f>
        <v>0.38773108080038776</v>
      </c>
    </row>
    <row r="54" spans="1:16" x14ac:dyDescent="0.25">
      <c r="A54" s="9" t="s">
        <v>162</v>
      </c>
      <c r="B54" s="10">
        <v>45211</v>
      </c>
      <c r="C54" s="9" t="s">
        <v>98</v>
      </c>
      <c r="D54" s="9" t="s">
        <v>99</v>
      </c>
      <c r="E54" s="9" t="s">
        <v>70</v>
      </c>
      <c r="F54" s="9" t="s">
        <v>117</v>
      </c>
      <c r="G54" s="9" t="s">
        <v>77</v>
      </c>
      <c r="H54" s="11">
        <v>13</v>
      </c>
      <c r="I54" s="12">
        <v>347.43</v>
      </c>
      <c r="J54" s="12">
        <v>4516.59</v>
      </c>
      <c r="K54" s="12">
        <v>2492.54</v>
      </c>
      <c r="L54" s="12">
        <v>2024.05</v>
      </c>
      <c r="M54" s="9" t="s">
        <v>65</v>
      </c>
      <c r="N54" s="9" t="s">
        <v>128</v>
      </c>
      <c r="O54" s="31">
        <f>SalesData[[#This Row],[UnitPrice]]/SalesData[[#This Row],[Revenue]]</f>
        <v>7.6923076923076927E-2</v>
      </c>
      <c r="P54" s="31">
        <f>SalesData[[#This Row],[Profit]]/SalesData[[#This Row],[Revenue]]</f>
        <v>0.44813675804091135</v>
      </c>
    </row>
    <row r="55" spans="1:16" x14ac:dyDescent="0.25">
      <c r="A55" s="9" t="s">
        <v>163</v>
      </c>
      <c r="B55" s="10">
        <v>45592</v>
      </c>
      <c r="C55" s="9" t="s">
        <v>74</v>
      </c>
      <c r="D55" s="9" t="s">
        <v>135</v>
      </c>
      <c r="E55" s="9" t="s">
        <v>63</v>
      </c>
      <c r="F55" s="9" t="s">
        <v>100</v>
      </c>
      <c r="G55" s="9" t="s">
        <v>125</v>
      </c>
      <c r="H55" s="11">
        <v>24</v>
      </c>
      <c r="I55" s="12">
        <v>714.52</v>
      </c>
      <c r="J55" s="12">
        <v>17148.48</v>
      </c>
      <c r="K55" s="12">
        <v>12174.96</v>
      </c>
      <c r="L55" s="12">
        <v>4973.5200000000004</v>
      </c>
      <c r="M55" s="9" t="s">
        <v>65</v>
      </c>
      <c r="N55" s="9" t="s">
        <v>66</v>
      </c>
      <c r="O55" s="31">
        <f>SalesData[[#This Row],[UnitPrice]]/SalesData[[#This Row],[Revenue]]</f>
        <v>4.1666666666666664E-2</v>
      </c>
      <c r="P55" s="31">
        <f>SalesData[[#This Row],[Profit]]/SalesData[[#This Row],[Revenue]]</f>
        <v>0.29002687118625092</v>
      </c>
    </row>
    <row r="56" spans="1:16" x14ac:dyDescent="0.25">
      <c r="A56" s="9" t="s">
        <v>164</v>
      </c>
      <c r="B56" s="10">
        <v>45044</v>
      </c>
      <c r="C56" s="9" t="s">
        <v>55</v>
      </c>
      <c r="D56" s="9" t="s">
        <v>56</v>
      </c>
      <c r="E56" s="9" t="s">
        <v>63</v>
      </c>
      <c r="F56" s="9" t="s">
        <v>64</v>
      </c>
      <c r="G56" s="9" t="s">
        <v>59</v>
      </c>
      <c r="H56" s="11">
        <v>1</v>
      </c>
      <c r="I56" s="12">
        <v>818.47</v>
      </c>
      <c r="J56" s="12">
        <v>818.47</v>
      </c>
      <c r="K56" s="12">
        <v>400.38</v>
      </c>
      <c r="L56" s="12">
        <v>418.09</v>
      </c>
      <c r="M56" s="9" t="s">
        <v>65</v>
      </c>
      <c r="N56" s="9" t="s">
        <v>61</v>
      </c>
      <c r="O56" s="31">
        <f>SalesData[[#This Row],[UnitPrice]]/SalesData[[#This Row],[Revenue]]</f>
        <v>1</v>
      </c>
      <c r="P56" s="31">
        <f>SalesData[[#This Row],[Profit]]/SalesData[[#This Row],[Revenue]]</f>
        <v>0.51081896709714458</v>
      </c>
    </row>
    <row r="57" spans="1:16" x14ac:dyDescent="0.25">
      <c r="A57" s="9" t="s">
        <v>165</v>
      </c>
      <c r="B57" s="10">
        <v>45245</v>
      </c>
      <c r="C57" s="9" t="s">
        <v>98</v>
      </c>
      <c r="D57" s="9" t="s">
        <v>99</v>
      </c>
      <c r="E57" s="9" t="s">
        <v>57</v>
      </c>
      <c r="F57" s="9" t="s">
        <v>76</v>
      </c>
      <c r="G57" s="9" t="s">
        <v>96</v>
      </c>
      <c r="H57" s="11">
        <v>20</v>
      </c>
      <c r="I57" s="12">
        <v>49.93</v>
      </c>
      <c r="J57" s="12">
        <v>998.6</v>
      </c>
      <c r="K57" s="12">
        <v>636.01</v>
      </c>
      <c r="L57" s="12">
        <v>362.59</v>
      </c>
      <c r="M57" s="9" t="s">
        <v>60</v>
      </c>
      <c r="N57" s="9" t="s">
        <v>66</v>
      </c>
      <c r="O57" s="31">
        <f>SalesData[[#This Row],[UnitPrice]]/SalesData[[#This Row],[Revenue]]</f>
        <v>4.9999999999999996E-2</v>
      </c>
      <c r="P57" s="31">
        <f>SalesData[[#This Row],[Profit]]/SalesData[[#This Row],[Revenue]]</f>
        <v>0.3630983376727418</v>
      </c>
    </row>
    <row r="58" spans="1:16" x14ac:dyDescent="0.25">
      <c r="A58" s="9" t="s">
        <v>166</v>
      </c>
      <c r="B58" s="10">
        <v>45640</v>
      </c>
      <c r="C58" s="9" t="s">
        <v>55</v>
      </c>
      <c r="D58" s="9" t="s">
        <v>56</v>
      </c>
      <c r="E58" s="9" t="s">
        <v>57</v>
      </c>
      <c r="F58" s="9" t="s">
        <v>167</v>
      </c>
      <c r="G58" s="9" t="s">
        <v>72</v>
      </c>
      <c r="H58" s="11">
        <v>13</v>
      </c>
      <c r="I58" s="12">
        <v>74.67</v>
      </c>
      <c r="J58" s="12">
        <v>970.71</v>
      </c>
      <c r="K58" s="12">
        <v>463.53</v>
      </c>
      <c r="L58" s="12">
        <v>507.18</v>
      </c>
      <c r="M58" s="9" t="s">
        <v>60</v>
      </c>
      <c r="N58" s="9" t="s">
        <v>66</v>
      </c>
      <c r="O58" s="31">
        <f>SalesData[[#This Row],[UnitPrice]]/SalesData[[#This Row],[Revenue]]</f>
        <v>7.6923076923076927E-2</v>
      </c>
      <c r="P58" s="31">
        <f>SalesData[[#This Row],[Profit]]/SalesData[[#This Row],[Revenue]]</f>
        <v>0.5224835429736997</v>
      </c>
    </row>
    <row r="59" spans="1:16" x14ac:dyDescent="0.25">
      <c r="A59" s="9" t="s">
        <v>168</v>
      </c>
      <c r="B59" s="10">
        <v>45796</v>
      </c>
      <c r="C59" s="9" t="s">
        <v>68</v>
      </c>
      <c r="D59" s="9" t="s">
        <v>69</v>
      </c>
      <c r="E59" s="9" t="s">
        <v>63</v>
      </c>
      <c r="F59" s="9" t="s">
        <v>90</v>
      </c>
      <c r="G59" s="9" t="s">
        <v>72</v>
      </c>
      <c r="H59" s="11">
        <v>22</v>
      </c>
      <c r="I59" s="12">
        <v>500.25</v>
      </c>
      <c r="J59" s="12">
        <v>11005.5</v>
      </c>
      <c r="K59" s="12">
        <v>6237.13</v>
      </c>
      <c r="L59" s="12">
        <v>4768.37</v>
      </c>
      <c r="M59" s="9" t="s">
        <v>65</v>
      </c>
      <c r="N59" s="9" t="s">
        <v>66</v>
      </c>
      <c r="O59" s="31">
        <f>SalesData[[#This Row],[UnitPrice]]/SalesData[[#This Row],[Revenue]]</f>
        <v>4.5454545454545456E-2</v>
      </c>
      <c r="P59" s="31">
        <f>SalesData[[#This Row],[Profit]]/SalesData[[#This Row],[Revenue]]</f>
        <v>0.43327154604515922</v>
      </c>
    </row>
    <row r="60" spans="1:16" x14ac:dyDescent="0.25">
      <c r="A60" s="9" t="s">
        <v>169</v>
      </c>
      <c r="B60" s="10">
        <v>45107</v>
      </c>
      <c r="C60" s="9" t="s">
        <v>74</v>
      </c>
      <c r="D60" s="9" t="s">
        <v>92</v>
      </c>
      <c r="E60" s="9" t="s">
        <v>63</v>
      </c>
      <c r="F60" s="9" t="s">
        <v>100</v>
      </c>
      <c r="G60" s="9" t="s">
        <v>84</v>
      </c>
      <c r="H60" s="11">
        <v>21</v>
      </c>
      <c r="I60" s="12">
        <v>1161.4100000000001</v>
      </c>
      <c r="J60" s="12">
        <v>24389.61</v>
      </c>
      <c r="K60" s="12">
        <v>13495.37</v>
      </c>
      <c r="L60" s="12">
        <v>10894.24</v>
      </c>
      <c r="M60" s="9" t="s">
        <v>60</v>
      </c>
      <c r="N60" s="9" t="s">
        <v>128</v>
      </c>
      <c r="O60" s="31">
        <f>SalesData[[#This Row],[UnitPrice]]/SalesData[[#This Row],[Revenue]]</f>
        <v>4.7619047619047623E-2</v>
      </c>
      <c r="P60" s="31">
        <f>SalesData[[#This Row],[Profit]]/SalesData[[#This Row],[Revenue]]</f>
        <v>0.44667544909492196</v>
      </c>
    </row>
    <row r="61" spans="1:16" x14ac:dyDescent="0.25">
      <c r="A61" s="9" t="s">
        <v>170</v>
      </c>
      <c r="B61" s="10">
        <v>45829</v>
      </c>
      <c r="C61" s="9" t="s">
        <v>68</v>
      </c>
      <c r="D61" s="9" t="s">
        <v>171</v>
      </c>
      <c r="E61" s="9" t="s">
        <v>93</v>
      </c>
      <c r="F61" s="9" t="s">
        <v>152</v>
      </c>
      <c r="G61" s="9" t="s">
        <v>77</v>
      </c>
      <c r="H61" s="11">
        <v>11</v>
      </c>
      <c r="I61" s="12">
        <v>215.04</v>
      </c>
      <c r="J61" s="12">
        <v>2365.44</v>
      </c>
      <c r="K61" s="12">
        <v>1563.35</v>
      </c>
      <c r="L61" s="12">
        <v>802.09</v>
      </c>
      <c r="M61" s="9" t="s">
        <v>60</v>
      </c>
      <c r="N61" s="9" t="s">
        <v>128</v>
      </c>
      <c r="O61" s="31">
        <f>SalesData[[#This Row],[UnitPrice]]/SalesData[[#This Row],[Revenue]]</f>
        <v>9.0909090909090898E-2</v>
      </c>
      <c r="P61" s="31">
        <f>SalesData[[#This Row],[Profit]]/SalesData[[#This Row],[Revenue]]</f>
        <v>0.33908701975108224</v>
      </c>
    </row>
    <row r="62" spans="1:16" x14ac:dyDescent="0.25">
      <c r="A62" s="9" t="s">
        <v>172</v>
      </c>
      <c r="B62" s="10">
        <v>45144</v>
      </c>
      <c r="C62" s="9" t="s">
        <v>74</v>
      </c>
      <c r="D62" s="9" t="s">
        <v>140</v>
      </c>
      <c r="E62" s="9" t="s">
        <v>93</v>
      </c>
      <c r="F62" s="9" t="s">
        <v>158</v>
      </c>
      <c r="G62" s="9" t="s">
        <v>72</v>
      </c>
      <c r="H62" s="11">
        <v>11</v>
      </c>
      <c r="I62" s="12">
        <v>26.56</v>
      </c>
      <c r="J62" s="12">
        <v>292.16000000000003</v>
      </c>
      <c r="K62" s="12">
        <v>194.81</v>
      </c>
      <c r="L62" s="12">
        <v>97.35</v>
      </c>
      <c r="M62" s="9" t="s">
        <v>60</v>
      </c>
      <c r="N62" s="9" t="s">
        <v>128</v>
      </c>
      <c r="O62" s="31">
        <f>SalesData[[#This Row],[UnitPrice]]/SalesData[[#This Row],[Revenue]]</f>
        <v>9.0909090909090898E-2</v>
      </c>
      <c r="P62" s="31">
        <f>SalesData[[#This Row],[Profit]]/SalesData[[#This Row],[Revenue]]</f>
        <v>0.33320783132530113</v>
      </c>
    </row>
    <row r="63" spans="1:16" x14ac:dyDescent="0.25">
      <c r="A63" s="9" t="s">
        <v>173</v>
      </c>
      <c r="B63" s="10">
        <v>45664</v>
      </c>
      <c r="C63" s="9" t="s">
        <v>68</v>
      </c>
      <c r="D63" s="9" t="s">
        <v>79</v>
      </c>
      <c r="E63" s="9" t="s">
        <v>57</v>
      </c>
      <c r="F63" s="9" t="s">
        <v>76</v>
      </c>
      <c r="G63" s="9" t="s">
        <v>77</v>
      </c>
      <c r="H63" s="11">
        <v>18</v>
      </c>
      <c r="I63" s="12">
        <v>5.74</v>
      </c>
      <c r="J63" s="12">
        <v>103.32</v>
      </c>
      <c r="K63" s="12">
        <v>71.8</v>
      </c>
      <c r="L63" s="12">
        <v>31.52</v>
      </c>
      <c r="M63" s="9" t="s">
        <v>60</v>
      </c>
      <c r="N63" s="9" t="s">
        <v>66</v>
      </c>
      <c r="O63" s="31">
        <f>SalesData[[#This Row],[UnitPrice]]/SalesData[[#This Row],[Revenue]]</f>
        <v>5.5555555555555559E-2</v>
      </c>
      <c r="P63" s="31">
        <f>SalesData[[#This Row],[Profit]]/SalesData[[#This Row],[Revenue]]</f>
        <v>0.30507162214479289</v>
      </c>
    </row>
    <row r="64" spans="1:16" x14ac:dyDescent="0.25">
      <c r="A64" s="9" t="s">
        <v>174</v>
      </c>
      <c r="B64" s="10">
        <v>45228</v>
      </c>
      <c r="C64" s="9" t="s">
        <v>74</v>
      </c>
      <c r="D64" s="9" t="s">
        <v>92</v>
      </c>
      <c r="E64" s="9" t="s">
        <v>70</v>
      </c>
      <c r="F64" s="9" t="s">
        <v>71</v>
      </c>
      <c r="G64" s="9" t="s">
        <v>88</v>
      </c>
      <c r="H64" s="11">
        <v>21</v>
      </c>
      <c r="I64" s="12">
        <v>662.71</v>
      </c>
      <c r="J64" s="12">
        <v>13916.91</v>
      </c>
      <c r="K64" s="12">
        <v>7653.89</v>
      </c>
      <c r="L64" s="12">
        <v>6263.02</v>
      </c>
      <c r="M64" s="9" t="s">
        <v>60</v>
      </c>
      <c r="N64" s="9" t="s">
        <v>66</v>
      </c>
      <c r="O64" s="31">
        <f>SalesData[[#This Row],[UnitPrice]]/SalesData[[#This Row],[Revenue]]</f>
        <v>4.7619047619047623E-2</v>
      </c>
      <c r="P64" s="31">
        <f>SalesData[[#This Row],[Profit]]/SalesData[[#This Row],[Revenue]]</f>
        <v>0.45002949649024104</v>
      </c>
    </row>
    <row r="65" spans="1:16" x14ac:dyDescent="0.25">
      <c r="A65" s="9" t="s">
        <v>175</v>
      </c>
      <c r="B65" s="10">
        <v>45646</v>
      </c>
      <c r="C65" s="9" t="s">
        <v>98</v>
      </c>
      <c r="D65" s="9" t="s">
        <v>99</v>
      </c>
      <c r="E65" s="9" t="s">
        <v>70</v>
      </c>
      <c r="F65" s="9" t="s">
        <v>115</v>
      </c>
      <c r="G65" s="9" t="s">
        <v>84</v>
      </c>
      <c r="H65" s="11">
        <v>16</v>
      </c>
      <c r="I65" s="12">
        <v>532.85</v>
      </c>
      <c r="J65" s="12">
        <v>8525.6</v>
      </c>
      <c r="K65" s="12">
        <v>4430.67</v>
      </c>
      <c r="L65" s="12">
        <v>4094.93</v>
      </c>
      <c r="M65" s="9" t="s">
        <v>65</v>
      </c>
      <c r="N65" s="9" t="s">
        <v>128</v>
      </c>
      <c r="O65" s="31">
        <f>SalesData[[#This Row],[UnitPrice]]/SalesData[[#This Row],[Revenue]]</f>
        <v>6.25E-2</v>
      </c>
      <c r="P65" s="31">
        <f>SalesData[[#This Row],[Profit]]/SalesData[[#This Row],[Revenue]]</f>
        <v>0.48030989021300552</v>
      </c>
    </row>
    <row r="66" spans="1:16" x14ac:dyDescent="0.25">
      <c r="A66" s="9" t="s">
        <v>176</v>
      </c>
      <c r="B66" s="10">
        <v>45148</v>
      </c>
      <c r="C66" s="9" t="s">
        <v>74</v>
      </c>
      <c r="D66" s="9" t="s">
        <v>135</v>
      </c>
      <c r="E66" s="9" t="s">
        <v>57</v>
      </c>
      <c r="F66" s="9" t="s">
        <v>76</v>
      </c>
      <c r="G66" s="9" t="s">
        <v>59</v>
      </c>
      <c r="H66" s="11">
        <v>4</v>
      </c>
      <c r="I66" s="12">
        <v>58.37</v>
      </c>
      <c r="J66" s="12">
        <v>233.48</v>
      </c>
      <c r="K66" s="12">
        <v>119.43</v>
      </c>
      <c r="L66" s="12">
        <v>114.05</v>
      </c>
      <c r="M66" s="9" t="s">
        <v>60</v>
      </c>
      <c r="N66" s="9" t="s">
        <v>66</v>
      </c>
      <c r="O66" s="31">
        <f>SalesData[[#This Row],[UnitPrice]]/SalesData[[#This Row],[Revenue]]</f>
        <v>0.25</v>
      </c>
      <c r="P66" s="31">
        <f>SalesData[[#This Row],[Profit]]/SalesData[[#This Row],[Revenue]]</f>
        <v>0.48847867054994004</v>
      </c>
    </row>
    <row r="67" spans="1:16" x14ac:dyDescent="0.25">
      <c r="A67" s="9" t="s">
        <v>177</v>
      </c>
      <c r="B67" s="10">
        <v>45473</v>
      </c>
      <c r="C67" s="9" t="s">
        <v>74</v>
      </c>
      <c r="D67" s="9" t="s">
        <v>135</v>
      </c>
      <c r="E67" s="9" t="s">
        <v>57</v>
      </c>
      <c r="F67" s="9" t="s">
        <v>103</v>
      </c>
      <c r="G67" s="9" t="s">
        <v>59</v>
      </c>
      <c r="H67" s="11">
        <v>10</v>
      </c>
      <c r="I67" s="12">
        <v>21.83</v>
      </c>
      <c r="J67" s="12">
        <v>218.3</v>
      </c>
      <c r="K67" s="12">
        <v>103.05</v>
      </c>
      <c r="L67" s="12">
        <v>115.25</v>
      </c>
      <c r="M67" s="9" t="s">
        <v>60</v>
      </c>
      <c r="N67" s="9" t="s">
        <v>61</v>
      </c>
      <c r="O67" s="31">
        <f>SalesData[[#This Row],[UnitPrice]]/SalesData[[#This Row],[Revenue]]</f>
        <v>9.9999999999999992E-2</v>
      </c>
      <c r="P67" s="31">
        <f>SalesData[[#This Row],[Profit]]/SalesData[[#This Row],[Revenue]]</f>
        <v>0.52794319743472284</v>
      </c>
    </row>
    <row r="68" spans="1:16" x14ac:dyDescent="0.25">
      <c r="A68" s="9" t="s">
        <v>178</v>
      </c>
      <c r="B68" s="10">
        <v>45820</v>
      </c>
      <c r="C68" s="9" t="s">
        <v>98</v>
      </c>
      <c r="D68" s="9" t="s">
        <v>110</v>
      </c>
      <c r="E68" s="9" t="s">
        <v>63</v>
      </c>
      <c r="F68" s="9" t="s">
        <v>136</v>
      </c>
      <c r="G68" s="9" t="s">
        <v>77</v>
      </c>
      <c r="H68" s="11">
        <v>23</v>
      </c>
      <c r="I68" s="12">
        <v>1228.05</v>
      </c>
      <c r="J68" s="12">
        <v>28245.15</v>
      </c>
      <c r="K68" s="12">
        <v>17087.810000000001</v>
      </c>
      <c r="L68" s="12">
        <v>11157.34</v>
      </c>
      <c r="M68" s="9" t="s">
        <v>65</v>
      </c>
      <c r="N68" s="9" t="s">
        <v>66</v>
      </c>
      <c r="O68" s="31">
        <f>SalesData[[#This Row],[UnitPrice]]/SalesData[[#This Row],[Revenue]]</f>
        <v>4.3478260869565216E-2</v>
      </c>
      <c r="P68" s="31">
        <f>SalesData[[#This Row],[Profit]]/SalesData[[#This Row],[Revenue]]</f>
        <v>0.39501790572894813</v>
      </c>
    </row>
    <row r="69" spans="1:16" x14ac:dyDescent="0.25">
      <c r="A69" s="9" t="s">
        <v>179</v>
      </c>
      <c r="B69" s="10">
        <v>45768</v>
      </c>
      <c r="C69" s="9" t="s">
        <v>55</v>
      </c>
      <c r="D69" s="9" t="s">
        <v>102</v>
      </c>
      <c r="E69" s="9" t="s">
        <v>93</v>
      </c>
      <c r="F69" s="9" t="s">
        <v>152</v>
      </c>
      <c r="G69" s="9" t="s">
        <v>88</v>
      </c>
      <c r="H69" s="11">
        <v>11</v>
      </c>
      <c r="I69" s="12">
        <v>62.21</v>
      </c>
      <c r="J69" s="12">
        <v>684.31</v>
      </c>
      <c r="K69" s="12">
        <v>297.61</v>
      </c>
      <c r="L69" s="12">
        <v>386.7</v>
      </c>
      <c r="M69" s="9" t="s">
        <v>65</v>
      </c>
      <c r="N69" s="9" t="s">
        <v>66</v>
      </c>
      <c r="O69" s="31">
        <f>SalesData[[#This Row],[UnitPrice]]/SalesData[[#This Row],[Revenue]]</f>
        <v>9.0909090909090912E-2</v>
      </c>
      <c r="P69" s="31">
        <f>SalesData[[#This Row],[Profit]]/SalesData[[#This Row],[Revenue]]</f>
        <v>0.56509476699156813</v>
      </c>
    </row>
    <row r="70" spans="1:16" x14ac:dyDescent="0.25">
      <c r="A70" s="9" t="s">
        <v>180</v>
      </c>
      <c r="B70" s="10">
        <v>45181</v>
      </c>
      <c r="C70" s="9" t="s">
        <v>55</v>
      </c>
      <c r="D70" s="9" t="s">
        <v>82</v>
      </c>
      <c r="E70" s="9" t="s">
        <v>93</v>
      </c>
      <c r="F70" s="9" t="s">
        <v>146</v>
      </c>
      <c r="G70" s="9" t="s">
        <v>125</v>
      </c>
      <c r="H70" s="11">
        <v>5</v>
      </c>
      <c r="I70" s="12">
        <v>54.16</v>
      </c>
      <c r="J70" s="12">
        <v>270.8</v>
      </c>
      <c r="K70" s="12">
        <v>157.94</v>
      </c>
      <c r="L70" s="12">
        <v>112.86</v>
      </c>
      <c r="M70" s="9" t="s">
        <v>65</v>
      </c>
      <c r="N70" s="9" t="s">
        <v>66</v>
      </c>
      <c r="O70" s="31">
        <f>SalesData[[#This Row],[UnitPrice]]/SalesData[[#This Row],[Revenue]]</f>
        <v>0.19999999999999998</v>
      </c>
      <c r="P70" s="31">
        <f>SalesData[[#This Row],[Profit]]/SalesData[[#This Row],[Revenue]]</f>
        <v>0.41676514032496303</v>
      </c>
    </row>
    <row r="71" spans="1:16" x14ac:dyDescent="0.25">
      <c r="A71" s="9" t="s">
        <v>181</v>
      </c>
      <c r="B71" s="10">
        <v>45509</v>
      </c>
      <c r="C71" s="9" t="s">
        <v>55</v>
      </c>
      <c r="D71" s="9" t="s">
        <v>82</v>
      </c>
      <c r="E71" s="9" t="s">
        <v>70</v>
      </c>
      <c r="F71" s="9" t="s">
        <v>113</v>
      </c>
      <c r="G71" s="9" t="s">
        <v>72</v>
      </c>
      <c r="H71" s="11">
        <v>15</v>
      </c>
      <c r="I71" s="12">
        <v>823.97</v>
      </c>
      <c r="J71" s="12">
        <v>12359.55</v>
      </c>
      <c r="K71" s="12">
        <v>6256.8</v>
      </c>
      <c r="L71" s="12">
        <v>6102.75</v>
      </c>
      <c r="M71" s="9" t="s">
        <v>65</v>
      </c>
      <c r="N71" s="9" t="s">
        <v>128</v>
      </c>
      <c r="O71" s="31">
        <f>SalesData[[#This Row],[UnitPrice]]/SalesData[[#This Row],[Revenue]]</f>
        <v>6.666666666666668E-2</v>
      </c>
      <c r="P71" s="31">
        <f>SalesData[[#This Row],[Profit]]/SalesData[[#This Row],[Revenue]]</f>
        <v>0.49376797698945352</v>
      </c>
    </row>
    <row r="72" spans="1:16" x14ac:dyDescent="0.25">
      <c r="A72" s="9" t="s">
        <v>182</v>
      </c>
      <c r="B72" s="10">
        <v>45003</v>
      </c>
      <c r="C72" s="9" t="s">
        <v>55</v>
      </c>
      <c r="D72" s="9" t="s">
        <v>56</v>
      </c>
      <c r="E72" s="9" t="s">
        <v>70</v>
      </c>
      <c r="F72" s="9" t="s">
        <v>71</v>
      </c>
      <c r="G72" s="9" t="s">
        <v>59</v>
      </c>
      <c r="H72" s="11">
        <v>9</v>
      </c>
      <c r="I72" s="12">
        <v>620.54999999999995</v>
      </c>
      <c r="J72" s="12">
        <v>5584.95</v>
      </c>
      <c r="K72" s="12">
        <v>2600.0500000000002</v>
      </c>
      <c r="L72" s="12">
        <v>2984.9</v>
      </c>
      <c r="M72" s="9" t="s">
        <v>60</v>
      </c>
      <c r="N72" s="9" t="s">
        <v>61</v>
      </c>
      <c r="O72" s="31">
        <f>SalesData[[#This Row],[UnitPrice]]/SalesData[[#This Row],[Revenue]]</f>
        <v>0.1111111111111111</v>
      </c>
      <c r="P72" s="31">
        <f>SalesData[[#This Row],[Profit]]/SalesData[[#This Row],[Revenue]]</f>
        <v>0.53445420281291689</v>
      </c>
    </row>
    <row r="73" spans="1:16" x14ac:dyDescent="0.25">
      <c r="A73" s="9" t="s">
        <v>183</v>
      </c>
      <c r="B73" s="10">
        <v>45807</v>
      </c>
      <c r="C73" s="9" t="s">
        <v>98</v>
      </c>
      <c r="D73" s="9" t="s">
        <v>105</v>
      </c>
      <c r="E73" s="9" t="s">
        <v>93</v>
      </c>
      <c r="F73" s="9" t="s">
        <v>152</v>
      </c>
      <c r="G73" s="9" t="s">
        <v>88</v>
      </c>
      <c r="H73" s="11">
        <v>10</v>
      </c>
      <c r="I73" s="12">
        <v>27.46</v>
      </c>
      <c r="J73" s="12">
        <v>274.60000000000002</v>
      </c>
      <c r="K73" s="12">
        <v>138.27000000000001</v>
      </c>
      <c r="L73" s="12">
        <v>136.33000000000001</v>
      </c>
      <c r="M73" s="9" t="s">
        <v>65</v>
      </c>
      <c r="N73" s="9" t="s">
        <v>61</v>
      </c>
      <c r="O73" s="31">
        <f>SalesData[[#This Row],[UnitPrice]]/SalesData[[#This Row],[Revenue]]</f>
        <v>9.9999999999999992E-2</v>
      </c>
      <c r="P73" s="31">
        <f>SalesData[[#This Row],[Profit]]/SalesData[[#This Row],[Revenue]]</f>
        <v>0.49646758922068462</v>
      </c>
    </row>
    <row r="74" spans="1:16" x14ac:dyDescent="0.25">
      <c r="A74" s="9" t="s">
        <v>184</v>
      </c>
      <c r="B74" s="10">
        <v>45773</v>
      </c>
      <c r="C74" s="9" t="s">
        <v>74</v>
      </c>
      <c r="D74" s="9" t="s">
        <v>75</v>
      </c>
      <c r="E74" s="9" t="s">
        <v>70</v>
      </c>
      <c r="F74" s="9" t="s">
        <v>115</v>
      </c>
      <c r="G74" s="9" t="s">
        <v>59</v>
      </c>
      <c r="H74" s="11">
        <v>14</v>
      </c>
      <c r="I74" s="12">
        <v>173.12</v>
      </c>
      <c r="J74" s="12">
        <v>2423.6799999999998</v>
      </c>
      <c r="K74" s="12">
        <v>1175.96</v>
      </c>
      <c r="L74" s="12">
        <v>1247.72</v>
      </c>
      <c r="M74" s="9" t="s">
        <v>60</v>
      </c>
      <c r="N74" s="9" t="s">
        <v>128</v>
      </c>
      <c r="O74" s="31">
        <f>SalesData[[#This Row],[UnitPrice]]/SalesData[[#This Row],[Revenue]]</f>
        <v>7.1428571428571438E-2</v>
      </c>
      <c r="P74" s="31">
        <f>SalesData[[#This Row],[Profit]]/SalesData[[#This Row],[Revenue]]</f>
        <v>0.51480393451280704</v>
      </c>
    </row>
    <row r="75" spans="1:16" x14ac:dyDescent="0.25">
      <c r="A75" s="9" t="s">
        <v>185</v>
      </c>
      <c r="B75" s="10">
        <v>45054</v>
      </c>
      <c r="C75" s="9" t="s">
        <v>98</v>
      </c>
      <c r="D75" s="9" t="s">
        <v>105</v>
      </c>
      <c r="E75" s="9" t="s">
        <v>63</v>
      </c>
      <c r="F75" s="9" t="s">
        <v>64</v>
      </c>
      <c r="G75" s="9" t="s">
        <v>77</v>
      </c>
      <c r="H75" s="11">
        <v>20</v>
      </c>
      <c r="I75" s="12">
        <v>980.42</v>
      </c>
      <c r="J75" s="12">
        <v>19608.400000000001</v>
      </c>
      <c r="K75" s="12">
        <v>11472.29</v>
      </c>
      <c r="L75" s="12">
        <v>8136.11</v>
      </c>
      <c r="M75" s="9" t="s">
        <v>65</v>
      </c>
      <c r="N75" s="9" t="s">
        <v>128</v>
      </c>
      <c r="O75" s="31">
        <f>SalesData[[#This Row],[UnitPrice]]/SalesData[[#This Row],[Revenue]]</f>
        <v>4.9999999999999996E-2</v>
      </c>
      <c r="P75" s="31">
        <f>SalesData[[#This Row],[Profit]]/SalesData[[#This Row],[Revenue]]</f>
        <v>0.41492982599294176</v>
      </c>
    </row>
    <row r="76" spans="1:16" x14ac:dyDescent="0.25">
      <c r="A76" s="9" t="s">
        <v>186</v>
      </c>
      <c r="B76" s="10">
        <v>45257</v>
      </c>
      <c r="C76" s="9" t="s">
        <v>74</v>
      </c>
      <c r="D76" s="9" t="s">
        <v>135</v>
      </c>
      <c r="E76" s="9" t="s">
        <v>93</v>
      </c>
      <c r="F76" s="9" t="s">
        <v>130</v>
      </c>
      <c r="G76" s="9" t="s">
        <v>88</v>
      </c>
      <c r="H76" s="11">
        <v>15</v>
      </c>
      <c r="I76" s="12">
        <v>38.409999999999997</v>
      </c>
      <c r="J76" s="12">
        <v>576.15</v>
      </c>
      <c r="K76" s="12">
        <v>248.64</v>
      </c>
      <c r="L76" s="12">
        <v>327.51</v>
      </c>
      <c r="M76" s="9" t="s">
        <v>65</v>
      </c>
      <c r="N76" s="9" t="s">
        <v>61</v>
      </c>
      <c r="O76" s="31">
        <f>SalesData[[#This Row],[UnitPrice]]/SalesData[[#This Row],[Revenue]]</f>
        <v>6.6666666666666666E-2</v>
      </c>
      <c r="P76" s="31">
        <f>SalesData[[#This Row],[Profit]]/SalesData[[#This Row],[Revenue]]</f>
        <v>0.56844571726112991</v>
      </c>
    </row>
    <row r="77" spans="1:16" x14ac:dyDescent="0.25">
      <c r="A77" s="9" t="s">
        <v>187</v>
      </c>
      <c r="B77" s="10">
        <v>45408</v>
      </c>
      <c r="C77" s="9" t="s">
        <v>68</v>
      </c>
      <c r="D77" s="9" t="s">
        <v>69</v>
      </c>
      <c r="E77" s="9" t="s">
        <v>63</v>
      </c>
      <c r="F77" s="9" t="s">
        <v>64</v>
      </c>
      <c r="G77" s="9" t="s">
        <v>125</v>
      </c>
      <c r="H77" s="11">
        <v>25</v>
      </c>
      <c r="I77" s="12">
        <v>883.12</v>
      </c>
      <c r="J77" s="12">
        <v>22078</v>
      </c>
      <c r="K77" s="12">
        <v>10998.34</v>
      </c>
      <c r="L77" s="12">
        <v>11079.66</v>
      </c>
      <c r="M77" s="9" t="s">
        <v>60</v>
      </c>
      <c r="N77" s="9" t="s">
        <v>66</v>
      </c>
      <c r="O77" s="31">
        <f>SalesData[[#This Row],[UnitPrice]]/SalesData[[#This Row],[Revenue]]</f>
        <v>0.04</v>
      </c>
      <c r="P77" s="31">
        <f>SalesData[[#This Row],[Profit]]/SalesData[[#This Row],[Revenue]]</f>
        <v>0.50184165232358002</v>
      </c>
    </row>
    <row r="78" spans="1:16" x14ac:dyDescent="0.25">
      <c r="A78" s="9" t="s">
        <v>188</v>
      </c>
      <c r="B78" s="10">
        <v>45345</v>
      </c>
      <c r="C78" s="9" t="s">
        <v>74</v>
      </c>
      <c r="D78" s="9" t="s">
        <v>135</v>
      </c>
      <c r="E78" s="9" t="s">
        <v>70</v>
      </c>
      <c r="F78" s="9" t="s">
        <v>113</v>
      </c>
      <c r="G78" s="9" t="s">
        <v>72</v>
      </c>
      <c r="H78" s="11">
        <v>21</v>
      </c>
      <c r="I78" s="12">
        <v>746.68</v>
      </c>
      <c r="J78" s="12">
        <v>15680.28</v>
      </c>
      <c r="K78" s="12">
        <v>10992.28</v>
      </c>
      <c r="L78" s="12">
        <v>4688</v>
      </c>
      <c r="M78" s="9" t="s">
        <v>65</v>
      </c>
      <c r="N78" s="9" t="s">
        <v>128</v>
      </c>
      <c r="O78" s="31">
        <f>SalesData[[#This Row],[UnitPrice]]/SalesData[[#This Row],[Revenue]]</f>
        <v>4.7619047619047616E-2</v>
      </c>
      <c r="P78" s="31">
        <f>SalesData[[#This Row],[Profit]]/SalesData[[#This Row],[Revenue]]</f>
        <v>0.29897425301078806</v>
      </c>
    </row>
    <row r="79" spans="1:16" x14ac:dyDescent="0.25">
      <c r="A79" s="9" t="s">
        <v>189</v>
      </c>
      <c r="B79" s="10">
        <v>44964</v>
      </c>
      <c r="C79" s="9" t="s">
        <v>68</v>
      </c>
      <c r="D79" s="9" t="s">
        <v>79</v>
      </c>
      <c r="E79" s="9" t="s">
        <v>63</v>
      </c>
      <c r="F79" s="9" t="s">
        <v>64</v>
      </c>
      <c r="G79" s="9" t="s">
        <v>84</v>
      </c>
      <c r="H79" s="11">
        <v>14</v>
      </c>
      <c r="I79" s="12">
        <v>910.27</v>
      </c>
      <c r="J79" s="12">
        <v>12743.78</v>
      </c>
      <c r="K79" s="12">
        <v>6417.55</v>
      </c>
      <c r="L79" s="12">
        <v>6326.23</v>
      </c>
      <c r="M79" s="9" t="s">
        <v>65</v>
      </c>
      <c r="N79" s="9" t="s">
        <v>61</v>
      </c>
      <c r="O79" s="31">
        <f>SalesData[[#This Row],[UnitPrice]]/SalesData[[#This Row],[Revenue]]</f>
        <v>7.1428571428571425E-2</v>
      </c>
      <c r="P79" s="31">
        <f>SalesData[[#This Row],[Profit]]/SalesData[[#This Row],[Revenue]]</f>
        <v>0.49641707562434373</v>
      </c>
    </row>
    <row r="80" spans="1:16" x14ac:dyDescent="0.25">
      <c r="A80" s="9" t="s">
        <v>190</v>
      </c>
      <c r="B80" s="10">
        <v>45817</v>
      </c>
      <c r="C80" s="9" t="s">
        <v>74</v>
      </c>
      <c r="D80" s="9" t="s">
        <v>75</v>
      </c>
      <c r="E80" s="9" t="s">
        <v>57</v>
      </c>
      <c r="F80" s="9" t="s">
        <v>76</v>
      </c>
      <c r="G80" s="9" t="s">
        <v>84</v>
      </c>
      <c r="H80" s="11">
        <v>4</v>
      </c>
      <c r="I80" s="12">
        <v>76.790000000000006</v>
      </c>
      <c r="J80" s="12">
        <v>307.16000000000003</v>
      </c>
      <c r="K80" s="12">
        <v>165.01</v>
      </c>
      <c r="L80" s="12">
        <v>142.15</v>
      </c>
      <c r="M80" s="9" t="s">
        <v>60</v>
      </c>
      <c r="N80" s="9" t="s">
        <v>61</v>
      </c>
      <c r="O80" s="31">
        <f>SalesData[[#This Row],[UnitPrice]]/SalesData[[#This Row],[Revenue]]</f>
        <v>0.25</v>
      </c>
      <c r="P80" s="31">
        <f>SalesData[[#This Row],[Profit]]/SalesData[[#This Row],[Revenue]]</f>
        <v>0.46278812345357467</v>
      </c>
    </row>
    <row r="81" spans="1:16" x14ac:dyDescent="0.25">
      <c r="A81" s="9" t="s">
        <v>191</v>
      </c>
      <c r="B81" s="10">
        <v>45200</v>
      </c>
      <c r="C81" s="9" t="s">
        <v>74</v>
      </c>
      <c r="D81" s="9" t="s">
        <v>92</v>
      </c>
      <c r="E81" s="9" t="s">
        <v>63</v>
      </c>
      <c r="F81" s="9" t="s">
        <v>64</v>
      </c>
      <c r="G81" s="9" t="s">
        <v>84</v>
      </c>
      <c r="H81" s="11">
        <v>20</v>
      </c>
      <c r="I81" s="12">
        <v>989.92</v>
      </c>
      <c r="J81" s="12">
        <v>19798.400000000001</v>
      </c>
      <c r="K81" s="12">
        <v>11906.13</v>
      </c>
      <c r="L81" s="12">
        <v>7892.27</v>
      </c>
      <c r="M81" s="9" t="s">
        <v>60</v>
      </c>
      <c r="N81" s="9" t="s">
        <v>66</v>
      </c>
      <c r="O81" s="31">
        <f>SalesData[[#This Row],[UnitPrice]]/SalesData[[#This Row],[Revenue]]</f>
        <v>4.9999999999999996E-2</v>
      </c>
      <c r="P81" s="31">
        <f>SalesData[[#This Row],[Profit]]/SalesData[[#This Row],[Revenue]]</f>
        <v>0.39863170761273636</v>
      </c>
    </row>
    <row r="82" spans="1:16" x14ac:dyDescent="0.25">
      <c r="A82" s="9" t="s">
        <v>192</v>
      </c>
      <c r="B82" s="10">
        <v>45089</v>
      </c>
      <c r="C82" s="9" t="s">
        <v>98</v>
      </c>
      <c r="D82" s="9" t="s">
        <v>110</v>
      </c>
      <c r="E82" s="9" t="s">
        <v>93</v>
      </c>
      <c r="F82" s="9" t="s">
        <v>111</v>
      </c>
      <c r="G82" s="9" t="s">
        <v>88</v>
      </c>
      <c r="H82" s="11">
        <v>4</v>
      </c>
      <c r="I82" s="12">
        <v>26.6</v>
      </c>
      <c r="J82" s="12">
        <v>106.4</v>
      </c>
      <c r="K82" s="12">
        <v>64.13</v>
      </c>
      <c r="L82" s="12">
        <v>42.27</v>
      </c>
      <c r="M82" s="9" t="s">
        <v>60</v>
      </c>
      <c r="N82" s="9" t="s">
        <v>61</v>
      </c>
      <c r="O82" s="31">
        <f>SalesData[[#This Row],[UnitPrice]]/SalesData[[#This Row],[Revenue]]</f>
        <v>0.25</v>
      </c>
      <c r="P82" s="31">
        <f>SalesData[[#This Row],[Profit]]/SalesData[[#This Row],[Revenue]]</f>
        <v>0.39727443609022556</v>
      </c>
    </row>
    <row r="83" spans="1:16" x14ac:dyDescent="0.25">
      <c r="A83" s="9" t="s">
        <v>193</v>
      </c>
      <c r="B83" s="10">
        <v>45660</v>
      </c>
      <c r="C83" s="9" t="s">
        <v>68</v>
      </c>
      <c r="D83" s="9" t="s">
        <v>69</v>
      </c>
      <c r="E83" s="9" t="s">
        <v>93</v>
      </c>
      <c r="F83" s="9" t="s">
        <v>146</v>
      </c>
      <c r="G83" s="9" t="s">
        <v>59</v>
      </c>
      <c r="H83" s="11">
        <v>4</v>
      </c>
      <c r="I83" s="12">
        <v>125.67</v>
      </c>
      <c r="J83" s="12">
        <v>502.68</v>
      </c>
      <c r="K83" s="12">
        <v>228.25</v>
      </c>
      <c r="L83" s="12">
        <v>274.43</v>
      </c>
      <c r="M83" s="9" t="s">
        <v>60</v>
      </c>
      <c r="N83" s="9" t="s">
        <v>128</v>
      </c>
      <c r="O83" s="31">
        <f>SalesData[[#This Row],[UnitPrice]]/SalesData[[#This Row],[Revenue]]</f>
        <v>0.25</v>
      </c>
      <c r="P83" s="31">
        <f>SalesData[[#This Row],[Profit]]/SalesData[[#This Row],[Revenue]]</f>
        <v>0.54593379485955285</v>
      </c>
    </row>
    <row r="84" spans="1:16" x14ac:dyDescent="0.25">
      <c r="A84" s="9" t="s">
        <v>194</v>
      </c>
      <c r="B84" s="10">
        <v>45447</v>
      </c>
      <c r="C84" s="9" t="s">
        <v>68</v>
      </c>
      <c r="D84" s="9" t="s">
        <v>79</v>
      </c>
      <c r="E84" s="9" t="s">
        <v>93</v>
      </c>
      <c r="F84" s="9" t="s">
        <v>152</v>
      </c>
      <c r="G84" s="9" t="s">
        <v>88</v>
      </c>
      <c r="H84" s="11">
        <v>8</v>
      </c>
      <c r="I84" s="12">
        <v>124.6</v>
      </c>
      <c r="J84" s="12">
        <v>996.8</v>
      </c>
      <c r="K84" s="12">
        <v>460.47</v>
      </c>
      <c r="L84" s="12">
        <v>536.33000000000004</v>
      </c>
      <c r="M84" s="9" t="s">
        <v>60</v>
      </c>
      <c r="N84" s="9" t="s">
        <v>61</v>
      </c>
      <c r="O84" s="31">
        <f>SalesData[[#This Row],[UnitPrice]]/SalesData[[#This Row],[Revenue]]</f>
        <v>0.125</v>
      </c>
      <c r="P84" s="31">
        <f>SalesData[[#This Row],[Profit]]/SalesData[[#This Row],[Revenue]]</f>
        <v>0.53805176565008028</v>
      </c>
    </row>
    <row r="85" spans="1:16" x14ac:dyDescent="0.25">
      <c r="A85" s="9" t="s">
        <v>195</v>
      </c>
      <c r="B85" s="10">
        <v>45520</v>
      </c>
      <c r="C85" s="9" t="s">
        <v>98</v>
      </c>
      <c r="D85" s="9" t="s">
        <v>105</v>
      </c>
      <c r="E85" s="9" t="s">
        <v>57</v>
      </c>
      <c r="F85" s="9" t="s">
        <v>83</v>
      </c>
      <c r="G85" s="9" t="s">
        <v>84</v>
      </c>
      <c r="H85" s="11">
        <v>17</v>
      </c>
      <c r="I85" s="12">
        <v>24.76</v>
      </c>
      <c r="J85" s="12">
        <v>420.92</v>
      </c>
      <c r="K85" s="12">
        <v>177.1</v>
      </c>
      <c r="L85" s="12">
        <v>243.82</v>
      </c>
      <c r="M85" s="9" t="s">
        <v>65</v>
      </c>
      <c r="N85" s="9" t="s">
        <v>61</v>
      </c>
      <c r="O85" s="31">
        <f>SalesData[[#This Row],[UnitPrice]]/SalesData[[#This Row],[Revenue]]</f>
        <v>5.8823529411764705E-2</v>
      </c>
      <c r="P85" s="31">
        <f>SalesData[[#This Row],[Profit]]/SalesData[[#This Row],[Revenue]]</f>
        <v>0.57925496531407394</v>
      </c>
    </row>
    <row r="86" spans="1:16" x14ac:dyDescent="0.25">
      <c r="A86" s="9" t="s">
        <v>196</v>
      </c>
      <c r="B86" s="10">
        <v>45256</v>
      </c>
      <c r="C86" s="9" t="s">
        <v>74</v>
      </c>
      <c r="D86" s="9" t="s">
        <v>140</v>
      </c>
      <c r="E86" s="9" t="s">
        <v>93</v>
      </c>
      <c r="F86" s="9" t="s">
        <v>158</v>
      </c>
      <c r="G86" s="9" t="s">
        <v>88</v>
      </c>
      <c r="H86" s="11">
        <v>12</v>
      </c>
      <c r="I86" s="12">
        <v>96.12</v>
      </c>
      <c r="J86" s="12">
        <v>1153.44</v>
      </c>
      <c r="K86" s="12">
        <v>739.62</v>
      </c>
      <c r="L86" s="12">
        <v>413.82</v>
      </c>
      <c r="M86" s="9" t="s">
        <v>65</v>
      </c>
      <c r="N86" s="9" t="s">
        <v>128</v>
      </c>
      <c r="O86" s="31">
        <f>SalesData[[#This Row],[UnitPrice]]/SalesData[[#This Row],[Revenue]]</f>
        <v>8.3333333333333329E-2</v>
      </c>
      <c r="P86" s="31">
        <f>SalesData[[#This Row],[Profit]]/SalesData[[#This Row],[Revenue]]</f>
        <v>0.35877028714107362</v>
      </c>
    </row>
    <row r="87" spans="1:16" x14ac:dyDescent="0.25">
      <c r="A87" s="9" t="s">
        <v>197</v>
      </c>
      <c r="B87" s="10">
        <v>45606</v>
      </c>
      <c r="C87" s="9" t="s">
        <v>98</v>
      </c>
      <c r="D87" s="9" t="s">
        <v>198</v>
      </c>
      <c r="E87" s="9" t="s">
        <v>93</v>
      </c>
      <c r="F87" s="9" t="s">
        <v>94</v>
      </c>
      <c r="G87" s="9" t="s">
        <v>72</v>
      </c>
      <c r="H87" s="11">
        <v>2</v>
      </c>
      <c r="I87" s="12">
        <v>92.86</v>
      </c>
      <c r="J87" s="12">
        <v>185.72</v>
      </c>
      <c r="K87" s="12">
        <v>103.48</v>
      </c>
      <c r="L87" s="12">
        <v>82.24</v>
      </c>
      <c r="M87" s="9" t="s">
        <v>65</v>
      </c>
      <c r="N87" s="9" t="s">
        <v>128</v>
      </c>
      <c r="O87" s="31">
        <f>SalesData[[#This Row],[UnitPrice]]/SalesData[[#This Row],[Revenue]]</f>
        <v>0.5</v>
      </c>
      <c r="P87" s="31">
        <f>SalesData[[#This Row],[Profit]]/SalesData[[#This Row],[Revenue]]</f>
        <v>0.4428171440878742</v>
      </c>
    </row>
    <row r="88" spans="1:16" x14ac:dyDescent="0.25">
      <c r="A88" s="9" t="s">
        <v>199</v>
      </c>
      <c r="B88" s="10">
        <v>45666</v>
      </c>
      <c r="C88" s="9" t="s">
        <v>98</v>
      </c>
      <c r="D88" s="9" t="s">
        <v>99</v>
      </c>
      <c r="E88" s="9" t="s">
        <v>63</v>
      </c>
      <c r="F88" s="9" t="s">
        <v>64</v>
      </c>
      <c r="G88" s="9" t="s">
        <v>84</v>
      </c>
      <c r="H88" s="11">
        <v>4</v>
      </c>
      <c r="I88" s="12">
        <v>1139.3499999999999</v>
      </c>
      <c r="J88" s="12">
        <v>4557.3999999999996</v>
      </c>
      <c r="K88" s="12">
        <v>2496.04</v>
      </c>
      <c r="L88" s="12">
        <v>2061.36</v>
      </c>
      <c r="M88" s="9" t="s">
        <v>65</v>
      </c>
      <c r="N88" s="9" t="s">
        <v>66</v>
      </c>
      <c r="O88" s="31">
        <f>SalesData[[#This Row],[UnitPrice]]/SalesData[[#This Row],[Revenue]]</f>
        <v>0.25</v>
      </c>
      <c r="P88" s="31">
        <f>SalesData[[#This Row],[Profit]]/SalesData[[#This Row],[Revenue]]</f>
        <v>0.45231052793259319</v>
      </c>
    </row>
    <row r="89" spans="1:16" x14ac:dyDescent="0.25">
      <c r="A89" s="9" t="s">
        <v>200</v>
      </c>
      <c r="B89" s="10">
        <v>45799</v>
      </c>
      <c r="C89" s="9" t="s">
        <v>98</v>
      </c>
      <c r="D89" s="9" t="s">
        <v>99</v>
      </c>
      <c r="E89" s="9" t="s">
        <v>70</v>
      </c>
      <c r="F89" s="9" t="s">
        <v>117</v>
      </c>
      <c r="G89" s="9" t="s">
        <v>88</v>
      </c>
      <c r="H89" s="11">
        <v>9</v>
      </c>
      <c r="I89" s="12">
        <v>356.62</v>
      </c>
      <c r="J89" s="12">
        <v>3209.58</v>
      </c>
      <c r="K89" s="12">
        <v>1992.78</v>
      </c>
      <c r="L89" s="12">
        <v>1216.8</v>
      </c>
      <c r="M89" s="9" t="s">
        <v>60</v>
      </c>
      <c r="N89" s="9" t="s">
        <v>128</v>
      </c>
      <c r="O89" s="31">
        <f>SalesData[[#This Row],[UnitPrice]]/SalesData[[#This Row],[Revenue]]</f>
        <v>0.11111111111111112</v>
      </c>
      <c r="P89" s="31">
        <f>SalesData[[#This Row],[Profit]]/SalesData[[#This Row],[Revenue]]</f>
        <v>0.37911502439571532</v>
      </c>
    </row>
    <row r="90" spans="1:16" x14ac:dyDescent="0.25">
      <c r="A90" s="9" t="s">
        <v>201</v>
      </c>
      <c r="B90" s="10">
        <v>45691</v>
      </c>
      <c r="C90" s="9" t="s">
        <v>74</v>
      </c>
      <c r="D90" s="9" t="s">
        <v>135</v>
      </c>
      <c r="E90" s="9" t="s">
        <v>93</v>
      </c>
      <c r="F90" s="9" t="s">
        <v>158</v>
      </c>
      <c r="G90" s="9" t="s">
        <v>125</v>
      </c>
      <c r="H90" s="11">
        <v>20</v>
      </c>
      <c r="I90" s="12">
        <v>35.659999999999997</v>
      </c>
      <c r="J90" s="12">
        <v>713.2</v>
      </c>
      <c r="K90" s="12">
        <v>430.09</v>
      </c>
      <c r="L90" s="12">
        <v>283.11</v>
      </c>
      <c r="M90" s="9" t="s">
        <v>65</v>
      </c>
      <c r="N90" s="9" t="s">
        <v>66</v>
      </c>
      <c r="O90" s="31">
        <f>SalesData[[#This Row],[UnitPrice]]/SalesData[[#This Row],[Revenue]]</f>
        <v>4.9999999999999989E-2</v>
      </c>
      <c r="P90" s="31">
        <f>SalesData[[#This Row],[Profit]]/SalesData[[#This Row],[Revenue]]</f>
        <v>0.39695737521031971</v>
      </c>
    </row>
    <row r="91" spans="1:16" x14ac:dyDescent="0.25">
      <c r="A91" s="9" t="s">
        <v>202</v>
      </c>
      <c r="B91" s="10">
        <v>45259</v>
      </c>
      <c r="C91" s="9" t="s">
        <v>55</v>
      </c>
      <c r="D91" s="9" t="s">
        <v>82</v>
      </c>
      <c r="E91" s="9" t="s">
        <v>63</v>
      </c>
      <c r="F91" s="9" t="s">
        <v>203</v>
      </c>
      <c r="G91" s="9" t="s">
        <v>80</v>
      </c>
      <c r="H91" s="11">
        <v>15</v>
      </c>
      <c r="I91" s="12">
        <v>241.11</v>
      </c>
      <c r="J91" s="12">
        <v>3616.65</v>
      </c>
      <c r="K91" s="12">
        <v>1833.08</v>
      </c>
      <c r="L91" s="12">
        <v>1783.57</v>
      </c>
      <c r="M91" s="9" t="s">
        <v>60</v>
      </c>
      <c r="N91" s="9" t="s">
        <v>66</v>
      </c>
      <c r="O91" s="31">
        <f>SalesData[[#This Row],[UnitPrice]]/SalesData[[#This Row],[Revenue]]</f>
        <v>6.6666666666666666E-2</v>
      </c>
      <c r="P91" s="31">
        <f>SalesData[[#This Row],[Profit]]/SalesData[[#This Row],[Revenue]]</f>
        <v>0.49315526799662668</v>
      </c>
    </row>
    <row r="92" spans="1:16" x14ac:dyDescent="0.25">
      <c r="A92" s="9" t="s">
        <v>204</v>
      </c>
      <c r="B92" s="10">
        <v>45106</v>
      </c>
      <c r="C92" s="9" t="s">
        <v>55</v>
      </c>
      <c r="D92" s="9" t="s">
        <v>102</v>
      </c>
      <c r="E92" s="9" t="s">
        <v>57</v>
      </c>
      <c r="F92" s="9" t="s">
        <v>76</v>
      </c>
      <c r="G92" s="9" t="s">
        <v>72</v>
      </c>
      <c r="H92" s="11">
        <v>5</v>
      </c>
      <c r="I92" s="12">
        <v>23.06</v>
      </c>
      <c r="J92" s="12">
        <v>115.3</v>
      </c>
      <c r="K92" s="12">
        <v>62.2</v>
      </c>
      <c r="L92" s="12">
        <v>53.1</v>
      </c>
      <c r="M92" s="9" t="s">
        <v>60</v>
      </c>
      <c r="N92" s="9" t="s">
        <v>66</v>
      </c>
      <c r="O92" s="31">
        <f>SalesData[[#This Row],[UnitPrice]]/SalesData[[#This Row],[Revenue]]</f>
        <v>0.19999999999999998</v>
      </c>
      <c r="P92" s="31">
        <f>SalesData[[#This Row],[Profit]]/SalesData[[#This Row],[Revenue]]</f>
        <v>0.46053772766695578</v>
      </c>
    </row>
    <row r="93" spans="1:16" x14ac:dyDescent="0.25">
      <c r="A93" s="9" t="s">
        <v>205</v>
      </c>
      <c r="B93" s="10">
        <v>44936</v>
      </c>
      <c r="C93" s="9" t="s">
        <v>55</v>
      </c>
      <c r="D93" s="9" t="s">
        <v>82</v>
      </c>
      <c r="E93" s="9" t="s">
        <v>70</v>
      </c>
      <c r="F93" s="9" t="s">
        <v>160</v>
      </c>
      <c r="G93" s="9" t="s">
        <v>96</v>
      </c>
      <c r="H93" s="11">
        <v>8</v>
      </c>
      <c r="I93" s="12">
        <v>457.14</v>
      </c>
      <c r="J93" s="12">
        <v>3657.12</v>
      </c>
      <c r="K93" s="12">
        <v>1805.35</v>
      </c>
      <c r="L93" s="12">
        <v>1851.77</v>
      </c>
      <c r="M93" s="9" t="s">
        <v>65</v>
      </c>
      <c r="N93" s="9" t="s">
        <v>61</v>
      </c>
      <c r="O93" s="31">
        <f>SalesData[[#This Row],[UnitPrice]]/SalesData[[#This Row],[Revenue]]</f>
        <v>0.125</v>
      </c>
      <c r="P93" s="31">
        <f>SalesData[[#This Row],[Profit]]/SalesData[[#This Row],[Revenue]]</f>
        <v>0.50634652404077529</v>
      </c>
    </row>
    <row r="94" spans="1:16" x14ac:dyDescent="0.25">
      <c r="A94" s="9" t="s">
        <v>206</v>
      </c>
      <c r="B94" s="10">
        <v>45183</v>
      </c>
      <c r="C94" s="9" t="s">
        <v>74</v>
      </c>
      <c r="D94" s="9" t="s">
        <v>135</v>
      </c>
      <c r="E94" s="9" t="s">
        <v>70</v>
      </c>
      <c r="F94" s="9" t="s">
        <v>117</v>
      </c>
      <c r="G94" s="9" t="s">
        <v>88</v>
      </c>
      <c r="H94" s="11">
        <v>12</v>
      </c>
      <c r="I94" s="12">
        <v>888.87</v>
      </c>
      <c r="J94" s="12">
        <v>10666.44</v>
      </c>
      <c r="K94" s="12">
        <v>5405.27</v>
      </c>
      <c r="L94" s="12">
        <v>5261.17</v>
      </c>
      <c r="M94" s="9" t="s">
        <v>65</v>
      </c>
      <c r="N94" s="9" t="s">
        <v>61</v>
      </c>
      <c r="O94" s="31">
        <f>SalesData[[#This Row],[UnitPrice]]/SalesData[[#This Row],[Revenue]]</f>
        <v>8.3333333333333329E-2</v>
      </c>
      <c r="P94" s="31">
        <f>SalesData[[#This Row],[Profit]]/SalesData[[#This Row],[Revenue]]</f>
        <v>0.49324516895984039</v>
      </c>
    </row>
    <row r="95" spans="1:16" x14ac:dyDescent="0.25">
      <c r="A95" s="9" t="s">
        <v>207</v>
      </c>
      <c r="B95" s="10">
        <v>45229</v>
      </c>
      <c r="C95" s="9" t="s">
        <v>74</v>
      </c>
      <c r="D95" s="9" t="s">
        <v>135</v>
      </c>
      <c r="E95" s="9" t="s">
        <v>70</v>
      </c>
      <c r="F95" s="9" t="s">
        <v>160</v>
      </c>
      <c r="G95" s="9" t="s">
        <v>88</v>
      </c>
      <c r="H95" s="11">
        <v>4</v>
      </c>
      <c r="I95" s="12">
        <v>273.51</v>
      </c>
      <c r="J95" s="12">
        <v>1094.04</v>
      </c>
      <c r="K95" s="12">
        <v>640.95000000000005</v>
      </c>
      <c r="L95" s="12">
        <v>453.09</v>
      </c>
      <c r="M95" s="9" t="s">
        <v>65</v>
      </c>
      <c r="N95" s="9" t="s">
        <v>61</v>
      </c>
      <c r="O95" s="31">
        <f>SalesData[[#This Row],[UnitPrice]]/SalesData[[#This Row],[Revenue]]</f>
        <v>0.25</v>
      </c>
      <c r="P95" s="31">
        <f>SalesData[[#This Row],[Profit]]/SalesData[[#This Row],[Revenue]]</f>
        <v>0.41414390698694747</v>
      </c>
    </row>
    <row r="96" spans="1:16" x14ac:dyDescent="0.25">
      <c r="A96" s="9" t="s">
        <v>208</v>
      </c>
      <c r="B96" s="10">
        <v>45548</v>
      </c>
      <c r="C96" s="9" t="s">
        <v>55</v>
      </c>
      <c r="D96" s="9" t="s">
        <v>82</v>
      </c>
      <c r="E96" s="9" t="s">
        <v>57</v>
      </c>
      <c r="F96" s="9" t="s">
        <v>103</v>
      </c>
      <c r="G96" s="9" t="s">
        <v>125</v>
      </c>
      <c r="H96" s="11">
        <v>20</v>
      </c>
      <c r="I96" s="12">
        <v>60.14</v>
      </c>
      <c r="J96" s="12">
        <v>1202.8</v>
      </c>
      <c r="K96" s="12">
        <v>795.68</v>
      </c>
      <c r="L96" s="12">
        <v>407.12</v>
      </c>
      <c r="M96" s="9" t="s">
        <v>65</v>
      </c>
      <c r="N96" s="9" t="s">
        <v>66</v>
      </c>
      <c r="O96" s="31">
        <f>SalesData[[#This Row],[UnitPrice]]/SalesData[[#This Row],[Revenue]]</f>
        <v>0.05</v>
      </c>
      <c r="P96" s="31">
        <f>SalesData[[#This Row],[Profit]]/SalesData[[#This Row],[Revenue]]</f>
        <v>0.33847688726305292</v>
      </c>
    </row>
    <row r="97" spans="1:16" x14ac:dyDescent="0.25">
      <c r="A97" s="9" t="s">
        <v>209</v>
      </c>
      <c r="B97" s="10">
        <v>45026</v>
      </c>
      <c r="C97" s="9" t="s">
        <v>68</v>
      </c>
      <c r="D97" s="9" t="s">
        <v>123</v>
      </c>
      <c r="E97" s="9" t="s">
        <v>70</v>
      </c>
      <c r="F97" s="9" t="s">
        <v>113</v>
      </c>
      <c r="G97" s="9" t="s">
        <v>77</v>
      </c>
      <c r="H97" s="11">
        <v>22</v>
      </c>
      <c r="I97" s="12">
        <v>698.57</v>
      </c>
      <c r="J97" s="12">
        <v>15368.54</v>
      </c>
      <c r="K97" s="12">
        <v>9875.31</v>
      </c>
      <c r="L97" s="12">
        <v>5493.23</v>
      </c>
      <c r="M97" s="9" t="s">
        <v>60</v>
      </c>
      <c r="N97" s="9" t="s">
        <v>61</v>
      </c>
      <c r="O97" s="31">
        <f>SalesData[[#This Row],[UnitPrice]]/SalesData[[#This Row],[Revenue]]</f>
        <v>4.5454545454545456E-2</v>
      </c>
      <c r="P97" s="31">
        <f>SalesData[[#This Row],[Profit]]/SalesData[[#This Row],[Revenue]]</f>
        <v>0.35743343219329871</v>
      </c>
    </row>
    <row r="98" spans="1:16" x14ac:dyDescent="0.25">
      <c r="A98" s="9" t="s">
        <v>210</v>
      </c>
      <c r="B98" s="10">
        <v>45352</v>
      </c>
      <c r="C98" s="9" t="s">
        <v>55</v>
      </c>
      <c r="D98" s="9" t="s">
        <v>102</v>
      </c>
      <c r="E98" s="9" t="s">
        <v>93</v>
      </c>
      <c r="F98" s="9" t="s">
        <v>146</v>
      </c>
      <c r="G98" s="9" t="s">
        <v>84</v>
      </c>
      <c r="H98" s="11">
        <v>24</v>
      </c>
      <c r="I98" s="12">
        <v>50.08</v>
      </c>
      <c r="J98" s="12">
        <v>1201.92</v>
      </c>
      <c r="K98" s="12">
        <v>821.86</v>
      </c>
      <c r="L98" s="12">
        <v>380.06</v>
      </c>
      <c r="M98" s="9" t="s">
        <v>65</v>
      </c>
      <c r="N98" s="9" t="s">
        <v>61</v>
      </c>
      <c r="O98" s="31">
        <f>SalesData[[#This Row],[UnitPrice]]/SalesData[[#This Row],[Revenue]]</f>
        <v>4.1666666666666664E-2</v>
      </c>
      <c r="P98" s="31">
        <f>SalesData[[#This Row],[Profit]]/SalesData[[#This Row],[Revenue]]</f>
        <v>0.31621072949946749</v>
      </c>
    </row>
    <row r="99" spans="1:16" x14ac:dyDescent="0.25">
      <c r="A99" s="9" t="s">
        <v>211</v>
      </c>
      <c r="B99" s="10">
        <v>45771</v>
      </c>
      <c r="C99" s="9" t="s">
        <v>98</v>
      </c>
      <c r="D99" s="9" t="s">
        <v>198</v>
      </c>
      <c r="E99" s="9" t="s">
        <v>70</v>
      </c>
      <c r="F99" s="9" t="s">
        <v>113</v>
      </c>
      <c r="G99" s="9" t="s">
        <v>84</v>
      </c>
      <c r="H99" s="11">
        <v>17</v>
      </c>
      <c r="I99" s="12">
        <v>490.47</v>
      </c>
      <c r="J99" s="12">
        <v>8337.99</v>
      </c>
      <c r="K99" s="12">
        <v>4160.93</v>
      </c>
      <c r="L99" s="12">
        <v>4177.0600000000004</v>
      </c>
      <c r="M99" s="9" t="s">
        <v>60</v>
      </c>
      <c r="N99" s="9" t="s">
        <v>128</v>
      </c>
      <c r="O99" s="31">
        <f>SalesData[[#This Row],[UnitPrice]]/SalesData[[#This Row],[Revenue]]</f>
        <v>5.8823529411764712E-2</v>
      </c>
      <c r="P99" s="31">
        <f>SalesData[[#This Row],[Profit]]/SalesData[[#This Row],[Revenue]]</f>
        <v>0.500967259495394</v>
      </c>
    </row>
    <row r="100" spans="1:16" x14ac:dyDescent="0.25">
      <c r="A100" s="9" t="s">
        <v>212</v>
      </c>
      <c r="B100" s="10">
        <v>45301</v>
      </c>
      <c r="C100" s="9" t="s">
        <v>74</v>
      </c>
      <c r="D100" s="9" t="s">
        <v>135</v>
      </c>
      <c r="E100" s="9" t="s">
        <v>57</v>
      </c>
      <c r="F100" s="9" t="s">
        <v>103</v>
      </c>
      <c r="G100" s="9" t="s">
        <v>88</v>
      </c>
      <c r="H100" s="11">
        <v>3</v>
      </c>
      <c r="I100" s="12">
        <v>15.41</v>
      </c>
      <c r="J100" s="12">
        <v>46.23</v>
      </c>
      <c r="K100" s="12">
        <v>32.369999999999997</v>
      </c>
      <c r="L100" s="12">
        <v>13.86</v>
      </c>
      <c r="M100" s="9" t="s">
        <v>65</v>
      </c>
      <c r="N100" s="9" t="s">
        <v>61</v>
      </c>
      <c r="O100" s="31">
        <f>SalesData[[#This Row],[UnitPrice]]/SalesData[[#This Row],[Revenue]]</f>
        <v>0.33333333333333337</v>
      </c>
      <c r="P100" s="31">
        <f>SalesData[[#This Row],[Profit]]/SalesData[[#This Row],[Revenue]]</f>
        <v>0.29980532121998704</v>
      </c>
    </row>
    <row r="101" spans="1:16" x14ac:dyDescent="0.25">
      <c r="A101" s="9" t="s">
        <v>213</v>
      </c>
      <c r="B101" s="10">
        <v>45317</v>
      </c>
      <c r="C101" s="9" t="s">
        <v>55</v>
      </c>
      <c r="D101" s="9" t="s">
        <v>82</v>
      </c>
      <c r="E101" s="9" t="s">
        <v>63</v>
      </c>
      <c r="F101" s="9" t="s">
        <v>90</v>
      </c>
      <c r="G101" s="9" t="s">
        <v>80</v>
      </c>
      <c r="H101" s="11">
        <v>15</v>
      </c>
      <c r="I101" s="12">
        <v>497.73</v>
      </c>
      <c r="J101" s="12">
        <v>7465.95</v>
      </c>
      <c r="K101" s="12">
        <v>4757.3999999999996</v>
      </c>
      <c r="L101" s="12">
        <v>2708.55</v>
      </c>
      <c r="M101" s="9" t="s">
        <v>65</v>
      </c>
      <c r="N101" s="9" t="s">
        <v>61</v>
      </c>
      <c r="O101" s="31">
        <f>SalesData[[#This Row],[UnitPrice]]/SalesData[[#This Row],[Revenue]]</f>
        <v>6.6666666666666666E-2</v>
      </c>
      <c r="P101" s="31">
        <f>SalesData[[#This Row],[Profit]]/SalesData[[#This Row],[Revenue]]</f>
        <v>0.36278705322162624</v>
      </c>
    </row>
    <row r="102" spans="1:16" x14ac:dyDescent="0.25">
      <c r="A102" s="9" t="s">
        <v>214</v>
      </c>
      <c r="B102" s="10">
        <v>44991</v>
      </c>
      <c r="C102" s="9" t="s">
        <v>68</v>
      </c>
      <c r="D102" s="9" t="s">
        <v>69</v>
      </c>
      <c r="E102" s="9" t="s">
        <v>70</v>
      </c>
      <c r="F102" s="9" t="s">
        <v>160</v>
      </c>
      <c r="G102" s="9" t="s">
        <v>125</v>
      </c>
      <c r="H102" s="11">
        <v>20</v>
      </c>
      <c r="I102" s="12">
        <v>804.07</v>
      </c>
      <c r="J102" s="12">
        <v>16081.4</v>
      </c>
      <c r="K102" s="12">
        <v>9372.3700000000008</v>
      </c>
      <c r="L102" s="12">
        <v>6709.03</v>
      </c>
      <c r="M102" s="9" t="s">
        <v>60</v>
      </c>
      <c r="N102" s="9" t="s">
        <v>61</v>
      </c>
      <c r="O102" s="31">
        <f>SalesData[[#This Row],[UnitPrice]]/SalesData[[#This Row],[Revenue]]</f>
        <v>0.05</v>
      </c>
      <c r="P102" s="31">
        <f>SalesData[[#This Row],[Profit]]/SalesData[[#This Row],[Revenue]]</f>
        <v>0.41719191115201409</v>
      </c>
    </row>
    <row r="103" spans="1:16" x14ac:dyDescent="0.25">
      <c r="A103" s="9" t="s">
        <v>215</v>
      </c>
      <c r="B103" s="10">
        <v>45026</v>
      </c>
      <c r="C103" s="9" t="s">
        <v>74</v>
      </c>
      <c r="D103" s="9" t="s">
        <v>135</v>
      </c>
      <c r="E103" s="9" t="s">
        <v>93</v>
      </c>
      <c r="F103" s="9" t="s">
        <v>146</v>
      </c>
      <c r="G103" s="9" t="s">
        <v>96</v>
      </c>
      <c r="H103" s="11">
        <v>2</v>
      </c>
      <c r="I103" s="12">
        <v>236.69</v>
      </c>
      <c r="J103" s="12">
        <v>473.38</v>
      </c>
      <c r="K103" s="12">
        <v>240.6</v>
      </c>
      <c r="L103" s="12">
        <v>232.78</v>
      </c>
      <c r="M103" s="9" t="s">
        <v>65</v>
      </c>
      <c r="N103" s="9" t="s">
        <v>66</v>
      </c>
      <c r="O103" s="31">
        <f>SalesData[[#This Row],[UnitPrice]]/SalesData[[#This Row],[Revenue]]</f>
        <v>0.5</v>
      </c>
      <c r="P103" s="31">
        <f>SalesData[[#This Row],[Profit]]/SalesData[[#This Row],[Revenue]]</f>
        <v>0.49174025096117285</v>
      </c>
    </row>
    <row r="104" spans="1:16" x14ac:dyDescent="0.25">
      <c r="A104" s="9" t="s">
        <v>216</v>
      </c>
      <c r="B104" s="10">
        <v>45687</v>
      </c>
      <c r="C104" s="9" t="s">
        <v>98</v>
      </c>
      <c r="D104" s="9" t="s">
        <v>198</v>
      </c>
      <c r="E104" s="9" t="s">
        <v>93</v>
      </c>
      <c r="F104" s="9" t="s">
        <v>152</v>
      </c>
      <c r="G104" s="9" t="s">
        <v>84</v>
      </c>
      <c r="H104" s="11">
        <v>22</v>
      </c>
      <c r="I104" s="12">
        <v>237.41</v>
      </c>
      <c r="J104" s="12">
        <v>5223.0200000000004</v>
      </c>
      <c r="K104" s="12">
        <v>3248.62</v>
      </c>
      <c r="L104" s="12">
        <v>1974.4</v>
      </c>
      <c r="M104" s="9" t="s">
        <v>65</v>
      </c>
      <c r="N104" s="9" t="s">
        <v>61</v>
      </c>
      <c r="O104" s="31">
        <f>SalesData[[#This Row],[UnitPrice]]/SalesData[[#This Row],[Revenue]]</f>
        <v>4.5454545454545449E-2</v>
      </c>
      <c r="P104" s="31">
        <f>SalesData[[#This Row],[Profit]]/SalesData[[#This Row],[Revenue]]</f>
        <v>0.37801884733353497</v>
      </c>
    </row>
    <row r="105" spans="1:16" x14ac:dyDescent="0.25">
      <c r="A105" s="9" t="s">
        <v>217</v>
      </c>
      <c r="B105" s="10">
        <v>45168</v>
      </c>
      <c r="C105" s="9" t="s">
        <v>98</v>
      </c>
      <c r="D105" s="9" t="s">
        <v>99</v>
      </c>
      <c r="E105" s="9" t="s">
        <v>63</v>
      </c>
      <c r="F105" s="9" t="s">
        <v>100</v>
      </c>
      <c r="G105" s="9" t="s">
        <v>72</v>
      </c>
      <c r="H105" s="11">
        <v>9</v>
      </c>
      <c r="I105" s="12">
        <v>71.510000000000005</v>
      </c>
      <c r="J105" s="12">
        <v>643.59</v>
      </c>
      <c r="K105" s="12">
        <v>339.46</v>
      </c>
      <c r="L105" s="12">
        <v>304.13</v>
      </c>
      <c r="M105" s="9" t="s">
        <v>65</v>
      </c>
      <c r="N105" s="9" t="s">
        <v>128</v>
      </c>
      <c r="O105" s="31">
        <f>SalesData[[#This Row],[UnitPrice]]/SalesData[[#This Row],[Revenue]]</f>
        <v>0.11111111111111112</v>
      </c>
      <c r="P105" s="31">
        <f>SalesData[[#This Row],[Profit]]/SalesData[[#This Row],[Revenue]]</f>
        <v>0.47255240137354526</v>
      </c>
    </row>
    <row r="106" spans="1:16" x14ac:dyDescent="0.25">
      <c r="A106" s="9" t="s">
        <v>218</v>
      </c>
      <c r="B106" s="10">
        <v>45020</v>
      </c>
      <c r="C106" s="9" t="s">
        <v>68</v>
      </c>
      <c r="D106" s="9" t="s">
        <v>69</v>
      </c>
      <c r="E106" s="9" t="s">
        <v>57</v>
      </c>
      <c r="F106" s="9" t="s">
        <v>167</v>
      </c>
      <c r="G106" s="9" t="s">
        <v>84</v>
      </c>
      <c r="H106" s="11">
        <v>2</v>
      </c>
      <c r="I106" s="12">
        <v>34.46</v>
      </c>
      <c r="J106" s="12">
        <v>68.92</v>
      </c>
      <c r="K106" s="12">
        <v>32.74</v>
      </c>
      <c r="L106" s="12">
        <v>36.18</v>
      </c>
      <c r="M106" s="9" t="s">
        <v>60</v>
      </c>
      <c r="N106" s="9" t="s">
        <v>128</v>
      </c>
      <c r="O106" s="31">
        <f>SalesData[[#This Row],[UnitPrice]]/SalesData[[#This Row],[Revenue]]</f>
        <v>0.5</v>
      </c>
      <c r="P106" s="31">
        <f>SalesData[[#This Row],[Profit]]/SalesData[[#This Row],[Revenue]]</f>
        <v>0.52495647127103884</v>
      </c>
    </row>
    <row r="107" spans="1:16" x14ac:dyDescent="0.25">
      <c r="A107" s="9" t="s">
        <v>219</v>
      </c>
      <c r="B107" s="10">
        <v>45148</v>
      </c>
      <c r="C107" s="9" t="s">
        <v>98</v>
      </c>
      <c r="D107" s="9" t="s">
        <v>105</v>
      </c>
      <c r="E107" s="9" t="s">
        <v>63</v>
      </c>
      <c r="F107" s="9" t="s">
        <v>90</v>
      </c>
      <c r="G107" s="9" t="s">
        <v>59</v>
      </c>
      <c r="H107" s="11">
        <v>5</v>
      </c>
      <c r="I107" s="12">
        <v>1028.67</v>
      </c>
      <c r="J107" s="12">
        <v>5143.3500000000004</v>
      </c>
      <c r="K107" s="12">
        <v>2466.29</v>
      </c>
      <c r="L107" s="12">
        <v>2677.06</v>
      </c>
      <c r="M107" s="9" t="s">
        <v>60</v>
      </c>
      <c r="N107" s="9" t="s">
        <v>61</v>
      </c>
      <c r="O107" s="31">
        <f>SalesData[[#This Row],[UnitPrice]]/SalesData[[#This Row],[Revenue]]</f>
        <v>0.2</v>
      </c>
      <c r="P107" s="31">
        <f>SalesData[[#This Row],[Profit]]/SalesData[[#This Row],[Revenue]]</f>
        <v>0.5204895641945424</v>
      </c>
    </row>
    <row r="108" spans="1:16" x14ac:dyDescent="0.25">
      <c r="A108" s="9" t="s">
        <v>220</v>
      </c>
      <c r="B108" s="10">
        <v>45183</v>
      </c>
      <c r="C108" s="9" t="s">
        <v>98</v>
      </c>
      <c r="D108" s="9" t="s">
        <v>110</v>
      </c>
      <c r="E108" s="9" t="s">
        <v>70</v>
      </c>
      <c r="F108" s="9" t="s">
        <v>113</v>
      </c>
      <c r="G108" s="9" t="s">
        <v>125</v>
      </c>
      <c r="H108" s="11">
        <v>9</v>
      </c>
      <c r="I108" s="12">
        <v>782.89</v>
      </c>
      <c r="J108" s="12">
        <v>7046.01</v>
      </c>
      <c r="K108" s="12">
        <v>3254.97</v>
      </c>
      <c r="L108" s="12">
        <v>3791.04</v>
      </c>
      <c r="M108" s="9" t="s">
        <v>60</v>
      </c>
      <c r="N108" s="9" t="s">
        <v>61</v>
      </c>
      <c r="O108" s="31">
        <f>SalesData[[#This Row],[UnitPrice]]/SalesData[[#This Row],[Revenue]]</f>
        <v>0.1111111111111111</v>
      </c>
      <c r="P108" s="31">
        <f>SalesData[[#This Row],[Profit]]/SalesData[[#This Row],[Revenue]]</f>
        <v>0.53804067834135916</v>
      </c>
    </row>
    <row r="109" spans="1:16" x14ac:dyDescent="0.25">
      <c r="A109" s="9" t="s">
        <v>221</v>
      </c>
      <c r="B109" s="10">
        <v>45105</v>
      </c>
      <c r="C109" s="9" t="s">
        <v>98</v>
      </c>
      <c r="D109" s="9" t="s">
        <v>105</v>
      </c>
      <c r="E109" s="9" t="s">
        <v>63</v>
      </c>
      <c r="F109" s="9" t="s">
        <v>64</v>
      </c>
      <c r="G109" s="9" t="s">
        <v>125</v>
      </c>
      <c r="H109" s="11">
        <v>12</v>
      </c>
      <c r="I109" s="12">
        <v>1032.49</v>
      </c>
      <c r="J109" s="12">
        <v>12389.88</v>
      </c>
      <c r="K109" s="12">
        <v>6058.65</v>
      </c>
      <c r="L109" s="12">
        <v>6331.23</v>
      </c>
      <c r="M109" s="9" t="s">
        <v>65</v>
      </c>
      <c r="N109" s="9" t="s">
        <v>66</v>
      </c>
      <c r="O109" s="31">
        <f>SalesData[[#This Row],[UnitPrice]]/SalesData[[#This Row],[Revenue]]</f>
        <v>8.3333333333333343E-2</v>
      </c>
      <c r="P109" s="31">
        <f>SalesData[[#This Row],[Profit]]/SalesData[[#This Row],[Revenue]]</f>
        <v>0.51100010653856209</v>
      </c>
    </row>
    <row r="110" spans="1:16" x14ac:dyDescent="0.25">
      <c r="A110" s="9" t="s">
        <v>222</v>
      </c>
      <c r="B110" s="10">
        <v>45452</v>
      </c>
      <c r="C110" s="9" t="s">
        <v>68</v>
      </c>
      <c r="D110" s="9" t="s">
        <v>69</v>
      </c>
      <c r="E110" s="9" t="s">
        <v>70</v>
      </c>
      <c r="F110" s="9" t="s">
        <v>71</v>
      </c>
      <c r="G110" s="9" t="s">
        <v>72</v>
      </c>
      <c r="H110" s="11">
        <v>17</v>
      </c>
      <c r="I110" s="12">
        <v>172.19</v>
      </c>
      <c r="J110" s="12">
        <v>2927.23</v>
      </c>
      <c r="K110" s="12">
        <v>1283.3900000000001</v>
      </c>
      <c r="L110" s="12">
        <v>1643.84</v>
      </c>
      <c r="M110" s="9" t="s">
        <v>65</v>
      </c>
      <c r="N110" s="9" t="s">
        <v>128</v>
      </c>
      <c r="O110" s="31">
        <f>SalesData[[#This Row],[UnitPrice]]/SalesData[[#This Row],[Revenue]]</f>
        <v>5.8823529411764705E-2</v>
      </c>
      <c r="P110" s="31">
        <f>SalesData[[#This Row],[Profit]]/SalesData[[#This Row],[Revenue]]</f>
        <v>0.56156844525370397</v>
      </c>
    </row>
    <row r="111" spans="1:16" x14ac:dyDescent="0.25">
      <c r="A111" s="9" t="s">
        <v>223</v>
      </c>
      <c r="B111" s="10">
        <v>45585</v>
      </c>
      <c r="C111" s="9" t="s">
        <v>55</v>
      </c>
      <c r="D111" s="9" t="s">
        <v>82</v>
      </c>
      <c r="E111" s="9" t="s">
        <v>70</v>
      </c>
      <c r="F111" s="9" t="s">
        <v>113</v>
      </c>
      <c r="G111" s="9" t="s">
        <v>125</v>
      </c>
      <c r="H111" s="11">
        <v>24</v>
      </c>
      <c r="I111" s="12">
        <v>721.25</v>
      </c>
      <c r="J111" s="12">
        <v>17310</v>
      </c>
      <c r="K111" s="12">
        <v>11622.36</v>
      </c>
      <c r="L111" s="12">
        <v>5687.64</v>
      </c>
      <c r="M111" s="9" t="s">
        <v>65</v>
      </c>
      <c r="N111" s="9" t="s">
        <v>128</v>
      </c>
      <c r="O111" s="31">
        <f>SalesData[[#This Row],[UnitPrice]]/SalesData[[#This Row],[Revenue]]</f>
        <v>4.1666666666666664E-2</v>
      </c>
      <c r="P111" s="31">
        <f>SalesData[[#This Row],[Profit]]/SalesData[[#This Row],[Revenue]]</f>
        <v>0.32857538994800695</v>
      </c>
    </row>
    <row r="112" spans="1:16" x14ac:dyDescent="0.25">
      <c r="A112" s="9" t="s">
        <v>224</v>
      </c>
      <c r="B112" s="10">
        <v>45009</v>
      </c>
      <c r="C112" s="9" t="s">
        <v>55</v>
      </c>
      <c r="D112" s="9" t="s">
        <v>56</v>
      </c>
      <c r="E112" s="9" t="s">
        <v>93</v>
      </c>
      <c r="F112" s="9" t="s">
        <v>152</v>
      </c>
      <c r="G112" s="9" t="s">
        <v>72</v>
      </c>
      <c r="H112" s="11">
        <v>22</v>
      </c>
      <c r="I112" s="12">
        <v>44.71</v>
      </c>
      <c r="J112" s="12">
        <v>983.62</v>
      </c>
      <c r="K112" s="12">
        <v>616.33000000000004</v>
      </c>
      <c r="L112" s="12">
        <v>367.29</v>
      </c>
      <c r="M112" s="9" t="s">
        <v>65</v>
      </c>
      <c r="N112" s="9" t="s">
        <v>66</v>
      </c>
      <c r="O112" s="31">
        <f>SalesData[[#This Row],[UnitPrice]]/SalesData[[#This Row],[Revenue]]</f>
        <v>4.5454545454545456E-2</v>
      </c>
      <c r="P112" s="31">
        <f>SalesData[[#This Row],[Profit]]/SalesData[[#This Row],[Revenue]]</f>
        <v>0.37340639677924403</v>
      </c>
    </row>
    <row r="113" spans="1:16" x14ac:dyDescent="0.25">
      <c r="A113" s="9" t="s">
        <v>225</v>
      </c>
      <c r="B113" s="10">
        <v>45538</v>
      </c>
      <c r="C113" s="9" t="s">
        <v>68</v>
      </c>
      <c r="D113" s="9" t="s">
        <v>123</v>
      </c>
      <c r="E113" s="9" t="s">
        <v>63</v>
      </c>
      <c r="F113" s="9" t="s">
        <v>64</v>
      </c>
      <c r="G113" s="9" t="s">
        <v>77</v>
      </c>
      <c r="H113" s="11">
        <v>20</v>
      </c>
      <c r="I113" s="12">
        <v>833.37</v>
      </c>
      <c r="J113" s="12">
        <v>16667.400000000001</v>
      </c>
      <c r="K113" s="12">
        <v>9650.81</v>
      </c>
      <c r="L113" s="12">
        <v>7016.59</v>
      </c>
      <c r="M113" s="9" t="s">
        <v>65</v>
      </c>
      <c r="N113" s="9" t="s">
        <v>128</v>
      </c>
      <c r="O113" s="31">
        <f>SalesData[[#This Row],[UnitPrice]]/SalesData[[#This Row],[Revenue]]</f>
        <v>4.9999999999999996E-2</v>
      </c>
      <c r="P113" s="31">
        <f>SalesData[[#This Row],[Profit]]/SalesData[[#This Row],[Revenue]]</f>
        <v>0.42097687701741121</v>
      </c>
    </row>
    <row r="114" spans="1:16" x14ac:dyDescent="0.25">
      <c r="A114" s="9" t="s">
        <v>226</v>
      </c>
      <c r="B114" s="10">
        <v>45389</v>
      </c>
      <c r="C114" s="9" t="s">
        <v>68</v>
      </c>
      <c r="D114" s="9" t="s">
        <v>171</v>
      </c>
      <c r="E114" s="9" t="s">
        <v>93</v>
      </c>
      <c r="F114" s="9" t="s">
        <v>146</v>
      </c>
      <c r="G114" s="9" t="s">
        <v>80</v>
      </c>
      <c r="H114" s="11">
        <v>21</v>
      </c>
      <c r="I114" s="12">
        <v>169.06</v>
      </c>
      <c r="J114" s="12">
        <v>3550.26</v>
      </c>
      <c r="K114" s="12">
        <v>2282.81</v>
      </c>
      <c r="L114" s="12">
        <v>1267.45</v>
      </c>
      <c r="M114" s="9" t="s">
        <v>60</v>
      </c>
      <c r="N114" s="9" t="s">
        <v>128</v>
      </c>
      <c r="O114" s="31">
        <f>SalesData[[#This Row],[UnitPrice]]/SalesData[[#This Row],[Revenue]]</f>
        <v>4.7619047619047616E-2</v>
      </c>
      <c r="P114" s="31">
        <f>SalesData[[#This Row],[Profit]]/SalesData[[#This Row],[Revenue]]</f>
        <v>0.35700202238709278</v>
      </c>
    </row>
    <row r="115" spans="1:16" x14ac:dyDescent="0.25">
      <c r="A115" s="9" t="s">
        <v>227</v>
      </c>
      <c r="B115" s="10">
        <v>45188</v>
      </c>
      <c r="C115" s="9" t="s">
        <v>98</v>
      </c>
      <c r="D115" s="9" t="s">
        <v>99</v>
      </c>
      <c r="E115" s="9" t="s">
        <v>57</v>
      </c>
      <c r="F115" s="9" t="s">
        <v>83</v>
      </c>
      <c r="G115" s="9" t="s">
        <v>72</v>
      </c>
      <c r="H115" s="11">
        <v>14</v>
      </c>
      <c r="I115" s="12">
        <v>58.99</v>
      </c>
      <c r="J115" s="12">
        <v>825.86</v>
      </c>
      <c r="K115" s="12">
        <v>421.72</v>
      </c>
      <c r="L115" s="12">
        <v>404.14</v>
      </c>
      <c r="M115" s="9" t="s">
        <v>65</v>
      </c>
      <c r="N115" s="9" t="s">
        <v>61</v>
      </c>
      <c r="O115" s="31">
        <f>SalesData[[#This Row],[UnitPrice]]/SalesData[[#This Row],[Revenue]]</f>
        <v>7.1428571428571425E-2</v>
      </c>
      <c r="P115" s="31">
        <f>SalesData[[#This Row],[Profit]]/SalesData[[#This Row],[Revenue]]</f>
        <v>0.48935654953624097</v>
      </c>
    </row>
    <row r="116" spans="1:16" x14ac:dyDescent="0.25">
      <c r="A116" s="9" t="s">
        <v>228</v>
      </c>
      <c r="B116" s="10">
        <v>45496</v>
      </c>
      <c r="C116" s="9" t="s">
        <v>68</v>
      </c>
      <c r="D116" s="9" t="s">
        <v>123</v>
      </c>
      <c r="E116" s="9" t="s">
        <v>93</v>
      </c>
      <c r="F116" s="9" t="s">
        <v>146</v>
      </c>
      <c r="G116" s="9" t="s">
        <v>80</v>
      </c>
      <c r="H116" s="11">
        <v>3</v>
      </c>
      <c r="I116" s="12">
        <v>41.34</v>
      </c>
      <c r="J116" s="12">
        <v>124.02</v>
      </c>
      <c r="K116" s="12">
        <v>55.56</v>
      </c>
      <c r="L116" s="12">
        <v>68.459999999999994</v>
      </c>
      <c r="M116" s="9" t="s">
        <v>65</v>
      </c>
      <c r="N116" s="9" t="s">
        <v>66</v>
      </c>
      <c r="O116" s="31">
        <f>SalesData[[#This Row],[UnitPrice]]/SalesData[[#This Row],[Revenue]]</f>
        <v>0.33333333333333337</v>
      </c>
      <c r="P116" s="31">
        <f>SalesData[[#This Row],[Profit]]/SalesData[[#This Row],[Revenue]]</f>
        <v>0.55200774068698599</v>
      </c>
    </row>
    <row r="117" spans="1:16" x14ac:dyDescent="0.25">
      <c r="A117" s="9" t="s">
        <v>229</v>
      </c>
      <c r="B117" s="10">
        <v>45541</v>
      </c>
      <c r="C117" s="9" t="s">
        <v>55</v>
      </c>
      <c r="D117" s="9" t="s">
        <v>102</v>
      </c>
      <c r="E117" s="9" t="s">
        <v>63</v>
      </c>
      <c r="F117" s="9" t="s">
        <v>100</v>
      </c>
      <c r="G117" s="9" t="s">
        <v>84</v>
      </c>
      <c r="H117" s="11">
        <v>22</v>
      </c>
      <c r="I117" s="12">
        <v>1224.29</v>
      </c>
      <c r="J117" s="12">
        <v>26934.38</v>
      </c>
      <c r="K117" s="12">
        <v>14615.99</v>
      </c>
      <c r="L117" s="12">
        <v>12318.39</v>
      </c>
      <c r="M117" s="9" t="s">
        <v>60</v>
      </c>
      <c r="N117" s="9" t="s">
        <v>128</v>
      </c>
      <c r="O117" s="31">
        <f>SalesData[[#This Row],[UnitPrice]]/SalesData[[#This Row],[Revenue]]</f>
        <v>4.5454545454545449E-2</v>
      </c>
      <c r="P117" s="31">
        <f>SalesData[[#This Row],[Profit]]/SalesData[[#This Row],[Revenue]]</f>
        <v>0.4573481921618392</v>
      </c>
    </row>
    <row r="118" spans="1:16" x14ac:dyDescent="0.25">
      <c r="A118" s="9" t="s">
        <v>230</v>
      </c>
      <c r="B118" s="10">
        <v>45792</v>
      </c>
      <c r="C118" s="9" t="s">
        <v>68</v>
      </c>
      <c r="D118" s="9" t="s">
        <v>79</v>
      </c>
      <c r="E118" s="9" t="s">
        <v>63</v>
      </c>
      <c r="F118" s="9" t="s">
        <v>124</v>
      </c>
      <c r="G118" s="9" t="s">
        <v>59</v>
      </c>
      <c r="H118" s="11">
        <v>5</v>
      </c>
      <c r="I118" s="12">
        <v>863.39</v>
      </c>
      <c r="J118" s="12">
        <v>4316.95</v>
      </c>
      <c r="K118" s="12">
        <v>2093.85</v>
      </c>
      <c r="L118" s="12">
        <v>2223.1</v>
      </c>
      <c r="M118" s="9" t="s">
        <v>60</v>
      </c>
      <c r="N118" s="9" t="s">
        <v>128</v>
      </c>
      <c r="O118" s="31">
        <f>SalesData[[#This Row],[UnitPrice]]/SalesData[[#This Row],[Revenue]]</f>
        <v>0.2</v>
      </c>
      <c r="P118" s="31">
        <f>SalesData[[#This Row],[Profit]]/SalesData[[#This Row],[Revenue]]</f>
        <v>0.51497005988023947</v>
      </c>
    </row>
    <row r="119" spans="1:16" x14ac:dyDescent="0.25">
      <c r="A119" s="9" t="s">
        <v>231</v>
      </c>
      <c r="B119" s="10">
        <v>45600</v>
      </c>
      <c r="C119" s="9" t="s">
        <v>68</v>
      </c>
      <c r="D119" s="9" t="s">
        <v>69</v>
      </c>
      <c r="E119" s="9" t="s">
        <v>57</v>
      </c>
      <c r="F119" s="9" t="s">
        <v>167</v>
      </c>
      <c r="G119" s="9" t="s">
        <v>59</v>
      </c>
      <c r="H119" s="11">
        <v>14</v>
      </c>
      <c r="I119" s="12">
        <v>67.540000000000006</v>
      </c>
      <c r="J119" s="12">
        <v>945.56</v>
      </c>
      <c r="K119" s="12">
        <v>664.37</v>
      </c>
      <c r="L119" s="12">
        <v>281.19</v>
      </c>
      <c r="M119" s="9" t="s">
        <v>60</v>
      </c>
      <c r="N119" s="9" t="s">
        <v>61</v>
      </c>
      <c r="O119" s="31">
        <f>SalesData[[#This Row],[UnitPrice]]/SalesData[[#This Row],[Revenue]]</f>
        <v>7.1428571428571438E-2</v>
      </c>
      <c r="P119" s="31">
        <f>SalesData[[#This Row],[Profit]]/SalesData[[#This Row],[Revenue]]</f>
        <v>0.29737933076695294</v>
      </c>
    </row>
    <row r="120" spans="1:16" x14ac:dyDescent="0.25">
      <c r="A120" s="9" t="s">
        <v>232</v>
      </c>
      <c r="B120" s="10">
        <v>45600</v>
      </c>
      <c r="C120" s="9" t="s">
        <v>68</v>
      </c>
      <c r="D120" s="9" t="s">
        <v>69</v>
      </c>
      <c r="E120" s="9" t="s">
        <v>70</v>
      </c>
      <c r="F120" s="9" t="s">
        <v>115</v>
      </c>
      <c r="G120" s="9" t="s">
        <v>77</v>
      </c>
      <c r="H120" s="11">
        <v>11</v>
      </c>
      <c r="I120" s="12">
        <v>366.84</v>
      </c>
      <c r="J120" s="12">
        <v>4035.24</v>
      </c>
      <c r="K120" s="12">
        <v>1907.09</v>
      </c>
      <c r="L120" s="12">
        <v>2128.15</v>
      </c>
      <c r="M120" s="9" t="s">
        <v>60</v>
      </c>
      <c r="N120" s="9" t="s">
        <v>61</v>
      </c>
      <c r="O120" s="31">
        <f>SalesData[[#This Row],[UnitPrice]]/SalesData[[#This Row],[Revenue]]</f>
        <v>9.0909090909090912E-2</v>
      </c>
      <c r="P120" s="31">
        <f>SalesData[[#This Row],[Profit]]/SalesData[[#This Row],[Revenue]]</f>
        <v>0.527391183671851</v>
      </c>
    </row>
    <row r="121" spans="1:16" x14ac:dyDescent="0.25">
      <c r="A121" s="9" t="s">
        <v>233</v>
      </c>
      <c r="B121" s="10">
        <v>45276</v>
      </c>
      <c r="C121" s="9" t="s">
        <v>74</v>
      </c>
      <c r="D121" s="9" t="s">
        <v>75</v>
      </c>
      <c r="E121" s="9" t="s">
        <v>70</v>
      </c>
      <c r="F121" s="9" t="s">
        <v>71</v>
      </c>
      <c r="G121" s="9" t="s">
        <v>125</v>
      </c>
      <c r="H121" s="11">
        <v>3</v>
      </c>
      <c r="I121" s="12">
        <v>690.81</v>
      </c>
      <c r="J121" s="12">
        <v>2072.4299999999998</v>
      </c>
      <c r="K121" s="12">
        <v>999.72</v>
      </c>
      <c r="L121" s="12">
        <v>1072.71</v>
      </c>
      <c r="M121" s="9" t="s">
        <v>65</v>
      </c>
      <c r="N121" s="9" t="s">
        <v>128</v>
      </c>
      <c r="O121" s="31">
        <f>SalesData[[#This Row],[UnitPrice]]/SalesData[[#This Row],[Revenue]]</f>
        <v>0.33333333333333331</v>
      </c>
      <c r="P121" s="31">
        <f>SalesData[[#This Row],[Profit]]/SalesData[[#This Row],[Revenue]]</f>
        <v>0.5176097624527729</v>
      </c>
    </row>
    <row r="122" spans="1:16" x14ac:dyDescent="0.25">
      <c r="A122" s="9" t="s">
        <v>234</v>
      </c>
      <c r="B122" s="10">
        <v>45088</v>
      </c>
      <c r="C122" s="9" t="s">
        <v>98</v>
      </c>
      <c r="D122" s="9" t="s">
        <v>110</v>
      </c>
      <c r="E122" s="9" t="s">
        <v>57</v>
      </c>
      <c r="F122" s="9" t="s">
        <v>106</v>
      </c>
      <c r="G122" s="9" t="s">
        <v>84</v>
      </c>
      <c r="H122" s="11">
        <v>25</v>
      </c>
      <c r="I122" s="12">
        <v>74.66</v>
      </c>
      <c r="J122" s="12">
        <v>1866.5</v>
      </c>
      <c r="K122" s="12">
        <v>1106.6600000000001</v>
      </c>
      <c r="L122" s="12">
        <v>759.84</v>
      </c>
      <c r="M122" s="9" t="s">
        <v>60</v>
      </c>
      <c r="N122" s="9" t="s">
        <v>66</v>
      </c>
      <c r="O122" s="31">
        <f>SalesData[[#This Row],[UnitPrice]]/SalesData[[#This Row],[Revenue]]</f>
        <v>0.04</v>
      </c>
      <c r="P122" s="31">
        <f>SalesData[[#This Row],[Profit]]/SalesData[[#This Row],[Revenue]]</f>
        <v>0.40709349049022236</v>
      </c>
    </row>
    <row r="123" spans="1:16" x14ac:dyDescent="0.25">
      <c r="A123" s="9" t="s">
        <v>235</v>
      </c>
      <c r="B123" s="10">
        <v>45043</v>
      </c>
      <c r="C123" s="9" t="s">
        <v>55</v>
      </c>
      <c r="D123" s="9" t="s">
        <v>56</v>
      </c>
      <c r="E123" s="9" t="s">
        <v>57</v>
      </c>
      <c r="F123" s="9" t="s">
        <v>83</v>
      </c>
      <c r="G123" s="9" t="s">
        <v>72</v>
      </c>
      <c r="H123" s="11">
        <v>16</v>
      </c>
      <c r="I123" s="12">
        <v>49.92</v>
      </c>
      <c r="J123" s="12">
        <v>798.72</v>
      </c>
      <c r="K123" s="12">
        <v>431.4</v>
      </c>
      <c r="L123" s="12">
        <v>367.32</v>
      </c>
      <c r="M123" s="9" t="s">
        <v>60</v>
      </c>
      <c r="N123" s="9" t="s">
        <v>61</v>
      </c>
      <c r="O123" s="31">
        <f>SalesData[[#This Row],[UnitPrice]]/SalesData[[#This Row],[Revenue]]</f>
        <v>6.25E-2</v>
      </c>
      <c r="P123" s="31">
        <f>SalesData[[#This Row],[Profit]]/SalesData[[#This Row],[Revenue]]</f>
        <v>0.45988581730769229</v>
      </c>
    </row>
    <row r="124" spans="1:16" x14ac:dyDescent="0.25">
      <c r="A124" s="9" t="s">
        <v>236</v>
      </c>
      <c r="B124" s="10">
        <v>44983</v>
      </c>
      <c r="C124" s="9" t="s">
        <v>68</v>
      </c>
      <c r="D124" s="9" t="s">
        <v>171</v>
      </c>
      <c r="E124" s="9" t="s">
        <v>63</v>
      </c>
      <c r="F124" s="9" t="s">
        <v>90</v>
      </c>
      <c r="G124" s="9" t="s">
        <v>88</v>
      </c>
      <c r="H124" s="11">
        <v>17</v>
      </c>
      <c r="I124" s="12">
        <v>876.59</v>
      </c>
      <c r="J124" s="12">
        <v>14902.03</v>
      </c>
      <c r="K124" s="12">
        <v>6455.13</v>
      </c>
      <c r="L124" s="12">
        <v>8446.9</v>
      </c>
      <c r="M124" s="9" t="s">
        <v>65</v>
      </c>
      <c r="N124" s="9" t="s">
        <v>61</v>
      </c>
      <c r="O124" s="31">
        <f>SalesData[[#This Row],[UnitPrice]]/SalesData[[#This Row],[Revenue]]</f>
        <v>5.8823529411764705E-2</v>
      </c>
      <c r="P124" s="31">
        <f>SalesData[[#This Row],[Profit]]/SalesData[[#This Row],[Revenue]]</f>
        <v>0.5668288145977427</v>
      </c>
    </row>
    <row r="125" spans="1:16" x14ac:dyDescent="0.25">
      <c r="A125" s="9" t="s">
        <v>237</v>
      </c>
      <c r="B125" s="10">
        <v>45691</v>
      </c>
      <c r="C125" s="9" t="s">
        <v>55</v>
      </c>
      <c r="D125" s="9" t="s">
        <v>86</v>
      </c>
      <c r="E125" s="9" t="s">
        <v>57</v>
      </c>
      <c r="F125" s="9" t="s">
        <v>58</v>
      </c>
      <c r="G125" s="9" t="s">
        <v>96</v>
      </c>
      <c r="H125" s="11">
        <v>25</v>
      </c>
      <c r="I125" s="12">
        <v>23.9</v>
      </c>
      <c r="J125" s="12">
        <v>597.5</v>
      </c>
      <c r="K125" s="12">
        <v>307.81</v>
      </c>
      <c r="L125" s="12">
        <v>289.69</v>
      </c>
      <c r="M125" s="9" t="s">
        <v>60</v>
      </c>
      <c r="N125" s="9" t="s">
        <v>128</v>
      </c>
      <c r="O125" s="31">
        <f>SalesData[[#This Row],[UnitPrice]]/SalesData[[#This Row],[Revenue]]</f>
        <v>0.04</v>
      </c>
      <c r="P125" s="31">
        <f>SalesData[[#This Row],[Profit]]/SalesData[[#This Row],[Revenue]]</f>
        <v>0.48483682008368201</v>
      </c>
    </row>
    <row r="126" spans="1:16" x14ac:dyDescent="0.25">
      <c r="A126" s="9" t="s">
        <v>238</v>
      </c>
      <c r="B126" s="10">
        <v>45333</v>
      </c>
      <c r="C126" s="9" t="s">
        <v>74</v>
      </c>
      <c r="D126" s="9" t="s">
        <v>140</v>
      </c>
      <c r="E126" s="9" t="s">
        <v>70</v>
      </c>
      <c r="F126" s="9" t="s">
        <v>160</v>
      </c>
      <c r="G126" s="9" t="s">
        <v>59</v>
      </c>
      <c r="H126" s="11">
        <v>17</v>
      </c>
      <c r="I126" s="12">
        <v>537.15</v>
      </c>
      <c r="J126" s="12">
        <v>9131.5499999999993</v>
      </c>
      <c r="K126" s="12">
        <v>5604.34</v>
      </c>
      <c r="L126" s="12">
        <v>3527.21</v>
      </c>
      <c r="M126" s="9" t="s">
        <v>65</v>
      </c>
      <c r="N126" s="9" t="s">
        <v>66</v>
      </c>
      <c r="O126" s="31">
        <f>SalesData[[#This Row],[UnitPrice]]/SalesData[[#This Row],[Revenue]]</f>
        <v>5.8823529411764705E-2</v>
      </c>
      <c r="P126" s="31">
        <f>SalesData[[#This Row],[Profit]]/SalesData[[#This Row],[Revenue]]</f>
        <v>0.3862662965214011</v>
      </c>
    </row>
    <row r="127" spans="1:16" x14ac:dyDescent="0.25">
      <c r="A127" s="9" t="s">
        <v>239</v>
      </c>
      <c r="B127" s="10">
        <v>45044</v>
      </c>
      <c r="C127" s="9" t="s">
        <v>55</v>
      </c>
      <c r="D127" s="9" t="s">
        <v>82</v>
      </c>
      <c r="E127" s="9" t="s">
        <v>63</v>
      </c>
      <c r="F127" s="9" t="s">
        <v>100</v>
      </c>
      <c r="G127" s="9" t="s">
        <v>80</v>
      </c>
      <c r="H127" s="11">
        <v>11</v>
      </c>
      <c r="I127" s="12">
        <v>760.63</v>
      </c>
      <c r="J127" s="12">
        <v>8366.93</v>
      </c>
      <c r="K127" s="12">
        <v>4905.41</v>
      </c>
      <c r="L127" s="12">
        <v>3461.52</v>
      </c>
      <c r="M127" s="9" t="s">
        <v>65</v>
      </c>
      <c r="N127" s="9" t="s">
        <v>128</v>
      </c>
      <c r="O127" s="31">
        <f>SalesData[[#This Row],[UnitPrice]]/SalesData[[#This Row],[Revenue]]</f>
        <v>9.0909090909090912E-2</v>
      </c>
      <c r="P127" s="31">
        <f>SalesData[[#This Row],[Profit]]/SalesData[[#This Row],[Revenue]]</f>
        <v>0.41371446874779638</v>
      </c>
    </row>
    <row r="128" spans="1:16" x14ac:dyDescent="0.25">
      <c r="A128" s="9" t="s">
        <v>240</v>
      </c>
      <c r="B128" s="10">
        <v>45373</v>
      </c>
      <c r="C128" s="9" t="s">
        <v>74</v>
      </c>
      <c r="D128" s="9" t="s">
        <v>75</v>
      </c>
      <c r="E128" s="9" t="s">
        <v>57</v>
      </c>
      <c r="F128" s="9" t="s">
        <v>58</v>
      </c>
      <c r="G128" s="9" t="s">
        <v>88</v>
      </c>
      <c r="H128" s="11">
        <v>23</v>
      </c>
      <c r="I128" s="12">
        <v>73.06</v>
      </c>
      <c r="J128" s="12">
        <v>1680.38</v>
      </c>
      <c r="K128" s="12">
        <v>748.71</v>
      </c>
      <c r="L128" s="12">
        <v>931.67</v>
      </c>
      <c r="M128" s="9" t="s">
        <v>60</v>
      </c>
      <c r="N128" s="9" t="s">
        <v>66</v>
      </c>
      <c r="O128" s="31">
        <f>SalesData[[#This Row],[UnitPrice]]/SalesData[[#This Row],[Revenue]]</f>
        <v>4.3478260869565216E-2</v>
      </c>
      <c r="P128" s="31">
        <f>SalesData[[#This Row],[Profit]]/SalesData[[#This Row],[Revenue]]</f>
        <v>0.55444006712767346</v>
      </c>
    </row>
    <row r="129" spans="1:16" x14ac:dyDescent="0.25">
      <c r="A129" s="9" t="s">
        <v>241</v>
      </c>
      <c r="B129" s="10">
        <v>45449</v>
      </c>
      <c r="C129" s="9" t="s">
        <v>74</v>
      </c>
      <c r="D129" s="9" t="s">
        <v>75</v>
      </c>
      <c r="E129" s="9" t="s">
        <v>93</v>
      </c>
      <c r="F129" s="9" t="s">
        <v>130</v>
      </c>
      <c r="G129" s="9" t="s">
        <v>84</v>
      </c>
      <c r="H129" s="11">
        <v>8</v>
      </c>
      <c r="I129" s="12">
        <v>96.27</v>
      </c>
      <c r="J129" s="12">
        <v>770.16</v>
      </c>
      <c r="K129" s="12">
        <v>361.02</v>
      </c>
      <c r="L129" s="12">
        <v>409.14</v>
      </c>
      <c r="M129" s="9" t="s">
        <v>60</v>
      </c>
      <c r="N129" s="9" t="s">
        <v>61</v>
      </c>
      <c r="O129" s="31">
        <f>SalesData[[#This Row],[UnitPrice]]/SalesData[[#This Row],[Revenue]]</f>
        <v>0.125</v>
      </c>
      <c r="P129" s="31">
        <f>SalesData[[#This Row],[Profit]]/SalesData[[#This Row],[Revenue]]</f>
        <v>0.53124026176378936</v>
      </c>
    </row>
    <row r="130" spans="1:16" x14ac:dyDescent="0.25">
      <c r="A130" s="9" t="s">
        <v>242</v>
      </c>
      <c r="B130" s="10">
        <v>45083</v>
      </c>
      <c r="C130" s="9" t="s">
        <v>98</v>
      </c>
      <c r="D130" s="9" t="s">
        <v>110</v>
      </c>
      <c r="E130" s="9" t="s">
        <v>57</v>
      </c>
      <c r="F130" s="9" t="s">
        <v>106</v>
      </c>
      <c r="G130" s="9" t="s">
        <v>96</v>
      </c>
      <c r="H130" s="11">
        <v>8</v>
      </c>
      <c r="I130" s="12">
        <v>12.6</v>
      </c>
      <c r="J130" s="12">
        <v>100.8</v>
      </c>
      <c r="K130" s="12">
        <v>49.82</v>
      </c>
      <c r="L130" s="12">
        <v>50.98</v>
      </c>
      <c r="M130" s="9" t="s">
        <v>60</v>
      </c>
      <c r="N130" s="9" t="s">
        <v>61</v>
      </c>
      <c r="O130" s="31">
        <f>SalesData[[#This Row],[UnitPrice]]/SalesData[[#This Row],[Revenue]]</f>
        <v>0.125</v>
      </c>
      <c r="P130" s="31">
        <f>SalesData[[#This Row],[Profit]]/SalesData[[#This Row],[Revenue]]</f>
        <v>0.50575396825396823</v>
      </c>
    </row>
    <row r="131" spans="1:16" x14ac:dyDescent="0.25">
      <c r="A131" s="9" t="s">
        <v>243</v>
      </c>
      <c r="B131" s="10">
        <v>45250</v>
      </c>
      <c r="C131" s="9" t="s">
        <v>55</v>
      </c>
      <c r="D131" s="9" t="s">
        <v>86</v>
      </c>
      <c r="E131" s="9" t="s">
        <v>93</v>
      </c>
      <c r="F131" s="9" t="s">
        <v>152</v>
      </c>
      <c r="G131" s="9" t="s">
        <v>88</v>
      </c>
      <c r="H131" s="11">
        <v>22</v>
      </c>
      <c r="I131" s="12">
        <v>231.63</v>
      </c>
      <c r="J131" s="12">
        <v>5095.8599999999997</v>
      </c>
      <c r="K131" s="12">
        <v>2974.47</v>
      </c>
      <c r="L131" s="12">
        <v>2121.39</v>
      </c>
      <c r="M131" s="9" t="s">
        <v>65</v>
      </c>
      <c r="N131" s="9" t="s">
        <v>61</v>
      </c>
      <c r="O131" s="31">
        <f>SalesData[[#This Row],[UnitPrice]]/SalesData[[#This Row],[Revenue]]</f>
        <v>4.5454545454545456E-2</v>
      </c>
      <c r="P131" s="31">
        <f>SalesData[[#This Row],[Profit]]/SalesData[[#This Row],[Revenue]]</f>
        <v>0.41629675854517195</v>
      </c>
    </row>
    <row r="132" spans="1:16" x14ac:dyDescent="0.25">
      <c r="A132" s="9" t="s">
        <v>244</v>
      </c>
      <c r="B132" s="10">
        <v>45446</v>
      </c>
      <c r="C132" s="9" t="s">
        <v>98</v>
      </c>
      <c r="D132" s="9" t="s">
        <v>99</v>
      </c>
      <c r="E132" s="9" t="s">
        <v>63</v>
      </c>
      <c r="F132" s="9" t="s">
        <v>100</v>
      </c>
      <c r="G132" s="9" t="s">
        <v>88</v>
      </c>
      <c r="H132" s="11">
        <v>21</v>
      </c>
      <c r="I132" s="12">
        <v>414.27</v>
      </c>
      <c r="J132" s="12">
        <v>8699.67</v>
      </c>
      <c r="K132" s="12">
        <v>4346.84</v>
      </c>
      <c r="L132" s="12">
        <v>4352.83</v>
      </c>
      <c r="M132" s="9" t="s">
        <v>60</v>
      </c>
      <c r="N132" s="9" t="s">
        <v>128</v>
      </c>
      <c r="O132" s="31">
        <f>SalesData[[#This Row],[UnitPrice]]/SalesData[[#This Row],[Revenue]]</f>
        <v>4.7619047619047616E-2</v>
      </c>
      <c r="P132" s="31">
        <f>SalesData[[#This Row],[Profit]]/SalesData[[#This Row],[Revenue]]</f>
        <v>0.50034426593192616</v>
      </c>
    </row>
    <row r="133" spans="1:16" x14ac:dyDescent="0.25">
      <c r="A133" s="9" t="s">
        <v>245</v>
      </c>
      <c r="B133" s="10">
        <v>45535</v>
      </c>
      <c r="C133" s="9" t="s">
        <v>55</v>
      </c>
      <c r="D133" s="9" t="s">
        <v>102</v>
      </c>
      <c r="E133" s="9" t="s">
        <v>93</v>
      </c>
      <c r="F133" s="9" t="s">
        <v>152</v>
      </c>
      <c r="G133" s="9" t="s">
        <v>125</v>
      </c>
      <c r="H133" s="11">
        <v>2</v>
      </c>
      <c r="I133" s="12">
        <v>104.43</v>
      </c>
      <c r="J133" s="12">
        <v>208.86</v>
      </c>
      <c r="K133" s="12">
        <v>105.11</v>
      </c>
      <c r="L133" s="12">
        <v>103.75</v>
      </c>
      <c r="M133" s="9" t="s">
        <v>60</v>
      </c>
      <c r="N133" s="9" t="s">
        <v>61</v>
      </c>
      <c r="O133" s="31">
        <f>SalesData[[#This Row],[UnitPrice]]/SalesData[[#This Row],[Revenue]]</f>
        <v>0.5</v>
      </c>
      <c r="P133" s="31">
        <f>SalesData[[#This Row],[Profit]]/SalesData[[#This Row],[Revenue]]</f>
        <v>0.49674423058508088</v>
      </c>
    </row>
    <row r="134" spans="1:16" x14ac:dyDescent="0.25">
      <c r="A134" s="9" t="s">
        <v>246</v>
      </c>
      <c r="B134" s="10">
        <v>45032</v>
      </c>
      <c r="C134" s="9" t="s">
        <v>74</v>
      </c>
      <c r="D134" s="9" t="s">
        <v>92</v>
      </c>
      <c r="E134" s="9" t="s">
        <v>63</v>
      </c>
      <c r="F134" s="9" t="s">
        <v>100</v>
      </c>
      <c r="G134" s="9" t="s">
        <v>59</v>
      </c>
      <c r="H134" s="11">
        <v>11</v>
      </c>
      <c r="I134" s="12">
        <v>797.75</v>
      </c>
      <c r="J134" s="12">
        <v>8775.25</v>
      </c>
      <c r="K134" s="12">
        <v>4961.5</v>
      </c>
      <c r="L134" s="12">
        <v>3813.75</v>
      </c>
      <c r="M134" s="9" t="s">
        <v>60</v>
      </c>
      <c r="N134" s="9" t="s">
        <v>128</v>
      </c>
      <c r="O134" s="31">
        <f>SalesData[[#This Row],[UnitPrice]]/SalesData[[#This Row],[Revenue]]</f>
        <v>9.0909090909090912E-2</v>
      </c>
      <c r="P134" s="31">
        <f>SalesData[[#This Row],[Profit]]/SalesData[[#This Row],[Revenue]]</f>
        <v>0.43460300276345404</v>
      </c>
    </row>
    <row r="135" spans="1:16" x14ac:dyDescent="0.25">
      <c r="A135" s="9" t="s">
        <v>247</v>
      </c>
      <c r="B135" s="10">
        <v>45308</v>
      </c>
      <c r="C135" s="9" t="s">
        <v>68</v>
      </c>
      <c r="D135" s="9" t="s">
        <v>69</v>
      </c>
      <c r="E135" s="9" t="s">
        <v>70</v>
      </c>
      <c r="F135" s="9" t="s">
        <v>117</v>
      </c>
      <c r="G135" s="9" t="s">
        <v>59</v>
      </c>
      <c r="H135" s="11">
        <v>23</v>
      </c>
      <c r="I135" s="12">
        <v>437.96</v>
      </c>
      <c r="J135" s="12">
        <v>10073.08</v>
      </c>
      <c r="K135" s="12">
        <v>5514.33</v>
      </c>
      <c r="L135" s="12">
        <v>4558.75</v>
      </c>
      <c r="M135" s="9" t="s">
        <v>60</v>
      </c>
      <c r="N135" s="9" t="s">
        <v>128</v>
      </c>
      <c r="O135" s="31">
        <f>SalesData[[#This Row],[UnitPrice]]/SalesData[[#This Row],[Revenue]]</f>
        <v>4.3478260869565216E-2</v>
      </c>
      <c r="P135" s="31">
        <f>SalesData[[#This Row],[Profit]]/SalesData[[#This Row],[Revenue]]</f>
        <v>0.4525676357181716</v>
      </c>
    </row>
    <row r="136" spans="1:16" x14ac:dyDescent="0.25">
      <c r="A136" s="9" t="s">
        <v>248</v>
      </c>
      <c r="B136" s="10">
        <v>45621</v>
      </c>
      <c r="C136" s="9" t="s">
        <v>68</v>
      </c>
      <c r="D136" s="9" t="s">
        <v>171</v>
      </c>
      <c r="E136" s="9" t="s">
        <v>93</v>
      </c>
      <c r="F136" s="9" t="s">
        <v>130</v>
      </c>
      <c r="G136" s="9" t="s">
        <v>125</v>
      </c>
      <c r="H136" s="11">
        <v>21</v>
      </c>
      <c r="I136" s="12">
        <v>168.23</v>
      </c>
      <c r="J136" s="12">
        <v>3532.83</v>
      </c>
      <c r="K136" s="12">
        <v>1551.32</v>
      </c>
      <c r="L136" s="12">
        <v>1981.51</v>
      </c>
      <c r="M136" s="9" t="s">
        <v>60</v>
      </c>
      <c r="N136" s="9" t="s">
        <v>61</v>
      </c>
      <c r="O136" s="31">
        <f>SalesData[[#This Row],[UnitPrice]]/SalesData[[#This Row],[Revenue]]</f>
        <v>4.7619047619047616E-2</v>
      </c>
      <c r="P136" s="31">
        <f>SalesData[[#This Row],[Profit]]/SalesData[[#This Row],[Revenue]]</f>
        <v>0.56088461658217348</v>
      </c>
    </row>
    <row r="137" spans="1:16" x14ac:dyDescent="0.25">
      <c r="A137" s="9" t="s">
        <v>249</v>
      </c>
      <c r="B137" s="10">
        <v>45598</v>
      </c>
      <c r="C137" s="9" t="s">
        <v>74</v>
      </c>
      <c r="D137" s="9" t="s">
        <v>135</v>
      </c>
      <c r="E137" s="9" t="s">
        <v>57</v>
      </c>
      <c r="F137" s="9" t="s">
        <v>106</v>
      </c>
      <c r="G137" s="9" t="s">
        <v>96</v>
      </c>
      <c r="H137" s="11">
        <v>11</v>
      </c>
      <c r="I137" s="12">
        <v>11.02</v>
      </c>
      <c r="J137" s="12">
        <v>121.22</v>
      </c>
      <c r="K137" s="12">
        <v>74.239999999999995</v>
      </c>
      <c r="L137" s="12">
        <v>46.98</v>
      </c>
      <c r="M137" s="9" t="s">
        <v>65</v>
      </c>
      <c r="N137" s="9" t="s">
        <v>128</v>
      </c>
      <c r="O137" s="31">
        <f>SalesData[[#This Row],[UnitPrice]]/SalesData[[#This Row],[Revenue]]</f>
        <v>9.0909090909090912E-2</v>
      </c>
      <c r="P137" s="31">
        <f>SalesData[[#This Row],[Profit]]/SalesData[[#This Row],[Revenue]]</f>
        <v>0.38755980861244016</v>
      </c>
    </row>
    <row r="138" spans="1:16" x14ac:dyDescent="0.25">
      <c r="A138" s="9" t="s">
        <v>250</v>
      </c>
      <c r="B138" s="10">
        <v>45613</v>
      </c>
      <c r="C138" s="9" t="s">
        <v>74</v>
      </c>
      <c r="D138" s="9" t="s">
        <v>140</v>
      </c>
      <c r="E138" s="9" t="s">
        <v>63</v>
      </c>
      <c r="F138" s="9" t="s">
        <v>90</v>
      </c>
      <c r="G138" s="9" t="s">
        <v>72</v>
      </c>
      <c r="H138" s="11">
        <v>21</v>
      </c>
      <c r="I138" s="12">
        <v>1034.6199999999999</v>
      </c>
      <c r="J138" s="12">
        <v>21727.02</v>
      </c>
      <c r="K138" s="12">
        <v>14249.09</v>
      </c>
      <c r="L138" s="12">
        <v>7477.93</v>
      </c>
      <c r="M138" s="9" t="s">
        <v>60</v>
      </c>
      <c r="N138" s="9" t="s">
        <v>61</v>
      </c>
      <c r="O138" s="31">
        <f>SalesData[[#This Row],[UnitPrice]]/SalesData[[#This Row],[Revenue]]</f>
        <v>4.7619047619047616E-2</v>
      </c>
      <c r="P138" s="31">
        <f>SalesData[[#This Row],[Profit]]/SalesData[[#This Row],[Revenue]]</f>
        <v>0.34417651385233688</v>
      </c>
    </row>
    <row r="139" spans="1:16" x14ac:dyDescent="0.25">
      <c r="A139" s="9" t="s">
        <v>251</v>
      </c>
      <c r="B139" s="10">
        <v>45158</v>
      </c>
      <c r="C139" s="9" t="s">
        <v>74</v>
      </c>
      <c r="D139" s="9" t="s">
        <v>135</v>
      </c>
      <c r="E139" s="9" t="s">
        <v>63</v>
      </c>
      <c r="F139" s="9" t="s">
        <v>90</v>
      </c>
      <c r="G139" s="9" t="s">
        <v>77</v>
      </c>
      <c r="H139" s="11">
        <v>6</v>
      </c>
      <c r="I139" s="12">
        <v>1237.03</v>
      </c>
      <c r="J139" s="12">
        <v>7422.18</v>
      </c>
      <c r="K139" s="12">
        <v>3852.87</v>
      </c>
      <c r="L139" s="12">
        <v>3569.31</v>
      </c>
      <c r="M139" s="9" t="s">
        <v>65</v>
      </c>
      <c r="N139" s="9" t="s">
        <v>66</v>
      </c>
      <c r="O139" s="31">
        <f>SalesData[[#This Row],[UnitPrice]]/SalesData[[#This Row],[Revenue]]</f>
        <v>0.16666666666666666</v>
      </c>
      <c r="P139" s="31">
        <f>SalesData[[#This Row],[Profit]]/SalesData[[#This Row],[Revenue]]</f>
        <v>0.48089779552638173</v>
      </c>
    </row>
    <row r="140" spans="1:16" x14ac:dyDescent="0.25">
      <c r="A140" s="9" t="s">
        <v>252</v>
      </c>
      <c r="B140" s="10">
        <v>45271</v>
      </c>
      <c r="C140" s="9" t="s">
        <v>98</v>
      </c>
      <c r="D140" s="9" t="s">
        <v>198</v>
      </c>
      <c r="E140" s="9" t="s">
        <v>63</v>
      </c>
      <c r="F140" s="9" t="s">
        <v>90</v>
      </c>
      <c r="G140" s="9" t="s">
        <v>80</v>
      </c>
      <c r="H140" s="11">
        <v>17</v>
      </c>
      <c r="I140" s="12">
        <v>1008.24</v>
      </c>
      <c r="J140" s="12">
        <v>17140.080000000002</v>
      </c>
      <c r="K140" s="12">
        <v>11349.9</v>
      </c>
      <c r="L140" s="12">
        <v>5790.18</v>
      </c>
      <c r="M140" s="9" t="s">
        <v>60</v>
      </c>
      <c r="N140" s="9" t="s">
        <v>61</v>
      </c>
      <c r="O140" s="31">
        <f>SalesData[[#This Row],[UnitPrice]]/SalesData[[#This Row],[Revenue]]</f>
        <v>5.8823529411764698E-2</v>
      </c>
      <c r="P140" s="31">
        <f>SalesData[[#This Row],[Profit]]/SalesData[[#This Row],[Revenue]]</f>
        <v>0.33781522606662279</v>
      </c>
    </row>
    <row r="141" spans="1:16" x14ac:dyDescent="0.25">
      <c r="A141" s="9" t="s">
        <v>253</v>
      </c>
      <c r="B141" s="10">
        <v>45375</v>
      </c>
      <c r="C141" s="9" t="s">
        <v>98</v>
      </c>
      <c r="D141" s="9" t="s">
        <v>99</v>
      </c>
      <c r="E141" s="9" t="s">
        <v>70</v>
      </c>
      <c r="F141" s="9" t="s">
        <v>87</v>
      </c>
      <c r="G141" s="9" t="s">
        <v>96</v>
      </c>
      <c r="H141" s="11">
        <v>23</v>
      </c>
      <c r="I141" s="12">
        <v>711.3</v>
      </c>
      <c r="J141" s="12">
        <v>16359.9</v>
      </c>
      <c r="K141" s="12">
        <v>10709.56</v>
      </c>
      <c r="L141" s="12">
        <v>5650.34</v>
      </c>
      <c r="M141" s="9" t="s">
        <v>60</v>
      </c>
      <c r="N141" s="9" t="s">
        <v>61</v>
      </c>
      <c r="O141" s="31">
        <f>SalesData[[#This Row],[UnitPrice]]/SalesData[[#This Row],[Revenue]]</f>
        <v>4.3478260869565216E-2</v>
      </c>
      <c r="P141" s="31">
        <f>SalesData[[#This Row],[Profit]]/SalesData[[#This Row],[Revenue]]</f>
        <v>0.34537741673237615</v>
      </c>
    </row>
    <row r="142" spans="1:16" x14ac:dyDescent="0.25">
      <c r="A142" s="9" t="s">
        <v>254</v>
      </c>
      <c r="B142" s="10">
        <v>45473</v>
      </c>
      <c r="C142" s="9" t="s">
        <v>55</v>
      </c>
      <c r="D142" s="9" t="s">
        <v>82</v>
      </c>
      <c r="E142" s="9" t="s">
        <v>57</v>
      </c>
      <c r="F142" s="9" t="s">
        <v>106</v>
      </c>
      <c r="G142" s="9" t="s">
        <v>59</v>
      </c>
      <c r="H142" s="11">
        <v>15</v>
      </c>
      <c r="I142" s="12">
        <v>50.18</v>
      </c>
      <c r="J142" s="12">
        <v>752.7</v>
      </c>
      <c r="K142" s="12">
        <v>480.37</v>
      </c>
      <c r="L142" s="12">
        <v>272.33</v>
      </c>
      <c r="M142" s="9" t="s">
        <v>65</v>
      </c>
      <c r="N142" s="9" t="s">
        <v>66</v>
      </c>
      <c r="O142" s="31">
        <f>SalesData[[#This Row],[UnitPrice]]/SalesData[[#This Row],[Revenue]]</f>
        <v>6.6666666666666666E-2</v>
      </c>
      <c r="P142" s="31">
        <f>SalesData[[#This Row],[Profit]]/SalesData[[#This Row],[Revenue]]</f>
        <v>0.36180417164873119</v>
      </c>
    </row>
    <row r="143" spans="1:16" x14ac:dyDescent="0.25">
      <c r="A143" s="9" t="s">
        <v>255</v>
      </c>
      <c r="B143" s="10">
        <v>45723</v>
      </c>
      <c r="C143" s="9" t="s">
        <v>98</v>
      </c>
      <c r="D143" s="9" t="s">
        <v>110</v>
      </c>
      <c r="E143" s="9" t="s">
        <v>93</v>
      </c>
      <c r="F143" s="9" t="s">
        <v>94</v>
      </c>
      <c r="G143" s="9" t="s">
        <v>84</v>
      </c>
      <c r="H143" s="11">
        <v>22</v>
      </c>
      <c r="I143" s="12">
        <v>236.89</v>
      </c>
      <c r="J143" s="12">
        <v>5211.58</v>
      </c>
      <c r="K143" s="12">
        <v>3676.7</v>
      </c>
      <c r="L143" s="12">
        <v>1534.88</v>
      </c>
      <c r="M143" s="9" t="s">
        <v>65</v>
      </c>
      <c r="N143" s="9" t="s">
        <v>128</v>
      </c>
      <c r="O143" s="31">
        <f>SalesData[[#This Row],[UnitPrice]]/SalesData[[#This Row],[Revenue]]</f>
        <v>4.5454545454545456E-2</v>
      </c>
      <c r="P143" s="31">
        <f>SalesData[[#This Row],[Profit]]/SalesData[[#This Row],[Revenue]]</f>
        <v>0.29451337214434015</v>
      </c>
    </row>
    <row r="144" spans="1:16" x14ac:dyDescent="0.25">
      <c r="A144" s="9" t="s">
        <v>256</v>
      </c>
      <c r="B144" s="10">
        <v>45032</v>
      </c>
      <c r="C144" s="9" t="s">
        <v>74</v>
      </c>
      <c r="D144" s="9" t="s">
        <v>92</v>
      </c>
      <c r="E144" s="9" t="s">
        <v>70</v>
      </c>
      <c r="F144" s="9" t="s">
        <v>87</v>
      </c>
      <c r="G144" s="9" t="s">
        <v>96</v>
      </c>
      <c r="H144" s="11">
        <v>9</v>
      </c>
      <c r="I144" s="12">
        <v>121.79</v>
      </c>
      <c r="J144" s="12">
        <v>1096.1099999999999</v>
      </c>
      <c r="K144" s="12">
        <v>613.13</v>
      </c>
      <c r="L144" s="12">
        <v>482.98</v>
      </c>
      <c r="M144" s="9" t="s">
        <v>65</v>
      </c>
      <c r="N144" s="9" t="s">
        <v>61</v>
      </c>
      <c r="O144" s="31">
        <f>SalesData[[#This Row],[UnitPrice]]/SalesData[[#This Row],[Revenue]]</f>
        <v>0.11111111111111113</v>
      </c>
      <c r="P144" s="31">
        <f>SalesData[[#This Row],[Profit]]/SalesData[[#This Row],[Revenue]]</f>
        <v>0.44063095857167628</v>
      </c>
    </row>
    <row r="145" spans="1:16" x14ac:dyDescent="0.25">
      <c r="A145" s="9" t="s">
        <v>257</v>
      </c>
      <c r="B145" s="10">
        <v>45154</v>
      </c>
      <c r="C145" s="9" t="s">
        <v>55</v>
      </c>
      <c r="D145" s="9" t="s">
        <v>102</v>
      </c>
      <c r="E145" s="9" t="s">
        <v>63</v>
      </c>
      <c r="F145" s="9" t="s">
        <v>64</v>
      </c>
      <c r="G145" s="9" t="s">
        <v>77</v>
      </c>
      <c r="H145" s="11">
        <v>15</v>
      </c>
      <c r="I145" s="12">
        <v>1178.83</v>
      </c>
      <c r="J145" s="12">
        <v>17682.45</v>
      </c>
      <c r="K145" s="12">
        <v>8182.22</v>
      </c>
      <c r="L145" s="12">
        <v>9500.23</v>
      </c>
      <c r="M145" s="9" t="s">
        <v>65</v>
      </c>
      <c r="N145" s="9" t="s">
        <v>66</v>
      </c>
      <c r="O145" s="31">
        <f>SalesData[[#This Row],[UnitPrice]]/SalesData[[#This Row],[Revenue]]</f>
        <v>6.6666666666666666E-2</v>
      </c>
      <c r="P145" s="31">
        <f>SalesData[[#This Row],[Profit]]/SalesData[[#This Row],[Revenue]]</f>
        <v>0.53726887393998002</v>
      </c>
    </row>
    <row r="146" spans="1:16" x14ac:dyDescent="0.25">
      <c r="A146" s="9" t="s">
        <v>258</v>
      </c>
      <c r="B146" s="10">
        <v>45156</v>
      </c>
      <c r="C146" s="9" t="s">
        <v>74</v>
      </c>
      <c r="D146" s="9" t="s">
        <v>135</v>
      </c>
      <c r="E146" s="9" t="s">
        <v>63</v>
      </c>
      <c r="F146" s="9" t="s">
        <v>100</v>
      </c>
      <c r="G146" s="9" t="s">
        <v>125</v>
      </c>
      <c r="H146" s="11">
        <v>13</v>
      </c>
      <c r="I146" s="12">
        <v>667.04</v>
      </c>
      <c r="J146" s="12">
        <v>8671.52</v>
      </c>
      <c r="K146" s="12">
        <v>4234.96</v>
      </c>
      <c r="L146" s="12">
        <v>4436.5600000000004</v>
      </c>
      <c r="M146" s="9" t="s">
        <v>60</v>
      </c>
      <c r="N146" s="9" t="s">
        <v>128</v>
      </c>
      <c r="O146" s="31">
        <f>SalesData[[#This Row],[UnitPrice]]/SalesData[[#This Row],[Revenue]]</f>
        <v>7.6923076923076913E-2</v>
      </c>
      <c r="P146" s="31">
        <f>SalesData[[#This Row],[Profit]]/SalesData[[#This Row],[Revenue]]</f>
        <v>0.51162425964536784</v>
      </c>
    </row>
    <row r="147" spans="1:16" x14ac:dyDescent="0.25">
      <c r="A147" s="9" t="s">
        <v>259</v>
      </c>
      <c r="B147" s="10">
        <v>45778</v>
      </c>
      <c r="C147" s="9" t="s">
        <v>55</v>
      </c>
      <c r="D147" s="9" t="s">
        <v>102</v>
      </c>
      <c r="E147" s="9" t="s">
        <v>63</v>
      </c>
      <c r="F147" s="9" t="s">
        <v>203</v>
      </c>
      <c r="G147" s="9" t="s">
        <v>84</v>
      </c>
      <c r="H147" s="11">
        <v>5</v>
      </c>
      <c r="I147" s="12">
        <v>204.61</v>
      </c>
      <c r="J147" s="12">
        <v>1023.05</v>
      </c>
      <c r="K147" s="12">
        <v>514.79</v>
      </c>
      <c r="L147" s="12">
        <v>508.26</v>
      </c>
      <c r="M147" s="9" t="s">
        <v>65</v>
      </c>
      <c r="N147" s="9" t="s">
        <v>61</v>
      </c>
      <c r="O147" s="31">
        <f>SalesData[[#This Row],[UnitPrice]]/SalesData[[#This Row],[Revenue]]</f>
        <v>0.2</v>
      </c>
      <c r="P147" s="31">
        <f>SalesData[[#This Row],[Profit]]/SalesData[[#This Row],[Revenue]]</f>
        <v>0.49680856263134743</v>
      </c>
    </row>
    <row r="148" spans="1:16" x14ac:dyDescent="0.25">
      <c r="A148" s="9" t="s">
        <v>260</v>
      </c>
      <c r="B148" s="10">
        <v>45671</v>
      </c>
      <c r="C148" s="9" t="s">
        <v>98</v>
      </c>
      <c r="D148" s="9" t="s">
        <v>99</v>
      </c>
      <c r="E148" s="9" t="s">
        <v>93</v>
      </c>
      <c r="F148" s="9" t="s">
        <v>158</v>
      </c>
      <c r="G148" s="9" t="s">
        <v>125</v>
      </c>
      <c r="H148" s="11">
        <v>3</v>
      </c>
      <c r="I148" s="12">
        <v>24.34</v>
      </c>
      <c r="J148" s="12">
        <v>73.02</v>
      </c>
      <c r="K148" s="12">
        <v>35.24</v>
      </c>
      <c r="L148" s="12">
        <v>37.78</v>
      </c>
      <c r="M148" s="9" t="s">
        <v>60</v>
      </c>
      <c r="N148" s="9" t="s">
        <v>61</v>
      </c>
      <c r="O148" s="31">
        <f>SalesData[[#This Row],[UnitPrice]]/SalesData[[#This Row],[Revenue]]</f>
        <v>0.33333333333333337</v>
      </c>
      <c r="P148" s="31">
        <f>SalesData[[#This Row],[Profit]]/SalesData[[#This Row],[Revenue]]</f>
        <v>0.51739249520679276</v>
      </c>
    </row>
    <row r="149" spans="1:16" x14ac:dyDescent="0.25">
      <c r="A149" s="9" t="s">
        <v>261</v>
      </c>
      <c r="B149" s="10">
        <v>45040</v>
      </c>
      <c r="C149" s="9" t="s">
        <v>74</v>
      </c>
      <c r="D149" s="9" t="s">
        <v>75</v>
      </c>
      <c r="E149" s="9" t="s">
        <v>57</v>
      </c>
      <c r="F149" s="9" t="s">
        <v>58</v>
      </c>
      <c r="G149" s="9" t="s">
        <v>77</v>
      </c>
      <c r="H149" s="11">
        <v>4</v>
      </c>
      <c r="I149" s="12">
        <v>8.52</v>
      </c>
      <c r="J149" s="12">
        <v>34.08</v>
      </c>
      <c r="K149" s="12">
        <v>18.46</v>
      </c>
      <c r="L149" s="12">
        <v>15.62</v>
      </c>
      <c r="M149" s="9" t="s">
        <v>65</v>
      </c>
      <c r="N149" s="9" t="s">
        <v>66</v>
      </c>
      <c r="O149" s="31">
        <f>SalesData[[#This Row],[UnitPrice]]/SalesData[[#This Row],[Revenue]]</f>
        <v>0.25</v>
      </c>
      <c r="P149" s="31">
        <f>SalesData[[#This Row],[Profit]]/SalesData[[#This Row],[Revenue]]</f>
        <v>0.45833333333333331</v>
      </c>
    </row>
    <row r="150" spans="1:16" x14ac:dyDescent="0.25">
      <c r="A150" s="9" t="s">
        <v>262</v>
      </c>
      <c r="B150" s="10">
        <v>45353</v>
      </c>
      <c r="C150" s="9" t="s">
        <v>74</v>
      </c>
      <c r="D150" s="9" t="s">
        <v>75</v>
      </c>
      <c r="E150" s="9" t="s">
        <v>70</v>
      </c>
      <c r="F150" s="9" t="s">
        <v>71</v>
      </c>
      <c r="G150" s="9" t="s">
        <v>96</v>
      </c>
      <c r="H150" s="11">
        <v>10</v>
      </c>
      <c r="I150" s="12">
        <v>430.98</v>
      </c>
      <c r="J150" s="12">
        <v>4309.8</v>
      </c>
      <c r="K150" s="12">
        <v>2578.5300000000002</v>
      </c>
      <c r="L150" s="12">
        <v>1731.27</v>
      </c>
      <c r="M150" s="9" t="s">
        <v>60</v>
      </c>
      <c r="N150" s="9" t="s">
        <v>61</v>
      </c>
      <c r="O150" s="31">
        <f>SalesData[[#This Row],[UnitPrice]]/SalesData[[#This Row],[Revenue]]</f>
        <v>0.1</v>
      </c>
      <c r="P150" s="31">
        <f>SalesData[[#This Row],[Profit]]/SalesData[[#This Row],[Revenue]]</f>
        <v>0.40170541556452732</v>
      </c>
    </row>
    <row r="151" spans="1:16" x14ac:dyDescent="0.25">
      <c r="A151" s="9" t="s">
        <v>263</v>
      </c>
      <c r="B151" s="10">
        <v>45186</v>
      </c>
      <c r="C151" s="9" t="s">
        <v>98</v>
      </c>
      <c r="D151" s="9" t="s">
        <v>105</v>
      </c>
      <c r="E151" s="9" t="s">
        <v>57</v>
      </c>
      <c r="F151" s="9" t="s">
        <v>103</v>
      </c>
      <c r="G151" s="9" t="s">
        <v>125</v>
      </c>
      <c r="H151" s="11">
        <v>13</v>
      </c>
      <c r="I151" s="12">
        <v>69.63</v>
      </c>
      <c r="J151" s="12">
        <v>905.19</v>
      </c>
      <c r="K151" s="12">
        <v>391.61</v>
      </c>
      <c r="L151" s="12">
        <v>513.58000000000004</v>
      </c>
      <c r="M151" s="9" t="s">
        <v>65</v>
      </c>
      <c r="N151" s="9" t="s">
        <v>128</v>
      </c>
      <c r="O151" s="31">
        <f>SalesData[[#This Row],[UnitPrice]]/SalesData[[#This Row],[Revenue]]</f>
        <v>7.6923076923076913E-2</v>
      </c>
      <c r="P151" s="31">
        <f>SalesData[[#This Row],[Profit]]/SalesData[[#This Row],[Revenue]]</f>
        <v>0.56737259580861477</v>
      </c>
    </row>
    <row r="152" spans="1:16" x14ac:dyDescent="0.25">
      <c r="A152" s="9" t="s">
        <v>264</v>
      </c>
      <c r="B152" s="10">
        <v>44972</v>
      </c>
      <c r="C152" s="9" t="s">
        <v>55</v>
      </c>
      <c r="D152" s="9" t="s">
        <v>102</v>
      </c>
      <c r="E152" s="9" t="s">
        <v>63</v>
      </c>
      <c r="F152" s="9" t="s">
        <v>90</v>
      </c>
      <c r="G152" s="9" t="s">
        <v>59</v>
      </c>
      <c r="H152" s="11">
        <v>24</v>
      </c>
      <c r="I152" s="12">
        <v>863.86</v>
      </c>
      <c r="J152" s="12">
        <v>20732.64</v>
      </c>
      <c r="K152" s="12">
        <v>9330.98</v>
      </c>
      <c r="L152" s="12">
        <v>11401.66</v>
      </c>
      <c r="M152" s="9" t="s">
        <v>65</v>
      </c>
      <c r="N152" s="9" t="s">
        <v>66</v>
      </c>
      <c r="O152" s="31">
        <f>SalesData[[#This Row],[UnitPrice]]/SalesData[[#This Row],[Revenue]]</f>
        <v>4.1666666666666671E-2</v>
      </c>
      <c r="P152" s="31">
        <f>SalesData[[#This Row],[Profit]]/SalesData[[#This Row],[Revenue]]</f>
        <v>0.54993768280354072</v>
      </c>
    </row>
    <row r="153" spans="1:16" x14ac:dyDescent="0.25">
      <c r="A153" s="9" t="s">
        <v>265</v>
      </c>
      <c r="B153" s="10">
        <v>45660</v>
      </c>
      <c r="C153" s="9" t="s">
        <v>68</v>
      </c>
      <c r="D153" s="9" t="s">
        <v>79</v>
      </c>
      <c r="E153" s="9" t="s">
        <v>70</v>
      </c>
      <c r="F153" s="9" t="s">
        <v>71</v>
      </c>
      <c r="G153" s="9" t="s">
        <v>88</v>
      </c>
      <c r="H153" s="11">
        <v>23</v>
      </c>
      <c r="I153" s="12">
        <v>471.4</v>
      </c>
      <c r="J153" s="12">
        <v>10842.2</v>
      </c>
      <c r="K153" s="12">
        <v>5126.8500000000004</v>
      </c>
      <c r="L153" s="12">
        <v>5715.35</v>
      </c>
      <c r="M153" s="9" t="s">
        <v>60</v>
      </c>
      <c r="N153" s="9" t="s">
        <v>66</v>
      </c>
      <c r="O153" s="31">
        <f>SalesData[[#This Row],[UnitPrice]]/SalesData[[#This Row],[Revenue]]</f>
        <v>4.3478260869565209E-2</v>
      </c>
      <c r="P153" s="31">
        <f>SalesData[[#This Row],[Profit]]/SalesData[[#This Row],[Revenue]]</f>
        <v>0.52713932596705471</v>
      </c>
    </row>
    <row r="154" spans="1:16" x14ac:dyDescent="0.25">
      <c r="A154" s="9" t="s">
        <v>266</v>
      </c>
      <c r="B154" s="10">
        <v>45334</v>
      </c>
      <c r="C154" s="9" t="s">
        <v>74</v>
      </c>
      <c r="D154" s="9" t="s">
        <v>75</v>
      </c>
      <c r="E154" s="9" t="s">
        <v>57</v>
      </c>
      <c r="F154" s="9" t="s">
        <v>58</v>
      </c>
      <c r="G154" s="9" t="s">
        <v>125</v>
      </c>
      <c r="H154" s="11">
        <v>7</v>
      </c>
      <c r="I154" s="12">
        <v>70.55</v>
      </c>
      <c r="J154" s="12">
        <v>493.85</v>
      </c>
      <c r="K154" s="12">
        <v>252.62</v>
      </c>
      <c r="L154" s="12">
        <v>241.23</v>
      </c>
      <c r="M154" s="9" t="s">
        <v>65</v>
      </c>
      <c r="N154" s="9" t="s">
        <v>61</v>
      </c>
      <c r="O154" s="31">
        <f>SalesData[[#This Row],[UnitPrice]]/SalesData[[#This Row],[Revenue]]</f>
        <v>0.14285714285714285</v>
      </c>
      <c r="P154" s="31">
        <f>SalesData[[#This Row],[Profit]]/SalesData[[#This Row],[Revenue]]</f>
        <v>0.48846815834767637</v>
      </c>
    </row>
    <row r="155" spans="1:16" x14ac:dyDescent="0.25">
      <c r="A155" s="9" t="s">
        <v>267</v>
      </c>
      <c r="B155" s="10">
        <v>45054</v>
      </c>
      <c r="C155" s="9" t="s">
        <v>74</v>
      </c>
      <c r="D155" s="9" t="s">
        <v>135</v>
      </c>
      <c r="E155" s="9" t="s">
        <v>63</v>
      </c>
      <c r="F155" s="9" t="s">
        <v>203</v>
      </c>
      <c r="G155" s="9" t="s">
        <v>59</v>
      </c>
      <c r="H155" s="11">
        <v>10</v>
      </c>
      <c r="I155" s="12">
        <v>482.99</v>
      </c>
      <c r="J155" s="12">
        <v>4829.8999999999996</v>
      </c>
      <c r="K155" s="12">
        <v>3122.26</v>
      </c>
      <c r="L155" s="12">
        <v>1707.64</v>
      </c>
      <c r="M155" s="9" t="s">
        <v>65</v>
      </c>
      <c r="N155" s="9" t="s">
        <v>128</v>
      </c>
      <c r="O155" s="31">
        <f>SalesData[[#This Row],[UnitPrice]]/SalesData[[#This Row],[Revenue]]</f>
        <v>0.1</v>
      </c>
      <c r="P155" s="31">
        <f>SalesData[[#This Row],[Profit]]/SalesData[[#This Row],[Revenue]]</f>
        <v>0.35355597424377322</v>
      </c>
    </row>
    <row r="156" spans="1:16" x14ac:dyDescent="0.25">
      <c r="A156" s="9" t="s">
        <v>268</v>
      </c>
      <c r="B156" s="10">
        <v>45743</v>
      </c>
      <c r="C156" s="9" t="s">
        <v>68</v>
      </c>
      <c r="D156" s="9" t="s">
        <v>171</v>
      </c>
      <c r="E156" s="9" t="s">
        <v>93</v>
      </c>
      <c r="F156" s="9" t="s">
        <v>111</v>
      </c>
      <c r="G156" s="9" t="s">
        <v>88</v>
      </c>
      <c r="H156" s="11">
        <v>13</v>
      </c>
      <c r="I156" s="12">
        <v>97.63</v>
      </c>
      <c r="J156" s="12">
        <v>1269.19</v>
      </c>
      <c r="K156" s="12">
        <v>601.82000000000005</v>
      </c>
      <c r="L156" s="12">
        <v>667.37</v>
      </c>
      <c r="M156" s="9" t="s">
        <v>65</v>
      </c>
      <c r="N156" s="9" t="s">
        <v>128</v>
      </c>
      <c r="O156" s="31">
        <f>SalesData[[#This Row],[UnitPrice]]/SalesData[[#This Row],[Revenue]]</f>
        <v>7.6923076923076913E-2</v>
      </c>
      <c r="P156" s="31">
        <f>SalesData[[#This Row],[Profit]]/SalesData[[#This Row],[Revenue]]</f>
        <v>0.52582355675667158</v>
      </c>
    </row>
    <row r="157" spans="1:16" x14ac:dyDescent="0.25">
      <c r="A157" s="9" t="s">
        <v>269</v>
      </c>
      <c r="B157" s="10">
        <v>45032</v>
      </c>
      <c r="C157" s="9" t="s">
        <v>68</v>
      </c>
      <c r="D157" s="9" t="s">
        <v>69</v>
      </c>
      <c r="E157" s="9" t="s">
        <v>93</v>
      </c>
      <c r="F157" s="9" t="s">
        <v>146</v>
      </c>
      <c r="G157" s="9" t="s">
        <v>72</v>
      </c>
      <c r="H157" s="11">
        <v>20</v>
      </c>
      <c r="I157" s="12">
        <v>247.88</v>
      </c>
      <c r="J157" s="12">
        <v>4957.6000000000004</v>
      </c>
      <c r="K157" s="12">
        <v>2341.64</v>
      </c>
      <c r="L157" s="12">
        <v>2615.96</v>
      </c>
      <c r="M157" s="9" t="s">
        <v>65</v>
      </c>
      <c r="N157" s="9" t="s">
        <v>128</v>
      </c>
      <c r="O157" s="31">
        <f>SalesData[[#This Row],[UnitPrice]]/SalesData[[#This Row],[Revenue]]</f>
        <v>4.9999999999999996E-2</v>
      </c>
      <c r="P157" s="31">
        <f>SalesData[[#This Row],[Profit]]/SalesData[[#This Row],[Revenue]]</f>
        <v>0.52766661287719863</v>
      </c>
    </row>
    <row r="158" spans="1:16" x14ac:dyDescent="0.25">
      <c r="A158" s="9" t="s">
        <v>270</v>
      </c>
      <c r="B158" s="10">
        <v>45384</v>
      </c>
      <c r="C158" s="9" t="s">
        <v>55</v>
      </c>
      <c r="D158" s="9" t="s">
        <v>102</v>
      </c>
      <c r="E158" s="9" t="s">
        <v>57</v>
      </c>
      <c r="F158" s="9" t="s">
        <v>76</v>
      </c>
      <c r="G158" s="9" t="s">
        <v>88</v>
      </c>
      <c r="H158" s="11">
        <v>20</v>
      </c>
      <c r="I158" s="12">
        <v>58.1</v>
      </c>
      <c r="J158" s="12">
        <v>1162</v>
      </c>
      <c r="K158" s="12">
        <v>544.20000000000005</v>
      </c>
      <c r="L158" s="12">
        <v>617.79999999999995</v>
      </c>
      <c r="M158" s="9" t="s">
        <v>65</v>
      </c>
      <c r="N158" s="9" t="s">
        <v>128</v>
      </c>
      <c r="O158" s="31">
        <f>SalesData[[#This Row],[UnitPrice]]/SalesData[[#This Row],[Revenue]]</f>
        <v>0.05</v>
      </c>
      <c r="P158" s="31">
        <f>SalesData[[#This Row],[Profit]]/SalesData[[#This Row],[Revenue]]</f>
        <v>0.53166953528399308</v>
      </c>
    </row>
    <row r="159" spans="1:16" x14ac:dyDescent="0.25">
      <c r="A159" s="9" t="s">
        <v>271</v>
      </c>
      <c r="B159" s="10">
        <v>45073</v>
      </c>
      <c r="C159" s="9" t="s">
        <v>55</v>
      </c>
      <c r="D159" s="9" t="s">
        <v>102</v>
      </c>
      <c r="E159" s="9" t="s">
        <v>93</v>
      </c>
      <c r="F159" s="9" t="s">
        <v>130</v>
      </c>
      <c r="G159" s="9" t="s">
        <v>125</v>
      </c>
      <c r="H159" s="11">
        <v>3</v>
      </c>
      <c r="I159" s="12">
        <v>173.7</v>
      </c>
      <c r="J159" s="12">
        <v>521.1</v>
      </c>
      <c r="K159" s="12">
        <v>280.25</v>
      </c>
      <c r="L159" s="12">
        <v>240.85</v>
      </c>
      <c r="M159" s="9" t="s">
        <v>60</v>
      </c>
      <c r="N159" s="9" t="s">
        <v>66</v>
      </c>
      <c r="O159" s="31">
        <f>SalesData[[#This Row],[UnitPrice]]/SalesData[[#This Row],[Revenue]]</f>
        <v>0.33333333333333331</v>
      </c>
      <c r="P159" s="31">
        <f>SalesData[[#This Row],[Profit]]/SalesData[[#This Row],[Revenue]]</f>
        <v>0.46219535597773936</v>
      </c>
    </row>
    <row r="160" spans="1:16" x14ac:dyDescent="0.25">
      <c r="A160" s="9" t="s">
        <v>272</v>
      </c>
      <c r="B160" s="10">
        <v>45084</v>
      </c>
      <c r="C160" s="9" t="s">
        <v>74</v>
      </c>
      <c r="D160" s="9" t="s">
        <v>75</v>
      </c>
      <c r="E160" s="9" t="s">
        <v>70</v>
      </c>
      <c r="F160" s="9" t="s">
        <v>117</v>
      </c>
      <c r="G160" s="9" t="s">
        <v>59</v>
      </c>
      <c r="H160" s="11">
        <v>25</v>
      </c>
      <c r="I160" s="12">
        <v>608.03</v>
      </c>
      <c r="J160" s="12">
        <v>15200.75</v>
      </c>
      <c r="K160" s="12">
        <v>7980.75</v>
      </c>
      <c r="L160" s="12">
        <v>7220</v>
      </c>
      <c r="M160" s="9" t="s">
        <v>60</v>
      </c>
      <c r="N160" s="9" t="s">
        <v>61</v>
      </c>
      <c r="O160" s="31">
        <f>SalesData[[#This Row],[UnitPrice]]/SalesData[[#This Row],[Revenue]]</f>
        <v>0.04</v>
      </c>
      <c r="P160" s="31">
        <f>SalesData[[#This Row],[Profit]]/SalesData[[#This Row],[Revenue]]</f>
        <v>0.47497656365639851</v>
      </c>
    </row>
    <row r="161" spans="1:16" x14ac:dyDescent="0.25">
      <c r="A161" s="9" t="s">
        <v>273</v>
      </c>
      <c r="B161" s="10">
        <v>45212</v>
      </c>
      <c r="C161" s="9" t="s">
        <v>74</v>
      </c>
      <c r="D161" s="9" t="s">
        <v>135</v>
      </c>
      <c r="E161" s="9" t="s">
        <v>57</v>
      </c>
      <c r="F161" s="9" t="s">
        <v>83</v>
      </c>
      <c r="G161" s="9" t="s">
        <v>80</v>
      </c>
      <c r="H161" s="11">
        <v>19</v>
      </c>
      <c r="I161" s="12">
        <v>15.18</v>
      </c>
      <c r="J161" s="12">
        <v>288.42</v>
      </c>
      <c r="K161" s="12">
        <v>151.83000000000001</v>
      </c>
      <c r="L161" s="12">
        <v>136.59</v>
      </c>
      <c r="M161" s="9" t="s">
        <v>65</v>
      </c>
      <c r="N161" s="9" t="s">
        <v>61</v>
      </c>
      <c r="O161" s="31">
        <f>SalesData[[#This Row],[UnitPrice]]/SalesData[[#This Row],[Revenue]]</f>
        <v>5.2631578947368418E-2</v>
      </c>
      <c r="P161" s="31">
        <f>SalesData[[#This Row],[Profit]]/SalesData[[#This Row],[Revenue]]</f>
        <v>0.47358019554815894</v>
      </c>
    </row>
    <row r="162" spans="1:16" x14ac:dyDescent="0.25">
      <c r="A162" s="9" t="s">
        <v>274</v>
      </c>
      <c r="B162" s="10">
        <v>45720</v>
      </c>
      <c r="C162" s="9" t="s">
        <v>98</v>
      </c>
      <c r="D162" s="9" t="s">
        <v>105</v>
      </c>
      <c r="E162" s="9" t="s">
        <v>63</v>
      </c>
      <c r="F162" s="9" t="s">
        <v>203</v>
      </c>
      <c r="G162" s="9" t="s">
        <v>96</v>
      </c>
      <c r="H162" s="11">
        <v>16</v>
      </c>
      <c r="I162" s="12">
        <v>687.01</v>
      </c>
      <c r="J162" s="12">
        <v>10992.16</v>
      </c>
      <c r="K162" s="12">
        <v>7528.83</v>
      </c>
      <c r="L162" s="12">
        <v>3463.33</v>
      </c>
      <c r="M162" s="9" t="s">
        <v>60</v>
      </c>
      <c r="N162" s="9" t="s">
        <v>128</v>
      </c>
      <c r="O162" s="31">
        <f>SalesData[[#This Row],[UnitPrice]]/SalesData[[#This Row],[Revenue]]</f>
        <v>6.25E-2</v>
      </c>
      <c r="P162" s="31">
        <f>SalesData[[#This Row],[Profit]]/SalesData[[#This Row],[Revenue]]</f>
        <v>0.31507274275483615</v>
      </c>
    </row>
    <row r="163" spans="1:16" x14ac:dyDescent="0.25">
      <c r="A163" s="9" t="s">
        <v>275</v>
      </c>
      <c r="B163" s="10">
        <v>45800</v>
      </c>
      <c r="C163" s="9" t="s">
        <v>68</v>
      </c>
      <c r="D163" s="9" t="s">
        <v>171</v>
      </c>
      <c r="E163" s="9" t="s">
        <v>70</v>
      </c>
      <c r="F163" s="9" t="s">
        <v>113</v>
      </c>
      <c r="G163" s="9" t="s">
        <v>77</v>
      </c>
      <c r="H163" s="11">
        <v>23</v>
      </c>
      <c r="I163" s="12">
        <v>830.51</v>
      </c>
      <c r="J163" s="12">
        <v>19101.73</v>
      </c>
      <c r="K163" s="12">
        <v>10743.73</v>
      </c>
      <c r="L163" s="12">
        <v>8358</v>
      </c>
      <c r="M163" s="9" t="s">
        <v>60</v>
      </c>
      <c r="N163" s="9" t="s">
        <v>66</v>
      </c>
      <c r="O163" s="31">
        <f>SalesData[[#This Row],[UnitPrice]]/SalesData[[#This Row],[Revenue]]</f>
        <v>4.3478260869565216E-2</v>
      </c>
      <c r="P163" s="31">
        <f>SalesData[[#This Row],[Profit]]/SalesData[[#This Row],[Revenue]]</f>
        <v>0.43755199136413298</v>
      </c>
    </row>
    <row r="164" spans="1:16" x14ac:dyDescent="0.25">
      <c r="A164" s="9" t="s">
        <v>276</v>
      </c>
      <c r="B164" s="10">
        <v>45282</v>
      </c>
      <c r="C164" s="9" t="s">
        <v>55</v>
      </c>
      <c r="D164" s="9" t="s">
        <v>82</v>
      </c>
      <c r="E164" s="9" t="s">
        <v>70</v>
      </c>
      <c r="F164" s="9" t="s">
        <v>71</v>
      </c>
      <c r="G164" s="9" t="s">
        <v>88</v>
      </c>
      <c r="H164" s="11">
        <v>3</v>
      </c>
      <c r="I164" s="12">
        <v>743.62</v>
      </c>
      <c r="J164" s="12">
        <v>2230.86</v>
      </c>
      <c r="K164" s="12">
        <v>1562.92</v>
      </c>
      <c r="L164" s="12">
        <v>667.94</v>
      </c>
      <c r="M164" s="9" t="s">
        <v>65</v>
      </c>
      <c r="N164" s="9" t="s">
        <v>61</v>
      </c>
      <c r="O164" s="31">
        <f>SalesData[[#This Row],[UnitPrice]]/SalesData[[#This Row],[Revenue]]</f>
        <v>0.33333333333333331</v>
      </c>
      <c r="P164" s="31">
        <f>SalesData[[#This Row],[Profit]]/SalesData[[#This Row],[Revenue]]</f>
        <v>0.29940919645338571</v>
      </c>
    </row>
    <row r="165" spans="1:16" x14ac:dyDescent="0.25">
      <c r="A165" s="9" t="s">
        <v>277</v>
      </c>
      <c r="B165" s="10">
        <v>45169</v>
      </c>
      <c r="C165" s="9" t="s">
        <v>55</v>
      </c>
      <c r="D165" s="9" t="s">
        <v>102</v>
      </c>
      <c r="E165" s="9" t="s">
        <v>57</v>
      </c>
      <c r="F165" s="9" t="s">
        <v>58</v>
      </c>
      <c r="G165" s="9" t="s">
        <v>96</v>
      </c>
      <c r="H165" s="11">
        <v>12</v>
      </c>
      <c r="I165" s="12">
        <v>42.64</v>
      </c>
      <c r="J165" s="12">
        <v>511.68</v>
      </c>
      <c r="K165" s="12">
        <v>232.91</v>
      </c>
      <c r="L165" s="12">
        <v>278.77</v>
      </c>
      <c r="M165" s="9" t="s">
        <v>60</v>
      </c>
      <c r="N165" s="9" t="s">
        <v>66</v>
      </c>
      <c r="O165" s="31">
        <f>SalesData[[#This Row],[UnitPrice]]/SalesData[[#This Row],[Revenue]]</f>
        <v>8.3333333333333329E-2</v>
      </c>
      <c r="P165" s="31">
        <f>SalesData[[#This Row],[Profit]]/SalesData[[#This Row],[Revenue]]</f>
        <v>0.54481316447779859</v>
      </c>
    </row>
    <row r="166" spans="1:16" x14ac:dyDescent="0.25">
      <c r="A166" s="9" t="s">
        <v>278</v>
      </c>
      <c r="B166" s="10">
        <v>45243</v>
      </c>
      <c r="C166" s="9" t="s">
        <v>74</v>
      </c>
      <c r="D166" s="9" t="s">
        <v>75</v>
      </c>
      <c r="E166" s="9" t="s">
        <v>57</v>
      </c>
      <c r="F166" s="9" t="s">
        <v>167</v>
      </c>
      <c r="G166" s="9" t="s">
        <v>84</v>
      </c>
      <c r="H166" s="11">
        <v>15</v>
      </c>
      <c r="I166" s="12">
        <v>64.47</v>
      </c>
      <c r="J166" s="12">
        <v>967.05</v>
      </c>
      <c r="K166" s="12">
        <v>560.87</v>
      </c>
      <c r="L166" s="12">
        <v>406.18</v>
      </c>
      <c r="M166" s="9" t="s">
        <v>60</v>
      </c>
      <c r="N166" s="9" t="s">
        <v>66</v>
      </c>
      <c r="O166" s="31">
        <f>SalesData[[#This Row],[UnitPrice]]/SalesData[[#This Row],[Revenue]]</f>
        <v>6.6666666666666666E-2</v>
      </c>
      <c r="P166" s="31">
        <f>SalesData[[#This Row],[Profit]]/SalesData[[#This Row],[Revenue]]</f>
        <v>0.42001964738121095</v>
      </c>
    </row>
    <row r="167" spans="1:16" x14ac:dyDescent="0.25">
      <c r="A167" s="9" t="s">
        <v>279</v>
      </c>
      <c r="B167" s="10">
        <v>45623</v>
      </c>
      <c r="C167" s="9" t="s">
        <v>74</v>
      </c>
      <c r="D167" s="9" t="s">
        <v>92</v>
      </c>
      <c r="E167" s="9" t="s">
        <v>93</v>
      </c>
      <c r="F167" s="9" t="s">
        <v>152</v>
      </c>
      <c r="G167" s="9" t="s">
        <v>80</v>
      </c>
      <c r="H167" s="11">
        <v>5</v>
      </c>
      <c r="I167" s="12">
        <v>242.67</v>
      </c>
      <c r="J167" s="12">
        <v>1213.3499999999999</v>
      </c>
      <c r="K167" s="12">
        <v>735.63</v>
      </c>
      <c r="L167" s="12">
        <v>477.72</v>
      </c>
      <c r="M167" s="9" t="s">
        <v>65</v>
      </c>
      <c r="N167" s="9" t="s">
        <v>128</v>
      </c>
      <c r="O167" s="31">
        <f>SalesData[[#This Row],[UnitPrice]]/SalesData[[#This Row],[Revenue]]</f>
        <v>0.2</v>
      </c>
      <c r="P167" s="31">
        <f>SalesData[[#This Row],[Profit]]/SalesData[[#This Row],[Revenue]]</f>
        <v>0.39371986648535051</v>
      </c>
    </row>
    <row r="168" spans="1:16" x14ac:dyDescent="0.25">
      <c r="A168" s="9" t="s">
        <v>280</v>
      </c>
      <c r="B168" s="10">
        <v>45083</v>
      </c>
      <c r="C168" s="9" t="s">
        <v>68</v>
      </c>
      <c r="D168" s="9" t="s">
        <v>123</v>
      </c>
      <c r="E168" s="9" t="s">
        <v>70</v>
      </c>
      <c r="F168" s="9" t="s">
        <v>87</v>
      </c>
      <c r="G168" s="9" t="s">
        <v>72</v>
      </c>
      <c r="H168" s="11">
        <v>17</v>
      </c>
      <c r="I168" s="12">
        <v>825.78</v>
      </c>
      <c r="J168" s="12">
        <v>14038.26</v>
      </c>
      <c r="K168" s="12">
        <v>6121.66</v>
      </c>
      <c r="L168" s="12">
        <v>7916.6</v>
      </c>
      <c r="M168" s="9" t="s">
        <v>60</v>
      </c>
      <c r="N168" s="9" t="s">
        <v>61</v>
      </c>
      <c r="O168" s="31">
        <f>SalesData[[#This Row],[UnitPrice]]/SalesData[[#This Row],[Revenue]]</f>
        <v>5.8823529411764705E-2</v>
      </c>
      <c r="P168" s="31">
        <f>SalesData[[#This Row],[Profit]]/SalesData[[#This Row],[Revenue]]</f>
        <v>0.56393028765673237</v>
      </c>
    </row>
    <row r="169" spans="1:16" x14ac:dyDescent="0.25">
      <c r="A169" s="9" t="s">
        <v>281</v>
      </c>
      <c r="B169" s="10">
        <v>45183</v>
      </c>
      <c r="C169" s="9" t="s">
        <v>68</v>
      </c>
      <c r="D169" s="9" t="s">
        <v>123</v>
      </c>
      <c r="E169" s="9" t="s">
        <v>70</v>
      </c>
      <c r="F169" s="9" t="s">
        <v>115</v>
      </c>
      <c r="G169" s="9" t="s">
        <v>59</v>
      </c>
      <c r="H169" s="11">
        <v>12</v>
      </c>
      <c r="I169" s="12">
        <v>855.94</v>
      </c>
      <c r="J169" s="12">
        <v>10271.280000000001</v>
      </c>
      <c r="K169" s="12">
        <v>5859.56</v>
      </c>
      <c r="L169" s="12">
        <v>4411.72</v>
      </c>
      <c r="M169" s="9" t="s">
        <v>65</v>
      </c>
      <c r="N169" s="9" t="s">
        <v>66</v>
      </c>
      <c r="O169" s="31">
        <f>SalesData[[#This Row],[UnitPrice]]/SalesData[[#This Row],[Revenue]]</f>
        <v>8.3333333333333329E-2</v>
      </c>
      <c r="P169" s="31">
        <f>SalesData[[#This Row],[Profit]]/SalesData[[#This Row],[Revenue]]</f>
        <v>0.42951998193019758</v>
      </c>
    </row>
    <row r="170" spans="1:16" x14ac:dyDescent="0.25">
      <c r="A170" s="9" t="s">
        <v>282</v>
      </c>
      <c r="B170" s="10">
        <v>45521</v>
      </c>
      <c r="C170" s="9" t="s">
        <v>98</v>
      </c>
      <c r="D170" s="9" t="s">
        <v>110</v>
      </c>
      <c r="E170" s="9" t="s">
        <v>70</v>
      </c>
      <c r="F170" s="9" t="s">
        <v>71</v>
      </c>
      <c r="G170" s="9" t="s">
        <v>77</v>
      </c>
      <c r="H170" s="11">
        <v>20</v>
      </c>
      <c r="I170" s="12">
        <v>516.45000000000005</v>
      </c>
      <c r="J170" s="12">
        <v>10329</v>
      </c>
      <c r="K170" s="12">
        <v>5843.59</v>
      </c>
      <c r="L170" s="12">
        <v>4485.41</v>
      </c>
      <c r="M170" s="9" t="s">
        <v>60</v>
      </c>
      <c r="N170" s="9" t="s">
        <v>61</v>
      </c>
      <c r="O170" s="31">
        <f>SalesData[[#This Row],[UnitPrice]]/SalesData[[#This Row],[Revenue]]</f>
        <v>0.05</v>
      </c>
      <c r="P170" s="31">
        <f>SalesData[[#This Row],[Profit]]/SalesData[[#This Row],[Revenue]]</f>
        <v>0.4342540420176203</v>
      </c>
    </row>
    <row r="171" spans="1:16" x14ac:dyDescent="0.25">
      <c r="A171" s="9" t="s">
        <v>283</v>
      </c>
      <c r="B171" s="10">
        <v>45142</v>
      </c>
      <c r="C171" s="9" t="s">
        <v>98</v>
      </c>
      <c r="D171" s="9" t="s">
        <v>198</v>
      </c>
      <c r="E171" s="9" t="s">
        <v>57</v>
      </c>
      <c r="F171" s="9" t="s">
        <v>167</v>
      </c>
      <c r="G171" s="9" t="s">
        <v>125</v>
      </c>
      <c r="H171" s="11">
        <v>1</v>
      </c>
      <c r="I171" s="12">
        <v>11</v>
      </c>
      <c r="J171" s="12">
        <v>11</v>
      </c>
      <c r="K171" s="12">
        <v>7.65</v>
      </c>
      <c r="L171" s="12">
        <v>3.35</v>
      </c>
      <c r="M171" s="9" t="s">
        <v>65</v>
      </c>
      <c r="N171" s="9" t="s">
        <v>61</v>
      </c>
      <c r="O171" s="31">
        <f>SalesData[[#This Row],[UnitPrice]]/SalesData[[#This Row],[Revenue]]</f>
        <v>1</v>
      </c>
      <c r="P171" s="31">
        <f>SalesData[[#This Row],[Profit]]/SalesData[[#This Row],[Revenue]]</f>
        <v>0.30454545454545456</v>
      </c>
    </row>
    <row r="172" spans="1:16" x14ac:dyDescent="0.25">
      <c r="A172" s="9" t="s">
        <v>284</v>
      </c>
      <c r="B172" s="10">
        <v>45391</v>
      </c>
      <c r="C172" s="9" t="s">
        <v>74</v>
      </c>
      <c r="D172" s="9" t="s">
        <v>75</v>
      </c>
      <c r="E172" s="9" t="s">
        <v>93</v>
      </c>
      <c r="F172" s="9" t="s">
        <v>111</v>
      </c>
      <c r="G172" s="9" t="s">
        <v>77</v>
      </c>
      <c r="H172" s="11">
        <v>21</v>
      </c>
      <c r="I172" s="12">
        <v>239.07</v>
      </c>
      <c r="J172" s="12">
        <v>5020.47</v>
      </c>
      <c r="K172" s="12">
        <v>2811.73</v>
      </c>
      <c r="L172" s="12">
        <v>2208.7399999999998</v>
      </c>
      <c r="M172" s="9" t="s">
        <v>65</v>
      </c>
      <c r="N172" s="9" t="s">
        <v>128</v>
      </c>
      <c r="O172" s="31">
        <f>SalesData[[#This Row],[UnitPrice]]/SalesData[[#This Row],[Revenue]]</f>
        <v>4.7619047619047616E-2</v>
      </c>
      <c r="P172" s="31">
        <f>SalesData[[#This Row],[Profit]]/SalesData[[#This Row],[Revenue]]</f>
        <v>0.4399468575651283</v>
      </c>
    </row>
    <row r="173" spans="1:16" x14ac:dyDescent="0.25">
      <c r="A173" s="9" t="s">
        <v>285</v>
      </c>
      <c r="B173" s="10">
        <v>45809</v>
      </c>
      <c r="C173" s="9" t="s">
        <v>55</v>
      </c>
      <c r="D173" s="9" t="s">
        <v>56</v>
      </c>
      <c r="E173" s="9" t="s">
        <v>70</v>
      </c>
      <c r="F173" s="9" t="s">
        <v>160</v>
      </c>
      <c r="G173" s="9" t="s">
        <v>72</v>
      </c>
      <c r="H173" s="11">
        <v>16</v>
      </c>
      <c r="I173" s="12">
        <v>459.84</v>
      </c>
      <c r="J173" s="12">
        <v>7357.44</v>
      </c>
      <c r="K173" s="12">
        <v>3815.98</v>
      </c>
      <c r="L173" s="12">
        <v>3541.46</v>
      </c>
      <c r="M173" s="9" t="s">
        <v>60</v>
      </c>
      <c r="N173" s="9" t="s">
        <v>128</v>
      </c>
      <c r="O173" s="31">
        <f>SalesData[[#This Row],[UnitPrice]]/SalesData[[#This Row],[Revenue]]</f>
        <v>6.25E-2</v>
      </c>
      <c r="P173" s="31">
        <f>SalesData[[#This Row],[Profit]]/SalesData[[#This Row],[Revenue]]</f>
        <v>0.48134405445372308</v>
      </c>
    </row>
    <row r="174" spans="1:16" x14ac:dyDescent="0.25">
      <c r="A174" s="9" t="s">
        <v>286</v>
      </c>
      <c r="B174" s="10">
        <v>45200</v>
      </c>
      <c r="C174" s="9" t="s">
        <v>68</v>
      </c>
      <c r="D174" s="9" t="s">
        <v>79</v>
      </c>
      <c r="E174" s="9" t="s">
        <v>93</v>
      </c>
      <c r="F174" s="9" t="s">
        <v>94</v>
      </c>
      <c r="G174" s="9" t="s">
        <v>84</v>
      </c>
      <c r="H174" s="11">
        <v>17</v>
      </c>
      <c r="I174" s="12">
        <v>148.61000000000001</v>
      </c>
      <c r="J174" s="12">
        <v>2526.37</v>
      </c>
      <c r="K174" s="12">
        <v>1294.8699999999999</v>
      </c>
      <c r="L174" s="12">
        <v>1231.5</v>
      </c>
      <c r="M174" s="9" t="s">
        <v>65</v>
      </c>
      <c r="N174" s="9" t="s">
        <v>66</v>
      </c>
      <c r="O174" s="31">
        <f>SalesData[[#This Row],[UnitPrice]]/SalesData[[#This Row],[Revenue]]</f>
        <v>5.8823529411764712E-2</v>
      </c>
      <c r="P174" s="31">
        <f>SalesData[[#This Row],[Profit]]/SalesData[[#This Row],[Revenue]]</f>
        <v>0.48745828995752799</v>
      </c>
    </row>
    <row r="175" spans="1:16" x14ac:dyDescent="0.25">
      <c r="A175" s="9" t="s">
        <v>287</v>
      </c>
      <c r="B175" s="10">
        <v>45813</v>
      </c>
      <c r="C175" s="9" t="s">
        <v>74</v>
      </c>
      <c r="D175" s="9" t="s">
        <v>140</v>
      </c>
      <c r="E175" s="9" t="s">
        <v>70</v>
      </c>
      <c r="F175" s="9" t="s">
        <v>117</v>
      </c>
      <c r="G175" s="9" t="s">
        <v>125</v>
      </c>
      <c r="H175" s="11">
        <v>10</v>
      </c>
      <c r="I175" s="12">
        <v>854.22</v>
      </c>
      <c r="J175" s="12">
        <v>8542.2000000000007</v>
      </c>
      <c r="K175" s="12">
        <v>5728.46</v>
      </c>
      <c r="L175" s="12">
        <v>2813.74</v>
      </c>
      <c r="M175" s="9" t="s">
        <v>65</v>
      </c>
      <c r="N175" s="9" t="s">
        <v>66</v>
      </c>
      <c r="O175" s="31">
        <f>SalesData[[#This Row],[UnitPrice]]/SalesData[[#This Row],[Revenue]]</f>
        <v>9.9999999999999992E-2</v>
      </c>
      <c r="P175" s="31">
        <f>SalesData[[#This Row],[Profit]]/SalesData[[#This Row],[Revenue]]</f>
        <v>0.32939289644353908</v>
      </c>
    </row>
    <row r="176" spans="1:16" x14ac:dyDescent="0.25">
      <c r="A176" s="9" t="s">
        <v>288</v>
      </c>
      <c r="B176" s="10">
        <v>44950</v>
      </c>
      <c r="C176" s="9" t="s">
        <v>98</v>
      </c>
      <c r="D176" s="9" t="s">
        <v>110</v>
      </c>
      <c r="E176" s="9" t="s">
        <v>57</v>
      </c>
      <c r="F176" s="9" t="s">
        <v>58</v>
      </c>
      <c r="G176" s="9" t="s">
        <v>96</v>
      </c>
      <c r="H176" s="11">
        <v>16</v>
      </c>
      <c r="I176" s="12">
        <v>78.7</v>
      </c>
      <c r="J176" s="12">
        <v>1259.2</v>
      </c>
      <c r="K176" s="12">
        <v>699.33</v>
      </c>
      <c r="L176" s="12">
        <v>559.87</v>
      </c>
      <c r="M176" s="9" t="s">
        <v>65</v>
      </c>
      <c r="N176" s="9" t="s">
        <v>128</v>
      </c>
      <c r="O176" s="31">
        <f>SalesData[[#This Row],[UnitPrice]]/SalesData[[#This Row],[Revenue]]</f>
        <v>6.25E-2</v>
      </c>
      <c r="P176" s="31">
        <f>SalesData[[#This Row],[Profit]]/SalesData[[#This Row],[Revenue]]</f>
        <v>0.44462357052096568</v>
      </c>
    </row>
    <row r="177" spans="1:16" x14ac:dyDescent="0.25">
      <c r="A177" s="9" t="s">
        <v>289</v>
      </c>
      <c r="B177" s="10">
        <v>45830</v>
      </c>
      <c r="C177" s="9" t="s">
        <v>55</v>
      </c>
      <c r="D177" s="9" t="s">
        <v>82</v>
      </c>
      <c r="E177" s="9" t="s">
        <v>93</v>
      </c>
      <c r="F177" s="9" t="s">
        <v>94</v>
      </c>
      <c r="G177" s="9" t="s">
        <v>59</v>
      </c>
      <c r="H177" s="11">
        <v>19</v>
      </c>
      <c r="I177" s="12">
        <v>100.81</v>
      </c>
      <c r="J177" s="12">
        <v>1915.39</v>
      </c>
      <c r="K177" s="12">
        <v>832.54</v>
      </c>
      <c r="L177" s="12">
        <v>1082.8499999999999</v>
      </c>
      <c r="M177" s="9" t="s">
        <v>65</v>
      </c>
      <c r="N177" s="9" t="s">
        <v>61</v>
      </c>
      <c r="O177" s="31">
        <f>SalesData[[#This Row],[UnitPrice]]/SalesData[[#This Row],[Revenue]]</f>
        <v>5.2631578947368418E-2</v>
      </c>
      <c r="P177" s="31">
        <f>SalesData[[#This Row],[Profit]]/SalesData[[#This Row],[Revenue]]</f>
        <v>0.56534178417972314</v>
      </c>
    </row>
    <row r="178" spans="1:16" x14ac:dyDescent="0.25">
      <c r="A178" s="9" t="s">
        <v>290</v>
      </c>
      <c r="B178" s="10">
        <v>44973</v>
      </c>
      <c r="C178" s="9" t="s">
        <v>74</v>
      </c>
      <c r="D178" s="9" t="s">
        <v>135</v>
      </c>
      <c r="E178" s="9" t="s">
        <v>63</v>
      </c>
      <c r="F178" s="9" t="s">
        <v>136</v>
      </c>
      <c r="G178" s="9" t="s">
        <v>72</v>
      </c>
      <c r="H178" s="11">
        <v>5</v>
      </c>
      <c r="I178" s="12">
        <v>1149.8399999999999</v>
      </c>
      <c r="J178" s="12">
        <v>5749.2</v>
      </c>
      <c r="K178" s="12">
        <v>3627.61</v>
      </c>
      <c r="L178" s="12">
        <v>2121.59</v>
      </c>
      <c r="M178" s="9" t="s">
        <v>65</v>
      </c>
      <c r="N178" s="9" t="s">
        <v>128</v>
      </c>
      <c r="O178" s="31">
        <f>SalesData[[#This Row],[UnitPrice]]/SalesData[[#This Row],[Revenue]]</f>
        <v>0.19999999999999998</v>
      </c>
      <c r="P178" s="31">
        <f>SalesData[[#This Row],[Profit]]/SalesData[[#This Row],[Revenue]]</f>
        <v>0.36902351631531349</v>
      </c>
    </row>
    <row r="179" spans="1:16" x14ac:dyDescent="0.25">
      <c r="A179" s="9" t="s">
        <v>291</v>
      </c>
      <c r="B179" s="10">
        <v>45623</v>
      </c>
      <c r="C179" s="9" t="s">
        <v>74</v>
      </c>
      <c r="D179" s="9" t="s">
        <v>75</v>
      </c>
      <c r="E179" s="9" t="s">
        <v>70</v>
      </c>
      <c r="F179" s="9" t="s">
        <v>115</v>
      </c>
      <c r="G179" s="9" t="s">
        <v>77</v>
      </c>
      <c r="H179" s="11">
        <v>3</v>
      </c>
      <c r="I179" s="12">
        <v>395.81</v>
      </c>
      <c r="J179" s="12">
        <v>1187.43</v>
      </c>
      <c r="K179" s="12">
        <v>653.79999999999995</v>
      </c>
      <c r="L179" s="12">
        <v>533.63</v>
      </c>
      <c r="M179" s="9" t="s">
        <v>65</v>
      </c>
      <c r="N179" s="9" t="s">
        <v>61</v>
      </c>
      <c r="O179" s="31">
        <f>SalesData[[#This Row],[UnitPrice]]/SalesData[[#This Row],[Revenue]]</f>
        <v>0.33333333333333331</v>
      </c>
      <c r="P179" s="31">
        <f>SalesData[[#This Row],[Profit]]/SalesData[[#This Row],[Revenue]]</f>
        <v>0.44939912247458796</v>
      </c>
    </row>
    <row r="180" spans="1:16" x14ac:dyDescent="0.25">
      <c r="A180" s="9" t="s">
        <v>292</v>
      </c>
      <c r="B180" s="10">
        <v>45543</v>
      </c>
      <c r="C180" s="9" t="s">
        <v>55</v>
      </c>
      <c r="D180" s="9" t="s">
        <v>86</v>
      </c>
      <c r="E180" s="9" t="s">
        <v>63</v>
      </c>
      <c r="F180" s="9" t="s">
        <v>100</v>
      </c>
      <c r="G180" s="9" t="s">
        <v>84</v>
      </c>
      <c r="H180" s="11">
        <v>11</v>
      </c>
      <c r="I180" s="12">
        <v>737.88</v>
      </c>
      <c r="J180" s="12">
        <v>8116.68</v>
      </c>
      <c r="K180" s="12">
        <v>4269.58</v>
      </c>
      <c r="L180" s="12">
        <v>3847.1</v>
      </c>
      <c r="M180" s="9" t="s">
        <v>60</v>
      </c>
      <c r="N180" s="9" t="s">
        <v>66</v>
      </c>
      <c r="O180" s="31">
        <f>SalesData[[#This Row],[UnitPrice]]/SalesData[[#This Row],[Revenue]]</f>
        <v>9.0909090909090912E-2</v>
      </c>
      <c r="P180" s="31">
        <f>SalesData[[#This Row],[Profit]]/SalesData[[#This Row],[Revenue]]</f>
        <v>0.47397458073990839</v>
      </c>
    </row>
    <row r="181" spans="1:16" x14ac:dyDescent="0.25">
      <c r="A181" s="9" t="s">
        <v>293</v>
      </c>
      <c r="B181" s="10">
        <v>45547</v>
      </c>
      <c r="C181" s="9" t="s">
        <v>74</v>
      </c>
      <c r="D181" s="9" t="s">
        <v>75</v>
      </c>
      <c r="E181" s="9" t="s">
        <v>63</v>
      </c>
      <c r="F181" s="9" t="s">
        <v>136</v>
      </c>
      <c r="G181" s="9" t="s">
        <v>96</v>
      </c>
      <c r="H181" s="11">
        <v>23</v>
      </c>
      <c r="I181" s="12">
        <v>452.62</v>
      </c>
      <c r="J181" s="12">
        <v>10410.26</v>
      </c>
      <c r="K181" s="12">
        <v>5802.53</v>
      </c>
      <c r="L181" s="12">
        <v>4607.7299999999996</v>
      </c>
      <c r="M181" s="9" t="s">
        <v>65</v>
      </c>
      <c r="N181" s="9" t="s">
        <v>66</v>
      </c>
      <c r="O181" s="31">
        <f>SalesData[[#This Row],[UnitPrice]]/SalesData[[#This Row],[Revenue]]</f>
        <v>4.3478260869565216E-2</v>
      </c>
      <c r="P181" s="31">
        <f>SalesData[[#This Row],[Profit]]/SalesData[[#This Row],[Revenue]]</f>
        <v>0.44261430550245617</v>
      </c>
    </row>
    <row r="182" spans="1:16" x14ac:dyDescent="0.25">
      <c r="A182" s="9" t="s">
        <v>294</v>
      </c>
      <c r="B182" s="10">
        <v>45775</v>
      </c>
      <c r="C182" s="9" t="s">
        <v>98</v>
      </c>
      <c r="D182" s="9" t="s">
        <v>110</v>
      </c>
      <c r="E182" s="9" t="s">
        <v>57</v>
      </c>
      <c r="F182" s="9" t="s">
        <v>58</v>
      </c>
      <c r="G182" s="9" t="s">
        <v>72</v>
      </c>
      <c r="H182" s="11">
        <v>20</v>
      </c>
      <c r="I182" s="12">
        <v>59.71</v>
      </c>
      <c r="J182" s="12">
        <v>1194.2</v>
      </c>
      <c r="K182" s="12">
        <v>605.19000000000005</v>
      </c>
      <c r="L182" s="12">
        <v>589.01</v>
      </c>
      <c r="M182" s="9" t="s">
        <v>65</v>
      </c>
      <c r="N182" s="9" t="s">
        <v>61</v>
      </c>
      <c r="O182" s="31">
        <f>SalesData[[#This Row],[UnitPrice]]/SalesData[[#This Row],[Revenue]]</f>
        <v>4.9999999999999996E-2</v>
      </c>
      <c r="P182" s="31">
        <f>SalesData[[#This Row],[Profit]]/SalesData[[#This Row],[Revenue]]</f>
        <v>0.4932255903533746</v>
      </c>
    </row>
    <row r="183" spans="1:16" x14ac:dyDescent="0.25">
      <c r="A183" s="9" t="s">
        <v>295</v>
      </c>
      <c r="B183" s="10">
        <v>45820</v>
      </c>
      <c r="C183" s="9" t="s">
        <v>74</v>
      </c>
      <c r="D183" s="9" t="s">
        <v>135</v>
      </c>
      <c r="E183" s="9" t="s">
        <v>93</v>
      </c>
      <c r="F183" s="9" t="s">
        <v>146</v>
      </c>
      <c r="G183" s="9" t="s">
        <v>84</v>
      </c>
      <c r="H183" s="11">
        <v>11</v>
      </c>
      <c r="I183" s="12">
        <v>174.3</v>
      </c>
      <c r="J183" s="12">
        <v>1917.3</v>
      </c>
      <c r="K183" s="12">
        <v>1350.11</v>
      </c>
      <c r="L183" s="12">
        <v>567.19000000000005</v>
      </c>
      <c r="M183" s="9" t="s">
        <v>65</v>
      </c>
      <c r="N183" s="9" t="s">
        <v>61</v>
      </c>
      <c r="O183" s="31">
        <f>SalesData[[#This Row],[UnitPrice]]/SalesData[[#This Row],[Revenue]]</f>
        <v>9.0909090909090912E-2</v>
      </c>
      <c r="P183" s="31">
        <f>SalesData[[#This Row],[Profit]]/SalesData[[#This Row],[Revenue]]</f>
        <v>0.29582746570698382</v>
      </c>
    </row>
    <row r="184" spans="1:16" x14ac:dyDescent="0.25">
      <c r="A184" s="9" t="s">
        <v>296</v>
      </c>
      <c r="B184" s="10">
        <v>45768</v>
      </c>
      <c r="C184" s="9" t="s">
        <v>55</v>
      </c>
      <c r="D184" s="9" t="s">
        <v>82</v>
      </c>
      <c r="E184" s="9" t="s">
        <v>57</v>
      </c>
      <c r="F184" s="9" t="s">
        <v>106</v>
      </c>
      <c r="G184" s="9" t="s">
        <v>59</v>
      </c>
      <c r="H184" s="11">
        <v>24</v>
      </c>
      <c r="I184" s="12">
        <v>8.7899999999999991</v>
      </c>
      <c r="J184" s="12">
        <v>210.96</v>
      </c>
      <c r="K184" s="12">
        <v>118</v>
      </c>
      <c r="L184" s="12">
        <v>92.96</v>
      </c>
      <c r="M184" s="9" t="s">
        <v>65</v>
      </c>
      <c r="N184" s="9" t="s">
        <v>66</v>
      </c>
      <c r="O184" s="31">
        <f>SalesData[[#This Row],[UnitPrice]]/SalesData[[#This Row],[Revenue]]</f>
        <v>4.1666666666666664E-2</v>
      </c>
      <c r="P184" s="31">
        <f>SalesData[[#This Row],[Profit]]/SalesData[[#This Row],[Revenue]]</f>
        <v>0.44065225635191502</v>
      </c>
    </row>
    <row r="185" spans="1:16" x14ac:dyDescent="0.25">
      <c r="A185" s="9" t="s">
        <v>297</v>
      </c>
      <c r="B185" s="10">
        <v>45440</v>
      </c>
      <c r="C185" s="9" t="s">
        <v>98</v>
      </c>
      <c r="D185" s="9" t="s">
        <v>105</v>
      </c>
      <c r="E185" s="9" t="s">
        <v>63</v>
      </c>
      <c r="F185" s="9" t="s">
        <v>64</v>
      </c>
      <c r="G185" s="9" t="s">
        <v>125</v>
      </c>
      <c r="H185" s="11">
        <v>15</v>
      </c>
      <c r="I185" s="12">
        <v>428.07</v>
      </c>
      <c r="J185" s="12">
        <v>6421.05</v>
      </c>
      <c r="K185" s="12">
        <v>2978.82</v>
      </c>
      <c r="L185" s="12">
        <v>3442.23</v>
      </c>
      <c r="M185" s="9" t="s">
        <v>60</v>
      </c>
      <c r="N185" s="9" t="s">
        <v>128</v>
      </c>
      <c r="O185" s="31">
        <f>SalesData[[#This Row],[UnitPrice]]/SalesData[[#This Row],[Revenue]]</f>
        <v>6.6666666666666666E-2</v>
      </c>
      <c r="P185" s="31">
        <f>SalesData[[#This Row],[Profit]]/SalesData[[#This Row],[Revenue]]</f>
        <v>0.53608521970705725</v>
      </c>
    </row>
    <row r="186" spans="1:16" x14ac:dyDescent="0.25">
      <c r="A186" s="9" t="s">
        <v>298</v>
      </c>
      <c r="B186" s="10">
        <v>45104</v>
      </c>
      <c r="C186" s="9" t="s">
        <v>74</v>
      </c>
      <c r="D186" s="9" t="s">
        <v>75</v>
      </c>
      <c r="E186" s="9" t="s">
        <v>70</v>
      </c>
      <c r="F186" s="9" t="s">
        <v>113</v>
      </c>
      <c r="G186" s="9" t="s">
        <v>59</v>
      </c>
      <c r="H186" s="11">
        <v>18</v>
      </c>
      <c r="I186" s="12">
        <v>345.54</v>
      </c>
      <c r="J186" s="12">
        <v>6219.72</v>
      </c>
      <c r="K186" s="12">
        <v>3806.75</v>
      </c>
      <c r="L186" s="12">
        <v>2412.9699999999998</v>
      </c>
      <c r="M186" s="9" t="s">
        <v>65</v>
      </c>
      <c r="N186" s="9" t="s">
        <v>128</v>
      </c>
      <c r="O186" s="31">
        <f>SalesData[[#This Row],[UnitPrice]]/SalesData[[#This Row],[Revenue]]</f>
        <v>5.5555555555555559E-2</v>
      </c>
      <c r="P186" s="31">
        <f>SalesData[[#This Row],[Profit]]/SalesData[[#This Row],[Revenue]]</f>
        <v>0.38795476323693023</v>
      </c>
    </row>
    <row r="187" spans="1:16" x14ac:dyDescent="0.25">
      <c r="A187" s="9" t="s">
        <v>299</v>
      </c>
      <c r="B187" s="10">
        <v>45232</v>
      </c>
      <c r="C187" s="9" t="s">
        <v>74</v>
      </c>
      <c r="D187" s="9" t="s">
        <v>135</v>
      </c>
      <c r="E187" s="9" t="s">
        <v>57</v>
      </c>
      <c r="F187" s="9" t="s">
        <v>106</v>
      </c>
      <c r="G187" s="9" t="s">
        <v>77</v>
      </c>
      <c r="H187" s="11">
        <v>20</v>
      </c>
      <c r="I187" s="12">
        <v>40.82</v>
      </c>
      <c r="J187" s="12">
        <v>816.4</v>
      </c>
      <c r="K187" s="12">
        <v>569.54</v>
      </c>
      <c r="L187" s="12">
        <v>246.86</v>
      </c>
      <c r="M187" s="9" t="s">
        <v>65</v>
      </c>
      <c r="N187" s="9" t="s">
        <v>61</v>
      </c>
      <c r="O187" s="31">
        <f>SalesData[[#This Row],[UnitPrice]]/SalesData[[#This Row],[Revenue]]</f>
        <v>0.05</v>
      </c>
      <c r="P187" s="31">
        <f>SalesData[[#This Row],[Profit]]/SalesData[[#This Row],[Revenue]]</f>
        <v>0.30237628613424794</v>
      </c>
    </row>
    <row r="188" spans="1:16" x14ac:dyDescent="0.25">
      <c r="A188" s="9" t="s">
        <v>300</v>
      </c>
      <c r="B188" s="10">
        <v>45741</v>
      </c>
      <c r="C188" s="9" t="s">
        <v>98</v>
      </c>
      <c r="D188" s="9" t="s">
        <v>110</v>
      </c>
      <c r="E188" s="9" t="s">
        <v>57</v>
      </c>
      <c r="F188" s="9" t="s">
        <v>106</v>
      </c>
      <c r="G188" s="9" t="s">
        <v>59</v>
      </c>
      <c r="H188" s="11">
        <v>23</v>
      </c>
      <c r="I188" s="12">
        <v>57.17</v>
      </c>
      <c r="J188" s="12">
        <v>1314.91</v>
      </c>
      <c r="K188" s="12">
        <v>673.16</v>
      </c>
      <c r="L188" s="12">
        <v>641.75</v>
      </c>
      <c r="M188" s="9" t="s">
        <v>65</v>
      </c>
      <c r="N188" s="9" t="s">
        <v>61</v>
      </c>
      <c r="O188" s="31">
        <f>SalesData[[#This Row],[UnitPrice]]/SalesData[[#This Row],[Revenue]]</f>
        <v>4.3478260869565216E-2</v>
      </c>
      <c r="P188" s="31">
        <f>SalesData[[#This Row],[Profit]]/SalesData[[#This Row],[Revenue]]</f>
        <v>0.4880562167752926</v>
      </c>
    </row>
    <row r="189" spans="1:16" x14ac:dyDescent="0.25">
      <c r="A189" s="9" t="s">
        <v>301</v>
      </c>
      <c r="B189" s="10">
        <v>44970</v>
      </c>
      <c r="C189" s="9" t="s">
        <v>68</v>
      </c>
      <c r="D189" s="9" t="s">
        <v>79</v>
      </c>
      <c r="E189" s="9" t="s">
        <v>63</v>
      </c>
      <c r="F189" s="9" t="s">
        <v>124</v>
      </c>
      <c r="G189" s="9" t="s">
        <v>72</v>
      </c>
      <c r="H189" s="11">
        <v>13</v>
      </c>
      <c r="I189" s="12">
        <v>1068.52</v>
      </c>
      <c r="J189" s="12">
        <v>13890.76</v>
      </c>
      <c r="K189" s="12">
        <v>9679.59</v>
      </c>
      <c r="L189" s="12">
        <v>4211.17</v>
      </c>
      <c r="M189" s="9" t="s">
        <v>60</v>
      </c>
      <c r="N189" s="9" t="s">
        <v>128</v>
      </c>
      <c r="O189" s="31">
        <f>SalesData[[#This Row],[UnitPrice]]/SalesData[[#This Row],[Revenue]]</f>
        <v>7.6923076923076927E-2</v>
      </c>
      <c r="P189" s="31">
        <f>SalesData[[#This Row],[Profit]]/SalesData[[#This Row],[Revenue]]</f>
        <v>0.30316339782704477</v>
      </c>
    </row>
    <row r="190" spans="1:16" x14ac:dyDescent="0.25">
      <c r="A190" s="9" t="s">
        <v>302</v>
      </c>
      <c r="B190" s="10">
        <v>45639</v>
      </c>
      <c r="C190" s="9" t="s">
        <v>68</v>
      </c>
      <c r="D190" s="9" t="s">
        <v>69</v>
      </c>
      <c r="E190" s="9" t="s">
        <v>57</v>
      </c>
      <c r="F190" s="9" t="s">
        <v>83</v>
      </c>
      <c r="G190" s="9" t="s">
        <v>77</v>
      </c>
      <c r="H190" s="11">
        <v>24</v>
      </c>
      <c r="I190" s="12">
        <v>40.450000000000003</v>
      </c>
      <c r="J190" s="12">
        <v>970.8</v>
      </c>
      <c r="K190" s="12">
        <v>464.62</v>
      </c>
      <c r="L190" s="12">
        <v>506.18</v>
      </c>
      <c r="M190" s="9" t="s">
        <v>65</v>
      </c>
      <c r="N190" s="9" t="s">
        <v>61</v>
      </c>
      <c r="O190" s="31">
        <f>SalesData[[#This Row],[UnitPrice]]/SalesData[[#This Row],[Revenue]]</f>
        <v>4.1666666666666671E-2</v>
      </c>
      <c r="P190" s="31">
        <f>SalesData[[#This Row],[Profit]]/SalesData[[#This Row],[Revenue]]</f>
        <v>0.52140502678203549</v>
      </c>
    </row>
    <row r="191" spans="1:16" x14ac:dyDescent="0.25">
      <c r="A191" s="9" t="s">
        <v>303</v>
      </c>
      <c r="B191" s="10">
        <v>45165</v>
      </c>
      <c r="C191" s="9" t="s">
        <v>68</v>
      </c>
      <c r="D191" s="9" t="s">
        <v>123</v>
      </c>
      <c r="E191" s="9" t="s">
        <v>63</v>
      </c>
      <c r="F191" s="9" t="s">
        <v>124</v>
      </c>
      <c r="G191" s="9" t="s">
        <v>59</v>
      </c>
      <c r="H191" s="11">
        <v>8</v>
      </c>
      <c r="I191" s="12">
        <v>94.41</v>
      </c>
      <c r="J191" s="12">
        <v>755.28</v>
      </c>
      <c r="K191" s="12">
        <v>515.48</v>
      </c>
      <c r="L191" s="12">
        <v>239.8</v>
      </c>
      <c r="M191" s="9" t="s">
        <v>60</v>
      </c>
      <c r="N191" s="9" t="s">
        <v>61</v>
      </c>
      <c r="O191" s="31">
        <f>SalesData[[#This Row],[UnitPrice]]/SalesData[[#This Row],[Revenue]]</f>
        <v>0.125</v>
      </c>
      <c r="P191" s="31">
        <f>SalesData[[#This Row],[Profit]]/SalesData[[#This Row],[Revenue]]</f>
        <v>0.31749814638279844</v>
      </c>
    </row>
    <row r="192" spans="1:16" x14ac:dyDescent="0.25">
      <c r="A192" s="9" t="s">
        <v>304</v>
      </c>
      <c r="B192" s="10">
        <v>45595</v>
      </c>
      <c r="C192" s="9" t="s">
        <v>55</v>
      </c>
      <c r="D192" s="9" t="s">
        <v>56</v>
      </c>
      <c r="E192" s="9" t="s">
        <v>93</v>
      </c>
      <c r="F192" s="9" t="s">
        <v>130</v>
      </c>
      <c r="G192" s="9" t="s">
        <v>88</v>
      </c>
      <c r="H192" s="11">
        <v>4</v>
      </c>
      <c r="I192" s="12">
        <v>175.99</v>
      </c>
      <c r="J192" s="12">
        <v>703.96</v>
      </c>
      <c r="K192" s="12">
        <v>323.73</v>
      </c>
      <c r="L192" s="12">
        <v>380.23</v>
      </c>
      <c r="M192" s="9" t="s">
        <v>60</v>
      </c>
      <c r="N192" s="9" t="s">
        <v>128</v>
      </c>
      <c r="O192" s="31">
        <f>SalesData[[#This Row],[UnitPrice]]/SalesData[[#This Row],[Revenue]]</f>
        <v>0.25</v>
      </c>
      <c r="P192" s="31">
        <f>SalesData[[#This Row],[Profit]]/SalesData[[#This Row],[Revenue]]</f>
        <v>0.540130121029604</v>
      </c>
    </row>
    <row r="193" spans="1:16" x14ac:dyDescent="0.25">
      <c r="A193" s="9" t="s">
        <v>305</v>
      </c>
      <c r="B193" s="10">
        <v>45514</v>
      </c>
      <c r="C193" s="9" t="s">
        <v>74</v>
      </c>
      <c r="D193" s="9" t="s">
        <v>92</v>
      </c>
      <c r="E193" s="9" t="s">
        <v>70</v>
      </c>
      <c r="F193" s="9" t="s">
        <v>115</v>
      </c>
      <c r="G193" s="9" t="s">
        <v>84</v>
      </c>
      <c r="H193" s="11">
        <v>10</v>
      </c>
      <c r="I193" s="12">
        <v>608.64</v>
      </c>
      <c r="J193" s="12">
        <v>6086.4</v>
      </c>
      <c r="K193" s="12">
        <v>4158.8500000000004</v>
      </c>
      <c r="L193" s="12">
        <v>1927.55</v>
      </c>
      <c r="M193" s="9" t="s">
        <v>60</v>
      </c>
      <c r="N193" s="9" t="s">
        <v>61</v>
      </c>
      <c r="O193" s="31">
        <f>SalesData[[#This Row],[UnitPrice]]/SalesData[[#This Row],[Revenue]]</f>
        <v>0.1</v>
      </c>
      <c r="P193" s="31">
        <f>SalesData[[#This Row],[Profit]]/SalesData[[#This Row],[Revenue]]</f>
        <v>0.31669788380651948</v>
      </c>
    </row>
    <row r="194" spans="1:16" x14ac:dyDescent="0.25">
      <c r="A194" s="9" t="s">
        <v>306</v>
      </c>
      <c r="B194" s="10">
        <v>45693</v>
      </c>
      <c r="C194" s="9" t="s">
        <v>98</v>
      </c>
      <c r="D194" s="9" t="s">
        <v>105</v>
      </c>
      <c r="E194" s="9" t="s">
        <v>70</v>
      </c>
      <c r="F194" s="9" t="s">
        <v>160</v>
      </c>
      <c r="G194" s="9" t="s">
        <v>96</v>
      </c>
      <c r="H194" s="11">
        <v>2</v>
      </c>
      <c r="I194" s="12">
        <v>896.68</v>
      </c>
      <c r="J194" s="12">
        <v>1793.36</v>
      </c>
      <c r="K194" s="12">
        <v>959.68</v>
      </c>
      <c r="L194" s="12">
        <v>833.68</v>
      </c>
      <c r="M194" s="9" t="s">
        <v>65</v>
      </c>
      <c r="N194" s="9" t="s">
        <v>66</v>
      </c>
      <c r="O194" s="31">
        <f>SalesData[[#This Row],[UnitPrice]]/SalesData[[#This Row],[Revenue]]</f>
        <v>0.5</v>
      </c>
      <c r="P194" s="31">
        <f>SalesData[[#This Row],[Profit]]/SalesData[[#This Row],[Revenue]]</f>
        <v>0.46487041084890929</v>
      </c>
    </row>
    <row r="195" spans="1:16" x14ac:dyDescent="0.25">
      <c r="A195" s="9" t="s">
        <v>307</v>
      </c>
      <c r="B195" s="10">
        <v>45798</v>
      </c>
      <c r="C195" s="9" t="s">
        <v>68</v>
      </c>
      <c r="D195" s="9" t="s">
        <v>69</v>
      </c>
      <c r="E195" s="9" t="s">
        <v>63</v>
      </c>
      <c r="F195" s="9" t="s">
        <v>90</v>
      </c>
      <c r="G195" s="9" t="s">
        <v>80</v>
      </c>
      <c r="H195" s="11">
        <v>11</v>
      </c>
      <c r="I195" s="12">
        <v>391.1</v>
      </c>
      <c r="J195" s="12">
        <v>4302.1000000000004</v>
      </c>
      <c r="K195" s="12">
        <v>3040.89</v>
      </c>
      <c r="L195" s="12">
        <v>1261.21</v>
      </c>
      <c r="M195" s="9" t="s">
        <v>65</v>
      </c>
      <c r="N195" s="9" t="s">
        <v>66</v>
      </c>
      <c r="O195" s="31">
        <f>SalesData[[#This Row],[UnitPrice]]/SalesData[[#This Row],[Revenue]]</f>
        <v>9.0909090909090912E-2</v>
      </c>
      <c r="P195" s="31">
        <f>SalesData[[#This Row],[Profit]]/SalesData[[#This Row],[Revenue]]</f>
        <v>0.29316147927756209</v>
      </c>
    </row>
    <row r="196" spans="1:16" x14ac:dyDescent="0.25">
      <c r="A196" s="9" t="s">
        <v>308</v>
      </c>
      <c r="B196" s="10">
        <v>45681</v>
      </c>
      <c r="C196" s="9" t="s">
        <v>74</v>
      </c>
      <c r="D196" s="9" t="s">
        <v>135</v>
      </c>
      <c r="E196" s="9" t="s">
        <v>70</v>
      </c>
      <c r="F196" s="9" t="s">
        <v>117</v>
      </c>
      <c r="G196" s="9" t="s">
        <v>84</v>
      </c>
      <c r="H196" s="11">
        <v>6</v>
      </c>
      <c r="I196" s="12">
        <v>678.52</v>
      </c>
      <c r="J196" s="12">
        <v>4071.12</v>
      </c>
      <c r="K196" s="12">
        <v>2475.25</v>
      </c>
      <c r="L196" s="12">
        <v>1595.87</v>
      </c>
      <c r="M196" s="9" t="s">
        <v>60</v>
      </c>
      <c r="N196" s="9" t="s">
        <v>66</v>
      </c>
      <c r="O196" s="31">
        <f>SalesData[[#This Row],[UnitPrice]]/SalesData[[#This Row],[Revenue]]</f>
        <v>0.16666666666666666</v>
      </c>
      <c r="P196" s="31">
        <f>SalesData[[#This Row],[Profit]]/SalesData[[#This Row],[Revenue]]</f>
        <v>0.39199777948083081</v>
      </c>
    </row>
    <row r="197" spans="1:16" x14ac:dyDescent="0.25">
      <c r="A197" s="9" t="s">
        <v>309</v>
      </c>
      <c r="B197" s="10">
        <v>45070</v>
      </c>
      <c r="C197" s="9" t="s">
        <v>68</v>
      </c>
      <c r="D197" s="9" t="s">
        <v>79</v>
      </c>
      <c r="E197" s="9" t="s">
        <v>70</v>
      </c>
      <c r="F197" s="9" t="s">
        <v>87</v>
      </c>
      <c r="G197" s="9" t="s">
        <v>72</v>
      </c>
      <c r="H197" s="11">
        <v>14</v>
      </c>
      <c r="I197" s="12">
        <v>501.53</v>
      </c>
      <c r="J197" s="12">
        <v>7021.42</v>
      </c>
      <c r="K197" s="12">
        <v>3125.61</v>
      </c>
      <c r="L197" s="12">
        <v>3895.81</v>
      </c>
      <c r="M197" s="9" t="s">
        <v>60</v>
      </c>
      <c r="N197" s="9" t="s">
        <v>66</v>
      </c>
      <c r="O197" s="31">
        <f>SalesData[[#This Row],[UnitPrice]]/SalesData[[#This Row],[Revenue]]</f>
        <v>7.1428571428571425E-2</v>
      </c>
      <c r="P197" s="31">
        <f>SalesData[[#This Row],[Profit]]/SalesData[[#This Row],[Revenue]]</f>
        <v>0.55484645556027123</v>
      </c>
    </row>
    <row r="198" spans="1:16" x14ac:dyDescent="0.25">
      <c r="A198" s="9" t="s">
        <v>310</v>
      </c>
      <c r="B198" s="10">
        <v>45523</v>
      </c>
      <c r="C198" s="9" t="s">
        <v>74</v>
      </c>
      <c r="D198" s="9" t="s">
        <v>135</v>
      </c>
      <c r="E198" s="9" t="s">
        <v>70</v>
      </c>
      <c r="F198" s="9" t="s">
        <v>117</v>
      </c>
      <c r="G198" s="9" t="s">
        <v>77</v>
      </c>
      <c r="H198" s="11">
        <v>13</v>
      </c>
      <c r="I198" s="12">
        <v>272.13</v>
      </c>
      <c r="J198" s="12">
        <v>3537.69</v>
      </c>
      <c r="K198" s="12">
        <v>2259.13</v>
      </c>
      <c r="L198" s="12">
        <v>1278.56</v>
      </c>
      <c r="M198" s="9" t="s">
        <v>65</v>
      </c>
      <c r="N198" s="9" t="s">
        <v>128</v>
      </c>
      <c r="O198" s="31">
        <f>SalesData[[#This Row],[UnitPrice]]/SalesData[[#This Row],[Revenue]]</f>
        <v>7.6923076923076927E-2</v>
      </c>
      <c r="P198" s="31">
        <f>SalesData[[#This Row],[Profit]]/SalesData[[#This Row],[Revenue]]</f>
        <v>0.36141097721959808</v>
      </c>
    </row>
    <row r="199" spans="1:16" x14ac:dyDescent="0.25">
      <c r="A199" s="9" t="s">
        <v>311</v>
      </c>
      <c r="B199" s="10">
        <v>45629</v>
      </c>
      <c r="C199" s="9" t="s">
        <v>55</v>
      </c>
      <c r="D199" s="9" t="s">
        <v>102</v>
      </c>
      <c r="E199" s="9" t="s">
        <v>57</v>
      </c>
      <c r="F199" s="9" t="s">
        <v>106</v>
      </c>
      <c r="G199" s="9" t="s">
        <v>59</v>
      </c>
      <c r="H199" s="11">
        <v>2</v>
      </c>
      <c r="I199" s="12">
        <v>54.41</v>
      </c>
      <c r="J199" s="12">
        <v>108.82</v>
      </c>
      <c r="K199" s="12">
        <v>60.39</v>
      </c>
      <c r="L199" s="12">
        <v>48.43</v>
      </c>
      <c r="M199" s="9" t="s">
        <v>60</v>
      </c>
      <c r="N199" s="9" t="s">
        <v>128</v>
      </c>
      <c r="O199" s="31">
        <f>SalesData[[#This Row],[UnitPrice]]/SalesData[[#This Row],[Revenue]]</f>
        <v>0.5</v>
      </c>
      <c r="P199" s="31">
        <f>SalesData[[#This Row],[Profit]]/SalesData[[#This Row],[Revenue]]</f>
        <v>0.44504686638485574</v>
      </c>
    </row>
    <row r="200" spans="1:16" x14ac:dyDescent="0.25">
      <c r="A200" s="9" t="s">
        <v>312</v>
      </c>
      <c r="B200" s="10">
        <v>45547</v>
      </c>
      <c r="C200" s="9" t="s">
        <v>68</v>
      </c>
      <c r="D200" s="9" t="s">
        <v>69</v>
      </c>
      <c r="E200" s="9" t="s">
        <v>57</v>
      </c>
      <c r="F200" s="9" t="s">
        <v>76</v>
      </c>
      <c r="G200" s="9" t="s">
        <v>59</v>
      </c>
      <c r="H200" s="11">
        <v>8</v>
      </c>
      <c r="I200" s="12">
        <v>75.84</v>
      </c>
      <c r="J200" s="12">
        <v>606.72</v>
      </c>
      <c r="K200" s="12">
        <v>338.96</v>
      </c>
      <c r="L200" s="12">
        <v>267.76</v>
      </c>
      <c r="M200" s="9" t="s">
        <v>65</v>
      </c>
      <c r="N200" s="9" t="s">
        <v>61</v>
      </c>
      <c r="O200" s="31">
        <f>SalesData[[#This Row],[UnitPrice]]/SalesData[[#This Row],[Revenue]]</f>
        <v>0.125</v>
      </c>
      <c r="P200" s="31">
        <f>SalesData[[#This Row],[Profit]]/SalesData[[#This Row],[Revenue]]</f>
        <v>0.4413238396624472</v>
      </c>
    </row>
    <row r="201" spans="1:16" x14ac:dyDescent="0.25">
      <c r="A201" s="9" t="s">
        <v>313</v>
      </c>
      <c r="B201" s="10">
        <v>45384</v>
      </c>
      <c r="C201" s="9" t="s">
        <v>68</v>
      </c>
      <c r="D201" s="9" t="s">
        <v>171</v>
      </c>
      <c r="E201" s="9" t="s">
        <v>93</v>
      </c>
      <c r="F201" s="9" t="s">
        <v>158</v>
      </c>
      <c r="G201" s="9" t="s">
        <v>59</v>
      </c>
      <c r="H201" s="11">
        <v>25</v>
      </c>
      <c r="I201" s="12">
        <v>76.66</v>
      </c>
      <c r="J201" s="12">
        <v>1916.5</v>
      </c>
      <c r="K201" s="12">
        <v>1224.4000000000001</v>
      </c>
      <c r="L201" s="12">
        <v>692.1</v>
      </c>
      <c r="M201" s="9" t="s">
        <v>60</v>
      </c>
      <c r="N201" s="9" t="s">
        <v>61</v>
      </c>
      <c r="O201" s="31">
        <f>SalesData[[#This Row],[UnitPrice]]/SalesData[[#This Row],[Revenue]]</f>
        <v>0.04</v>
      </c>
      <c r="P201" s="31">
        <f>SalesData[[#This Row],[Profit]]/SalesData[[#This Row],[Revenue]]</f>
        <v>0.36112705452648058</v>
      </c>
    </row>
    <row r="202" spans="1:16" x14ac:dyDescent="0.25">
      <c r="A202" s="9" t="s">
        <v>314</v>
      </c>
      <c r="B202" s="10">
        <v>45623</v>
      </c>
      <c r="C202" s="9" t="s">
        <v>68</v>
      </c>
      <c r="D202" s="9" t="s">
        <v>69</v>
      </c>
      <c r="E202" s="9" t="s">
        <v>63</v>
      </c>
      <c r="F202" s="9" t="s">
        <v>136</v>
      </c>
      <c r="G202" s="9" t="s">
        <v>59</v>
      </c>
      <c r="H202" s="11">
        <v>19</v>
      </c>
      <c r="I202" s="12">
        <v>711.02</v>
      </c>
      <c r="J202" s="12">
        <v>13509.38</v>
      </c>
      <c r="K202" s="12">
        <v>6318.55</v>
      </c>
      <c r="L202" s="12">
        <v>7190.83</v>
      </c>
      <c r="M202" s="9" t="s">
        <v>65</v>
      </c>
      <c r="N202" s="9" t="s">
        <v>66</v>
      </c>
      <c r="O202" s="31">
        <f>SalesData[[#This Row],[UnitPrice]]/SalesData[[#This Row],[Revenue]]</f>
        <v>5.2631578947368425E-2</v>
      </c>
      <c r="P202" s="31">
        <f>SalesData[[#This Row],[Profit]]/SalesData[[#This Row],[Revenue]]</f>
        <v>0.53228423510183298</v>
      </c>
    </row>
    <row r="203" spans="1:16" x14ac:dyDescent="0.25">
      <c r="A203" s="9" t="s">
        <v>315</v>
      </c>
      <c r="B203" s="10">
        <v>44986</v>
      </c>
      <c r="C203" s="9" t="s">
        <v>98</v>
      </c>
      <c r="D203" s="9" t="s">
        <v>99</v>
      </c>
      <c r="E203" s="9" t="s">
        <v>63</v>
      </c>
      <c r="F203" s="9" t="s">
        <v>124</v>
      </c>
      <c r="G203" s="9" t="s">
        <v>88</v>
      </c>
      <c r="H203" s="11">
        <v>2</v>
      </c>
      <c r="I203" s="12">
        <v>605.4</v>
      </c>
      <c r="J203" s="12">
        <v>1210.8</v>
      </c>
      <c r="K203" s="12">
        <v>688.75</v>
      </c>
      <c r="L203" s="12">
        <v>522.04999999999995</v>
      </c>
      <c r="M203" s="9" t="s">
        <v>65</v>
      </c>
      <c r="N203" s="9" t="s">
        <v>61</v>
      </c>
      <c r="O203" s="31">
        <f>SalesData[[#This Row],[UnitPrice]]/SalesData[[#This Row],[Revenue]]</f>
        <v>0.5</v>
      </c>
      <c r="P203" s="31">
        <f>SalesData[[#This Row],[Profit]]/SalesData[[#This Row],[Revenue]]</f>
        <v>0.43116121572514038</v>
      </c>
    </row>
    <row r="204" spans="1:16" x14ac:dyDescent="0.25">
      <c r="A204" s="9" t="s">
        <v>316</v>
      </c>
      <c r="B204" s="10">
        <v>45279</v>
      </c>
      <c r="C204" s="9" t="s">
        <v>74</v>
      </c>
      <c r="D204" s="9" t="s">
        <v>135</v>
      </c>
      <c r="E204" s="9" t="s">
        <v>63</v>
      </c>
      <c r="F204" s="9" t="s">
        <v>100</v>
      </c>
      <c r="G204" s="9" t="s">
        <v>77</v>
      </c>
      <c r="H204" s="11">
        <v>1</v>
      </c>
      <c r="I204" s="12">
        <v>976.42</v>
      </c>
      <c r="J204" s="12">
        <v>976.42</v>
      </c>
      <c r="K204" s="12">
        <v>573.85</v>
      </c>
      <c r="L204" s="12">
        <v>402.57</v>
      </c>
      <c r="M204" s="9" t="s">
        <v>60</v>
      </c>
      <c r="N204" s="9" t="s">
        <v>128</v>
      </c>
      <c r="O204" s="31">
        <f>SalesData[[#This Row],[UnitPrice]]/SalesData[[#This Row],[Revenue]]</f>
        <v>1</v>
      </c>
      <c r="P204" s="31">
        <f>SalesData[[#This Row],[Profit]]/SalesData[[#This Row],[Revenue]]</f>
        <v>0.41229184162553001</v>
      </c>
    </row>
    <row r="205" spans="1:16" x14ac:dyDescent="0.25">
      <c r="A205" s="9" t="s">
        <v>317</v>
      </c>
      <c r="B205" s="10">
        <v>45318</v>
      </c>
      <c r="C205" s="9" t="s">
        <v>55</v>
      </c>
      <c r="D205" s="9" t="s">
        <v>56</v>
      </c>
      <c r="E205" s="9" t="s">
        <v>63</v>
      </c>
      <c r="F205" s="9" t="s">
        <v>100</v>
      </c>
      <c r="G205" s="9" t="s">
        <v>125</v>
      </c>
      <c r="H205" s="11">
        <v>10</v>
      </c>
      <c r="I205" s="12">
        <v>548.85</v>
      </c>
      <c r="J205" s="12">
        <v>5488.5</v>
      </c>
      <c r="K205" s="12">
        <v>3529.12</v>
      </c>
      <c r="L205" s="12">
        <v>1959.38</v>
      </c>
      <c r="M205" s="9" t="s">
        <v>65</v>
      </c>
      <c r="N205" s="9" t="s">
        <v>128</v>
      </c>
      <c r="O205" s="31">
        <f>SalesData[[#This Row],[UnitPrice]]/SalesData[[#This Row],[Revenue]]</f>
        <v>0.1</v>
      </c>
      <c r="P205" s="31">
        <f>SalesData[[#This Row],[Profit]]/SalesData[[#This Row],[Revenue]]</f>
        <v>0.3569973581124169</v>
      </c>
    </row>
    <row r="206" spans="1:16" x14ac:dyDescent="0.25">
      <c r="A206" s="9" t="s">
        <v>318</v>
      </c>
      <c r="B206" s="10">
        <v>45057</v>
      </c>
      <c r="C206" s="9" t="s">
        <v>74</v>
      </c>
      <c r="D206" s="9" t="s">
        <v>92</v>
      </c>
      <c r="E206" s="9" t="s">
        <v>93</v>
      </c>
      <c r="F206" s="9" t="s">
        <v>146</v>
      </c>
      <c r="G206" s="9" t="s">
        <v>96</v>
      </c>
      <c r="H206" s="11">
        <v>21</v>
      </c>
      <c r="I206" s="12">
        <v>217</v>
      </c>
      <c r="J206" s="12">
        <v>4557</v>
      </c>
      <c r="K206" s="12">
        <v>2070.7199999999998</v>
      </c>
      <c r="L206" s="12">
        <v>2486.2800000000002</v>
      </c>
      <c r="M206" s="9" t="s">
        <v>65</v>
      </c>
      <c r="N206" s="9" t="s">
        <v>61</v>
      </c>
      <c r="O206" s="31">
        <f>SalesData[[#This Row],[UnitPrice]]/SalesData[[#This Row],[Revenue]]</f>
        <v>4.7619047619047616E-2</v>
      </c>
      <c r="P206" s="31">
        <f>SalesData[[#This Row],[Profit]]/SalesData[[#This Row],[Revenue]]</f>
        <v>0.54559578670177755</v>
      </c>
    </row>
    <row r="207" spans="1:16" x14ac:dyDescent="0.25">
      <c r="A207" s="9" t="s">
        <v>319</v>
      </c>
      <c r="B207" s="10">
        <v>45180</v>
      </c>
      <c r="C207" s="9" t="s">
        <v>98</v>
      </c>
      <c r="D207" s="9" t="s">
        <v>105</v>
      </c>
      <c r="E207" s="9" t="s">
        <v>63</v>
      </c>
      <c r="F207" s="9" t="s">
        <v>90</v>
      </c>
      <c r="G207" s="9" t="s">
        <v>88</v>
      </c>
      <c r="H207" s="11">
        <v>22</v>
      </c>
      <c r="I207" s="12">
        <v>942.53</v>
      </c>
      <c r="J207" s="12">
        <v>20735.66</v>
      </c>
      <c r="K207" s="12">
        <v>11259.4</v>
      </c>
      <c r="L207" s="12">
        <v>9476.26</v>
      </c>
      <c r="M207" s="9" t="s">
        <v>65</v>
      </c>
      <c r="N207" s="9" t="s">
        <v>66</v>
      </c>
      <c r="O207" s="31">
        <f>SalesData[[#This Row],[UnitPrice]]/SalesData[[#This Row],[Revenue]]</f>
        <v>4.5454545454545456E-2</v>
      </c>
      <c r="P207" s="31">
        <f>SalesData[[#This Row],[Profit]]/SalesData[[#This Row],[Revenue]]</f>
        <v>0.45700305657017909</v>
      </c>
    </row>
    <row r="208" spans="1:16" x14ac:dyDescent="0.25">
      <c r="A208" s="9" t="s">
        <v>320</v>
      </c>
      <c r="B208" s="10">
        <v>45711</v>
      </c>
      <c r="C208" s="9" t="s">
        <v>74</v>
      </c>
      <c r="D208" s="9" t="s">
        <v>135</v>
      </c>
      <c r="E208" s="9" t="s">
        <v>70</v>
      </c>
      <c r="F208" s="9" t="s">
        <v>115</v>
      </c>
      <c r="G208" s="9" t="s">
        <v>59</v>
      </c>
      <c r="H208" s="11">
        <v>24</v>
      </c>
      <c r="I208" s="12">
        <v>706.7</v>
      </c>
      <c r="J208" s="12">
        <v>16960.8</v>
      </c>
      <c r="K208" s="12">
        <v>7282</v>
      </c>
      <c r="L208" s="12">
        <v>9678.7999999999993</v>
      </c>
      <c r="M208" s="9" t="s">
        <v>65</v>
      </c>
      <c r="N208" s="9" t="s">
        <v>61</v>
      </c>
      <c r="O208" s="31">
        <f>SalesData[[#This Row],[UnitPrice]]/SalesData[[#This Row],[Revenue]]</f>
        <v>4.1666666666666671E-2</v>
      </c>
      <c r="P208" s="31">
        <f>SalesData[[#This Row],[Profit]]/SalesData[[#This Row],[Revenue]]</f>
        <v>0.57065704447903398</v>
      </c>
    </row>
    <row r="209" spans="1:16" x14ac:dyDescent="0.25">
      <c r="A209" s="9" t="s">
        <v>321</v>
      </c>
      <c r="B209" s="10">
        <v>45685</v>
      </c>
      <c r="C209" s="9" t="s">
        <v>55</v>
      </c>
      <c r="D209" s="9" t="s">
        <v>86</v>
      </c>
      <c r="E209" s="9" t="s">
        <v>70</v>
      </c>
      <c r="F209" s="9" t="s">
        <v>117</v>
      </c>
      <c r="G209" s="9" t="s">
        <v>80</v>
      </c>
      <c r="H209" s="11">
        <v>20</v>
      </c>
      <c r="I209" s="12">
        <v>106.53</v>
      </c>
      <c r="J209" s="12">
        <v>2130.6</v>
      </c>
      <c r="K209" s="12">
        <v>1264.21</v>
      </c>
      <c r="L209" s="12">
        <v>866.39</v>
      </c>
      <c r="M209" s="9" t="s">
        <v>60</v>
      </c>
      <c r="N209" s="9" t="s">
        <v>66</v>
      </c>
      <c r="O209" s="31">
        <f>SalesData[[#This Row],[UnitPrice]]/SalesData[[#This Row],[Revenue]]</f>
        <v>0.05</v>
      </c>
      <c r="P209" s="31">
        <f>SalesData[[#This Row],[Profit]]/SalesData[[#This Row],[Revenue]]</f>
        <v>0.40664132169341971</v>
      </c>
    </row>
    <row r="210" spans="1:16" x14ac:dyDescent="0.25">
      <c r="A210" s="9" t="s">
        <v>322</v>
      </c>
      <c r="B210" s="10">
        <v>45762</v>
      </c>
      <c r="C210" s="9" t="s">
        <v>55</v>
      </c>
      <c r="D210" s="9" t="s">
        <v>82</v>
      </c>
      <c r="E210" s="9" t="s">
        <v>93</v>
      </c>
      <c r="F210" s="9" t="s">
        <v>94</v>
      </c>
      <c r="G210" s="9" t="s">
        <v>59</v>
      </c>
      <c r="H210" s="11">
        <v>25</v>
      </c>
      <c r="I210" s="12">
        <v>217.79</v>
      </c>
      <c r="J210" s="12">
        <v>5444.75</v>
      </c>
      <c r="K210" s="12">
        <v>2375.92</v>
      </c>
      <c r="L210" s="12">
        <v>3068.83</v>
      </c>
      <c r="M210" s="9" t="s">
        <v>65</v>
      </c>
      <c r="N210" s="9" t="s">
        <v>66</v>
      </c>
      <c r="O210" s="31">
        <f>SalesData[[#This Row],[UnitPrice]]/SalesData[[#This Row],[Revenue]]</f>
        <v>0.04</v>
      </c>
      <c r="P210" s="31">
        <f>SalesData[[#This Row],[Profit]]/SalesData[[#This Row],[Revenue]]</f>
        <v>0.56363102070802151</v>
      </c>
    </row>
    <row r="211" spans="1:16" x14ac:dyDescent="0.25">
      <c r="A211" s="9" t="s">
        <v>323</v>
      </c>
      <c r="B211" s="10">
        <v>45497</v>
      </c>
      <c r="C211" s="9" t="s">
        <v>68</v>
      </c>
      <c r="D211" s="9" t="s">
        <v>79</v>
      </c>
      <c r="E211" s="9" t="s">
        <v>70</v>
      </c>
      <c r="F211" s="9" t="s">
        <v>115</v>
      </c>
      <c r="G211" s="9" t="s">
        <v>96</v>
      </c>
      <c r="H211" s="11">
        <v>22</v>
      </c>
      <c r="I211" s="12">
        <v>506.43</v>
      </c>
      <c r="J211" s="12">
        <v>11141.46</v>
      </c>
      <c r="K211" s="12">
        <v>6015.64</v>
      </c>
      <c r="L211" s="12">
        <v>5125.82</v>
      </c>
      <c r="M211" s="9" t="s">
        <v>65</v>
      </c>
      <c r="N211" s="9" t="s">
        <v>66</v>
      </c>
      <c r="O211" s="31">
        <f>SalesData[[#This Row],[UnitPrice]]/SalesData[[#This Row],[Revenue]]</f>
        <v>4.5454545454545456E-2</v>
      </c>
      <c r="P211" s="31">
        <f>SalesData[[#This Row],[Profit]]/SalesData[[#This Row],[Revenue]]</f>
        <v>0.46006717252496532</v>
      </c>
    </row>
    <row r="212" spans="1:16" x14ac:dyDescent="0.25">
      <c r="A212" s="9" t="s">
        <v>324</v>
      </c>
      <c r="B212" s="10">
        <v>45353</v>
      </c>
      <c r="C212" s="9" t="s">
        <v>98</v>
      </c>
      <c r="D212" s="9" t="s">
        <v>99</v>
      </c>
      <c r="E212" s="9" t="s">
        <v>93</v>
      </c>
      <c r="F212" s="9" t="s">
        <v>146</v>
      </c>
      <c r="G212" s="9" t="s">
        <v>84</v>
      </c>
      <c r="H212" s="11">
        <v>21</v>
      </c>
      <c r="I212" s="12">
        <v>173.73</v>
      </c>
      <c r="J212" s="12">
        <v>3648.33</v>
      </c>
      <c r="K212" s="12">
        <v>2363.69</v>
      </c>
      <c r="L212" s="12">
        <v>1284.6400000000001</v>
      </c>
      <c r="M212" s="9" t="s">
        <v>65</v>
      </c>
      <c r="N212" s="9" t="s">
        <v>61</v>
      </c>
      <c r="O212" s="31">
        <f>SalesData[[#This Row],[UnitPrice]]/SalesData[[#This Row],[Revenue]]</f>
        <v>4.7619047619047616E-2</v>
      </c>
      <c r="P212" s="31">
        <f>SalesData[[#This Row],[Profit]]/SalesData[[#This Row],[Revenue]]</f>
        <v>0.35211727009344007</v>
      </c>
    </row>
    <row r="213" spans="1:16" x14ac:dyDescent="0.25">
      <c r="A213" s="9" t="s">
        <v>325</v>
      </c>
      <c r="B213" s="10">
        <v>45805</v>
      </c>
      <c r="C213" s="9" t="s">
        <v>74</v>
      </c>
      <c r="D213" s="9" t="s">
        <v>140</v>
      </c>
      <c r="E213" s="9" t="s">
        <v>57</v>
      </c>
      <c r="F213" s="9" t="s">
        <v>83</v>
      </c>
      <c r="G213" s="9" t="s">
        <v>96</v>
      </c>
      <c r="H213" s="11">
        <v>25</v>
      </c>
      <c r="I213" s="12">
        <v>44.8</v>
      </c>
      <c r="J213" s="12">
        <v>1120</v>
      </c>
      <c r="K213" s="12">
        <v>548.66999999999996</v>
      </c>
      <c r="L213" s="12">
        <v>571.33000000000004</v>
      </c>
      <c r="M213" s="9" t="s">
        <v>60</v>
      </c>
      <c r="N213" s="9" t="s">
        <v>128</v>
      </c>
      <c r="O213" s="31">
        <f>SalesData[[#This Row],[UnitPrice]]/SalesData[[#This Row],[Revenue]]</f>
        <v>0.04</v>
      </c>
      <c r="P213" s="31">
        <f>SalesData[[#This Row],[Profit]]/SalesData[[#This Row],[Revenue]]</f>
        <v>0.51011607142857152</v>
      </c>
    </row>
    <row r="214" spans="1:16" x14ac:dyDescent="0.25">
      <c r="A214" s="9" t="s">
        <v>326</v>
      </c>
      <c r="B214" s="10">
        <v>45135</v>
      </c>
      <c r="C214" s="9" t="s">
        <v>98</v>
      </c>
      <c r="D214" s="9" t="s">
        <v>99</v>
      </c>
      <c r="E214" s="9" t="s">
        <v>63</v>
      </c>
      <c r="F214" s="9" t="s">
        <v>124</v>
      </c>
      <c r="G214" s="9" t="s">
        <v>72</v>
      </c>
      <c r="H214" s="11">
        <v>14</v>
      </c>
      <c r="I214" s="12">
        <v>737.19</v>
      </c>
      <c r="J214" s="12">
        <v>10320.66</v>
      </c>
      <c r="K214" s="12">
        <v>4736.0200000000004</v>
      </c>
      <c r="L214" s="12">
        <v>5584.64</v>
      </c>
      <c r="M214" s="9" t="s">
        <v>60</v>
      </c>
      <c r="N214" s="9" t="s">
        <v>128</v>
      </c>
      <c r="O214" s="31">
        <f>SalesData[[#This Row],[UnitPrice]]/SalesData[[#This Row],[Revenue]]</f>
        <v>7.1428571428571438E-2</v>
      </c>
      <c r="P214" s="31">
        <f>SalesData[[#This Row],[Profit]]/SalesData[[#This Row],[Revenue]]</f>
        <v>0.54111268077816732</v>
      </c>
    </row>
    <row r="215" spans="1:16" x14ac:dyDescent="0.25">
      <c r="A215" s="9" t="s">
        <v>327</v>
      </c>
      <c r="B215" s="10">
        <v>45616</v>
      </c>
      <c r="C215" s="9" t="s">
        <v>68</v>
      </c>
      <c r="D215" s="9" t="s">
        <v>69</v>
      </c>
      <c r="E215" s="9" t="s">
        <v>93</v>
      </c>
      <c r="F215" s="9" t="s">
        <v>130</v>
      </c>
      <c r="G215" s="9" t="s">
        <v>80</v>
      </c>
      <c r="H215" s="11">
        <v>18</v>
      </c>
      <c r="I215" s="12">
        <v>185.93</v>
      </c>
      <c r="J215" s="12">
        <v>3346.74</v>
      </c>
      <c r="K215" s="12">
        <v>1590.5</v>
      </c>
      <c r="L215" s="12">
        <v>1756.24</v>
      </c>
      <c r="M215" s="9" t="s">
        <v>65</v>
      </c>
      <c r="N215" s="9" t="s">
        <v>128</v>
      </c>
      <c r="O215" s="31">
        <f>SalesData[[#This Row],[UnitPrice]]/SalesData[[#This Row],[Revenue]]</f>
        <v>5.5555555555555559E-2</v>
      </c>
      <c r="P215" s="31">
        <f>SalesData[[#This Row],[Profit]]/SalesData[[#This Row],[Revenue]]</f>
        <v>0.5247614096105464</v>
      </c>
    </row>
    <row r="216" spans="1:16" x14ac:dyDescent="0.25">
      <c r="A216" s="9" t="s">
        <v>328</v>
      </c>
      <c r="B216" s="10">
        <v>45143</v>
      </c>
      <c r="C216" s="9" t="s">
        <v>55</v>
      </c>
      <c r="D216" s="9" t="s">
        <v>56</v>
      </c>
      <c r="E216" s="9" t="s">
        <v>70</v>
      </c>
      <c r="F216" s="9" t="s">
        <v>113</v>
      </c>
      <c r="G216" s="9" t="s">
        <v>59</v>
      </c>
      <c r="H216" s="11">
        <v>16</v>
      </c>
      <c r="I216" s="12">
        <v>250.29</v>
      </c>
      <c r="J216" s="12">
        <v>4004.64</v>
      </c>
      <c r="K216" s="12">
        <v>2735.33</v>
      </c>
      <c r="L216" s="12">
        <v>1269.31</v>
      </c>
      <c r="M216" s="9" t="s">
        <v>65</v>
      </c>
      <c r="N216" s="9" t="s">
        <v>66</v>
      </c>
      <c r="O216" s="31">
        <f>SalesData[[#This Row],[UnitPrice]]/SalesData[[#This Row],[Revenue]]</f>
        <v>6.25E-2</v>
      </c>
      <c r="P216" s="31">
        <f>SalesData[[#This Row],[Profit]]/SalesData[[#This Row],[Revenue]]</f>
        <v>0.31695982660114269</v>
      </c>
    </row>
    <row r="217" spans="1:16" x14ac:dyDescent="0.25">
      <c r="A217" s="9" t="s">
        <v>329</v>
      </c>
      <c r="B217" s="10">
        <v>45404</v>
      </c>
      <c r="C217" s="9" t="s">
        <v>98</v>
      </c>
      <c r="D217" s="9" t="s">
        <v>105</v>
      </c>
      <c r="E217" s="9" t="s">
        <v>93</v>
      </c>
      <c r="F217" s="9" t="s">
        <v>94</v>
      </c>
      <c r="G217" s="9" t="s">
        <v>59</v>
      </c>
      <c r="H217" s="11">
        <v>13</v>
      </c>
      <c r="I217" s="12">
        <v>229.56</v>
      </c>
      <c r="J217" s="12">
        <v>2984.28</v>
      </c>
      <c r="K217" s="12">
        <v>1731.19</v>
      </c>
      <c r="L217" s="12">
        <v>1253.0899999999999</v>
      </c>
      <c r="M217" s="9" t="s">
        <v>65</v>
      </c>
      <c r="N217" s="9" t="s">
        <v>128</v>
      </c>
      <c r="O217" s="31">
        <f>SalesData[[#This Row],[UnitPrice]]/SalesData[[#This Row],[Revenue]]</f>
        <v>7.6923076923076913E-2</v>
      </c>
      <c r="P217" s="31">
        <f>SalesData[[#This Row],[Profit]]/SalesData[[#This Row],[Revenue]]</f>
        <v>0.41989692656185074</v>
      </c>
    </row>
    <row r="218" spans="1:16" x14ac:dyDescent="0.25">
      <c r="A218" s="9" t="s">
        <v>330</v>
      </c>
      <c r="B218" s="10">
        <v>45135</v>
      </c>
      <c r="C218" s="9" t="s">
        <v>68</v>
      </c>
      <c r="D218" s="9" t="s">
        <v>79</v>
      </c>
      <c r="E218" s="9" t="s">
        <v>57</v>
      </c>
      <c r="F218" s="9" t="s">
        <v>76</v>
      </c>
      <c r="G218" s="9" t="s">
        <v>88</v>
      </c>
      <c r="H218" s="11">
        <v>15</v>
      </c>
      <c r="I218" s="12">
        <v>12.29</v>
      </c>
      <c r="J218" s="12">
        <v>184.35</v>
      </c>
      <c r="K218" s="12">
        <v>129.88999999999999</v>
      </c>
      <c r="L218" s="12">
        <v>54.46</v>
      </c>
      <c r="M218" s="9" t="s">
        <v>65</v>
      </c>
      <c r="N218" s="9" t="s">
        <v>128</v>
      </c>
      <c r="O218" s="31">
        <f>SalesData[[#This Row],[UnitPrice]]/SalesData[[#This Row],[Revenue]]</f>
        <v>6.6666666666666666E-2</v>
      </c>
      <c r="P218" s="31">
        <f>SalesData[[#This Row],[Profit]]/SalesData[[#This Row],[Revenue]]</f>
        <v>0.2954163276376458</v>
      </c>
    </row>
    <row r="219" spans="1:16" x14ac:dyDescent="0.25">
      <c r="A219" s="9" t="s">
        <v>331</v>
      </c>
      <c r="B219" s="10">
        <v>45083</v>
      </c>
      <c r="C219" s="9" t="s">
        <v>68</v>
      </c>
      <c r="D219" s="9" t="s">
        <v>79</v>
      </c>
      <c r="E219" s="9" t="s">
        <v>93</v>
      </c>
      <c r="F219" s="9" t="s">
        <v>146</v>
      </c>
      <c r="G219" s="9" t="s">
        <v>59</v>
      </c>
      <c r="H219" s="11">
        <v>24</v>
      </c>
      <c r="I219" s="12">
        <v>53.41</v>
      </c>
      <c r="J219" s="12">
        <v>1281.8399999999999</v>
      </c>
      <c r="K219" s="12">
        <v>635.30999999999995</v>
      </c>
      <c r="L219" s="12">
        <v>646.53</v>
      </c>
      <c r="M219" s="9" t="s">
        <v>65</v>
      </c>
      <c r="N219" s="9" t="s">
        <v>128</v>
      </c>
      <c r="O219" s="31">
        <f>SalesData[[#This Row],[UnitPrice]]/SalesData[[#This Row],[Revenue]]</f>
        <v>4.1666666666666664E-2</v>
      </c>
      <c r="P219" s="31">
        <f>SalesData[[#This Row],[Profit]]/SalesData[[#This Row],[Revenue]]</f>
        <v>0.50437652125070209</v>
      </c>
    </row>
    <row r="220" spans="1:16" x14ac:dyDescent="0.25">
      <c r="A220" s="9" t="s">
        <v>332</v>
      </c>
      <c r="B220" s="10">
        <v>45708</v>
      </c>
      <c r="C220" s="9" t="s">
        <v>98</v>
      </c>
      <c r="D220" s="9" t="s">
        <v>110</v>
      </c>
      <c r="E220" s="9" t="s">
        <v>70</v>
      </c>
      <c r="F220" s="9" t="s">
        <v>160</v>
      </c>
      <c r="G220" s="9" t="s">
        <v>59</v>
      </c>
      <c r="H220" s="11">
        <v>16</v>
      </c>
      <c r="I220" s="12">
        <v>530.53</v>
      </c>
      <c r="J220" s="12">
        <v>8488.48</v>
      </c>
      <c r="K220" s="12">
        <v>5887.65</v>
      </c>
      <c r="L220" s="12">
        <v>2600.83</v>
      </c>
      <c r="M220" s="9" t="s">
        <v>65</v>
      </c>
      <c r="N220" s="9" t="s">
        <v>128</v>
      </c>
      <c r="O220" s="31">
        <f>SalesData[[#This Row],[UnitPrice]]/SalesData[[#This Row],[Revenue]]</f>
        <v>6.25E-2</v>
      </c>
      <c r="P220" s="31">
        <f>SalesData[[#This Row],[Profit]]/SalesData[[#This Row],[Revenue]]</f>
        <v>0.30639525568770853</v>
      </c>
    </row>
    <row r="221" spans="1:16" x14ac:dyDescent="0.25">
      <c r="A221" s="9" t="s">
        <v>333</v>
      </c>
      <c r="B221" s="10">
        <v>45584</v>
      </c>
      <c r="C221" s="9" t="s">
        <v>74</v>
      </c>
      <c r="D221" s="9" t="s">
        <v>92</v>
      </c>
      <c r="E221" s="9" t="s">
        <v>93</v>
      </c>
      <c r="F221" s="9" t="s">
        <v>94</v>
      </c>
      <c r="G221" s="9" t="s">
        <v>84</v>
      </c>
      <c r="H221" s="11">
        <v>6</v>
      </c>
      <c r="I221" s="12">
        <v>52.04</v>
      </c>
      <c r="J221" s="12">
        <v>312.24</v>
      </c>
      <c r="K221" s="12">
        <v>180.63</v>
      </c>
      <c r="L221" s="12">
        <v>131.61000000000001</v>
      </c>
      <c r="M221" s="9" t="s">
        <v>60</v>
      </c>
      <c r="N221" s="9" t="s">
        <v>61</v>
      </c>
      <c r="O221" s="31">
        <f>SalesData[[#This Row],[UnitPrice]]/SalesData[[#This Row],[Revenue]]</f>
        <v>0.16666666666666666</v>
      </c>
      <c r="P221" s="31">
        <f>SalesData[[#This Row],[Profit]]/SalesData[[#This Row],[Revenue]]</f>
        <v>0.4215026902382783</v>
      </c>
    </row>
    <row r="222" spans="1:16" x14ac:dyDescent="0.25">
      <c r="A222" s="9" t="s">
        <v>334</v>
      </c>
      <c r="B222" s="10">
        <v>45651</v>
      </c>
      <c r="C222" s="9" t="s">
        <v>55</v>
      </c>
      <c r="D222" s="9" t="s">
        <v>56</v>
      </c>
      <c r="E222" s="9" t="s">
        <v>63</v>
      </c>
      <c r="F222" s="9" t="s">
        <v>203</v>
      </c>
      <c r="G222" s="9" t="s">
        <v>125</v>
      </c>
      <c r="H222" s="11">
        <v>25</v>
      </c>
      <c r="I222" s="12">
        <v>38.090000000000003</v>
      </c>
      <c r="J222" s="12">
        <v>952.25</v>
      </c>
      <c r="K222" s="12">
        <v>437.91</v>
      </c>
      <c r="L222" s="12">
        <v>514.34</v>
      </c>
      <c r="M222" s="9" t="s">
        <v>60</v>
      </c>
      <c r="N222" s="9" t="s">
        <v>66</v>
      </c>
      <c r="O222" s="31">
        <f>SalesData[[#This Row],[UnitPrice]]/SalesData[[#This Row],[Revenue]]</f>
        <v>0.04</v>
      </c>
      <c r="P222" s="31">
        <f>SalesData[[#This Row],[Profit]]/SalesData[[#This Row],[Revenue]]</f>
        <v>0.54013126804935685</v>
      </c>
    </row>
    <row r="223" spans="1:16" x14ac:dyDescent="0.25">
      <c r="A223" s="9" t="s">
        <v>335</v>
      </c>
      <c r="B223" s="10">
        <v>45426</v>
      </c>
      <c r="C223" s="9" t="s">
        <v>98</v>
      </c>
      <c r="D223" s="9" t="s">
        <v>105</v>
      </c>
      <c r="E223" s="9" t="s">
        <v>70</v>
      </c>
      <c r="F223" s="9" t="s">
        <v>113</v>
      </c>
      <c r="G223" s="9" t="s">
        <v>88</v>
      </c>
      <c r="H223" s="11">
        <v>12</v>
      </c>
      <c r="I223" s="12">
        <v>128.57</v>
      </c>
      <c r="J223" s="12">
        <v>1542.84</v>
      </c>
      <c r="K223" s="12">
        <v>933.33</v>
      </c>
      <c r="L223" s="12">
        <v>609.51</v>
      </c>
      <c r="M223" s="9" t="s">
        <v>65</v>
      </c>
      <c r="N223" s="9" t="s">
        <v>61</v>
      </c>
      <c r="O223" s="31">
        <f>SalesData[[#This Row],[UnitPrice]]/SalesData[[#This Row],[Revenue]]</f>
        <v>8.3333333333333329E-2</v>
      </c>
      <c r="P223" s="31">
        <f>SalesData[[#This Row],[Profit]]/SalesData[[#This Row],[Revenue]]</f>
        <v>0.39505716730185891</v>
      </c>
    </row>
    <row r="224" spans="1:16" x14ac:dyDescent="0.25">
      <c r="A224" s="9" t="s">
        <v>336</v>
      </c>
      <c r="B224" s="10">
        <v>45441</v>
      </c>
      <c r="C224" s="9" t="s">
        <v>55</v>
      </c>
      <c r="D224" s="9" t="s">
        <v>56</v>
      </c>
      <c r="E224" s="9" t="s">
        <v>93</v>
      </c>
      <c r="F224" s="9" t="s">
        <v>146</v>
      </c>
      <c r="G224" s="9" t="s">
        <v>125</v>
      </c>
      <c r="H224" s="11">
        <v>17</v>
      </c>
      <c r="I224" s="12">
        <v>185.38</v>
      </c>
      <c r="J224" s="12">
        <v>3151.46</v>
      </c>
      <c r="K224" s="12">
        <v>1813.24</v>
      </c>
      <c r="L224" s="12">
        <v>1338.22</v>
      </c>
      <c r="M224" s="9" t="s">
        <v>65</v>
      </c>
      <c r="N224" s="9" t="s">
        <v>66</v>
      </c>
      <c r="O224" s="31">
        <f>SalesData[[#This Row],[UnitPrice]]/SalesData[[#This Row],[Revenue]]</f>
        <v>5.8823529411764705E-2</v>
      </c>
      <c r="P224" s="31">
        <f>SalesData[[#This Row],[Profit]]/SalesData[[#This Row],[Revenue]]</f>
        <v>0.42463493111129447</v>
      </c>
    </row>
    <row r="225" spans="1:16" x14ac:dyDescent="0.25">
      <c r="A225" s="9" t="s">
        <v>337</v>
      </c>
      <c r="B225" s="10">
        <v>45741</v>
      </c>
      <c r="C225" s="9" t="s">
        <v>74</v>
      </c>
      <c r="D225" s="9" t="s">
        <v>140</v>
      </c>
      <c r="E225" s="9" t="s">
        <v>63</v>
      </c>
      <c r="F225" s="9" t="s">
        <v>136</v>
      </c>
      <c r="G225" s="9" t="s">
        <v>96</v>
      </c>
      <c r="H225" s="11">
        <v>8</v>
      </c>
      <c r="I225" s="12">
        <v>273.55</v>
      </c>
      <c r="J225" s="12">
        <v>2188.4</v>
      </c>
      <c r="K225" s="12">
        <v>1253.24</v>
      </c>
      <c r="L225" s="12">
        <v>935.16</v>
      </c>
      <c r="M225" s="9" t="s">
        <v>65</v>
      </c>
      <c r="N225" s="9" t="s">
        <v>128</v>
      </c>
      <c r="O225" s="31">
        <f>SalesData[[#This Row],[UnitPrice]]/SalesData[[#This Row],[Revenue]]</f>
        <v>0.125</v>
      </c>
      <c r="P225" s="31">
        <f>SalesData[[#This Row],[Profit]]/SalesData[[#This Row],[Revenue]]</f>
        <v>0.42732590020106009</v>
      </c>
    </row>
    <row r="226" spans="1:16" x14ac:dyDescent="0.25">
      <c r="A226" s="9" t="s">
        <v>338</v>
      </c>
      <c r="B226" s="10">
        <v>45774</v>
      </c>
      <c r="C226" s="9" t="s">
        <v>74</v>
      </c>
      <c r="D226" s="9" t="s">
        <v>75</v>
      </c>
      <c r="E226" s="9" t="s">
        <v>57</v>
      </c>
      <c r="F226" s="9" t="s">
        <v>83</v>
      </c>
      <c r="G226" s="9" t="s">
        <v>88</v>
      </c>
      <c r="H226" s="11">
        <v>19</v>
      </c>
      <c r="I226" s="12">
        <v>22.99</v>
      </c>
      <c r="J226" s="12">
        <v>436.81</v>
      </c>
      <c r="K226" s="12">
        <v>271.77999999999997</v>
      </c>
      <c r="L226" s="12">
        <v>165.03</v>
      </c>
      <c r="M226" s="9" t="s">
        <v>65</v>
      </c>
      <c r="N226" s="9" t="s">
        <v>61</v>
      </c>
      <c r="O226" s="31">
        <f>SalesData[[#This Row],[UnitPrice]]/SalesData[[#This Row],[Revenue]]</f>
        <v>5.2631578947368418E-2</v>
      </c>
      <c r="P226" s="31">
        <f>SalesData[[#This Row],[Profit]]/SalesData[[#This Row],[Revenue]]</f>
        <v>0.37780728463176211</v>
      </c>
    </row>
    <row r="227" spans="1:16" x14ac:dyDescent="0.25">
      <c r="A227" s="9" t="s">
        <v>339</v>
      </c>
      <c r="B227" s="10">
        <v>45102</v>
      </c>
      <c r="C227" s="9" t="s">
        <v>55</v>
      </c>
      <c r="D227" s="9" t="s">
        <v>56</v>
      </c>
      <c r="E227" s="9" t="s">
        <v>63</v>
      </c>
      <c r="F227" s="9" t="s">
        <v>100</v>
      </c>
      <c r="G227" s="9" t="s">
        <v>72</v>
      </c>
      <c r="H227" s="11">
        <v>13</v>
      </c>
      <c r="I227" s="12">
        <v>731.37</v>
      </c>
      <c r="J227" s="12">
        <v>9507.81</v>
      </c>
      <c r="K227" s="12">
        <v>4148</v>
      </c>
      <c r="L227" s="12">
        <v>5359.81</v>
      </c>
      <c r="M227" s="9" t="s">
        <v>60</v>
      </c>
      <c r="N227" s="9" t="s">
        <v>61</v>
      </c>
      <c r="O227" s="31">
        <f>SalesData[[#This Row],[UnitPrice]]/SalesData[[#This Row],[Revenue]]</f>
        <v>7.6923076923076927E-2</v>
      </c>
      <c r="P227" s="31">
        <f>SalesData[[#This Row],[Profit]]/SalesData[[#This Row],[Revenue]]</f>
        <v>0.56372708331361276</v>
      </c>
    </row>
    <row r="228" spans="1:16" x14ac:dyDescent="0.25">
      <c r="A228" s="9" t="s">
        <v>340</v>
      </c>
      <c r="B228" s="10">
        <v>45143</v>
      </c>
      <c r="C228" s="9" t="s">
        <v>55</v>
      </c>
      <c r="D228" s="9" t="s">
        <v>82</v>
      </c>
      <c r="E228" s="9" t="s">
        <v>93</v>
      </c>
      <c r="F228" s="9" t="s">
        <v>111</v>
      </c>
      <c r="G228" s="9" t="s">
        <v>84</v>
      </c>
      <c r="H228" s="11">
        <v>19</v>
      </c>
      <c r="I228" s="12">
        <v>243.81</v>
      </c>
      <c r="J228" s="12">
        <v>4632.3900000000003</v>
      </c>
      <c r="K228" s="12">
        <v>3253.85</v>
      </c>
      <c r="L228" s="12">
        <v>1378.54</v>
      </c>
      <c r="M228" s="9" t="s">
        <v>60</v>
      </c>
      <c r="N228" s="9" t="s">
        <v>66</v>
      </c>
      <c r="O228" s="31">
        <f>SalesData[[#This Row],[UnitPrice]]/SalesData[[#This Row],[Revenue]]</f>
        <v>5.2631578947368418E-2</v>
      </c>
      <c r="P228" s="31">
        <f>SalesData[[#This Row],[Profit]]/SalesData[[#This Row],[Revenue]]</f>
        <v>0.29758720660393445</v>
      </c>
    </row>
    <row r="229" spans="1:16" x14ac:dyDescent="0.25">
      <c r="A229" s="9" t="s">
        <v>341</v>
      </c>
      <c r="B229" s="10">
        <v>45139</v>
      </c>
      <c r="C229" s="9" t="s">
        <v>74</v>
      </c>
      <c r="D229" s="9" t="s">
        <v>135</v>
      </c>
      <c r="E229" s="9" t="s">
        <v>63</v>
      </c>
      <c r="F229" s="9" t="s">
        <v>136</v>
      </c>
      <c r="G229" s="9" t="s">
        <v>77</v>
      </c>
      <c r="H229" s="11">
        <v>18</v>
      </c>
      <c r="I229" s="12">
        <v>745.09</v>
      </c>
      <c r="J229" s="12">
        <v>13411.62</v>
      </c>
      <c r="K229" s="12">
        <v>5760.85</v>
      </c>
      <c r="L229" s="12">
        <v>7650.77</v>
      </c>
      <c r="M229" s="9" t="s">
        <v>65</v>
      </c>
      <c r="N229" s="9" t="s">
        <v>66</v>
      </c>
      <c r="O229" s="31">
        <f>SalesData[[#This Row],[UnitPrice]]/SalesData[[#This Row],[Revenue]]</f>
        <v>5.5555555555555552E-2</v>
      </c>
      <c r="P229" s="31">
        <f>SalesData[[#This Row],[Profit]]/SalesData[[#This Row],[Revenue]]</f>
        <v>0.57045830406766673</v>
      </c>
    </row>
    <row r="230" spans="1:16" x14ac:dyDescent="0.25">
      <c r="A230" s="9" t="s">
        <v>342</v>
      </c>
      <c r="B230" s="10">
        <v>45480</v>
      </c>
      <c r="C230" s="9" t="s">
        <v>98</v>
      </c>
      <c r="D230" s="9" t="s">
        <v>99</v>
      </c>
      <c r="E230" s="9" t="s">
        <v>63</v>
      </c>
      <c r="F230" s="9" t="s">
        <v>90</v>
      </c>
      <c r="G230" s="9" t="s">
        <v>96</v>
      </c>
      <c r="H230" s="11">
        <v>19</v>
      </c>
      <c r="I230" s="12">
        <v>335.15</v>
      </c>
      <c r="J230" s="12">
        <v>6367.85</v>
      </c>
      <c r="K230" s="12">
        <v>4215.83</v>
      </c>
      <c r="L230" s="12">
        <v>2152.02</v>
      </c>
      <c r="M230" s="9" t="s">
        <v>65</v>
      </c>
      <c r="N230" s="9" t="s">
        <v>61</v>
      </c>
      <c r="O230" s="31">
        <f>SalesData[[#This Row],[UnitPrice]]/SalesData[[#This Row],[Revenue]]</f>
        <v>5.2631578947368411E-2</v>
      </c>
      <c r="P230" s="31">
        <f>SalesData[[#This Row],[Profit]]/SalesData[[#This Row],[Revenue]]</f>
        <v>0.33795079972047076</v>
      </c>
    </row>
    <row r="231" spans="1:16" x14ac:dyDescent="0.25">
      <c r="A231" s="9" t="s">
        <v>343</v>
      </c>
      <c r="B231" s="10">
        <v>45164</v>
      </c>
      <c r="C231" s="9" t="s">
        <v>68</v>
      </c>
      <c r="D231" s="9" t="s">
        <v>171</v>
      </c>
      <c r="E231" s="9" t="s">
        <v>70</v>
      </c>
      <c r="F231" s="9" t="s">
        <v>71</v>
      </c>
      <c r="G231" s="9" t="s">
        <v>80</v>
      </c>
      <c r="H231" s="11">
        <v>17</v>
      </c>
      <c r="I231" s="12">
        <v>690.27</v>
      </c>
      <c r="J231" s="12">
        <v>11734.59</v>
      </c>
      <c r="K231" s="12">
        <v>6105.5</v>
      </c>
      <c r="L231" s="12">
        <v>5629.09</v>
      </c>
      <c r="M231" s="9" t="s">
        <v>60</v>
      </c>
      <c r="N231" s="9" t="s">
        <v>128</v>
      </c>
      <c r="O231" s="31">
        <f>SalesData[[#This Row],[UnitPrice]]/SalesData[[#This Row],[Revenue]]</f>
        <v>5.8823529411764705E-2</v>
      </c>
      <c r="P231" s="31">
        <f>SalesData[[#This Row],[Profit]]/SalesData[[#This Row],[Revenue]]</f>
        <v>0.47970061161063149</v>
      </c>
    </row>
    <row r="232" spans="1:16" x14ac:dyDescent="0.25">
      <c r="A232" s="9" t="s">
        <v>344</v>
      </c>
      <c r="B232" s="10">
        <v>45291</v>
      </c>
      <c r="C232" s="9" t="s">
        <v>55</v>
      </c>
      <c r="D232" s="9" t="s">
        <v>102</v>
      </c>
      <c r="E232" s="9" t="s">
        <v>93</v>
      </c>
      <c r="F232" s="9" t="s">
        <v>130</v>
      </c>
      <c r="G232" s="9" t="s">
        <v>125</v>
      </c>
      <c r="H232" s="11">
        <v>21</v>
      </c>
      <c r="I232" s="12">
        <v>82.58</v>
      </c>
      <c r="J232" s="12">
        <v>1734.18</v>
      </c>
      <c r="K232" s="12">
        <v>1227.54</v>
      </c>
      <c r="L232" s="12">
        <v>506.64</v>
      </c>
      <c r="M232" s="9" t="s">
        <v>65</v>
      </c>
      <c r="N232" s="9" t="s">
        <v>66</v>
      </c>
      <c r="O232" s="31">
        <f>SalesData[[#This Row],[UnitPrice]]/SalesData[[#This Row],[Revenue]]</f>
        <v>4.7619047619047616E-2</v>
      </c>
      <c r="P232" s="31">
        <f>SalesData[[#This Row],[Profit]]/SalesData[[#This Row],[Revenue]]</f>
        <v>0.29214960384735145</v>
      </c>
    </row>
    <row r="233" spans="1:16" x14ac:dyDescent="0.25">
      <c r="A233" s="9" t="s">
        <v>345</v>
      </c>
      <c r="B233" s="10">
        <v>45002</v>
      </c>
      <c r="C233" s="9" t="s">
        <v>74</v>
      </c>
      <c r="D233" s="9" t="s">
        <v>92</v>
      </c>
      <c r="E233" s="9" t="s">
        <v>70</v>
      </c>
      <c r="F233" s="9" t="s">
        <v>71</v>
      </c>
      <c r="G233" s="9" t="s">
        <v>72</v>
      </c>
      <c r="H233" s="11">
        <v>3</v>
      </c>
      <c r="I233" s="12">
        <v>712.18</v>
      </c>
      <c r="J233" s="12">
        <v>2136.54</v>
      </c>
      <c r="K233" s="12">
        <v>1080.3599999999999</v>
      </c>
      <c r="L233" s="12">
        <v>1056.18</v>
      </c>
      <c r="M233" s="9" t="s">
        <v>60</v>
      </c>
      <c r="N233" s="9" t="s">
        <v>61</v>
      </c>
      <c r="O233" s="31">
        <f>SalesData[[#This Row],[UnitPrice]]/SalesData[[#This Row],[Revenue]]</f>
        <v>0.33333333333333331</v>
      </c>
      <c r="P233" s="31">
        <f>SalesData[[#This Row],[Profit]]/SalesData[[#This Row],[Revenue]]</f>
        <v>0.49434131820607152</v>
      </c>
    </row>
    <row r="234" spans="1:16" x14ac:dyDescent="0.25">
      <c r="A234" s="9" t="s">
        <v>346</v>
      </c>
      <c r="B234" s="10">
        <v>45242</v>
      </c>
      <c r="C234" s="9" t="s">
        <v>55</v>
      </c>
      <c r="D234" s="9" t="s">
        <v>102</v>
      </c>
      <c r="E234" s="9" t="s">
        <v>70</v>
      </c>
      <c r="F234" s="9" t="s">
        <v>160</v>
      </c>
      <c r="G234" s="9" t="s">
        <v>96</v>
      </c>
      <c r="H234" s="11">
        <v>24</v>
      </c>
      <c r="I234" s="12">
        <v>398.49</v>
      </c>
      <c r="J234" s="12">
        <v>9563.76</v>
      </c>
      <c r="K234" s="12">
        <v>5017.18</v>
      </c>
      <c r="L234" s="12">
        <v>4546.58</v>
      </c>
      <c r="M234" s="9" t="s">
        <v>60</v>
      </c>
      <c r="N234" s="9" t="s">
        <v>66</v>
      </c>
      <c r="O234" s="31">
        <f>SalesData[[#This Row],[UnitPrice]]/SalesData[[#This Row],[Revenue]]</f>
        <v>4.1666666666666664E-2</v>
      </c>
      <c r="P234" s="31">
        <f>SalesData[[#This Row],[Profit]]/SalesData[[#This Row],[Revenue]]</f>
        <v>0.47539670589809863</v>
      </c>
    </row>
    <row r="235" spans="1:16" x14ac:dyDescent="0.25">
      <c r="A235" s="9" t="s">
        <v>347</v>
      </c>
      <c r="B235" s="10">
        <v>44953</v>
      </c>
      <c r="C235" s="9" t="s">
        <v>74</v>
      </c>
      <c r="D235" s="9" t="s">
        <v>135</v>
      </c>
      <c r="E235" s="9" t="s">
        <v>57</v>
      </c>
      <c r="F235" s="9" t="s">
        <v>103</v>
      </c>
      <c r="G235" s="9" t="s">
        <v>96</v>
      </c>
      <c r="H235" s="11">
        <v>3</v>
      </c>
      <c r="I235" s="12">
        <v>18.86</v>
      </c>
      <c r="J235" s="12">
        <v>56.58</v>
      </c>
      <c r="K235" s="12">
        <v>31.13</v>
      </c>
      <c r="L235" s="12">
        <v>25.45</v>
      </c>
      <c r="M235" s="9" t="s">
        <v>65</v>
      </c>
      <c r="N235" s="9" t="s">
        <v>66</v>
      </c>
      <c r="O235" s="31">
        <f>SalesData[[#This Row],[UnitPrice]]/SalesData[[#This Row],[Revenue]]</f>
        <v>0.33333333333333331</v>
      </c>
      <c r="P235" s="31">
        <f>SalesData[[#This Row],[Profit]]/SalesData[[#This Row],[Revenue]]</f>
        <v>0.44980558501237189</v>
      </c>
    </row>
    <row r="236" spans="1:16" x14ac:dyDescent="0.25">
      <c r="A236" s="9" t="s">
        <v>348</v>
      </c>
      <c r="B236" s="10">
        <v>45499</v>
      </c>
      <c r="C236" s="9" t="s">
        <v>55</v>
      </c>
      <c r="D236" s="9" t="s">
        <v>102</v>
      </c>
      <c r="E236" s="9" t="s">
        <v>63</v>
      </c>
      <c r="F236" s="9" t="s">
        <v>124</v>
      </c>
      <c r="G236" s="9" t="s">
        <v>84</v>
      </c>
      <c r="H236" s="11">
        <v>13</v>
      </c>
      <c r="I236" s="12">
        <v>45.65</v>
      </c>
      <c r="J236" s="12">
        <v>593.45000000000005</v>
      </c>
      <c r="K236" s="12">
        <v>320.47000000000003</v>
      </c>
      <c r="L236" s="12">
        <v>272.98</v>
      </c>
      <c r="M236" s="9" t="s">
        <v>60</v>
      </c>
      <c r="N236" s="9" t="s">
        <v>61</v>
      </c>
      <c r="O236" s="31">
        <f>SalesData[[#This Row],[UnitPrice]]/SalesData[[#This Row],[Revenue]]</f>
        <v>7.6923076923076913E-2</v>
      </c>
      <c r="P236" s="31">
        <f>SalesData[[#This Row],[Profit]]/SalesData[[#This Row],[Revenue]]</f>
        <v>0.45998820456651779</v>
      </c>
    </row>
    <row r="237" spans="1:16" x14ac:dyDescent="0.25">
      <c r="A237" s="9" t="s">
        <v>349</v>
      </c>
      <c r="B237" s="10">
        <v>45372</v>
      </c>
      <c r="C237" s="9" t="s">
        <v>98</v>
      </c>
      <c r="D237" s="9" t="s">
        <v>198</v>
      </c>
      <c r="E237" s="9" t="s">
        <v>93</v>
      </c>
      <c r="F237" s="9" t="s">
        <v>94</v>
      </c>
      <c r="G237" s="9" t="s">
        <v>96</v>
      </c>
      <c r="H237" s="11">
        <v>9</v>
      </c>
      <c r="I237" s="12">
        <v>88.95</v>
      </c>
      <c r="J237" s="12">
        <v>800.55</v>
      </c>
      <c r="K237" s="12">
        <v>450.71</v>
      </c>
      <c r="L237" s="12">
        <v>349.84</v>
      </c>
      <c r="M237" s="9" t="s">
        <v>60</v>
      </c>
      <c r="N237" s="9" t="s">
        <v>66</v>
      </c>
      <c r="O237" s="31">
        <f>SalesData[[#This Row],[UnitPrice]]/SalesData[[#This Row],[Revenue]]</f>
        <v>0.11111111111111112</v>
      </c>
      <c r="P237" s="31">
        <f>SalesData[[#This Row],[Profit]]/SalesData[[#This Row],[Revenue]]</f>
        <v>0.43699956280057461</v>
      </c>
    </row>
    <row r="238" spans="1:16" x14ac:dyDescent="0.25">
      <c r="A238" s="9" t="s">
        <v>350</v>
      </c>
      <c r="B238" s="10">
        <v>45558</v>
      </c>
      <c r="C238" s="9" t="s">
        <v>68</v>
      </c>
      <c r="D238" s="9" t="s">
        <v>171</v>
      </c>
      <c r="E238" s="9" t="s">
        <v>57</v>
      </c>
      <c r="F238" s="9" t="s">
        <v>83</v>
      </c>
      <c r="G238" s="9" t="s">
        <v>80</v>
      </c>
      <c r="H238" s="11">
        <v>12</v>
      </c>
      <c r="I238" s="12">
        <v>23.62</v>
      </c>
      <c r="J238" s="12">
        <v>283.44</v>
      </c>
      <c r="K238" s="12">
        <v>139.31</v>
      </c>
      <c r="L238" s="12">
        <v>144.13</v>
      </c>
      <c r="M238" s="9" t="s">
        <v>65</v>
      </c>
      <c r="N238" s="9" t="s">
        <v>61</v>
      </c>
      <c r="O238" s="31">
        <f>SalesData[[#This Row],[UnitPrice]]/SalesData[[#This Row],[Revenue]]</f>
        <v>8.3333333333333343E-2</v>
      </c>
      <c r="P238" s="31">
        <f>SalesData[[#This Row],[Profit]]/SalesData[[#This Row],[Revenue]]</f>
        <v>0.50850268134349419</v>
      </c>
    </row>
    <row r="239" spans="1:16" x14ac:dyDescent="0.25">
      <c r="A239" s="9" t="s">
        <v>351</v>
      </c>
      <c r="B239" s="10">
        <v>45377</v>
      </c>
      <c r="C239" s="9" t="s">
        <v>98</v>
      </c>
      <c r="D239" s="9" t="s">
        <v>99</v>
      </c>
      <c r="E239" s="9" t="s">
        <v>63</v>
      </c>
      <c r="F239" s="9" t="s">
        <v>64</v>
      </c>
      <c r="G239" s="9" t="s">
        <v>77</v>
      </c>
      <c r="H239" s="11">
        <v>1</v>
      </c>
      <c r="I239" s="12">
        <v>1234.06</v>
      </c>
      <c r="J239" s="12">
        <v>1234.06</v>
      </c>
      <c r="K239" s="12">
        <v>637.20000000000005</v>
      </c>
      <c r="L239" s="12">
        <v>596.86</v>
      </c>
      <c r="M239" s="9" t="s">
        <v>65</v>
      </c>
      <c r="N239" s="9" t="s">
        <v>128</v>
      </c>
      <c r="O239" s="31">
        <f>SalesData[[#This Row],[UnitPrice]]/SalesData[[#This Row],[Revenue]]</f>
        <v>1</v>
      </c>
      <c r="P239" s="31">
        <f>SalesData[[#This Row],[Profit]]/SalesData[[#This Row],[Revenue]]</f>
        <v>0.48365557590392688</v>
      </c>
    </row>
    <row r="240" spans="1:16" x14ac:dyDescent="0.25">
      <c r="A240" s="9" t="s">
        <v>352</v>
      </c>
      <c r="B240" s="10">
        <v>45334</v>
      </c>
      <c r="C240" s="9" t="s">
        <v>68</v>
      </c>
      <c r="D240" s="9" t="s">
        <v>171</v>
      </c>
      <c r="E240" s="9" t="s">
        <v>70</v>
      </c>
      <c r="F240" s="9" t="s">
        <v>115</v>
      </c>
      <c r="G240" s="9" t="s">
        <v>84</v>
      </c>
      <c r="H240" s="11">
        <v>20</v>
      </c>
      <c r="I240" s="12">
        <v>855.77</v>
      </c>
      <c r="J240" s="12">
        <v>17115.400000000001</v>
      </c>
      <c r="K240" s="12">
        <v>8185.39</v>
      </c>
      <c r="L240" s="12">
        <v>8930.01</v>
      </c>
      <c r="M240" s="9" t="s">
        <v>65</v>
      </c>
      <c r="N240" s="9" t="s">
        <v>66</v>
      </c>
      <c r="O240" s="31">
        <f>SalesData[[#This Row],[UnitPrice]]/SalesData[[#This Row],[Revenue]]</f>
        <v>4.9999999999999996E-2</v>
      </c>
      <c r="P240" s="31">
        <f>SalesData[[#This Row],[Profit]]/SalesData[[#This Row],[Revenue]]</f>
        <v>0.52175292426703435</v>
      </c>
    </row>
    <row r="241" spans="1:16" x14ac:dyDescent="0.25">
      <c r="A241" s="9" t="s">
        <v>353</v>
      </c>
      <c r="B241" s="10">
        <v>45043</v>
      </c>
      <c r="C241" s="9" t="s">
        <v>68</v>
      </c>
      <c r="D241" s="9" t="s">
        <v>79</v>
      </c>
      <c r="E241" s="9" t="s">
        <v>93</v>
      </c>
      <c r="F241" s="9" t="s">
        <v>158</v>
      </c>
      <c r="G241" s="9" t="s">
        <v>59</v>
      </c>
      <c r="H241" s="11">
        <v>11</v>
      </c>
      <c r="I241" s="12">
        <v>106.11</v>
      </c>
      <c r="J241" s="12">
        <v>1167.21</v>
      </c>
      <c r="K241" s="12">
        <v>766.6</v>
      </c>
      <c r="L241" s="12">
        <v>400.61</v>
      </c>
      <c r="M241" s="9" t="s">
        <v>65</v>
      </c>
      <c r="N241" s="9" t="s">
        <v>128</v>
      </c>
      <c r="O241" s="31">
        <f>SalesData[[#This Row],[UnitPrice]]/SalesData[[#This Row],[Revenue]]</f>
        <v>9.0909090909090912E-2</v>
      </c>
      <c r="P241" s="31">
        <f>SalesData[[#This Row],[Profit]]/SalesData[[#This Row],[Revenue]]</f>
        <v>0.34322015746952134</v>
      </c>
    </row>
    <row r="242" spans="1:16" x14ac:dyDescent="0.25">
      <c r="A242" s="9" t="s">
        <v>354</v>
      </c>
      <c r="B242" s="10">
        <v>45616</v>
      </c>
      <c r="C242" s="9" t="s">
        <v>98</v>
      </c>
      <c r="D242" s="9" t="s">
        <v>198</v>
      </c>
      <c r="E242" s="9" t="s">
        <v>63</v>
      </c>
      <c r="F242" s="9" t="s">
        <v>203</v>
      </c>
      <c r="G242" s="9" t="s">
        <v>88</v>
      </c>
      <c r="H242" s="11">
        <v>23</v>
      </c>
      <c r="I242" s="12">
        <v>296.04000000000002</v>
      </c>
      <c r="J242" s="12">
        <v>6808.92</v>
      </c>
      <c r="K242" s="12">
        <v>4434.8500000000004</v>
      </c>
      <c r="L242" s="12">
        <v>2374.0700000000002</v>
      </c>
      <c r="M242" s="9" t="s">
        <v>60</v>
      </c>
      <c r="N242" s="9" t="s">
        <v>128</v>
      </c>
      <c r="O242" s="31">
        <f>SalesData[[#This Row],[UnitPrice]]/SalesData[[#This Row],[Revenue]]</f>
        <v>4.3478260869565223E-2</v>
      </c>
      <c r="P242" s="31">
        <f>SalesData[[#This Row],[Profit]]/SalesData[[#This Row],[Revenue]]</f>
        <v>0.34867056743213315</v>
      </c>
    </row>
    <row r="243" spans="1:16" x14ac:dyDescent="0.25">
      <c r="A243" s="9" t="s">
        <v>355</v>
      </c>
      <c r="B243" s="10">
        <v>45386</v>
      </c>
      <c r="C243" s="9" t="s">
        <v>74</v>
      </c>
      <c r="D243" s="9" t="s">
        <v>140</v>
      </c>
      <c r="E243" s="9" t="s">
        <v>57</v>
      </c>
      <c r="F243" s="9" t="s">
        <v>58</v>
      </c>
      <c r="G243" s="9" t="s">
        <v>77</v>
      </c>
      <c r="H243" s="11">
        <v>22</v>
      </c>
      <c r="I243" s="12">
        <v>16.399999999999999</v>
      </c>
      <c r="J243" s="12">
        <v>360.8</v>
      </c>
      <c r="K243" s="12">
        <v>195.81</v>
      </c>
      <c r="L243" s="12">
        <v>164.99</v>
      </c>
      <c r="M243" s="9" t="s">
        <v>65</v>
      </c>
      <c r="N243" s="9" t="s">
        <v>66</v>
      </c>
      <c r="O243" s="31">
        <f>SalesData[[#This Row],[UnitPrice]]/SalesData[[#This Row],[Revenue]]</f>
        <v>4.5454545454545449E-2</v>
      </c>
      <c r="P243" s="31">
        <f>SalesData[[#This Row],[Profit]]/SalesData[[#This Row],[Revenue]]</f>
        <v>0.45728935698447892</v>
      </c>
    </row>
    <row r="244" spans="1:16" x14ac:dyDescent="0.25">
      <c r="A244" s="9" t="s">
        <v>356</v>
      </c>
      <c r="B244" s="10">
        <v>45714</v>
      </c>
      <c r="C244" s="9" t="s">
        <v>74</v>
      </c>
      <c r="D244" s="9" t="s">
        <v>92</v>
      </c>
      <c r="E244" s="9" t="s">
        <v>93</v>
      </c>
      <c r="F244" s="9" t="s">
        <v>158</v>
      </c>
      <c r="G244" s="9" t="s">
        <v>125</v>
      </c>
      <c r="H244" s="11">
        <v>12</v>
      </c>
      <c r="I244" s="12">
        <v>180.67</v>
      </c>
      <c r="J244" s="12">
        <v>2168.04</v>
      </c>
      <c r="K244" s="12">
        <v>1421.29</v>
      </c>
      <c r="L244" s="12">
        <v>746.75</v>
      </c>
      <c r="M244" s="9" t="s">
        <v>60</v>
      </c>
      <c r="N244" s="9" t="s">
        <v>66</v>
      </c>
      <c r="O244" s="31">
        <f>SalesData[[#This Row],[UnitPrice]]/SalesData[[#This Row],[Revenue]]</f>
        <v>8.3333333333333329E-2</v>
      </c>
      <c r="P244" s="31">
        <f>SalesData[[#This Row],[Profit]]/SalesData[[#This Row],[Revenue]]</f>
        <v>0.34443552701979668</v>
      </c>
    </row>
    <row r="245" spans="1:16" x14ac:dyDescent="0.25">
      <c r="A245" s="9" t="s">
        <v>357</v>
      </c>
      <c r="B245" s="10">
        <v>45742</v>
      </c>
      <c r="C245" s="9" t="s">
        <v>98</v>
      </c>
      <c r="D245" s="9" t="s">
        <v>110</v>
      </c>
      <c r="E245" s="9" t="s">
        <v>70</v>
      </c>
      <c r="F245" s="9" t="s">
        <v>71</v>
      </c>
      <c r="G245" s="9" t="s">
        <v>125</v>
      </c>
      <c r="H245" s="11">
        <v>19</v>
      </c>
      <c r="I245" s="12">
        <v>885.56</v>
      </c>
      <c r="J245" s="12">
        <v>16825.64</v>
      </c>
      <c r="K245" s="12">
        <v>10372.450000000001</v>
      </c>
      <c r="L245" s="12">
        <v>6453.19</v>
      </c>
      <c r="M245" s="9" t="s">
        <v>65</v>
      </c>
      <c r="N245" s="9" t="s">
        <v>128</v>
      </c>
      <c r="O245" s="31">
        <f>SalesData[[#This Row],[UnitPrice]]/SalesData[[#This Row],[Revenue]]</f>
        <v>5.2631578947368418E-2</v>
      </c>
      <c r="P245" s="31">
        <f>SalesData[[#This Row],[Profit]]/SalesData[[#This Row],[Revenue]]</f>
        <v>0.38353310780451738</v>
      </c>
    </row>
    <row r="246" spans="1:16" x14ac:dyDescent="0.25">
      <c r="A246" s="9" t="s">
        <v>358</v>
      </c>
      <c r="B246" s="10">
        <v>45310</v>
      </c>
      <c r="C246" s="9" t="s">
        <v>74</v>
      </c>
      <c r="D246" s="9" t="s">
        <v>75</v>
      </c>
      <c r="E246" s="9" t="s">
        <v>63</v>
      </c>
      <c r="F246" s="9" t="s">
        <v>136</v>
      </c>
      <c r="G246" s="9" t="s">
        <v>77</v>
      </c>
      <c r="H246" s="11">
        <v>8</v>
      </c>
      <c r="I246" s="12">
        <v>678.04</v>
      </c>
      <c r="J246" s="12">
        <v>5424.32</v>
      </c>
      <c r="K246" s="12">
        <v>3094.31</v>
      </c>
      <c r="L246" s="12">
        <v>2330.0100000000002</v>
      </c>
      <c r="M246" s="9" t="s">
        <v>60</v>
      </c>
      <c r="N246" s="9" t="s">
        <v>128</v>
      </c>
      <c r="O246" s="31">
        <f>SalesData[[#This Row],[UnitPrice]]/SalesData[[#This Row],[Revenue]]</f>
        <v>0.125</v>
      </c>
      <c r="P246" s="31">
        <f>SalesData[[#This Row],[Profit]]/SalesData[[#This Row],[Revenue]]</f>
        <v>0.42954877293375027</v>
      </c>
    </row>
    <row r="247" spans="1:16" x14ac:dyDescent="0.25">
      <c r="A247" s="9" t="s">
        <v>359</v>
      </c>
      <c r="B247" s="10">
        <v>45778</v>
      </c>
      <c r="C247" s="9" t="s">
        <v>74</v>
      </c>
      <c r="D247" s="9" t="s">
        <v>92</v>
      </c>
      <c r="E247" s="9" t="s">
        <v>70</v>
      </c>
      <c r="F247" s="9" t="s">
        <v>115</v>
      </c>
      <c r="G247" s="9" t="s">
        <v>125</v>
      </c>
      <c r="H247" s="11">
        <v>16</v>
      </c>
      <c r="I247" s="12">
        <v>164.73</v>
      </c>
      <c r="J247" s="12">
        <v>2635.68</v>
      </c>
      <c r="K247" s="12">
        <v>1424.94</v>
      </c>
      <c r="L247" s="12">
        <v>1210.74</v>
      </c>
      <c r="M247" s="9" t="s">
        <v>60</v>
      </c>
      <c r="N247" s="9" t="s">
        <v>66</v>
      </c>
      <c r="O247" s="31">
        <f>SalesData[[#This Row],[UnitPrice]]/SalesData[[#This Row],[Revenue]]</f>
        <v>6.25E-2</v>
      </c>
      <c r="P247" s="31">
        <f>SalesData[[#This Row],[Profit]]/SalesData[[#This Row],[Revenue]]</f>
        <v>0.45936532507739941</v>
      </c>
    </row>
    <row r="248" spans="1:16" x14ac:dyDescent="0.25">
      <c r="A248" s="9" t="s">
        <v>360</v>
      </c>
      <c r="B248" s="10">
        <v>45666</v>
      </c>
      <c r="C248" s="9" t="s">
        <v>98</v>
      </c>
      <c r="D248" s="9" t="s">
        <v>110</v>
      </c>
      <c r="E248" s="9" t="s">
        <v>57</v>
      </c>
      <c r="F248" s="9" t="s">
        <v>76</v>
      </c>
      <c r="G248" s="9" t="s">
        <v>88</v>
      </c>
      <c r="H248" s="11">
        <v>7</v>
      </c>
      <c r="I248" s="12">
        <v>43.56</v>
      </c>
      <c r="J248" s="12">
        <v>304.92</v>
      </c>
      <c r="K248" s="12">
        <v>158.87</v>
      </c>
      <c r="L248" s="12">
        <v>146.05000000000001</v>
      </c>
      <c r="M248" s="9" t="s">
        <v>60</v>
      </c>
      <c r="N248" s="9" t="s">
        <v>128</v>
      </c>
      <c r="O248" s="31">
        <f>SalesData[[#This Row],[UnitPrice]]/SalesData[[#This Row],[Revenue]]</f>
        <v>0.14285714285714285</v>
      </c>
      <c r="P248" s="31">
        <f>SalesData[[#This Row],[Profit]]/SalesData[[#This Row],[Revenue]]</f>
        <v>0.47897809261445629</v>
      </c>
    </row>
    <row r="249" spans="1:16" x14ac:dyDescent="0.25">
      <c r="A249" s="9" t="s">
        <v>361</v>
      </c>
      <c r="B249" s="10">
        <v>45746</v>
      </c>
      <c r="C249" s="9" t="s">
        <v>74</v>
      </c>
      <c r="D249" s="9" t="s">
        <v>135</v>
      </c>
      <c r="E249" s="9" t="s">
        <v>63</v>
      </c>
      <c r="F249" s="9" t="s">
        <v>90</v>
      </c>
      <c r="G249" s="9" t="s">
        <v>125</v>
      </c>
      <c r="H249" s="11">
        <v>23</v>
      </c>
      <c r="I249" s="12">
        <v>176.03</v>
      </c>
      <c r="J249" s="12">
        <v>4048.69</v>
      </c>
      <c r="K249" s="12">
        <v>2697.49</v>
      </c>
      <c r="L249" s="12">
        <v>1351.2</v>
      </c>
      <c r="M249" s="9" t="s">
        <v>60</v>
      </c>
      <c r="N249" s="9" t="s">
        <v>61</v>
      </c>
      <c r="O249" s="31">
        <f>SalesData[[#This Row],[UnitPrice]]/SalesData[[#This Row],[Revenue]]</f>
        <v>4.3478260869565216E-2</v>
      </c>
      <c r="P249" s="31">
        <f>SalesData[[#This Row],[Profit]]/SalesData[[#This Row],[Revenue]]</f>
        <v>0.33373757931577869</v>
      </c>
    </row>
    <row r="250" spans="1:16" x14ac:dyDescent="0.25">
      <c r="A250" s="9" t="s">
        <v>362</v>
      </c>
      <c r="B250" s="10">
        <v>45571</v>
      </c>
      <c r="C250" s="9" t="s">
        <v>98</v>
      </c>
      <c r="D250" s="9" t="s">
        <v>198</v>
      </c>
      <c r="E250" s="9" t="s">
        <v>70</v>
      </c>
      <c r="F250" s="9" t="s">
        <v>113</v>
      </c>
      <c r="G250" s="9" t="s">
        <v>96</v>
      </c>
      <c r="H250" s="11">
        <v>11</v>
      </c>
      <c r="I250" s="12">
        <v>538.08000000000004</v>
      </c>
      <c r="J250" s="12">
        <v>5918.88</v>
      </c>
      <c r="K250" s="12">
        <v>4131.1099999999997</v>
      </c>
      <c r="L250" s="12">
        <v>1787.77</v>
      </c>
      <c r="M250" s="9" t="s">
        <v>60</v>
      </c>
      <c r="N250" s="9" t="s">
        <v>128</v>
      </c>
      <c r="O250" s="31">
        <f>SalesData[[#This Row],[UnitPrice]]/SalesData[[#This Row],[Revenue]]</f>
        <v>9.0909090909090912E-2</v>
      </c>
      <c r="P250" s="31">
        <f>SalesData[[#This Row],[Profit]]/SalesData[[#This Row],[Revenue]]</f>
        <v>0.30204531938474843</v>
      </c>
    </row>
    <row r="251" spans="1:16" x14ac:dyDescent="0.25">
      <c r="A251" s="9" t="s">
        <v>363</v>
      </c>
      <c r="B251" s="10">
        <v>44931</v>
      </c>
      <c r="C251" s="9" t="s">
        <v>98</v>
      </c>
      <c r="D251" s="9" t="s">
        <v>198</v>
      </c>
      <c r="E251" s="9" t="s">
        <v>93</v>
      </c>
      <c r="F251" s="9" t="s">
        <v>152</v>
      </c>
      <c r="G251" s="9" t="s">
        <v>125</v>
      </c>
      <c r="H251" s="11">
        <v>24</v>
      </c>
      <c r="I251" s="12">
        <v>160.63</v>
      </c>
      <c r="J251" s="12">
        <v>3855.12</v>
      </c>
      <c r="K251" s="12">
        <v>1839.76</v>
      </c>
      <c r="L251" s="12">
        <v>2015.36</v>
      </c>
      <c r="M251" s="9" t="s">
        <v>65</v>
      </c>
      <c r="N251" s="9" t="s">
        <v>128</v>
      </c>
      <c r="O251" s="31">
        <f>SalesData[[#This Row],[UnitPrice]]/SalesData[[#This Row],[Revenue]]</f>
        <v>4.1666666666666664E-2</v>
      </c>
      <c r="P251" s="31">
        <f>SalesData[[#This Row],[Profit]]/SalesData[[#This Row],[Revenue]]</f>
        <v>0.52277490713648345</v>
      </c>
    </row>
    <row r="252" spans="1:16" x14ac:dyDescent="0.25">
      <c r="A252" s="9" t="s">
        <v>364</v>
      </c>
      <c r="B252" s="10">
        <v>45260</v>
      </c>
      <c r="C252" s="9" t="s">
        <v>98</v>
      </c>
      <c r="D252" s="9" t="s">
        <v>198</v>
      </c>
      <c r="E252" s="9" t="s">
        <v>57</v>
      </c>
      <c r="F252" s="9" t="s">
        <v>106</v>
      </c>
      <c r="G252" s="9" t="s">
        <v>80</v>
      </c>
      <c r="H252" s="11">
        <v>19</v>
      </c>
      <c r="I252" s="12">
        <v>12.52</v>
      </c>
      <c r="J252" s="12">
        <v>237.88</v>
      </c>
      <c r="K252" s="12">
        <v>160.06</v>
      </c>
      <c r="L252" s="12">
        <v>77.819999999999993</v>
      </c>
      <c r="M252" s="9" t="s">
        <v>60</v>
      </c>
      <c r="N252" s="9" t="s">
        <v>128</v>
      </c>
      <c r="O252" s="31">
        <f>SalesData[[#This Row],[UnitPrice]]/SalesData[[#This Row],[Revenue]]</f>
        <v>5.2631578947368418E-2</v>
      </c>
      <c r="P252" s="31">
        <f>SalesData[[#This Row],[Profit]]/SalesData[[#This Row],[Revenue]]</f>
        <v>0.32713973431982513</v>
      </c>
    </row>
    <row r="253" spans="1:16" x14ac:dyDescent="0.25">
      <c r="A253" s="9" t="s">
        <v>365</v>
      </c>
      <c r="B253" s="10">
        <v>45328</v>
      </c>
      <c r="C253" s="9" t="s">
        <v>98</v>
      </c>
      <c r="D253" s="9" t="s">
        <v>99</v>
      </c>
      <c r="E253" s="9" t="s">
        <v>63</v>
      </c>
      <c r="F253" s="9" t="s">
        <v>90</v>
      </c>
      <c r="G253" s="9" t="s">
        <v>88</v>
      </c>
      <c r="H253" s="11">
        <v>17</v>
      </c>
      <c r="I253" s="12">
        <v>1255.75</v>
      </c>
      <c r="J253" s="12">
        <v>21347.75</v>
      </c>
      <c r="K253" s="12">
        <v>10906.29</v>
      </c>
      <c r="L253" s="12">
        <v>10441.459999999999</v>
      </c>
      <c r="M253" s="9" t="s">
        <v>65</v>
      </c>
      <c r="N253" s="9" t="s">
        <v>61</v>
      </c>
      <c r="O253" s="31">
        <f>SalesData[[#This Row],[UnitPrice]]/SalesData[[#This Row],[Revenue]]</f>
        <v>5.8823529411764705E-2</v>
      </c>
      <c r="P253" s="31">
        <f>SalesData[[#This Row],[Profit]]/SalesData[[#This Row],[Revenue]]</f>
        <v>0.48911290417022868</v>
      </c>
    </row>
    <row r="254" spans="1:16" x14ac:dyDescent="0.25">
      <c r="A254" s="9" t="s">
        <v>366</v>
      </c>
      <c r="B254" s="10">
        <v>45064</v>
      </c>
      <c r="C254" s="9" t="s">
        <v>55</v>
      </c>
      <c r="D254" s="9" t="s">
        <v>102</v>
      </c>
      <c r="E254" s="9" t="s">
        <v>57</v>
      </c>
      <c r="F254" s="9" t="s">
        <v>83</v>
      </c>
      <c r="G254" s="9" t="s">
        <v>96</v>
      </c>
      <c r="H254" s="11">
        <v>22</v>
      </c>
      <c r="I254" s="12">
        <v>57.24</v>
      </c>
      <c r="J254" s="12">
        <v>1259.28</v>
      </c>
      <c r="K254" s="12">
        <v>637.52</v>
      </c>
      <c r="L254" s="12">
        <v>621.76</v>
      </c>
      <c r="M254" s="9" t="s">
        <v>60</v>
      </c>
      <c r="N254" s="9" t="s">
        <v>61</v>
      </c>
      <c r="O254" s="31">
        <f>SalesData[[#This Row],[UnitPrice]]/SalesData[[#This Row],[Revenue]]</f>
        <v>4.5454545454545456E-2</v>
      </c>
      <c r="P254" s="31">
        <f>SalesData[[#This Row],[Profit]]/SalesData[[#This Row],[Revenue]]</f>
        <v>0.49374245600660693</v>
      </c>
    </row>
    <row r="255" spans="1:16" x14ac:dyDescent="0.25">
      <c r="A255" s="9" t="s">
        <v>367</v>
      </c>
      <c r="B255" s="10">
        <v>45537</v>
      </c>
      <c r="C255" s="9" t="s">
        <v>68</v>
      </c>
      <c r="D255" s="9" t="s">
        <v>69</v>
      </c>
      <c r="E255" s="9" t="s">
        <v>70</v>
      </c>
      <c r="F255" s="9" t="s">
        <v>115</v>
      </c>
      <c r="G255" s="9" t="s">
        <v>80</v>
      </c>
      <c r="H255" s="11">
        <v>6</v>
      </c>
      <c r="I255" s="12">
        <v>385.11</v>
      </c>
      <c r="J255" s="12">
        <v>2310.66</v>
      </c>
      <c r="K255" s="12">
        <v>1065.2</v>
      </c>
      <c r="L255" s="12">
        <v>1245.46</v>
      </c>
      <c r="M255" s="9" t="s">
        <v>65</v>
      </c>
      <c r="N255" s="9" t="s">
        <v>128</v>
      </c>
      <c r="O255" s="31">
        <f>SalesData[[#This Row],[UnitPrice]]/SalesData[[#This Row],[Revenue]]</f>
        <v>0.16666666666666669</v>
      </c>
      <c r="P255" s="31">
        <f>SalesData[[#This Row],[Profit]]/SalesData[[#This Row],[Revenue]]</f>
        <v>0.53900617139691698</v>
      </c>
    </row>
    <row r="256" spans="1:16" x14ac:dyDescent="0.25">
      <c r="A256" s="9" t="s">
        <v>368</v>
      </c>
      <c r="B256" s="10">
        <v>45097</v>
      </c>
      <c r="C256" s="9" t="s">
        <v>98</v>
      </c>
      <c r="D256" s="9" t="s">
        <v>99</v>
      </c>
      <c r="E256" s="9" t="s">
        <v>93</v>
      </c>
      <c r="F256" s="9" t="s">
        <v>94</v>
      </c>
      <c r="G256" s="9" t="s">
        <v>88</v>
      </c>
      <c r="H256" s="11">
        <v>21</v>
      </c>
      <c r="I256" s="12">
        <v>143.06</v>
      </c>
      <c r="J256" s="12">
        <v>3004.26</v>
      </c>
      <c r="K256" s="12">
        <v>2062.59</v>
      </c>
      <c r="L256" s="12">
        <v>941.67</v>
      </c>
      <c r="M256" s="9" t="s">
        <v>60</v>
      </c>
      <c r="N256" s="9" t="s">
        <v>61</v>
      </c>
      <c r="O256" s="31">
        <f>SalesData[[#This Row],[UnitPrice]]/SalesData[[#This Row],[Revenue]]</f>
        <v>4.7619047619047616E-2</v>
      </c>
      <c r="P256" s="31">
        <f>SalesData[[#This Row],[Profit]]/SalesData[[#This Row],[Revenue]]</f>
        <v>0.3134449082303129</v>
      </c>
    </row>
    <row r="257" spans="1:19" x14ac:dyDescent="0.25">
      <c r="A257" s="9" t="s">
        <v>369</v>
      </c>
      <c r="B257" s="10">
        <v>45066</v>
      </c>
      <c r="C257" s="9" t="s">
        <v>74</v>
      </c>
      <c r="D257" s="9" t="s">
        <v>135</v>
      </c>
      <c r="E257" s="9" t="s">
        <v>70</v>
      </c>
      <c r="F257" s="9" t="s">
        <v>87</v>
      </c>
      <c r="G257" s="9" t="s">
        <v>84</v>
      </c>
      <c r="H257" s="11">
        <v>15</v>
      </c>
      <c r="I257" s="12">
        <v>586.91999999999996</v>
      </c>
      <c r="J257" s="12">
        <v>8803.7999999999993</v>
      </c>
      <c r="K257" s="12">
        <v>5907.36</v>
      </c>
      <c r="L257" s="12">
        <v>2896.44</v>
      </c>
      <c r="M257" s="9" t="s">
        <v>60</v>
      </c>
      <c r="N257" s="9" t="s">
        <v>128</v>
      </c>
      <c r="O257" s="31">
        <f>SalesData[[#This Row],[UnitPrice]]/SalesData[[#This Row],[Revenue]]</f>
        <v>6.6666666666666666E-2</v>
      </c>
      <c r="P257" s="31">
        <f>SalesData[[#This Row],[Profit]]/SalesData[[#This Row],[Revenue]]</f>
        <v>0.32899884140939145</v>
      </c>
    </row>
    <row r="258" spans="1:19" x14ac:dyDescent="0.25">
      <c r="A258" s="9" t="s">
        <v>370</v>
      </c>
      <c r="B258" s="10">
        <v>45505</v>
      </c>
      <c r="C258" s="9" t="s">
        <v>98</v>
      </c>
      <c r="D258" s="9" t="s">
        <v>99</v>
      </c>
      <c r="E258" s="9" t="s">
        <v>93</v>
      </c>
      <c r="F258" s="9" t="s">
        <v>152</v>
      </c>
      <c r="G258" s="9" t="s">
        <v>88</v>
      </c>
      <c r="H258" s="11">
        <v>14</v>
      </c>
      <c r="I258" s="12">
        <v>182.62</v>
      </c>
      <c r="J258" s="12">
        <v>2556.6799999999998</v>
      </c>
      <c r="K258" s="12">
        <v>1402.89</v>
      </c>
      <c r="L258" s="12">
        <v>1153.79</v>
      </c>
      <c r="M258" s="9" t="s">
        <v>60</v>
      </c>
      <c r="N258" s="9" t="s">
        <v>66</v>
      </c>
      <c r="O258" s="31">
        <f>SalesData[[#This Row],[UnitPrice]]/SalesData[[#This Row],[Revenue]]</f>
        <v>7.1428571428571438E-2</v>
      </c>
      <c r="P258" s="31">
        <f>SalesData[[#This Row],[Profit]]/SalesData[[#This Row],[Revenue]]</f>
        <v>0.45128447830780544</v>
      </c>
    </row>
    <row r="259" spans="1:19" x14ac:dyDescent="0.25">
      <c r="A259" s="9" t="s">
        <v>371</v>
      </c>
      <c r="B259" s="10">
        <v>45687</v>
      </c>
      <c r="C259" s="9" t="s">
        <v>55</v>
      </c>
      <c r="D259" s="9" t="s">
        <v>86</v>
      </c>
      <c r="E259" s="9" t="s">
        <v>57</v>
      </c>
      <c r="F259" s="9" t="s">
        <v>103</v>
      </c>
      <c r="G259" s="9" t="s">
        <v>77</v>
      </c>
      <c r="H259" s="11">
        <v>8</v>
      </c>
      <c r="I259" s="12">
        <v>44.78</v>
      </c>
      <c r="J259" s="12">
        <v>358.24</v>
      </c>
      <c r="K259" s="12">
        <v>167.94</v>
      </c>
      <c r="L259" s="12">
        <v>190.3</v>
      </c>
      <c r="M259" s="9" t="s">
        <v>65</v>
      </c>
      <c r="N259" s="9" t="s">
        <v>61</v>
      </c>
      <c r="O259" s="31">
        <f>SalesData[[#This Row],[UnitPrice]]/SalesData[[#This Row],[Revenue]]</f>
        <v>0.125</v>
      </c>
      <c r="P259" s="31">
        <f>SalesData[[#This Row],[Profit]]/SalesData[[#This Row],[Revenue]]</f>
        <v>0.53120812862885214</v>
      </c>
    </row>
    <row r="260" spans="1:19" x14ac:dyDescent="0.25">
      <c r="A260" s="9" t="s">
        <v>372</v>
      </c>
      <c r="B260" s="10">
        <v>45150</v>
      </c>
      <c r="C260" s="9" t="s">
        <v>74</v>
      </c>
      <c r="D260" s="9" t="s">
        <v>75</v>
      </c>
      <c r="E260" s="9" t="s">
        <v>63</v>
      </c>
      <c r="F260" s="9" t="s">
        <v>90</v>
      </c>
      <c r="G260" s="9" t="s">
        <v>84</v>
      </c>
      <c r="H260" s="11">
        <v>18</v>
      </c>
      <c r="I260" s="12">
        <v>1073.8900000000001</v>
      </c>
      <c r="J260" s="12">
        <v>19330.02</v>
      </c>
      <c r="K260" s="12">
        <v>8351.86</v>
      </c>
      <c r="L260" s="12">
        <v>10978.16</v>
      </c>
      <c r="M260" s="9" t="s">
        <v>65</v>
      </c>
      <c r="N260" s="9" t="s">
        <v>61</v>
      </c>
      <c r="O260" s="31">
        <f>SalesData[[#This Row],[UnitPrice]]/SalesData[[#This Row],[Revenue]]</f>
        <v>5.5555555555555559E-2</v>
      </c>
      <c r="P260" s="31">
        <f>SalesData[[#This Row],[Profit]]/SalesData[[#This Row],[Revenue]]</f>
        <v>0.56793319406808684</v>
      </c>
    </row>
    <row r="261" spans="1:19" x14ac:dyDescent="0.25">
      <c r="A261" s="9" t="s">
        <v>373</v>
      </c>
      <c r="B261" s="10">
        <v>45813</v>
      </c>
      <c r="C261" s="9" t="s">
        <v>74</v>
      </c>
      <c r="D261" s="9" t="s">
        <v>75</v>
      </c>
      <c r="E261" s="9" t="s">
        <v>70</v>
      </c>
      <c r="F261" s="9" t="s">
        <v>115</v>
      </c>
      <c r="G261" s="9" t="s">
        <v>125</v>
      </c>
      <c r="H261" s="11">
        <v>15</v>
      </c>
      <c r="I261" s="12">
        <v>294.51</v>
      </c>
      <c r="J261" s="12">
        <v>4417.6499999999996</v>
      </c>
      <c r="K261" s="12">
        <v>2959.99</v>
      </c>
      <c r="L261" s="12">
        <v>1457.66</v>
      </c>
      <c r="M261" s="9" t="s">
        <v>60</v>
      </c>
      <c r="N261" s="9" t="s">
        <v>128</v>
      </c>
      <c r="O261" s="31">
        <f>SalesData[[#This Row],[UnitPrice]]/SalesData[[#This Row],[Revenue]]</f>
        <v>6.6666666666666666E-2</v>
      </c>
      <c r="P261" s="31">
        <f>SalesData[[#This Row],[Profit]]/SalesData[[#This Row],[Revenue]]</f>
        <v>0.3299627630074814</v>
      </c>
    </row>
    <row r="262" spans="1:19" x14ac:dyDescent="0.25">
      <c r="A262" s="9" t="s">
        <v>374</v>
      </c>
      <c r="B262" s="10">
        <v>45760</v>
      </c>
      <c r="C262" s="9" t="s">
        <v>55</v>
      </c>
      <c r="D262" s="9" t="s">
        <v>86</v>
      </c>
      <c r="E262" s="9" t="s">
        <v>70</v>
      </c>
      <c r="F262" s="9" t="s">
        <v>71</v>
      </c>
      <c r="G262" s="9" t="s">
        <v>84</v>
      </c>
      <c r="H262" s="11">
        <v>23</v>
      </c>
      <c r="I262" s="12">
        <v>579.41</v>
      </c>
      <c r="J262" s="12">
        <v>13326.43</v>
      </c>
      <c r="K262" s="12">
        <v>7251.82</v>
      </c>
      <c r="L262" s="12">
        <v>6074.61</v>
      </c>
      <c r="M262" s="9" t="s">
        <v>60</v>
      </c>
      <c r="N262" s="9" t="s">
        <v>66</v>
      </c>
      <c r="O262" s="31">
        <f>SalesData[[#This Row],[UnitPrice]]/SalesData[[#This Row],[Revenue]]</f>
        <v>4.3478260869565216E-2</v>
      </c>
      <c r="P262" s="31">
        <f>SalesData[[#This Row],[Profit]]/SalesData[[#This Row],[Revenue]]</f>
        <v>0.45583175689213085</v>
      </c>
    </row>
    <row r="263" spans="1:19" x14ac:dyDescent="0.25">
      <c r="A263" s="9" t="s">
        <v>375</v>
      </c>
      <c r="B263" s="10">
        <v>45513</v>
      </c>
      <c r="C263" s="9" t="s">
        <v>98</v>
      </c>
      <c r="D263" s="9" t="s">
        <v>105</v>
      </c>
      <c r="E263" s="9" t="s">
        <v>57</v>
      </c>
      <c r="F263" s="9" t="s">
        <v>167</v>
      </c>
      <c r="G263" s="9" t="s">
        <v>77</v>
      </c>
      <c r="H263" s="11">
        <v>20</v>
      </c>
      <c r="I263" s="12">
        <v>44.86</v>
      </c>
      <c r="J263" s="12">
        <v>897.2</v>
      </c>
      <c r="K263" s="12">
        <v>461.03</v>
      </c>
      <c r="L263" s="12">
        <v>436.17</v>
      </c>
      <c r="M263" s="9" t="s">
        <v>65</v>
      </c>
      <c r="N263" s="9" t="s">
        <v>128</v>
      </c>
      <c r="O263" s="31">
        <f>SalesData[[#This Row],[UnitPrice]]/SalesData[[#This Row],[Revenue]]</f>
        <v>4.9999999999999996E-2</v>
      </c>
      <c r="P263" s="31">
        <f>SalesData[[#This Row],[Profit]]/SalesData[[#This Row],[Revenue]]</f>
        <v>0.48614578689255461</v>
      </c>
    </row>
    <row r="264" spans="1:19" x14ac:dyDescent="0.25">
      <c r="A264" s="9" t="s">
        <v>376</v>
      </c>
      <c r="B264" s="10">
        <v>45076</v>
      </c>
      <c r="C264" s="9" t="s">
        <v>68</v>
      </c>
      <c r="D264" s="9" t="s">
        <v>69</v>
      </c>
      <c r="E264" s="9" t="s">
        <v>70</v>
      </c>
      <c r="F264" s="9" t="s">
        <v>160</v>
      </c>
      <c r="G264" s="9" t="s">
        <v>125</v>
      </c>
      <c r="H264" s="11">
        <v>9</v>
      </c>
      <c r="I264" s="12">
        <v>789.98</v>
      </c>
      <c r="J264" s="12">
        <v>7109.82</v>
      </c>
      <c r="K264" s="12">
        <v>3247.75</v>
      </c>
      <c r="L264" s="12">
        <v>3862.07</v>
      </c>
      <c r="M264" s="9" t="s">
        <v>60</v>
      </c>
      <c r="N264" s="9" t="s">
        <v>66</v>
      </c>
      <c r="O264" s="31">
        <f>SalesData[[#This Row],[UnitPrice]]/SalesData[[#This Row],[Revenue]]</f>
        <v>0.11111111111111112</v>
      </c>
      <c r="P264" s="31">
        <f>SalesData[[#This Row],[Profit]]/SalesData[[#This Row],[Revenue]]</f>
        <v>0.54320221890286957</v>
      </c>
    </row>
    <row r="265" spans="1:19" x14ac:dyDescent="0.25">
      <c r="A265" s="9" t="s">
        <v>377</v>
      </c>
      <c r="B265" s="10">
        <v>45004</v>
      </c>
      <c r="C265" s="9" t="s">
        <v>68</v>
      </c>
      <c r="D265" s="9" t="s">
        <v>123</v>
      </c>
      <c r="E265" s="9" t="s">
        <v>93</v>
      </c>
      <c r="F265" s="9" t="s">
        <v>152</v>
      </c>
      <c r="G265" s="9" t="s">
        <v>96</v>
      </c>
      <c r="H265" s="11">
        <v>19</v>
      </c>
      <c r="I265" s="12">
        <v>164.82</v>
      </c>
      <c r="J265" s="12">
        <v>3131.58</v>
      </c>
      <c r="K265" s="12">
        <v>1885.42</v>
      </c>
      <c r="L265" s="12">
        <v>1246.1600000000001</v>
      </c>
      <c r="M265" s="9" t="s">
        <v>65</v>
      </c>
      <c r="N265" s="9" t="s">
        <v>128</v>
      </c>
      <c r="O265" s="31">
        <f>SalesData[[#This Row],[UnitPrice]]/SalesData[[#This Row],[Revenue]]</f>
        <v>5.2631578947368418E-2</v>
      </c>
      <c r="P265" s="31">
        <f>SalesData[[#This Row],[Profit]]/SalesData[[#This Row],[Revenue]]</f>
        <v>0.39793331161905493</v>
      </c>
    </row>
    <row r="266" spans="1:19" x14ac:dyDescent="0.25">
      <c r="A266" s="9" t="s">
        <v>378</v>
      </c>
      <c r="B266" s="10">
        <v>45022</v>
      </c>
      <c r="C266" s="9" t="s">
        <v>55</v>
      </c>
      <c r="D266" s="9" t="s">
        <v>82</v>
      </c>
      <c r="E266" s="9" t="s">
        <v>57</v>
      </c>
      <c r="F266" s="9" t="s">
        <v>106</v>
      </c>
      <c r="G266" s="9" t="s">
        <v>84</v>
      </c>
      <c r="H266" s="11">
        <v>15</v>
      </c>
      <c r="I266" s="12">
        <v>75.319999999999993</v>
      </c>
      <c r="J266" s="12">
        <v>1129.8</v>
      </c>
      <c r="K266" s="12">
        <v>581.75</v>
      </c>
      <c r="L266" s="12">
        <v>548.04999999999995</v>
      </c>
      <c r="M266" s="9" t="s">
        <v>60</v>
      </c>
      <c r="N266" s="9" t="s">
        <v>61</v>
      </c>
      <c r="O266" s="31">
        <f>SalesData[[#This Row],[UnitPrice]]/SalesData[[#This Row],[Revenue]]</f>
        <v>6.6666666666666666E-2</v>
      </c>
      <c r="P266" s="31">
        <f>SalesData[[#This Row],[Profit]]/SalesData[[#This Row],[Revenue]]</f>
        <v>0.48508585590369974</v>
      </c>
    </row>
    <row r="267" spans="1:19" x14ac:dyDescent="0.25">
      <c r="A267" s="9" t="s">
        <v>379</v>
      </c>
      <c r="B267" s="10">
        <v>45257</v>
      </c>
      <c r="C267" s="9" t="s">
        <v>74</v>
      </c>
      <c r="D267" s="9" t="s">
        <v>135</v>
      </c>
      <c r="E267" s="9" t="s">
        <v>63</v>
      </c>
      <c r="F267" s="9" t="s">
        <v>124</v>
      </c>
      <c r="G267" s="9" t="s">
        <v>72</v>
      </c>
      <c r="H267" s="11">
        <v>7</v>
      </c>
      <c r="I267" s="12">
        <v>1258.55</v>
      </c>
      <c r="J267" s="12">
        <v>8809.85</v>
      </c>
      <c r="K267" s="12">
        <v>5807.5</v>
      </c>
      <c r="L267" s="12">
        <v>3002.35</v>
      </c>
      <c r="M267" s="9" t="s">
        <v>65</v>
      </c>
      <c r="N267" s="9" t="s">
        <v>128</v>
      </c>
      <c r="O267" s="31">
        <f>SalesData[[#This Row],[UnitPrice]]/SalesData[[#This Row],[Revenue]]</f>
        <v>0.14285714285714285</v>
      </c>
      <c r="P267" s="31">
        <f>SalesData[[#This Row],[Profit]]/SalesData[[#This Row],[Revenue]]</f>
        <v>0.34079467868351898</v>
      </c>
    </row>
    <row r="268" spans="1:19" x14ac:dyDescent="0.25">
      <c r="A268" s="9" t="s">
        <v>380</v>
      </c>
      <c r="B268" s="10">
        <v>45568</v>
      </c>
      <c r="C268" s="9" t="s">
        <v>68</v>
      </c>
      <c r="D268" s="9" t="s">
        <v>79</v>
      </c>
      <c r="E268" s="9" t="s">
        <v>70</v>
      </c>
      <c r="F268" s="9" t="s">
        <v>113</v>
      </c>
      <c r="G268" s="9" t="s">
        <v>88</v>
      </c>
      <c r="H268" s="11">
        <v>11</v>
      </c>
      <c r="I268" s="12">
        <v>812.21</v>
      </c>
      <c r="J268" s="12">
        <v>8934.31</v>
      </c>
      <c r="K268" s="12">
        <v>5727.37</v>
      </c>
      <c r="L268" s="12">
        <v>3206.94</v>
      </c>
      <c r="M268" s="9" t="s">
        <v>60</v>
      </c>
      <c r="N268" s="9" t="s">
        <v>66</v>
      </c>
      <c r="O268" s="31">
        <f>SalesData[[#This Row],[UnitPrice]]/SalesData[[#This Row],[Revenue]]</f>
        <v>9.0909090909090912E-2</v>
      </c>
      <c r="P268" s="31">
        <f>SalesData[[#This Row],[Profit]]/SalesData[[#This Row],[Revenue]]</f>
        <v>0.35894657785548073</v>
      </c>
    </row>
    <row r="269" spans="1:19" x14ac:dyDescent="0.25">
      <c r="A269" s="9" t="s">
        <v>381</v>
      </c>
      <c r="B269" s="10">
        <v>45062</v>
      </c>
      <c r="C269" s="9" t="s">
        <v>74</v>
      </c>
      <c r="D269" s="9" t="s">
        <v>75</v>
      </c>
      <c r="E269" s="9" t="s">
        <v>63</v>
      </c>
      <c r="F269" s="9" t="s">
        <v>64</v>
      </c>
      <c r="G269" s="9" t="s">
        <v>88</v>
      </c>
      <c r="H269" s="11">
        <v>15</v>
      </c>
      <c r="I269" s="12">
        <v>30.85</v>
      </c>
      <c r="J269" s="12">
        <v>462.75</v>
      </c>
      <c r="K269" s="12">
        <v>322.92</v>
      </c>
      <c r="L269" s="12">
        <v>139.83000000000001</v>
      </c>
      <c r="M269" s="9" t="s">
        <v>60</v>
      </c>
      <c r="N269" s="9" t="s">
        <v>61</v>
      </c>
      <c r="O269" s="31">
        <f>SalesData[[#This Row],[UnitPrice]]/SalesData[[#This Row],[Revenue]]</f>
        <v>6.6666666666666666E-2</v>
      </c>
      <c r="P269" s="31">
        <f>SalesData[[#This Row],[Profit]]/SalesData[[#This Row],[Revenue]]</f>
        <v>0.3021717990275527</v>
      </c>
    </row>
    <row r="270" spans="1:19" x14ac:dyDescent="0.25">
      <c r="A270" s="9" t="s">
        <v>382</v>
      </c>
      <c r="B270" s="10">
        <v>45332</v>
      </c>
      <c r="C270" s="9" t="s">
        <v>68</v>
      </c>
      <c r="D270" s="9" t="s">
        <v>123</v>
      </c>
      <c r="E270" s="9" t="s">
        <v>57</v>
      </c>
      <c r="F270" s="9" t="s">
        <v>103</v>
      </c>
      <c r="G270" s="9" t="s">
        <v>84</v>
      </c>
      <c r="H270" s="11">
        <v>9</v>
      </c>
      <c r="I270" s="12">
        <v>11.09</v>
      </c>
      <c r="J270" s="12">
        <v>99.81</v>
      </c>
      <c r="K270" s="12">
        <v>61.15</v>
      </c>
      <c r="L270" s="12">
        <v>38.659999999999997</v>
      </c>
      <c r="M270" s="9" t="s">
        <v>60</v>
      </c>
      <c r="N270" s="9" t="s">
        <v>66</v>
      </c>
      <c r="O270" s="31">
        <f>SalesData[[#This Row],[UnitPrice]]/SalesData[[#This Row],[Revenue]]</f>
        <v>0.1111111111111111</v>
      </c>
      <c r="P270" s="31">
        <f>SalesData[[#This Row],[Profit]]/SalesData[[#This Row],[Revenue]]</f>
        <v>0.38733593828273716</v>
      </c>
    </row>
    <row r="271" spans="1:19" x14ac:dyDescent="0.25">
      <c r="A271" s="9" t="s">
        <v>383</v>
      </c>
      <c r="B271" s="10">
        <v>45534</v>
      </c>
      <c r="C271" s="9" t="s">
        <v>68</v>
      </c>
      <c r="D271" s="9" t="s">
        <v>123</v>
      </c>
      <c r="E271" s="9" t="s">
        <v>93</v>
      </c>
      <c r="F271" s="9" t="s">
        <v>111</v>
      </c>
      <c r="G271" s="9" t="s">
        <v>80</v>
      </c>
      <c r="H271" s="11">
        <v>23</v>
      </c>
      <c r="I271" s="12">
        <v>41.79</v>
      </c>
      <c r="J271" s="12">
        <v>961.17</v>
      </c>
      <c r="K271" s="12">
        <v>463.18</v>
      </c>
      <c r="L271" s="12">
        <v>497.99</v>
      </c>
      <c r="M271" s="9" t="s">
        <v>60</v>
      </c>
      <c r="N271" s="9" t="s">
        <v>66</v>
      </c>
      <c r="O271" s="31">
        <f>SalesData[[#This Row],[UnitPrice]]/SalesData[[#This Row],[Revenue]]</f>
        <v>4.3478260869565216E-2</v>
      </c>
      <c r="P271" s="31">
        <f>SalesData[[#This Row],[Profit]]/SalesData[[#This Row],[Revenue]]</f>
        <v>0.51810813903887976</v>
      </c>
      <c r="S271" s="31"/>
    </row>
    <row r="272" spans="1:19" x14ac:dyDescent="0.25">
      <c r="A272" s="9" t="s">
        <v>384</v>
      </c>
      <c r="B272" s="10">
        <v>44999</v>
      </c>
      <c r="C272" s="9" t="s">
        <v>98</v>
      </c>
      <c r="D272" s="9" t="s">
        <v>99</v>
      </c>
      <c r="E272" s="9" t="s">
        <v>63</v>
      </c>
      <c r="F272" s="9" t="s">
        <v>136</v>
      </c>
      <c r="G272" s="9" t="s">
        <v>84</v>
      </c>
      <c r="H272" s="11">
        <v>4</v>
      </c>
      <c r="I272" s="12">
        <v>1283.97</v>
      </c>
      <c r="J272" s="12">
        <v>5135.88</v>
      </c>
      <c r="K272" s="12">
        <v>2786.07</v>
      </c>
      <c r="L272" s="12">
        <v>2349.81</v>
      </c>
      <c r="M272" s="9" t="s">
        <v>60</v>
      </c>
      <c r="N272" s="9" t="s">
        <v>128</v>
      </c>
      <c r="O272" s="31">
        <f>SalesData[[#This Row],[UnitPrice]]/SalesData[[#This Row],[Revenue]]</f>
        <v>0.25</v>
      </c>
      <c r="P272" s="31">
        <f>SalesData[[#This Row],[Profit]]/SalesData[[#This Row],[Revenue]]</f>
        <v>0.45752821327601112</v>
      </c>
    </row>
    <row r="273" spans="1:16" x14ac:dyDescent="0.25">
      <c r="A273" s="9" t="s">
        <v>385</v>
      </c>
      <c r="B273" s="10">
        <v>45719</v>
      </c>
      <c r="C273" s="9" t="s">
        <v>98</v>
      </c>
      <c r="D273" s="9" t="s">
        <v>99</v>
      </c>
      <c r="E273" s="9" t="s">
        <v>63</v>
      </c>
      <c r="F273" s="9" t="s">
        <v>203</v>
      </c>
      <c r="G273" s="9" t="s">
        <v>80</v>
      </c>
      <c r="H273" s="11">
        <v>4</v>
      </c>
      <c r="I273" s="12">
        <v>427.64</v>
      </c>
      <c r="J273" s="12">
        <v>1710.56</v>
      </c>
      <c r="K273" s="12">
        <v>1155.46</v>
      </c>
      <c r="L273" s="12">
        <v>555.1</v>
      </c>
      <c r="M273" s="9" t="s">
        <v>60</v>
      </c>
      <c r="N273" s="9" t="s">
        <v>128</v>
      </c>
      <c r="O273" s="31">
        <f>SalesData[[#This Row],[UnitPrice]]/SalesData[[#This Row],[Revenue]]</f>
        <v>0.25</v>
      </c>
      <c r="P273" s="31">
        <f>SalesData[[#This Row],[Profit]]/SalesData[[#This Row],[Revenue]]</f>
        <v>0.32451360957814984</v>
      </c>
    </row>
    <row r="274" spans="1:16" x14ac:dyDescent="0.25">
      <c r="A274" s="9" t="s">
        <v>386</v>
      </c>
      <c r="B274" s="10">
        <v>45693</v>
      </c>
      <c r="C274" s="9" t="s">
        <v>98</v>
      </c>
      <c r="D274" s="9" t="s">
        <v>198</v>
      </c>
      <c r="E274" s="9" t="s">
        <v>63</v>
      </c>
      <c r="F274" s="9" t="s">
        <v>124</v>
      </c>
      <c r="G274" s="9" t="s">
        <v>125</v>
      </c>
      <c r="H274" s="11">
        <v>20</v>
      </c>
      <c r="I274" s="12">
        <v>854.87</v>
      </c>
      <c r="J274" s="12">
        <v>17097.400000000001</v>
      </c>
      <c r="K274" s="12">
        <v>9363.0300000000007</v>
      </c>
      <c r="L274" s="12">
        <v>7734.37</v>
      </c>
      <c r="M274" s="9" t="s">
        <v>60</v>
      </c>
      <c r="N274" s="9" t="s">
        <v>61</v>
      </c>
      <c r="O274" s="31">
        <f>SalesData[[#This Row],[UnitPrice]]/SalesData[[#This Row],[Revenue]]</f>
        <v>4.9999999999999996E-2</v>
      </c>
      <c r="P274" s="31">
        <f>SalesData[[#This Row],[Profit]]/SalesData[[#This Row],[Revenue]]</f>
        <v>0.45237112075520253</v>
      </c>
    </row>
    <row r="275" spans="1:16" x14ac:dyDescent="0.25">
      <c r="A275" s="9" t="s">
        <v>387</v>
      </c>
      <c r="B275" s="10">
        <v>45366</v>
      </c>
      <c r="C275" s="9" t="s">
        <v>98</v>
      </c>
      <c r="D275" s="9" t="s">
        <v>99</v>
      </c>
      <c r="E275" s="9" t="s">
        <v>93</v>
      </c>
      <c r="F275" s="9" t="s">
        <v>94</v>
      </c>
      <c r="G275" s="9" t="s">
        <v>80</v>
      </c>
      <c r="H275" s="11">
        <v>4</v>
      </c>
      <c r="I275" s="12">
        <v>52.05</v>
      </c>
      <c r="J275" s="12">
        <v>208.2</v>
      </c>
      <c r="K275" s="12">
        <v>94.88</v>
      </c>
      <c r="L275" s="12">
        <v>113.32</v>
      </c>
      <c r="M275" s="9" t="s">
        <v>65</v>
      </c>
      <c r="N275" s="9" t="s">
        <v>128</v>
      </c>
      <c r="O275" s="31">
        <f>SalesData[[#This Row],[UnitPrice]]/SalesData[[#This Row],[Revenue]]</f>
        <v>0.25</v>
      </c>
      <c r="P275" s="31">
        <f>SalesData[[#This Row],[Profit]]/SalesData[[#This Row],[Revenue]]</f>
        <v>0.54428434197886644</v>
      </c>
    </row>
    <row r="276" spans="1:16" x14ac:dyDescent="0.25">
      <c r="A276" s="9" t="s">
        <v>388</v>
      </c>
      <c r="B276" s="10">
        <v>44954</v>
      </c>
      <c r="C276" s="9" t="s">
        <v>68</v>
      </c>
      <c r="D276" s="9" t="s">
        <v>123</v>
      </c>
      <c r="E276" s="9" t="s">
        <v>70</v>
      </c>
      <c r="F276" s="9" t="s">
        <v>115</v>
      </c>
      <c r="G276" s="9" t="s">
        <v>80</v>
      </c>
      <c r="H276" s="11">
        <v>8</v>
      </c>
      <c r="I276" s="12">
        <v>532.79</v>
      </c>
      <c r="J276" s="12">
        <v>4262.32</v>
      </c>
      <c r="K276" s="12">
        <v>2531.83</v>
      </c>
      <c r="L276" s="12">
        <v>1730.49</v>
      </c>
      <c r="M276" s="9" t="s">
        <v>65</v>
      </c>
      <c r="N276" s="9" t="s">
        <v>61</v>
      </c>
      <c r="O276" s="31">
        <f>SalesData[[#This Row],[UnitPrice]]/SalesData[[#This Row],[Revenue]]</f>
        <v>0.125</v>
      </c>
      <c r="P276" s="31">
        <f>SalesData[[#This Row],[Profit]]/SalesData[[#This Row],[Revenue]]</f>
        <v>0.40599720340096479</v>
      </c>
    </row>
    <row r="277" spans="1:16" x14ac:dyDescent="0.25">
      <c r="A277" s="9" t="s">
        <v>389</v>
      </c>
      <c r="B277" s="10">
        <v>45322</v>
      </c>
      <c r="C277" s="9" t="s">
        <v>68</v>
      </c>
      <c r="D277" s="9" t="s">
        <v>123</v>
      </c>
      <c r="E277" s="9" t="s">
        <v>70</v>
      </c>
      <c r="F277" s="9" t="s">
        <v>71</v>
      </c>
      <c r="G277" s="9" t="s">
        <v>72</v>
      </c>
      <c r="H277" s="11">
        <v>10</v>
      </c>
      <c r="I277" s="12">
        <v>608.86</v>
      </c>
      <c r="J277" s="12">
        <v>6088.6</v>
      </c>
      <c r="K277" s="12">
        <v>3941.17</v>
      </c>
      <c r="L277" s="12">
        <v>2147.4299999999998</v>
      </c>
      <c r="M277" s="9" t="s">
        <v>60</v>
      </c>
      <c r="N277" s="9" t="s">
        <v>128</v>
      </c>
      <c r="O277" s="31">
        <f>SalesData[[#This Row],[UnitPrice]]/SalesData[[#This Row],[Revenue]]</f>
        <v>9.9999999999999992E-2</v>
      </c>
      <c r="P277" s="31">
        <f>SalesData[[#This Row],[Profit]]/SalesData[[#This Row],[Revenue]]</f>
        <v>0.35269684328088552</v>
      </c>
    </row>
    <row r="278" spans="1:16" x14ac:dyDescent="0.25">
      <c r="A278" s="9" t="s">
        <v>390</v>
      </c>
      <c r="B278" s="10">
        <v>45062</v>
      </c>
      <c r="C278" s="9" t="s">
        <v>55</v>
      </c>
      <c r="D278" s="9" t="s">
        <v>86</v>
      </c>
      <c r="E278" s="9" t="s">
        <v>93</v>
      </c>
      <c r="F278" s="9" t="s">
        <v>111</v>
      </c>
      <c r="G278" s="9" t="s">
        <v>80</v>
      </c>
      <c r="H278" s="11">
        <v>17</v>
      </c>
      <c r="I278" s="12">
        <v>223.52</v>
      </c>
      <c r="J278" s="12">
        <v>3799.84</v>
      </c>
      <c r="K278" s="12">
        <v>1609.23</v>
      </c>
      <c r="L278" s="12">
        <v>2190.61</v>
      </c>
      <c r="M278" s="9" t="s">
        <v>65</v>
      </c>
      <c r="N278" s="9" t="s">
        <v>128</v>
      </c>
      <c r="O278" s="31">
        <f>SalesData[[#This Row],[UnitPrice]]/SalesData[[#This Row],[Revenue]]</f>
        <v>5.8823529411764705E-2</v>
      </c>
      <c r="P278" s="31">
        <f>SalesData[[#This Row],[Profit]]/SalesData[[#This Row],[Revenue]]</f>
        <v>0.57650058949850524</v>
      </c>
    </row>
    <row r="279" spans="1:16" x14ac:dyDescent="0.25">
      <c r="A279" s="9" t="s">
        <v>391</v>
      </c>
      <c r="B279" s="10">
        <v>45528</v>
      </c>
      <c r="C279" s="9" t="s">
        <v>74</v>
      </c>
      <c r="D279" s="9" t="s">
        <v>92</v>
      </c>
      <c r="E279" s="9" t="s">
        <v>57</v>
      </c>
      <c r="F279" s="9" t="s">
        <v>167</v>
      </c>
      <c r="G279" s="9" t="s">
        <v>96</v>
      </c>
      <c r="H279" s="11">
        <v>25</v>
      </c>
      <c r="I279" s="12">
        <v>39.85</v>
      </c>
      <c r="J279" s="12">
        <v>996.25</v>
      </c>
      <c r="K279" s="12">
        <v>703.69</v>
      </c>
      <c r="L279" s="12">
        <v>292.56</v>
      </c>
      <c r="M279" s="9" t="s">
        <v>60</v>
      </c>
      <c r="N279" s="9" t="s">
        <v>66</v>
      </c>
      <c r="O279" s="31">
        <f>SalesData[[#This Row],[UnitPrice]]/SalesData[[#This Row],[Revenue]]</f>
        <v>0.04</v>
      </c>
      <c r="P279" s="31">
        <f>SalesData[[#This Row],[Profit]]/SalesData[[#This Row],[Revenue]]</f>
        <v>0.29366122961104141</v>
      </c>
    </row>
    <row r="280" spans="1:16" x14ac:dyDescent="0.25">
      <c r="A280" s="9" t="s">
        <v>392</v>
      </c>
      <c r="B280" s="10">
        <v>45656</v>
      </c>
      <c r="C280" s="9" t="s">
        <v>55</v>
      </c>
      <c r="D280" s="9" t="s">
        <v>56</v>
      </c>
      <c r="E280" s="9" t="s">
        <v>57</v>
      </c>
      <c r="F280" s="9" t="s">
        <v>58</v>
      </c>
      <c r="G280" s="9" t="s">
        <v>125</v>
      </c>
      <c r="H280" s="11">
        <v>2</v>
      </c>
      <c r="I280" s="12">
        <v>75.2</v>
      </c>
      <c r="J280" s="12">
        <v>150.4</v>
      </c>
      <c r="K280" s="12">
        <v>80.53</v>
      </c>
      <c r="L280" s="12">
        <v>69.87</v>
      </c>
      <c r="M280" s="9" t="s">
        <v>65</v>
      </c>
      <c r="N280" s="9" t="s">
        <v>61</v>
      </c>
      <c r="O280" s="31">
        <f>SalesData[[#This Row],[UnitPrice]]/SalesData[[#This Row],[Revenue]]</f>
        <v>0.5</v>
      </c>
      <c r="P280" s="31">
        <f>SalesData[[#This Row],[Profit]]/SalesData[[#This Row],[Revenue]]</f>
        <v>0.46456117021276599</v>
      </c>
    </row>
    <row r="281" spans="1:16" x14ac:dyDescent="0.25">
      <c r="A281" s="9" t="s">
        <v>393</v>
      </c>
      <c r="B281" s="10">
        <v>45476</v>
      </c>
      <c r="C281" s="9" t="s">
        <v>74</v>
      </c>
      <c r="D281" s="9" t="s">
        <v>92</v>
      </c>
      <c r="E281" s="9" t="s">
        <v>93</v>
      </c>
      <c r="F281" s="9" t="s">
        <v>146</v>
      </c>
      <c r="G281" s="9" t="s">
        <v>96</v>
      </c>
      <c r="H281" s="11">
        <v>9</v>
      </c>
      <c r="I281" s="12">
        <v>39.130000000000003</v>
      </c>
      <c r="J281" s="12">
        <v>352.17</v>
      </c>
      <c r="K281" s="12">
        <v>155.97999999999999</v>
      </c>
      <c r="L281" s="12">
        <v>196.19</v>
      </c>
      <c r="M281" s="9" t="s">
        <v>60</v>
      </c>
      <c r="N281" s="9" t="s">
        <v>66</v>
      </c>
      <c r="O281" s="31">
        <f>SalesData[[#This Row],[UnitPrice]]/SalesData[[#This Row],[Revenue]]</f>
        <v>0.11111111111111112</v>
      </c>
      <c r="P281" s="31">
        <f>SalesData[[#This Row],[Profit]]/SalesData[[#This Row],[Revenue]]</f>
        <v>0.55708890592611515</v>
      </c>
    </row>
    <row r="282" spans="1:16" x14ac:dyDescent="0.25">
      <c r="A282" s="9" t="s">
        <v>394</v>
      </c>
      <c r="B282" s="10">
        <v>45371</v>
      </c>
      <c r="C282" s="9" t="s">
        <v>68</v>
      </c>
      <c r="D282" s="9" t="s">
        <v>171</v>
      </c>
      <c r="E282" s="9" t="s">
        <v>63</v>
      </c>
      <c r="F282" s="9" t="s">
        <v>90</v>
      </c>
      <c r="G282" s="9" t="s">
        <v>72</v>
      </c>
      <c r="H282" s="11">
        <v>24</v>
      </c>
      <c r="I282" s="12">
        <v>1239.9000000000001</v>
      </c>
      <c r="J282" s="12">
        <v>29757.599999999999</v>
      </c>
      <c r="K282" s="12">
        <v>14557.56</v>
      </c>
      <c r="L282" s="12">
        <v>15200.04</v>
      </c>
      <c r="M282" s="9" t="s">
        <v>60</v>
      </c>
      <c r="N282" s="9" t="s">
        <v>66</v>
      </c>
      <c r="O282" s="31">
        <f>SalesData[[#This Row],[UnitPrice]]/SalesData[[#This Row],[Revenue]]</f>
        <v>4.1666666666666671E-2</v>
      </c>
      <c r="P282" s="31">
        <f>SalesData[[#This Row],[Profit]]/SalesData[[#This Row],[Revenue]]</f>
        <v>0.51079522542140499</v>
      </c>
    </row>
    <row r="283" spans="1:16" x14ac:dyDescent="0.25">
      <c r="A283" s="9" t="s">
        <v>395</v>
      </c>
      <c r="B283" s="10">
        <v>45435</v>
      </c>
      <c r="C283" s="9" t="s">
        <v>55</v>
      </c>
      <c r="D283" s="9" t="s">
        <v>82</v>
      </c>
      <c r="E283" s="9" t="s">
        <v>63</v>
      </c>
      <c r="F283" s="9" t="s">
        <v>90</v>
      </c>
      <c r="G283" s="9" t="s">
        <v>96</v>
      </c>
      <c r="H283" s="11">
        <v>4</v>
      </c>
      <c r="I283" s="12">
        <v>46.06</v>
      </c>
      <c r="J283" s="12">
        <v>184.24</v>
      </c>
      <c r="K283" s="12">
        <v>84.71</v>
      </c>
      <c r="L283" s="12">
        <v>99.53</v>
      </c>
      <c r="M283" s="9" t="s">
        <v>60</v>
      </c>
      <c r="N283" s="9" t="s">
        <v>66</v>
      </c>
      <c r="O283" s="31">
        <f>SalesData[[#This Row],[UnitPrice]]/SalesData[[#This Row],[Revenue]]</f>
        <v>0.25</v>
      </c>
      <c r="P283" s="31">
        <f>SalesData[[#This Row],[Profit]]/SalesData[[#This Row],[Revenue]]</f>
        <v>0.54021927920104207</v>
      </c>
    </row>
    <row r="284" spans="1:16" x14ac:dyDescent="0.25">
      <c r="A284" s="9" t="s">
        <v>396</v>
      </c>
      <c r="B284" s="10">
        <v>45270</v>
      </c>
      <c r="C284" s="9" t="s">
        <v>68</v>
      </c>
      <c r="D284" s="9" t="s">
        <v>79</v>
      </c>
      <c r="E284" s="9" t="s">
        <v>70</v>
      </c>
      <c r="F284" s="9" t="s">
        <v>115</v>
      </c>
      <c r="G284" s="9" t="s">
        <v>96</v>
      </c>
      <c r="H284" s="11">
        <v>24</v>
      </c>
      <c r="I284" s="12">
        <v>719.52</v>
      </c>
      <c r="J284" s="12">
        <v>17268.48</v>
      </c>
      <c r="K284" s="12">
        <v>8598.7000000000007</v>
      </c>
      <c r="L284" s="12">
        <v>8669.7800000000007</v>
      </c>
      <c r="M284" s="9" t="s">
        <v>60</v>
      </c>
      <c r="N284" s="9" t="s">
        <v>66</v>
      </c>
      <c r="O284" s="31">
        <f>SalesData[[#This Row],[UnitPrice]]/SalesData[[#This Row],[Revenue]]</f>
        <v>4.1666666666666664E-2</v>
      </c>
      <c r="P284" s="31">
        <f>SalesData[[#This Row],[Profit]]/SalesData[[#This Row],[Revenue]]</f>
        <v>0.50205808501964277</v>
      </c>
    </row>
    <row r="285" spans="1:16" x14ac:dyDescent="0.25">
      <c r="A285" s="9" t="s">
        <v>397</v>
      </c>
      <c r="B285" s="10">
        <v>45097</v>
      </c>
      <c r="C285" s="9" t="s">
        <v>74</v>
      </c>
      <c r="D285" s="9" t="s">
        <v>135</v>
      </c>
      <c r="E285" s="9" t="s">
        <v>63</v>
      </c>
      <c r="F285" s="9" t="s">
        <v>90</v>
      </c>
      <c r="G285" s="9" t="s">
        <v>80</v>
      </c>
      <c r="H285" s="11">
        <v>16</v>
      </c>
      <c r="I285" s="12">
        <v>607.64</v>
      </c>
      <c r="J285" s="12">
        <v>9722.24</v>
      </c>
      <c r="K285" s="12">
        <v>5098.6899999999996</v>
      </c>
      <c r="L285" s="12">
        <v>4623.55</v>
      </c>
      <c r="M285" s="9" t="s">
        <v>65</v>
      </c>
      <c r="N285" s="9" t="s">
        <v>61</v>
      </c>
      <c r="O285" s="31">
        <f>SalesData[[#This Row],[UnitPrice]]/SalesData[[#This Row],[Revenue]]</f>
        <v>6.25E-2</v>
      </c>
      <c r="P285" s="31">
        <f>SalesData[[#This Row],[Profit]]/SalesData[[#This Row],[Revenue]]</f>
        <v>0.47556427325390038</v>
      </c>
    </row>
    <row r="286" spans="1:16" x14ac:dyDescent="0.25">
      <c r="A286" s="9" t="s">
        <v>398</v>
      </c>
      <c r="B286" s="10">
        <v>44974</v>
      </c>
      <c r="C286" s="9" t="s">
        <v>68</v>
      </c>
      <c r="D286" s="9" t="s">
        <v>123</v>
      </c>
      <c r="E286" s="9" t="s">
        <v>57</v>
      </c>
      <c r="F286" s="9" t="s">
        <v>103</v>
      </c>
      <c r="G286" s="9" t="s">
        <v>80</v>
      </c>
      <c r="H286" s="11">
        <v>8</v>
      </c>
      <c r="I286" s="12">
        <v>59.82</v>
      </c>
      <c r="J286" s="12">
        <v>478.56</v>
      </c>
      <c r="K286" s="12">
        <v>201.35</v>
      </c>
      <c r="L286" s="12">
        <v>277.20999999999998</v>
      </c>
      <c r="M286" s="9" t="s">
        <v>60</v>
      </c>
      <c r="N286" s="9" t="s">
        <v>66</v>
      </c>
      <c r="O286" s="31">
        <f>SalesData[[#This Row],[UnitPrice]]/SalesData[[#This Row],[Revenue]]</f>
        <v>0.125</v>
      </c>
      <c r="P286" s="31">
        <f>SalesData[[#This Row],[Profit]]/SalesData[[#This Row],[Revenue]]</f>
        <v>0.57925860916081573</v>
      </c>
    </row>
    <row r="287" spans="1:16" x14ac:dyDescent="0.25">
      <c r="A287" s="9" t="s">
        <v>399</v>
      </c>
      <c r="B287" s="10">
        <v>45256</v>
      </c>
      <c r="C287" s="9" t="s">
        <v>74</v>
      </c>
      <c r="D287" s="9" t="s">
        <v>135</v>
      </c>
      <c r="E287" s="9" t="s">
        <v>93</v>
      </c>
      <c r="F287" s="9" t="s">
        <v>94</v>
      </c>
      <c r="G287" s="9" t="s">
        <v>96</v>
      </c>
      <c r="H287" s="11">
        <v>2</v>
      </c>
      <c r="I287" s="12">
        <v>146.6</v>
      </c>
      <c r="J287" s="12">
        <v>293.2</v>
      </c>
      <c r="K287" s="12">
        <v>200.86</v>
      </c>
      <c r="L287" s="12">
        <v>92.34</v>
      </c>
      <c r="M287" s="9" t="s">
        <v>65</v>
      </c>
      <c r="N287" s="9" t="s">
        <v>66</v>
      </c>
      <c r="O287" s="31">
        <f>SalesData[[#This Row],[UnitPrice]]/SalesData[[#This Row],[Revenue]]</f>
        <v>0.5</v>
      </c>
      <c r="P287" s="31">
        <f>SalesData[[#This Row],[Profit]]/SalesData[[#This Row],[Revenue]]</f>
        <v>0.31493860845839022</v>
      </c>
    </row>
    <row r="288" spans="1:16" x14ac:dyDescent="0.25">
      <c r="A288" s="9" t="s">
        <v>400</v>
      </c>
      <c r="B288" s="10">
        <v>45155</v>
      </c>
      <c r="C288" s="9" t="s">
        <v>98</v>
      </c>
      <c r="D288" s="9" t="s">
        <v>99</v>
      </c>
      <c r="E288" s="9" t="s">
        <v>57</v>
      </c>
      <c r="F288" s="9" t="s">
        <v>76</v>
      </c>
      <c r="G288" s="9" t="s">
        <v>80</v>
      </c>
      <c r="H288" s="11">
        <v>19</v>
      </c>
      <c r="I288" s="12">
        <v>32.58</v>
      </c>
      <c r="J288" s="12">
        <v>619.02</v>
      </c>
      <c r="K288" s="12">
        <v>350.11</v>
      </c>
      <c r="L288" s="12">
        <v>268.91000000000003</v>
      </c>
      <c r="M288" s="9" t="s">
        <v>60</v>
      </c>
      <c r="N288" s="9" t="s">
        <v>66</v>
      </c>
      <c r="O288" s="31">
        <f>SalesData[[#This Row],[UnitPrice]]/SalesData[[#This Row],[Revenue]]</f>
        <v>5.2631578947368418E-2</v>
      </c>
      <c r="P288" s="31">
        <f>SalesData[[#This Row],[Profit]]/SalesData[[#This Row],[Revenue]]</f>
        <v>0.43441245840199028</v>
      </c>
    </row>
    <row r="289" spans="1:16" x14ac:dyDescent="0.25">
      <c r="A289" s="9" t="s">
        <v>401</v>
      </c>
      <c r="B289" s="10">
        <v>45304</v>
      </c>
      <c r="C289" s="9" t="s">
        <v>55</v>
      </c>
      <c r="D289" s="9" t="s">
        <v>82</v>
      </c>
      <c r="E289" s="9" t="s">
        <v>63</v>
      </c>
      <c r="F289" s="9" t="s">
        <v>100</v>
      </c>
      <c r="G289" s="9" t="s">
        <v>77</v>
      </c>
      <c r="H289" s="11">
        <v>25</v>
      </c>
      <c r="I289" s="12">
        <v>1102.1099999999999</v>
      </c>
      <c r="J289" s="12">
        <v>27552.75</v>
      </c>
      <c r="K289" s="12">
        <v>14187.39</v>
      </c>
      <c r="L289" s="12">
        <v>13365.36</v>
      </c>
      <c r="M289" s="9" t="s">
        <v>65</v>
      </c>
      <c r="N289" s="9" t="s">
        <v>66</v>
      </c>
      <c r="O289" s="31">
        <f>SalesData[[#This Row],[UnitPrice]]/SalesData[[#This Row],[Revenue]]</f>
        <v>3.9999999999999994E-2</v>
      </c>
      <c r="P289" s="31">
        <f>SalesData[[#This Row],[Profit]]/SalesData[[#This Row],[Revenue]]</f>
        <v>0.48508261425810495</v>
      </c>
    </row>
    <row r="290" spans="1:16" x14ac:dyDescent="0.25">
      <c r="A290" s="9" t="s">
        <v>402</v>
      </c>
      <c r="B290" s="10">
        <v>45486</v>
      </c>
      <c r="C290" s="9" t="s">
        <v>98</v>
      </c>
      <c r="D290" s="9" t="s">
        <v>110</v>
      </c>
      <c r="E290" s="9" t="s">
        <v>57</v>
      </c>
      <c r="F290" s="9" t="s">
        <v>106</v>
      </c>
      <c r="G290" s="9" t="s">
        <v>59</v>
      </c>
      <c r="H290" s="11">
        <v>15</v>
      </c>
      <c r="I290" s="12">
        <v>32.25</v>
      </c>
      <c r="J290" s="12">
        <v>483.75</v>
      </c>
      <c r="K290" s="12">
        <v>339.51</v>
      </c>
      <c r="L290" s="12">
        <v>144.24</v>
      </c>
      <c r="M290" s="9" t="s">
        <v>60</v>
      </c>
      <c r="N290" s="9" t="s">
        <v>61</v>
      </c>
      <c r="O290" s="31">
        <f>SalesData[[#This Row],[UnitPrice]]/SalesData[[#This Row],[Revenue]]</f>
        <v>6.6666666666666666E-2</v>
      </c>
      <c r="P290" s="31">
        <f>SalesData[[#This Row],[Profit]]/SalesData[[#This Row],[Revenue]]</f>
        <v>0.29817054263565895</v>
      </c>
    </row>
    <row r="291" spans="1:16" x14ac:dyDescent="0.25">
      <c r="A291" s="9" t="s">
        <v>403</v>
      </c>
      <c r="B291" s="10">
        <v>44928</v>
      </c>
      <c r="C291" s="9" t="s">
        <v>98</v>
      </c>
      <c r="D291" s="9" t="s">
        <v>198</v>
      </c>
      <c r="E291" s="9" t="s">
        <v>63</v>
      </c>
      <c r="F291" s="9" t="s">
        <v>100</v>
      </c>
      <c r="G291" s="9" t="s">
        <v>125</v>
      </c>
      <c r="H291" s="11">
        <v>8</v>
      </c>
      <c r="I291" s="12">
        <v>717.22</v>
      </c>
      <c r="J291" s="12">
        <v>5737.76</v>
      </c>
      <c r="K291" s="12">
        <v>3468.03</v>
      </c>
      <c r="L291" s="12">
        <v>2269.73</v>
      </c>
      <c r="M291" s="9" t="s">
        <v>60</v>
      </c>
      <c r="N291" s="9" t="s">
        <v>128</v>
      </c>
      <c r="O291" s="31">
        <f>SalesData[[#This Row],[UnitPrice]]/SalesData[[#This Row],[Revenue]]</f>
        <v>0.125</v>
      </c>
      <c r="P291" s="31">
        <f>SalesData[[#This Row],[Profit]]/SalesData[[#This Row],[Revenue]]</f>
        <v>0.3955777167396336</v>
      </c>
    </row>
    <row r="292" spans="1:16" x14ac:dyDescent="0.25">
      <c r="A292" s="9" t="s">
        <v>404</v>
      </c>
      <c r="B292" s="10">
        <v>45213</v>
      </c>
      <c r="C292" s="9" t="s">
        <v>74</v>
      </c>
      <c r="D292" s="9" t="s">
        <v>135</v>
      </c>
      <c r="E292" s="9" t="s">
        <v>63</v>
      </c>
      <c r="F292" s="9" t="s">
        <v>64</v>
      </c>
      <c r="G292" s="9" t="s">
        <v>59</v>
      </c>
      <c r="H292" s="11">
        <v>14</v>
      </c>
      <c r="I292" s="12">
        <v>654.38</v>
      </c>
      <c r="J292" s="12">
        <v>9161.32</v>
      </c>
      <c r="K292" s="12">
        <v>4006.88</v>
      </c>
      <c r="L292" s="12">
        <v>5154.4399999999996</v>
      </c>
      <c r="M292" s="9" t="s">
        <v>60</v>
      </c>
      <c r="N292" s="9" t="s">
        <v>61</v>
      </c>
      <c r="O292" s="31">
        <f>SalesData[[#This Row],[UnitPrice]]/SalesData[[#This Row],[Revenue]]</f>
        <v>7.1428571428571425E-2</v>
      </c>
      <c r="P292" s="31">
        <f>SalesData[[#This Row],[Profit]]/SalesData[[#This Row],[Revenue]]</f>
        <v>0.56263071260473374</v>
      </c>
    </row>
    <row r="293" spans="1:16" x14ac:dyDescent="0.25">
      <c r="A293" s="9" t="s">
        <v>405</v>
      </c>
      <c r="B293" s="10">
        <v>45024</v>
      </c>
      <c r="C293" s="9" t="s">
        <v>55</v>
      </c>
      <c r="D293" s="9" t="s">
        <v>56</v>
      </c>
      <c r="E293" s="9" t="s">
        <v>70</v>
      </c>
      <c r="F293" s="9" t="s">
        <v>113</v>
      </c>
      <c r="G293" s="9" t="s">
        <v>72</v>
      </c>
      <c r="H293" s="11">
        <v>23</v>
      </c>
      <c r="I293" s="12">
        <v>813.37</v>
      </c>
      <c r="J293" s="12">
        <v>18707.509999999998</v>
      </c>
      <c r="K293" s="12">
        <v>10344.370000000001</v>
      </c>
      <c r="L293" s="12">
        <v>8363.14</v>
      </c>
      <c r="M293" s="9" t="s">
        <v>60</v>
      </c>
      <c r="N293" s="9" t="s">
        <v>61</v>
      </c>
      <c r="O293" s="31">
        <f>SalesData[[#This Row],[UnitPrice]]/SalesData[[#This Row],[Revenue]]</f>
        <v>4.3478260869565223E-2</v>
      </c>
      <c r="P293" s="31">
        <f>SalesData[[#This Row],[Profit]]/SalesData[[#This Row],[Revenue]]</f>
        <v>0.44704720189913033</v>
      </c>
    </row>
    <row r="294" spans="1:16" x14ac:dyDescent="0.25">
      <c r="A294" s="9" t="s">
        <v>406</v>
      </c>
      <c r="B294" s="10">
        <v>45798</v>
      </c>
      <c r="C294" s="9" t="s">
        <v>98</v>
      </c>
      <c r="D294" s="9" t="s">
        <v>99</v>
      </c>
      <c r="E294" s="9" t="s">
        <v>63</v>
      </c>
      <c r="F294" s="9" t="s">
        <v>124</v>
      </c>
      <c r="G294" s="9" t="s">
        <v>125</v>
      </c>
      <c r="H294" s="11">
        <v>14</v>
      </c>
      <c r="I294" s="12">
        <v>870.64</v>
      </c>
      <c r="J294" s="12">
        <v>12188.96</v>
      </c>
      <c r="K294" s="12">
        <v>5581.39</v>
      </c>
      <c r="L294" s="12">
        <v>6607.57</v>
      </c>
      <c r="M294" s="9" t="s">
        <v>65</v>
      </c>
      <c r="N294" s="9" t="s">
        <v>128</v>
      </c>
      <c r="O294" s="31">
        <f>SalesData[[#This Row],[UnitPrice]]/SalesData[[#This Row],[Revenue]]</f>
        <v>7.1428571428571438E-2</v>
      </c>
      <c r="P294" s="31">
        <f>SalesData[[#This Row],[Profit]]/SalesData[[#This Row],[Revenue]]</f>
        <v>0.54209464958454212</v>
      </c>
    </row>
    <row r="295" spans="1:16" x14ac:dyDescent="0.25">
      <c r="A295" s="9" t="s">
        <v>407</v>
      </c>
      <c r="B295" s="10">
        <v>45038</v>
      </c>
      <c r="C295" s="9" t="s">
        <v>68</v>
      </c>
      <c r="D295" s="9" t="s">
        <v>171</v>
      </c>
      <c r="E295" s="9" t="s">
        <v>57</v>
      </c>
      <c r="F295" s="9" t="s">
        <v>76</v>
      </c>
      <c r="G295" s="9" t="s">
        <v>88</v>
      </c>
      <c r="H295" s="11">
        <v>9</v>
      </c>
      <c r="I295" s="12">
        <v>22.28</v>
      </c>
      <c r="J295" s="12">
        <v>200.52</v>
      </c>
      <c r="K295" s="12">
        <v>139.09</v>
      </c>
      <c r="L295" s="12">
        <v>61.43</v>
      </c>
      <c r="M295" s="9" t="s">
        <v>60</v>
      </c>
      <c r="N295" s="9" t="s">
        <v>61</v>
      </c>
      <c r="O295" s="31">
        <f>SalesData[[#This Row],[UnitPrice]]/SalesData[[#This Row],[Revenue]]</f>
        <v>0.1111111111111111</v>
      </c>
      <c r="P295" s="31">
        <f>SalesData[[#This Row],[Profit]]/SalesData[[#This Row],[Revenue]]</f>
        <v>0.30635348094953119</v>
      </c>
    </row>
    <row r="296" spans="1:16" x14ac:dyDescent="0.25">
      <c r="A296" s="9" t="s">
        <v>408</v>
      </c>
      <c r="B296" s="10">
        <v>45242</v>
      </c>
      <c r="C296" s="9" t="s">
        <v>98</v>
      </c>
      <c r="D296" s="9" t="s">
        <v>105</v>
      </c>
      <c r="E296" s="9" t="s">
        <v>70</v>
      </c>
      <c r="F296" s="9" t="s">
        <v>160</v>
      </c>
      <c r="G296" s="9" t="s">
        <v>88</v>
      </c>
      <c r="H296" s="11">
        <v>11</v>
      </c>
      <c r="I296" s="12">
        <v>412.34</v>
      </c>
      <c r="J296" s="12">
        <v>4535.74</v>
      </c>
      <c r="K296" s="12">
        <v>2609.9499999999998</v>
      </c>
      <c r="L296" s="12">
        <v>1925.79</v>
      </c>
      <c r="M296" s="9" t="s">
        <v>60</v>
      </c>
      <c r="N296" s="9" t="s">
        <v>128</v>
      </c>
      <c r="O296" s="31">
        <f>SalesData[[#This Row],[UnitPrice]]/SalesData[[#This Row],[Revenue]]</f>
        <v>9.0909090909090912E-2</v>
      </c>
      <c r="P296" s="31">
        <f>SalesData[[#This Row],[Profit]]/SalesData[[#This Row],[Revenue]]</f>
        <v>0.42458121497263956</v>
      </c>
    </row>
    <row r="297" spans="1:16" x14ac:dyDescent="0.25">
      <c r="A297" s="9" t="s">
        <v>409</v>
      </c>
      <c r="B297" s="10">
        <v>45782</v>
      </c>
      <c r="C297" s="9" t="s">
        <v>74</v>
      </c>
      <c r="D297" s="9" t="s">
        <v>135</v>
      </c>
      <c r="E297" s="9" t="s">
        <v>63</v>
      </c>
      <c r="F297" s="9" t="s">
        <v>136</v>
      </c>
      <c r="G297" s="9" t="s">
        <v>96</v>
      </c>
      <c r="H297" s="11">
        <v>22</v>
      </c>
      <c r="I297" s="12">
        <v>416.04</v>
      </c>
      <c r="J297" s="12">
        <v>9152.8799999999992</v>
      </c>
      <c r="K297" s="12">
        <v>5714.73</v>
      </c>
      <c r="L297" s="12">
        <v>3438.15</v>
      </c>
      <c r="M297" s="9" t="s">
        <v>60</v>
      </c>
      <c r="N297" s="9" t="s">
        <v>66</v>
      </c>
      <c r="O297" s="31">
        <f>SalesData[[#This Row],[UnitPrice]]/SalesData[[#This Row],[Revenue]]</f>
        <v>4.5454545454545463E-2</v>
      </c>
      <c r="P297" s="31">
        <f>SalesData[[#This Row],[Profit]]/SalesData[[#This Row],[Revenue]]</f>
        <v>0.37563586543251964</v>
      </c>
    </row>
    <row r="298" spans="1:16" x14ac:dyDescent="0.25">
      <c r="A298" s="9" t="s">
        <v>410</v>
      </c>
      <c r="B298" s="10">
        <v>45766</v>
      </c>
      <c r="C298" s="9" t="s">
        <v>68</v>
      </c>
      <c r="D298" s="9" t="s">
        <v>123</v>
      </c>
      <c r="E298" s="9" t="s">
        <v>63</v>
      </c>
      <c r="F298" s="9" t="s">
        <v>203</v>
      </c>
      <c r="G298" s="9" t="s">
        <v>59</v>
      </c>
      <c r="H298" s="11">
        <v>12</v>
      </c>
      <c r="I298" s="12">
        <v>532.83000000000004</v>
      </c>
      <c r="J298" s="12">
        <v>6393.96</v>
      </c>
      <c r="K298" s="12">
        <v>2776.23</v>
      </c>
      <c r="L298" s="12">
        <v>3617.73</v>
      </c>
      <c r="M298" s="9" t="s">
        <v>65</v>
      </c>
      <c r="N298" s="9" t="s">
        <v>128</v>
      </c>
      <c r="O298" s="31">
        <f>SalesData[[#This Row],[UnitPrice]]/SalesData[[#This Row],[Revenue]]</f>
        <v>8.3333333333333343E-2</v>
      </c>
      <c r="P298" s="31">
        <f>SalesData[[#This Row],[Profit]]/SalesData[[#This Row],[Revenue]]</f>
        <v>0.56580429029896961</v>
      </c>
    </row>
    <row r="299" spans="1:16" x14ac:dyDescent="0.25">
      <c r="A299" s="9" t="s">
        <v>411</v>
      </c>
      <c r="B299" s="10">
        <v>44939</v>
      </c>
      <c r="C299" s="9" t="s">
        <v>98</v>
      </c>
      <c r="D299" s="9" t="s">
        <v>105</v>
      </c>
      <c r="E299" s="9" t="s">
        <v>93</v>
      </c>
      <c r="F299" s="9" t="s">
        <v>152</v>
      </c>
      <c r="G299" s="9" t="s">
        <v>59</v>
      </c>
      <c r="H299" s="11">
        <v>4</v>
      </c>
      <c r="I299" s="12">
        <v>125.8</v>
      </c>
      <c r="J299" s="12">
        <v>503.2</v>
      </c>
      <c r="K299" s="12">
        <v>328.66</v>
      </c>
      <c r="L299" s="12">
        <v>174.54</v>
      </c>
      <c r="M299" s="9" t="s">
        <v>60</v>
      </c>
      <c r="N299" s="9" t="s">
        <v>66</v>
      </c>
      <c r="O299" s="31">
        <f>SalesData[[#This Row],[UnitPrice]]/SalesData[[#This Row],[Revenue]]</f>
        <v>0.25</v>
      </c>
      <c r="P299" s="31">
        <f>SalesData[[#This Row],[Profit]]/SalesData[[#This Row],[Revenue]]</f>
        <v>0.34686009538950713</v>
      </c>
    </row>
    <row r="300" spans="1:16" x14ac:dyDescent="0.25">
      <c r="A300" s="9" t="s">
        <v>412</v>
      </c>
      <c r="B300" s="10">
        <v>45527</v>
      </c>
      <c r="C300" s="9" t="s">
        <v>55</v>
      </c>
      <c r="D300" s="9" t="s">
        <v>86</v>
      </c>
      <c r="E300" s="9" t="s">
        <v>70</v>
      </c>
      <c r="F300" s="9" t="s">
        <v>87</v>
      </c>
      <c r="G300" s="9" t="s">
        <v>72</v>
      </c>
      <c r="H300" s="11">
        <v>12</v>
      </c>
      <c r="I300" s="12">
        <v>641.75</v>
      </c>
      <c r="J300" s="12">
        <v>7701</v>
      </c>
      <c r="K300" s="12">
        <v>5328.3</v>
      </c>
      <c r="L300" s="12">
        <v>2372.6999999999998</v>
      </c>
      <c r="M300" s="9" t="s">
        <v>60</v>
      </c>
      <c r="N300" s="9" t="s">
        <v>61</v>
      </c>
      <c r="O300" s="31">
        <f>SalesData[[#This Row],[UnitPrice]]/SalesData[[#This Row],[Revenue]]</f>
        <v>8.3333333333333329E-2</v>
      </c>
      <c r="P300" s="31">
        <f>SalesData[[#This Row],[Profit]]/SalesData[[#This Row],[Revenue]]</f>
        <v>0.3081028437865212</v>
      </c>
    </row>
    <row r="301" spans="1:16" x14ac:dyDescent="0.25">
      <c r="A301" s="9" t="s">
        <v>413</v>
      </c>
      <c r="B301" s="10">
        <v>44970</v>
      </c>
      <c r="C301" s="9" t="s">
        <v>68</v>
      </c>
      <c r="D301" s="9" t="s">
        <v>69</v>
      </c>
      <c r="E301" s="9" t="s">
        <v>63</v>
      </c>
      <c r="F301" s="9" t="s">
        <v>136</v>
      </c>
      <c r="G301" s="9" t="s">
        <v>59</v>
      </c>
      <c r="H301" s="11">
        <v>21</v>
      </c>
      <c r="I301" s="12">
        <v>592.71</v>
      </c>
      <c r="J301" s="12">
        <v>12446.91</v>
      </c>
      <c r="K301" s="12">
        <v>5692.59</v>
      </c>
      <c r="L301" s="12">
        <v>6754.32</v>
      </c>
      <c r="M301" s="9" t="s">
        <v>65</v>
      </c>
      <c r="N301" s="9" t="s">
        <v>66</v>
      </c>
      <c r="O301" s="31">
        <f>SalesData[[#This Row],[UnitPrice]]/SalesData[[#This Row],[Revenue]]</f>
        <v>4.7619047619047623E-2</v>
      </c>
      <c r="P301" s="31">
        <f>SalesData[[#This Row],[Profit]]/SalesData[[#This Row],[Revenue]]</f>
        <v>0.54265034454334449</v>
      </c>
    </row>
    <row r="302" spans="1:16" x14ac:dyDescent="0.25">
      <c r="A302" s="9" t="s">
        <v>414</v>
      </c>
      <c r="B302" s="10">
        <v>45289</v>
      </c>
      <c r="C302" s="9" t="s">
        <v>74</v>
      </c>
      <c r="D302" s="9" t="s">
        <v>75</v>
      </c>
      <c r="E302" s="9" t="s">
        <v>70</v>
      </c>
      <c r="F302" s="9" t="s">
        <v>113</v>
      </c>
      <c r="G302" s="9" t="s">
        <v>72</v>
      </c>
      <c r="H302" s="11">
        <v>24</v>
      </c>
      <c r="I302" s="12">
        <v>402.9</v>
      </c>
      <c r="J302" s="12">
        <v>9669.6</v>
      </c>
      <c r="K302" s="12">
        <v>4143.91</v>
      </c>
      <c r="L302" s="12">
        <v>5525.69</v>
      </c>
      <c r="M302" s="9" t="s">
        <v>65</v>
      </c>
      <c r="N302" s="9" t="s">
        <v>66</v>
      </c>
      <c r="O302" s="31">
        <f>SalesData[[#This Row],[UnitPrice]]/SalesData[[#This Row],[Revenue]]</f>
        <v>4.1666666666666664E-2</v>
      </c>
      <c r="P302" s="31">
        <f>SalesData[[#This Row],[Profit]]/SalesData[[#This Row],[Revenue]]</f>
        <v>0.57144969802266887</v>
      </c>
    </row>
  </sheetData>
  <mergeCells count="1">
    <mergeCell ref="A1:N1"/>
  </mergeCells>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4"/>
  <sheetViews>
    <sheetView tabSelected="1" zoomScale="117" workbookViewId="0">
      <pane ySplit="2" topLeftCell="A3" activePane="bottomLeft" state="frozen"/>
      <selection pane="bottomLeft" activeCell="G4" sqref="G4"/>
    </sheetView>
  </sheetViews>
  <sheetFormatPr defaultRowHeight="15" x14ac:dyDescent="0.25"/>
  <cols>
    <col min="1" max="1" width="5" customWidth="1"/>
    <col min="2" max="2" width="18" customWidth="1"/>
    <col min="3" max="3" width="42" customWidth="1"/>
    <col min="4" max="4" width="55" customWidth="1"/>
    <col min="5" max="5" width="54.7109375" customWidth="1"/>
  </cols>
  <sheetData>
    <row r="1" spans="1:5" ht="28.15" customHeight="1" x14ac:dyDescent="0.25">
      <c r="A1" s="55" t="s">
        <v>559</v>
      </c>
      <c r="B1" s="56"/>
      <c r="C1" s="56"/>
      <c r="D1" s="56"/>
      <c r="E1" s="56"/>
    </row>
    <row r="2" spans="1:5" x14ac:dyDescent="0.25">
      <c r="A2" s="8" t="s">
        <v>493</v>
      </c>
      <c r="B2" s="8" t="s">
        <v>494</v>
      </c>
      <c r="C2" s="8" t="s">
        <v>495</v>
      </c>
      <c r="D2" s="8" t="s">
        <v>496</v>
      </c>
      <c r="E2" s="8" t="s">
        <v>497</v>
      </c>
    </row>
    <row r="3" spans="1:5" ht="75" customHeight="1" x14ac:dyDescent="0.25">
      <c r="A3" s="14">
        <v>1</v>
      </c>
      <c r="B3" s="15" t="s">
        <v>498</v>
      </c>
      <c r="C3" s="16" t="s">
        <v>499</v>
      </c>
      <c r="D3" s="16" t="s">
        <v>500</v>
      </c>
      <c r="E3" s="30" t="s">
        <v>565</v>
      </c>
    </row>
    <row r="4" spans="1:5" ht="75" customHeight="1" x14ac:dyDescent="0.25">
      <c r="A4" s="14">
        <v>2</v>
      </c>
      <c r="B4" s="15" t="s">
        <v>498</v>
      </c>
      <c r="C4" s="16" t="s">
        <v>501</v>
      </c>
      <c r="D4" s="30" t="s">
        <v>502</v>
      </c>
      <c r="E4" s="16" t="s">
        <v>655</v>
      </c>
    </row>
    <row r="5" spans="1:5" ht="75" customHeight="1" x14ac:dyDescent="0.25">
      <c r="A5" s="14">
        <v>3</v>
      </c>
      <c r="B5" s="15" t="s">
        <v>498</v>
      </c>
      <c r="C5" s="16" t="s">
        <v>503</v>
      </c>
      <c r="D5" s="30" t="s">
        <v>504</v>
      </c>
      <c r="E5" s="30" t="s">
        <v>583</v>
      </c>
    </row>
    <row r="6" spans="1:5" ht="75" customHeight="1" x14ac:dyDescent="0.25">
      <c r="A6" s="14">
        <v>4</v>
      </c>
      <c r="B6" s="15" t="s">
        <v>498</v>
      </c>
      <c r="C6" s="16" t="s">
        <v>505</v>
      </c>
      <c r="D6" s="30" t="s">
        <v>506</v>
      </c>
      <c r="E6" s="30" t="s">
        <v>674</v>
      </c>
    </row>
    <row r="7" spans="1:5" ht="75" customHeight="1" x14ac:dyDescent="0.25">
      <c r="A7" s="14">
        <v>5</v>
      </c>
      <c r="B7" s="15" t="s">
        <v>498</v>
      </c>
      <c r="C7" s="16" t="s">
        <v>507</v>
      </c>
      <c r="D7" s="30" t="s">
        <v>508</v>
      </c>
      <c r="E7" s="30" t="s">
        <v>676</v>
      </c>
    </row>
    <row r="8" spans="1:5" ht="75" customHeight="1" x14ac:dyDescent="0.25">
      <c r="A8" s="14">
        <v>6</v>
      </c>
      <c r="B8" s="15" t="s">
        <v>498</v>
      </c>
      <c r="C8" s="16" t="s">
        <v>509</v>
      </c>
      <c r="D8" s="30" t="s">
        <v>510</v>
      </c>
      <c r="E8" s="45" t="s">
        <v>659</v>
      </c>
    </row>
    <row r="9" spans="1:5" ht="75" customHeight="1" x14ac:dyDescent="0.25">
      <c r="A9" s="14">
        <v>7</v>
      </c>
      <c r="B9" s="15" t="s">
        <v>498</v>
      </c>
      <c r="C9" s="16" t="s">
        <v>511</v>
      </c>
      <c r="D9" s="30" t="s">
        <v>512</v>
      </c>
      <c r="E9" s="45" t="s">
        <v>656</v>
      </c>
    </row>
    <row r="10" spans="1:5" ht="75" customHeight="1" x14ac:dyDescent="0.25">
      <c r="A10" s="14">
        <v>8</v>
      </c>
      <c r="B10" s="15" t="s">
        <v>498</v>
      </c>
      <c r="C10" s="16" t="s">
        <v>513</v>
      </c>
      <c r="D10" s="16" t="s">
        <v>514</v>
      </c>
      <c r="E10" s="45" t="s">
        <v>658</v>
      </c>
    </row>
    <row r="11" spans="1:5" ht="75" customHeight="1" x14ac:dyDescent="0.25">
      <c r="A11" s="14">
        <v>9</v>
      </c>
      <c r="B11" s="15" t="s">
        <v>498</v>
      </c>
      <c r="C11" s="16" t="s">
        <v>515</v>
      </c>
      <c r="D11" s="16" t="s">
        <v>516</v>
      </c>
      <c r="E11" s="16" t="s">
        <v>657</v>
      </c>
    </row>
    <row r="12" spans="1:5" ht="75" customHeight="1" x14ac:dyDescent="0.25">
      <c r="A12" s="14">
        <v>10</v>
      </c>
      <c r="B12" s="15" t="s">
        <v>498</v>
      </c>
      <c r="C12" s="16" t="s">
        <v>517</v>
      </c>
      <c r="D12" s="16" t="s">
        <v>518</v>
      </c>
      <c r="E12" s="45" t="s">
        <v>660</v>
      </c>
    </row>
    <row r="13" spans="1:5" ht="75" customHeight="1" x14ac:dyDescent="0.25">
      <c r="A13" s="14">
        <v>11</v>
      </c>
      <c r="B13" s="15" t="s">
        <v>498</v>
      </c>
      <c r="C13" s="16" t="s">
        <v>519</v>
      </c>
      <c r="D13" s="16" t="s">
        <v>520</v>
      </c>
      <c r="E13" s="45" t="s">
        <v>661</v>
      </c>
    </row>
    <row r="14" spans="1:5" ht="75" customHeight="1" x14ac:dyDescent="0.25">
      <c r="A14" s="14">
        <v>12</v>
      </c>
      <c r="B14" s="15" t="s">
        <v>498</v>
      </c>
      <c r="C14" s="16" t="s">
        <v>521</v>
      </c>
      <c r="D14" s="16" t="s">
        <v>522</v>
      </c>
      <c r="E14" s="45" t="s">
        <v>662</v>
      </c>
    </row>
    <row r="15" spans="1:5" ht="75" customHeight="1" x14ac:dyDescent="0.25">
      <c r="A15" s="14">
        <v>13</v>
      </c>
      <c r="B15" s="17" t="s">
        <v>523</v>
      </c>
      <c r="C15" s="16" t="s">
        <v>524</v>
      </c>
      <c r="D15" s="16" t="s">
        <v>525</v>
      </c>
      <c r="E15" s="45" t="s">
        <v>663</v>
      </c>
    </row>
    <row r="16" spans="1:5" ht="75" customHeight="1" x14ac:dyDescent="0.25">
      <c r="A16" s="14">
        <v>14</v>
      </c>
      <c r="B16" s="17" t="s">
        <v>523</v>
      </c>
      <c r="C16" s="16" t="s">
        <v>526</v>
      </c>
      <c r="D16" s="16" t="s">
        <v>527</v>
      </c>
      <c r="E16" s="45" t="s">
        <v>664</v>
      </c>
    </row>
    <row r="17" spans="1:5" ht="75" customHeight="1" x14ac:dyDescent="0.25">
      <c r="A17" s="14">
        <v>15</v>
      </c>
      <c r="B17" s="17" t="s">
        <v>523</v>
      </c>
      <c r="C17" s="16" t="s">
        <v>528</v>
      </c>
      <c r="D17" s="16" t="s">
        <v>529</v>
      </c>
      <c r="E17" s="46" t="s">
        <v>665</v>
      </c>
    </row>
    <row r="18" spans="1:5" ht="75" customHeight="1" x14ac:dyDescent="0.25">
      <c r="A18" s="14">
        <v>16</v>
      </c>
      <c r="B18" s="18" t="s">
        <v>530</v>
      </c>
      <c r="C18" s="16" t="s">
        <v>531</v>
      </c>
      <c r="D18" s="16" t="s">
        <v>532</v>
      </c>
      <c r="E18" s="46" t="s">
        <v>666</v>
      </c>
    </row>
    <row r="19" spans="1:5" ht="75" customHeight="1" x14ac:dyDescent="0.25">
      <c r="A19" s="14">
        <v>17</v>
      </c>
      <c r="B19" s="18" t="s">
        <v>533</v>
      </c>
      <c r="C19" s="16" t="s">
        <v>534</v>
      </c>
      <c r="D19" s="16" t="s">
        <v>535</v>
      </c>
      <c r="E19" s="30" t="s">
        <v>667</v>
      </c>
    </row>
    <row r="20" spans="1:5" ht="75" customHeight="1" x14ac:dyDescent="0.25">
      <c r="A20" s="14">
        <v>18</v>
      </c>
      <c r="B20" s="18" t="s">
        <v>536</v>
      </c>
      <c r="C20" s="16" t="s">
        <v>537</v>
      </c>
      <c r="D20" s="30" t="s">
        <v>538</v>
      </c>
      <c r="E20" s="45" t="s">
        <v>668</v>
      </c>
    </row>
    <row r="21" spans="1:5" ht="75" customHeight="1" x14ac:dyDescent="0.25">
      <c r="A21" s="14">
        <v>19</v>
      </c>
      <c r="B21" s="18" t="s">
        <v>536</v>
      </c>
      <c r="C21" s="16" t="s">
        <v>539</v>
      </c>
      <c r="D21" s="30" t="s">
        <v>540</v>
      </c>
      <c r="E21" s="46" t="s">
        <v>669</v>
      </c>
    </row>
    <row r="22" spans="1:5" ht="75" customHeight="1" x14ac:dyDescent="0.25">
      <c r="A22" s="14">
        <v>20</v>
      </c>
      <c r="B22" s="18" t="s">
        <v>536</v>
      </c>
      <c r="C22" s="16" t="s">
        <v>541</v>
      </c>
      <c r="D22" s="30" t="s">
        <v>542</v>
      </c>
      <c r="E22" s="46" t="s">
        <v>670</v>
      </c>
    </row>
    <row r="23" spans="1:5" ht="75" customHeight="1" x14ac:dyDescent="0.25">
      <c r="A23" s="14">
        <v>21</v>
      </c>
      <c r="B23" s="18" t="s">
        <v>543</v>
      </c>
      <c r="C23" s="16" t="s">
        <v>544</v>
      </c>
      <c r="D23" s="30" t="s">
        <v>545</v>
      </c>
      <c r="E23" s="45" t="s">
        <v>671</v>
      </c>
    </row>
    <row r="24" spans="1:5" ht="75" customHeight="1" x14ac:dyDescent="0.25">
      <c r="A24" s="14">
        <v>22</v>
      </c>
      <c r="B24" s="18" t="s">
        <v>546</v>
      </c>
      <c r="C24" s="16" t="s">
        <v>547</v>
      </c>
      <c r="D24" s="16" t="s">
        <v>548</v>
      </c>
      <c r="E24" s="16" t="s">
        <v>680</v>
      </c>
    </row>
  </sheetData>
  <autoFilter ref="A2:E24" xr:uid="{00000000-0009-0000-0000-000003000000}"/>
  <mergeCells count="1">
    <mergeCell ref="A1:E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38"/>
  <sheetViews>
    <sheetView topLeftCell="B1" zoomScale="56" workbookViewId="0">
      <pane ySplit="2" topLeftCell="A24" activePane="bottomLeft" state="frozen"/>
      <selection pane="bottomLeft" activeCell="L58" sqref="L58"/>
    </sheetView>
  </sheetViews>
  <sheetFormatPr defaultRowHeight="15" x14ac:dyDescent="0.25"/>
  <cols>
    <col min="1" max="1" width="18.7109375" customWidth="1"/>
    <col min="2" max="2" width="19.42578125" customWidth="1"/>
    <col min="3" max="3" width="21.5703125" customWidth="1"/>
    <col min="4" max="4" width="20.85546875" customWidth="1"/>
    <col min="5" max="5" width="19.5703125" customWidth="1"/>
    <col min="6" max="6" width="23.28515625" customWidth="1"/>
    <col min="7" max="7" width="22.85546875" customWidth="1"/>
    <col min="8" max="8" width="19.42578125" customWidth="1"/>
    <col min="9" max="9" width="18.85546875" customWidth="1"/>
    <col min="10" max="10" width="21.42578125" customWidth="1"/>
    <col min="12" max="12" width="35.5703125" customWidth="1"/>
    <col min="14" max="14" width="14.85546875" customWidth="1"/>
    <col min="16" max="16" width="20.28515625" customWidth="1"/>
  </cols>
  <sheetData>
    <row r="1" spans="1:16" ht="24" customHeight="1" x14ac:dyDescent="0.25">
      <c r="A1" s="54" t="s">
        <v>415</v>
      </c>
      <c r="B1" s="50"/>
      <c r="C1" s="50"/>
      <c r="D1" s="50"/>
      <c r="E1" s="50"/>
      <c r="F1" s="50"/>
      <c r="G1" s="50"/>
      <c r="H1" s="50"/>
      <c r="I1" s="50"/>
      <c r="J1" s="50"/>
    </row>
    <row r="2" spans="1:16" x14ac:dyDescent="0.25">
      <c r="A2" s="8" t="s">
        <v>416</v>
      </c>
      <c r="B2" s="8" t="s">
        <v>417</v>
      </c>
      <c r="C2" s="8" t="s">
        <v>418</v>
      </c>
      <c r="D2" s="8" t="s">
        <v>419</v>
      </c>
      <c r="E2" s="8" t="s">
        <v>420</v>
      </c>
      <c r="F2" s="8" t="s">
        <v>421</v>
      </c>
      <c r="G2" s="8" t="s">
        <v>422</v>
      </c>
      <c r="H2" s="8" t="s">
        <v>423</v>
      </c>
      <c r="I2" s="8" t="s">
        <v>424</v>
      </c>
      <c r="J2" s="8" t="s">
        <v>49</v>
      </c>
      <c r="K2" t="s">
        <v>647</v>
      </c>
      <c r="P2" s="43" t="s">
        <v>653</v>
      </c>
    </row>
    <row r="3" spans="1:16" x14ac:dyDescent="0.25">
      <c r="A3" s="9" t="s">
        <v>425</v>
      </c>
      <c r="B3" s="9" t="s">
        <v>426</v>
      </c>
      <c r="C3" s="13">
        <v>11131</v>
      </c>
      <c r="D3" s="13">
        <v>19197</v>
      </c>
      <c r="E3" s="13">
        <v>6641</v>
      </c>
      <c r="F3" s="13">
        <v>6</v>
      </c>
      <c r="G3" s="13">
        <v>89428</v>
      </c>
      <c r="H3" s="13">
        <v>3196</v>
      </c>
      <c r="I3" s="13">
        <v>684</v>
      </c>
      <c r="J3" s="13">
        <v>1265997</v>
      </c>
      <c r="K3">
        <v>700</v>
      </c>
      <c r="L3" t="s">
        <v>645</v>
      </c>
      <c r="M3" t="b">
        <f>Sheet1!B320=ROUNDUP(1+3.322*LOG10(COUNT(I3:I38)),0)</f>
        <v>1</v>
      </c>
      <c r="P3" t="e">
        <v>#N/A</v>
      </c>
    </row>
    <row r="4" spans="1:16" x14ac:dyDescent="0.25">
      <c r="A4" s="9" t="s">
        <v>425</v>
      </c>
      <c r="B4" s="9" t="s">
        <v>426</v>
      </c>
      <c r="C4" s="13">
        <v>13363</v>
      </c>
      <c r="D4" s="13">
        <v>17180</v>
      </c>
      <c r="E4" s="13">
        <v>6441</v>
      </c>
      <c r="F4" s="13">
        <v>8</v>
      </c>
      <c r="G4" s="13">
        <v>99642</v>
      </c>
      <c r="H4" s="13">
        <v>3462</v>
      </c>
      <c r="I4" s="13">
        <v>758</v>
      </c>
      <c r="J4" s="13">
        <v>1403219</v>
      </c>
      <c r="K4">
        <v>750</v>
      </c>
      <c r="L4" t="s">
        <v>646</v>
      </c>
      <c r="M4" s="41">
        <f>MAX(MetricsData[ClosedDeals])-MIN(MetricsData[ClosedDeals])</f>
        <v>370</v>
      </c>
      <c r="P4" t="e">
        <v>#N/A</v>
      </c>
    </row>
    <row r="5" spans="1:16" x14ac:dyDescent="0.25">
      <c r="A5" s="9" t="s">
        <v>427</v>
      </c>
      <c r="B5" s="9" t="s">
        <v>428</v>
      </c>
      <c r="C5" s="13">
        <v>14465</v>
      </c>
      <c r="D5" s="13">
        <v>21064</v>
      </c>
      <c r="E5" s="13">
        <v>7562</v>
      </c>
      <c r="F5" s="13">
        <v>9</v>
      </c>
      <c r="G5" s="13">
        <v>105616</v>
      </c>
      <c r="H5" s="13">
        <v>3756</v>
      </c>
      <c r="I5" s="13">
        <v>819</v>
      </c>
      <c r="J5" s="13">
        <v>1520259</v>
      </c>
      <c r="K5">
        <v>800</v>
      </c>
      <c r="M5">
        <f>M4/M3</f>
        <v>370</v>
      </c>
      <c r="N5" s="41"/>
      <c r="P5" s="41">
        <f t="shared" ref="P5:P38" si="0">AVERAGE(J3:J5)</f>
        <v>1396491.6666666667</v>
      </c>
    </row>
    <row r="6" spans="1:16" x14ac:dyDescent="0.25">
      <c r="A6" s="9" t="s">
        <v>429</v>
      </c>
      <c r="B6" s="9" t="s">
        <v>430</v>
      </c>
      <c r="C6" s="13">
        <v>12047</v>
      </c>
      <c r="D6" s="13">
        <v>17895</v>
      </c>
      <c r="E6" s="13">
        <v>7794</v>
      </c>
      <c r="F6" s="13">
        <v>7</v>
      </c>
      <c r="G6" s="13">
        <v>98356</v>
      </c>
      <c r="H6" s="13">
        <v>3408</v>
      </c>
      <c r="I6" s="13">
        <v>748</v>
      </c>
      <c r="J6" s="13">
        <v>1378611</v>
      </c>
      <c r="K6">
        <v>850</v>
      </c>
      <c r="N6" s="41"/>
      <c r="P6" s="41">
        <f t="shared" si="0"/>
        <v>1434029.6666666667</v>
      </c>
    </row>
    <row r="7" spans="1:16" x14ac:dyDescent="0.25">
      <c r="A7" s="9" t="s">
        <v>431</v>
      </c>
      <c r="B7" s="9" t="s">
        <v>432</v>
      </c>
      <c r="C7" s="13">
        <v>11983</v>
      </c>
      <c r="D7" s="13">
        <v>18040</v>
      </c>
      <c r="E7" s="13">
        <v>8084</v>
      </c>
      <c r="F7" s="13">
        <v>9</v>
      </c>
      <c r="G7" s="13">
        <v>100046</v>
      </c>
      <c r="H7" s="13">
        <v>3529</v>
      </c>
      <c r="I7" s="13">
        <v>769</v>
      </c>
      <c r="J7" s="13">
        <v>1425157</v>
      </c>
      <c r="K7">
        <v>900</v>
      </c>
      <c r="N7" s="41"/>
      <c r="P7" s="41">
        <f t="shared" si="0"/>
        <v>1441342.3333333333</v>
      </c>
    </row>
    <row r="8" spans="1:16" x14ac:dyDescent="0.25">
      <c r="A8" s="9" t="s">
        <v>431</v>
      </c>
      <c r="B8" s="9" t="s">
        <v>432</v>
      </c>
      <c r="C8" s="13">
        <v>13106</v>
      </c>
      <c r="D8" s="13">
        <v>17027</v>
      </c>
      <c r="E8" s="13">
        <v>7705</v>
      </c>
      <c r="F8" s="13">
        <v>11</v>
      </c>
      <c r="G8" s="13">
        <v>101751</v>
      </c>
      <c r="H8" s="13">
        <v>3561</v>
      </c>
      <c r="I8" s="13">
        <v>803</v>
      </c>
      <c r="J8" s="13">
        <v>1488548</v>
      </c>
      <c r="K8">
        <v>950</v>
      </c>
      <c r="N8" s="41"/>
      <c r="P8" s="41">
        <f t="shared" si="0"/>
        <v>1430772</v>
      </c>
    </row>
    <row r="9" spans="1:16" x14ac:dyDescent="0.25">
      <c r="A9" s="9" t="s">
        <v>433</v>
      </c>
      <c r="B9" s="9" t="s">
        <v>434</v>
      </c>
      <c r="C9" s="13">
        <v>14883</v>
      </c>
      <c r="D9" s="13">
        <v>22006</v>
      </c>
      <c r="E9" s="13">
        <v>7533</v>
      </c>
      <c r="F9" s="13">
        <v>9</v>
      </c>
      <c r="G9" s="13">
        <v>111343</v>
      </c>
      <c r="H9" s="13">
        <v>3865</v>
      </c>
      <c r="I9" s="13">
        <v>851</v>
      </c>
      <c r="J9" s="13">
        <v>1579256</v>
      </c>
      <c r="K9">
        <v>1000</v>
      </c>
      <c r="N9" s="41"/>
      <c r="P9" s="41">
        <f t="shared" si="0"/>
        <v>1497653.6666666667</v>
      </c>
    </row>
    <row r="10" spans="1:16" x14ac:dyDescent="0.25">
      <c r="A10" s="9" t="s">
        <v>435</v>
      </c>
      <c r="B10" s="9" t="s">
        <v>436</v>
      </c>
      <c r="C10" s="13">
        <v>15163</v>
      </c>
      <c r="D10" s="13">
        <v>21646</v>
      </c>
      <c r="E10" s="13">
        <v>9208</v>
      </c>
      <c r="F10" s="13">
        <v>12</v>
      </c>
      <c r="G10" s="13">
        <v>106836</v>
      </c>
      <c r="H10" s="13">
        <v>3771</v>
      </c>
      <c r="I10" s="13">
        <v>832</v>
      </c>
      <c r="J10" s="13">
        <v>1538159</v>
      </c>
      <c r="K10">
        <v>1050</v>
      </c>
      <c r="N10" s="41"/>
      <c r="P10" s="41">
        <f t="shared" si="0"/>
        <v>1535321</v>
      </c>
    </row>
    <row r="11" spans="1:16" x14ac:dyDescent="0.25">
      <c r="A11" s="9" t="s">
        <v>437</v>
      </c>
      <c r="B11" s="9" t="s">
        <v>438</v>
      </c>
      <c r="C11" s="13">
        <v>15934</v>
      </c>
      <c r="D11" s="13">
        <v>20729</v>
      </c>
      <c r="E11" s="13">
        <v>8763</v>
      </c>
      <c r="F11" s="13">
        <v>11</v>
      </c>
      <c r="G11" s="13">
        <v>104089</v>
      </c>
      <c r="H11" s="13">
        <v>3651</v>
      </c>
      <c r="I11" s="13">
        <v>807</v>
      </c>
      <c r="J11" s="13">
        <v>1493262</v>
      </c>
      <c r="K11">
        <v>1100</v>
      </c>
      <c r="N11" s="41"/>
      <c r="P11" s="41">
        <f t="shared" si="0"/>
        <v>1536892.3333333333</v>
      </c>
    </row>
    <row r="12" spans="1:16" x14ac:dyDescent="0.25">
      <c r="A12" s="9" t="s">
        <v>439</v>
      </c>
      <c r="B12" s="9" t="s">
        <v>440</v>
      </c>
      <c r="C12" s="13">
        <v>16080</v>
      </c>
      <c r="D12" s="13">
        <v>18663</v>
      </c>
      <c r="E12" s="13">
        <v>7958</v>
      </c>
      <c r="F12" s="13">
        <v>13</v>
      </c>
      <c r="G12" s="13">
        <v>102145</v>
      </c>
      <c r="H12" s="13">
        <v>3570</v>
      </c>
      <c r="I12" s="13">
        <v>779</v>
      </c>
      <c r="J12" s="13">
        <v>1439547</v>
      </c>
      <c r="N12" s="41"/>
      <c r="P12" s="41">
        <f t="shared" si="0"/>
        <v>1490322.6666666667</v>
      </c>
    </row>
    <row r="13" spans="1:16" x14ac:dyDescent="0.25">
      <c r="A13" s="9" t="s">
        <v>441</v>
      </c>
      <c r="B13" s="9" t="s">
        <v>442</v>
      </c>
      <c r="C13" s="13">
        <v>16504</v>
      </c>
      <c r="D13" s="13">
        <v>19373</v>
      </c>
      <c r="E13" s="13">
        <v>10130</v>
      </c>
      <c r="F13" s="13">
        <v>13</v>
      </c>
      <c r="G13" s="13">
        <v>106720</v>
      </c>
      <c r="H13" s="13">
        <v>3692</v>
      </c>
      <c r="I13" s="13">
        <v>806</v>
      </c>
      <c r="J13" s="13">
        <v>1490544</v>
      </c>
      <c r="N13" s="41"/>
      <c r="P13" s="41">
        <f t="shared" si="0"/>
        <v>1474451</v>
      </c>
    </row>
    <row r="14" spans="1:16" x14ac:dyDescent="0.25">
      <c r="A14" s="9" t="s">
        <v>443</v>
      </c>
      <c r="B14" s="9" t="s">
        <v>444</v>
      </c>
      <c r="C14" s="13">
        <v>17520</v>
      </c>
      <c r="D14" s="13">
        <v>20617</v>
      </c>
      <c r="E14" s="13">
        <v>10155</v>
      </c>
      <c r="F14" s="13">
        <v>10</v>
      </c>
      <c r="G14" s="13">
        <v>109284</v>
      </c>
      <c r="H14" s="13">
        <v>3872</v>
      </c>
      <c r="I14" s="13">
        <v>849</v>
      </c>
      <c r="J14" s="13">
        <v>1575856</v>
      </c>
      <c r="N14" s="41"/>
      <c r="P14" s="41">
        <f t="shared" si="0"/>
        <v>1501982.3333333333</v>
      </c>
    </row>
    <row r="15" spans="1:16" x14ac:dyDescent="0.25">
      <c r="A15" s="9" t="s">
        <v>445</v>
      </c>
      <c r="B15" s="9" t="s">
        <v>446</v>
      </c>
      <c r="C15" s="13">
        <v>15332</v>
      </c>
      <c r="D15" s="13">
        <v>19004</v>
      </c>
      <c r="E15" s="13">
        <v>10050</v>
      </c>
      <c r="F15" s="13">
        <v>12</v>
      </c>
      <c r="G15" s="13">
        <v>104252</v>
      </c>
      <c r="H15" s="13">
        <v>3570</v>
      </c>
      <c r="I15" s="13">
        <v>791</v>
      </c>
      <c r="J15" s="13">
        <v>1472146</v>
      </c>
      <c r="N15" s="41"/>
      <c r="P15" s="41">
        <f t="shared" si="0"/>
        <v>1512848.6666666667</v>
      </c>
    </row>
    <row r="16" spans="1:16" x14ac:dyDescent="0.25">
      <c r="A16" s="9" t="s">
        <v>447</v>
      </c>
      <c r="B16" s="9" t="s">
        <v>448</v>
      </c>
      <c r="C16" s="13">
        <v>16530</v>
      </c>
      <c r="D16" s="13">
        <v>20901</v>
      </c>
      <c r="E16" s="13">
        <v>10230</v>
      </c>
      <c r="F16" s="13">
        <v>10</v>
      </c>
      <c r="G16" s="13">
        <v>106434</v>
      </c>
      <c r="H16" s="13">
        <v>3661</v>
      </c>
      <c r="I16" s="13">
        <v>802</v>
      </c>
      <c r="J16" s="13">
        <v>1489287</v>
      </c>
      <c r="N16" s="41"/>
      <c r="P16" s="41">
        <f t="shared" si="0"/>
        <v>1512429.6666666667</v>
      </c>
    </row>
    <row r="17" spans="1:16" x14ac:dyDescent="0.25">
      <c r="A17" s="9" t="s">
        <v>449</v>
      </c>
      <c r="B17" s="9" t="s">
        <v>450</v>
      </c>
      <c r="C17" s="13">
        <v>16312</v>
      </c>
      <c r="D17" s="13">
        <v>21681</v>
      </c>
      <c r="E17" s="13">
        <v>10926</v>
      </c>
      <c r="F17" s="13">
        <v>14</v>
      </c>
      <c r="G17" s="13">
        <v>102300</v>
      </c>
      <c r="H17" s="13">
        <v>3567</v>
      </c>
      <c r="I17" s="13">
        <v>800</v>
      </c>
      <c r="J17" s="13">
        <v>1477384</v>
      </c>
      <c r="N17" s="41"/>
      <c r="P17" s="41">
        <f t="shared" si="0"/>
        <v>1479605.6666666667</v>
      </c>
    </row>
    <row r="18" spans="1:16" x14ac:dyDescent="0.25">
      <c r="A18" s="9" t="s">
        <v>451</v>
      </c>
      <c r="B18" s="9" t="s">
        <v>452</v>
      </c>
      <c r="C18" s="13">
        <v>17029</v>
      </c>
      <c r="D18" s="13">
        <v>20637</v>
      </c>
      <c r="E18" s="13">
        <v>10760</v>
      </c>
      <c r="F18" s="13">
        <v>15</v>
      </c>
      <c r="G18" s="13">
        <v>111738</v>
      </c>
      <c r="H18" s="13">
        <v>3900</v>
      </c>
      <c r="I18" s="13">
        <v>864</v>
      </c>
      <c r="J18" s="13">
        <v>1602204</v>
      </c>
      <c r="N18" s="41"/>
      <c r="P18" s="41">
        <f t="shared" si="0"/>
        <v>1522958.3333333333</v>
      </c>
    </row>
    <row r="19" spans="1:16" x14ac:dyDescent="0.25">
      <c r="A19" s="9" t="s">
        <v>453</v>
      </c>
      <c r="B19" s="9" t="s">
        <v>454</v>
      </c>
      <c r="C19" s="13">
        <v>17979</v>
      </c>
      <c r="D19" s="13">
        <v>20843</v>
      </c>
      <c r="E19" s="13">
        <v>10481</v>
      </c>
      <c r="F19" s="13">
        <v>13</v>
      </c>
      <c r="G19" s="13">
        <v>106590</v>
      </c>
      <c r="H19" s="13">
        <v>3744</v>
      </c>
      <c r="I19" s="13">
        <v>830</v>
      </c>
      <c r="J19" s="13">
        <v>1539006</v>
      </c>
      <c r="N19" s="41"/>
      <c r="P19" s="41">
        <f t="shared" si="0"/>
        <v>1539531.3333333333</v>
      </c>
    </row>
    <row r="20" spans="1:16" x14ac:dyDescent="0.25">
      <c r="A20" s="9" t="s">
        <v>455</v>
      </c>
      <c r="B20" s="9" t="s">
        <v>456</v>
      </c>
      <c r="C20" s="13">
        <v>17511</v>
      </c>
      <c r="D20" s="13">
        <v>23907</v>
      </c>
      <c r="E20" s="13">
        <v>12019</v>
      </c>
      <c r="F20" s="13">
        <v>14</v>
      </c>
      <c r="G20" s="13">
        <v>111945</v>
      </c>
      <c r="H20" s="13">
        <v>3923</v>
      </c>
      <c r="I20" s="13">
        <v>873</v>
      </c>
      <c r="J20" s="13">
        <v>1618509</v>
      </c>
      <c r="N20" s="41"/>
      <c r="P20" s="41">
        <f t="shared" si="0"/>
        <v>1586573</v>
      </c>
    </row>
    <row r="21" spans="1:16" x14ac:dyDescent="0.25">
      <c r="A21" s="9" t="s">
        <v>457</v>
      </c>
      <c r="B21" s="9" t="s">
        <v>458</v>
      </c>
      <c r="C21" s="13">
        <v>18745</v>
      </c>
      <c r="D21" s="13">
        <v>21706</v>
      </c>
      <c r="E21" s="13">
        <v>11768</v>
      </c>
      <c r="F21" s="13">
        <v>18</v>
      </c>
      <c r="G21" s="13">
        <v>115538</v>
      </c>
      <c r="H21" s="13">
        <v>4050</v>
      </c>
      <c r="I21" s="13">
        <v>893</v>
      </c>
      <c r="J21" s="13">
        <v>1655571</v>
      </c>
      <c r="N21" s="41"/>
      <c r="P21" s="41">
        <f t="shared" si="0"/>
        <v>1604362</v>
      </c>
    </row>
    <row r="22" spans="1:16" x14ac:dyDescent="0.25">
      <c r="A22" s="9" t="s">
        <v>459</v>
      </c>
      <c r="B22" s="9" t="s">
        <v>460</v>
      </c>
      <c r="C22" s="13">
        <v>17520</v>
      </c>
      <c r="D22" s="13">
        <v>19928</v>
      </c>
      <c r="E22" s="13">
        <v>11310</v>
      </c>
      <c r="F22" s="13">
        <v>16</v>
      </c>
      <c r="G22" s="13">
        <v>115287</v>
      </c>
      <c r="H22" s="13">
        <v>4014</v>
      </c>
      <c r="I22" s="13">
        <v>894</v>
      </c>
      <c r="J22" s="13">
        <v>1656170</v>
      </c>
      <c r="N22" s="41"/>
      <c r="P22" s="41">
        <f t="shared" si="0"/>
        <v>1643416.6666666667</v>
      </c>
    </row>
    <row r="23" spans="1:16" x14ac:dyDescent="0.25">
      <c r="A23" s="9" t="s">
        <v>461</v>
      </c>
      <c r="B23" s="9" t="s">
        <v>462</v>
      </c>
      <c r="C23" s="13">
        <v>19016</v>
      </c>
      <c r="D23" s="13">
        <v>22167</v>
      </c>
      <c r="E23" s="13">
        <v>12167</v>
      </c>
      <c r="F23" s="13">
        <v>17</v>
      </c>
      <c r="G23" s="13">
        <v>123164</v>
      </c>
      <c r="H23" s="13">
        <v>4275</v>
      </c>
      <c r="I23" s="13">
        <v>953</v>
      </c>
      <c r="J23" s="13">
        <v>1763165</v>
      </c>
      <c r="N23" s="41"/>
      <c r="P23" s="41">
        <f t="shared" si="0"/>
        <v>1691635.3333333333</v>
      </c>
    </row>
    <row r="24" spans="1:16" x14ac:dyDescent="0.25">
      <c r="A24" s="9" t="s">
        <v>463</v>
      </c>
      <c r="B24" s="9" t="s">
        <v>464</v>
      </c>
      <c r="C24" s="13">
        <v>19413</v>
      </c>
      <c r="D24" s="13">
        <v>22291</v>
      </c>
      <c r="E24" s="13">
        <v>11856</v>
      </c>
      <c r="F24" s="13">
        <v>16</v>
      </c>
      <c r="G24" s="13">
        <v>120464</v>
      </c>
      <c r="H24" s="13">
        <v>4219</v>
      </c>
      <c r="I24" s="13">
        <v>931</v>
      </c>
      <c r="J24" s="13">
        <v>1728942</v>
      </c>
      <c r="N24" s="41"/>
      <c r="P24" s="41">
        <f t="shared" si="0"/>
        <v>1716092.3333333333</v>
      </c>
    </row>
    <row r="25" spans="1:16" x14ac:dyDescent="0.25">
      <c r="A25" s="9" t="s">
        <v>465</v>
      </c>
      <c r="B25" s="9" t="s">
        <v>466</v>
      </c>
      <c r="C25" s="13">
        <v>19946</v>
      </c>
      <c r="D25" s="13">
        <v>22107</v>
      </c>
      <c r="E25" s="13">
        <v>12464</v>
      </c>
      <c r="F25" s="13">
        <v>17</v>
      </c>
      <c r="G25" s="13">
        <v>126206</v>
      </c>
      <c r="H25" s="13">
        <v>4476</v>
      </c>
      <c r="I25" s="13">
        <v>996</v>
      </c>
      <c r="J25" s="13">
        <v>1844695</v>
      </c>
      <c r="N25" s="41"/>
      <c r="P25" s="41">
        <f t="shared" si="0"/>
        <v>1778934</v>
      </c>
    </row>
    <row r="26" spans="1:16" x14ac:dyDescent="0.25">
      <c r="A26" s="9" t="s">
        <v>467</v>
      </c>
      <c r="B26" s="9" t="s">
        <v>468</v>
      </c>
      <c r="C26" s="13">
        <v>19611</v>
      </c>
      <c r="D26" s="13">
        <v>19992</v>
      </c>
      <c r="E26" s="13">
        <v>12666</v>
      </c>
      <c r="F26" s="13">
        <v>16</v>
      </c>
      <c r="G26" s="13">
        <v>124008</v>
      </c>
      <c r="H26" s="13">
        <v>4356</v>
      </c>
      <c r="I26" s="13">
        <v>960</v>
      </c>
      <c r="J26" s="13">
        <v>1778867</v>
      </c>
      <c r="N26" s="41"/>
      <c r="P26" s="41">
        <f t="shared" si="0"/>
        <v>1784168</v>
      </c>
    </row>
    <row r="27" spans="1:16" x14ac:dyDescent="0.25">
      <c r="A27" s="9" t="s">
        <v>469</v>
      </c>
      <c r="B27" s="9" t="s">
        <v>470</v>
      </c>
      <c r="C27" s="13">
        <v>20560</v>
      </c>
      <c r="D27" s="13">
        <v>23129</v>
      </c>
      <c r="E27" s="13">
        <v>13319</v>
      </c>
      <c r="F27" s="13">
        <v>13</v>
      </c>
      <c r="G27" s="13">
        <v>129326</v>
      </c>
      <c r="H27" s="13">
        <v>4522</v>
      </c>
      <c r="I27" s="13">
        <v>992</v>
      </c>
      <c r="J27" s="13">
        <v>1837739</v>
      </c>
      <c r="N27" s="41"/>
      <c r="P27" s="41">
        <f t="shared" si="0"/>
        <v>1820433.6666666667</v>
      </c>
    </row>
    <row r="28" spans="1:16" x14ac:dyDescent="0.25">
      <c r="A28" s="9" t="s">
        <v>471</v>
      </c>
      <c r="B28" s="9" t="s">
        <v>472</v>
      </c>
      <c r="C28" s="13">
        <v>21313</v>
      </c>
      <c r="D28" s="13">
        <v>22782</v>
      </c>
      <c r="E28" s="13">
        <v>14600</v>
      </c>
      <c r="F28" s="13">
        <v>19</v>
      </c>
      <c r="G28" s="13">
        <v>133570</v>
      </c>
      <c r="H28" s="13">
        <v>4667</v>
      </c>
      <c r="I28" s="13">
        <v>1026</v>
      </c>
      <c r="J28" s="13">
        <v>1899009</v>
      </c>
      <c r="N28" s="41"/>
      <c r="P28" s="41">
        <f t="shared" si="0"/>
        <v>1838538.3333333333</v>
      </c>
    </row>
    <row r="29" spans="1:16" x14ac:dyDescent="0.25">
      <c r="A29" s="9" t="s">
        <v>473</v>
      </c>
      <c r="B29" s="9" t="s">
        <v>474</v>
      </c>
      <c r="C29" s="13">
        <v>21024</v>
      </c>
      <c r="D29" s="13">
        <v>24054</v>
      </c>
      <c r="E29" s="13">
        <v>14070</v>
      </c>
      <c r="F29" s="13">
        <v>19</v>
      </c>
      <c r="G29" s="13">
        <v>130843</v>
      </c>
      <c r="H29" s="13">
        <v>4523</v>
      </c>
      <c r="I29" s="13">
        <v>990</v>
      </c>
      <c r="J29" s="13">
        <v>1838684</v>
      </c>
      <c r="N29" s="41"/>
      <c r="P29" s="41">
        <f t="shared" si="0"/>
        <v>1858477.3333333333</v>
      </c>
    </row>
    <row r="30" spans="1:16" x14ac:dyDescent="0.25">
      <c r="A30" s="9" t="s">
        <v>475</v>
      </c>
      <c r="B30" s="9" t="s">
        <v>476</v>
      </c>
      <c r="C30" s="13">
        <v>22167</v>
      </c>
      <c r="D30" s="13">
        <v>24384</v>
      </c>
      <c r="E30" s="13">
        <v>13679</v>
      </c>
      <c r="F30" s="13">
        <v>19</v>
      </c>
      <c r="G30" s="13">
        <v>127918</v>
      </c>
      <c r="H30" s="13">
        <v>4455</v>
      </c>
      <c r="I30" s="13">
        <v>978</v>
      </c>
      <c r="J30" s="13">
        <v>1811721</v>
      </c>
      <c r="N30" s="41"/>
      <c r="P30" s="41">
        <f t="shared" si="0"/>
        <v>1849804.6666666667</v>
      </c>
    </row>
    <row r="31" spans="1:16" x14ac:dyDescent="0.25">
      <c r="A31" s="9" t="s">
        <v>477</v>
      </c>
      <c r="B31" s="9" t="s">
        <v>478</v>
      </c>
      <c r="C31" s="13">
        <v>22565</v>
      </c>
      <c r="D31" s="13">
        <v>22458</v>
      </c>
      <c r="E31" s="13">
        <v>13907</v>
      </c>
      <c r="F31" s="13">
        <v>17</v>
      </c>
      <c r="G31" s="13">
        <v>126432</v>
      </c>
      <c r="H31" s="13">
        <v>4430</v>
      </c>
      <c r="I31" s="13">
        <v>962</v>
      </c>
      <c r="J31" s="13">
        <v>1784969</v>
      </c>
      <c r="N31" s="41"/>
      <c r="P31" s="41">
        <f t="shared" si="0"/>
        <v>1811791.3333333333</v>
      </c>
    </row>
    <row r="32" spans="1:16" x14ac:dyDescent="0.25">
      <c r="A32" s="9" t="s">
        <v>479</v>
      </c>
      <c r="B32" s="9" t="s">
        <v>480</v>
      </c>
      <c r="C32" s="13">
        <v>21953</v>
      </c>
      <c r="D32" s="13">
        <v>24463</v>
      </c>
      <c r="E32" s="13">
        <v>14781</v>
      </c>
      <c r="F32" s="13">
        <v>19</v>
      </c>
      <c r="G32" s="13">
        <v>133611</v>
      </c>
      <c r="H32" s="13">
        <v>4669</v>
      </c>
      <c r="I32" s="13">
        <v>1032</v>
      </c>
      <c r="J32" s="13">
        <v>1911995</v>
      </c>
      <c r="N32" s="41"/>
      <c r="P32" s="41">
        <f t="shared" si="0"/>
        <v>1836228.3333333333</v>
      </c>
    </row>
    <row r="33" spans="1:16" x14ac:dyDescent="0.25">
      <c r="A33" s="9" t="s">
        <v>481</v>
      </c>
      <c r="B33" s="9" t="s">
        <v>482</v>
      </c>
      <c r="C33" s="13">
        <v>22733</v>
      </c>
      <c r="D33" s="13">
        <v>24936</v>
      </c>
      <c r="E33" s="13">
        <v>15025</v>
      </c>
      <c r="F33" s="13">
        <v>19</v>
      </c>
      <c r="G33" s="13">
        <v>132524</v>
      </c>
      <c r="H33" s="13">
        <v>4626</v>
      </c>
      <c r="I33" s="13">
        <v>1023</v>
      </c>
      <c r="J33" s="13">
        <v>1890579</v>
      </c>
      <c r="N33" s="41"/>
      <c r="P33" s="41">
        <f t="shared" si="0"/>
        <v>1862514.3333333333</v>
      </c>
    </row>
    <row r="34" spans="1:16" x14ac:dyDescent="0.25">
      <c r="A34" s="9" t="s">
        <v>483</v>
      </c>
      <c r="B34" s="9" t="s">
        <v>484</v>
      </c>
      <c r="C34" s="13">
        <v>21678</v>
      </c>
      <c r="D34" s="13">
        <v>25256</v>
      </c>
      <c r="E34" s="13">
        <v>16111</v>
      </c>
      <c r="F34" s="13">
        <v>22</v>
      </c>
      <c r="G34" s="13">
        <v>128628</v>
      </c>
      <c r="H34" s="13">
        <v>4434</v>
      </c>
      <c r="I34" s="13">
        <v>981</v>
      </c>
      <c r="J34" s="13">
        <v>1817900</v>
      </c>
      <c r="N34" s="41"/>
      <c r="P34" s="41">
        <f t="shared" si="0"/>
        <v>1873491.3333333333</v>
      </c>
    </row>
    <row r="35" spans="1:16" x14ac:dyDescent="0.25">
      <c r="A35" s="9" t="s">
        <v>485</v>
      </c>
      <c r="B35" s="9" t="s">
        <v>486</v>
      </c>
      <c r="C35" s="13">
        <v>23673</v>
      </c>
      <c r="D35" s="13">
        <v>25178</v>
      </c>
      <c r="E35" s="13">
        <v>15475</v>
      </c>
      <c r="F35" s="13">
        <v>25</v>
      </c>
      <c r="G35" s="13">
        <v>132013</v>
      </c>
      <c r="H35" s="13">
        <v>4614</v>
      </c>
      <c r="I35" s="13">
        <v>1014</v>
      </c>
      <c r="J35" s="13">
        <v>1877992</v>
      </c>
      <c r="N35" s="41"/>
      <c r="P35" s="41">
        <f t="shared" si="0"/>
        <v>1862157</v>
      </c>
    </row>
    <row r="36" spans="1:16" x14ac:dyDescent="0.25">
      <c r="A36" s="9" t="s">
        <v>487</v>
      </c>
      <c r="B36" s="9" t="s">
        <v>488</v>
      </c>
      <c r="C36" s="13">
        <v>24342</v>
      </c>
      <c r="D36" s="13">
        <v>24835</v>
      </c>
      <c r="E36" s="13">
        <v>16058</v>
      </c>
      <c r="F36" s="13">
        <v>22</v>
      </c>
      <c r="G36" s="13">
        <v>137701</v>
      </c>
      <c r="H36" s="13">
        <v>4836</v>
      </c>
      <c r="I36" s="13">
        <v>1054</v>
      </c>
      <c r="J36" s="13">
        <v>1950235</v>
      </c>
      <c r="N36" s="41"/>
      <c r="P36" s="41">
        <f t="shared" si="0"/>
        <v>1882042.3333333333</v>
      </c>
    </row>
    <row r="37" spans="1:16" x14ac:dyDescent="0.25">
      <c r="A37" s="9" t="s">
        <v>489</v>
      </c>
      <c r="B37" s="9" t="s">
        <v>490</v>
      </c>
      <c r="C37" s="13">
        <v>25027</v>
      </c>
      <c r="D37" s="13">
        <v>24750</v>
      </c>
      <c r="E37" s="13">
        <v>15360</v>
      </c>
      <c r="F37" s="13">
        <v>21</v>
      </c>
      <c r="G37" s="13">
        <v>137767</v>
      </c>
      <c r="H37" s="13">
        <v>4765</v>
      </c>
      <c r="I37" s="13">
        <v>1041</v>
      </c>
      <c r="J37" s="13">
        <v>1927937</v>
      </c>
      <c r="N37" s="41"/>
      <c r="P37" s="41">
        <f t="shared" si="0"/>
        <v>1918721.3333333333</v>
      </c>
    </row>
    <row r="38" spans="1:16" x14ac:dyDescent="0.25">
      <c r="A38" s="9" t="s">
        <v>491</v>
      </c>
      <c r="B38" s="9" t="s">
        <v>492</v>
      </c>
      <c r="C38" s="13">
        <v>23249</v>
      </c>
      <c r="D38" s="13">
        <v>24279</v>
      </c>
      <c r="E38" s="13">
        <v>15541</v>
      </c>
      <c r="F38" s="13">
        <v>21</v>
      </c>
      <c r="G38" s="13">
        <v>130625</v>
      </c>
      <c r="H38" s="13">
        <v>4545</v>
      </c>
      <c r="I38" s="13">
        <v>987</v>
      </c>
      <c r="J38" s="13">
        <v>1832571</v>
      </c>
      <c r="N38" s="41"/>
      <c r="P38" s="41">
        <f t="shared" si="0"/>
        <v>1903581</v>
      </c>
    </row>
  </sheetData>
  <mergeCells count="1">
    <mergeCell ref="A1:J1"/>
  </mergeCells>
  <pageMargins left="0.75" right="0.75" top="1" bottom="1" header="0.5" footer="0.5"/>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65"/>
  <sheetViews>
    <sheetView workbookViewId="0">
      <selection activeCell="E6" sqref="E6"/>
    </sheetView>
  </sheetViews>
  <sheetFormatPr defaultRowHeight="15" x14ac:dyDescent="0.25"/>
  <cols>
    <col min="1" max="1" width="18" customWidth="1"/>
    <col min="2" max="14" width="14" customWidth="1"/>
  </cols>
  <sheetData>
    <row r="1" spans="1:8" ht="25.9" customHeight="1" x14ac:dyDescent="0.25">
      <c r="A1" s="59" t="s">
        <v>549</v>
      </c>
      <c r="B1" s="50"/>
      <c r="C1" s="50"/>
      <c r="D1" s="50"/>
      <c r="E1" s="50"/>
      <c r="F1" s="50"/>
      <c r="G1" s="50"/>
      <c r="H1" s="50"/>
    </row>
    <row r="2" spans="1:8" x14ac:dyDescent="0.25">
      <c r="A2" s="53" t="s">
        <v>550</v>
      </c>
      <c r="B2" s="50"/>
      <c r="C2" s="50"/>
      <c r="D2" s="50"/>
      <c r="E2" s="50"/>
      <c r="F2" s="50"/>
      <c r="G2" s="50"/>
      <c r="H2" s="50"/>
    </row>
    <row r="4" spans="1:8" ht="15.75" x14ac:dyDescent="0.25">
      <c r="A4" s="19" t="s">
        <v>551</v>
      </c>
    </row>
    <row r="5" spans="1:8" x14ac:dyDescent="0.25">
      <c r="A5" s="20" t="s">
        <v>552</v>
      </c>
    </row>
    <row r="6" spans="1:8" x14ac:dyDescent="0.25">
      <c r="A6" s="20" t="s">
        <v>553</v>
      </c>
    </row>
    <row r="8" spans="1:8" ht="15.75" x14ac:dyDescent="0.25">
      <c r="A8" s="19" t="s">
        <v>554</v>
      </c>
    </row>
    <row r="10" spans="1:8" x14ac:dyDescent="0.25">
      <c r="A10" s="60" t="s">
        <v>555</v>
      </c>
      <c r="B10" s="50"/>
      <c r="C10" s="50"/>
      <c r="D10" s="50"/>
    </row>
    <row r="28" spans="1:4" x14ac:dyDescent="0.25">
      <c r="A28" s="61" t="s">
        <v>556</v>
      </c>
      <c r="B28" s="50"/>
      <c r="C28" s="50"/>
      <c r="D28" s="50"/>
    </row>
    <row r="45" spans="1:4" x14ac:dyDescent="0.25">
      <c r="A45" s="57" t="s">
        <v>557</v>
      </c>
      <c r="B45" s="50"/>
      <c r="C45" s="50"/>
      <c r="D45" s="50"/>
    </row>
    <row r="65" spans="1:4" x14ac:dyDescent="0.25">
      <c r="A65" s="58" t="s">
        <v>558</v>
      </c>
      <c r="B65" s="50"/>
      <c r="C65" s="50"/>
      <c r="D65" s="50"/>
    </row>
  </sheetData>
  <mergeCells count="6">
    <mergeCell ref="A45:D45"/>
    <mergeCell ref="A2:H2"/>
    <mergeCell ref="A65:D65"/>
    <mergeCell ref="A1:H1"/>
    <mergeCell ref="A10:D10"/>
    <mergeCell ref="A28:D2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vt:lpstr>
      <vt:lpstr>Detail1</vt:lpstr>
      <vt:lpstr>Sheet1</vt:lpstr>
      <vt:lpstr>Sales Data</vt:lpstr>
      <vt:lpstr>Questions</vt:lpstr>
      <vt:lpstr>Metric Data</vt:lpstr>
      <vt:lpstr>Workspace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BADAL LAD</cp:lastModifiedBy>
  <dcterms:created xsi:type="dcterms:W3CDTF">2026-08-22T08:38:34Z</dcterms:created>
  <dcterms:modified xsi:type="dcterms:W3CDTF">2026-08-24T17:27:54Z</dcterms:modified>
</cp:coreProperties>
</file>