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Class-UpGrad\Excle\"/>
    </mc:Choice>
  </mc:AlternateContent>
  <xr:revisionPtr revIDLastSave="0" documentId="13_ncr:1_{A3B4D843-44DF-49E1-A79A-0FF2C16CB373}" xr6:coauthVersionLast="47" xr6:coauthVersionMax="47" xr10:uidLastSave="{00000000-0000-0000-0000-000000000000}"/>
  <bookViews>
    <workbookView xWindow="-120" yWindow="-120" windowWidth="29040" windowHeight="15720" activeTab="7" xr2:uid="{7D65AE5E-B855-4ACF-991B-4713640FBF75}"/>
  </bookViews>
  <sheets>
    <sheet name="SumIF" sheetId="15" r:id="rId1"/>
    <sheet name="AverageIF" sheetId="23" r:id="rId2"/>
    <sheet name="CountIF" sheetId="24" r:id="rId3"/>
    <sheet name="SumIFS" sheetId="25" r:id="rId4"/>
    <sheet name="AverageIFS" sheetId="32" r:id="rId5"/>
    <sheet name="CountIFS" sheetId="31" r:id="rId6"/>
    <sheet name="MaxIFS" sheetId="33" r:id="rId7"/>
    <sheet name="MinIFS" sheetId="34" r:id="rId8"/>
    <sheet name="IFS" sheetId="1" state="hidden" r:id="rId9"/>
    <sheet name="NESTED IF" sheetId="36" state="hidden" r:id="rId10"/>
  </sheets>
  <definedNames>
    <definedName name="_xlnm._FilterDatabase" localSheetId="0" hidden="1">SumIF!$B$4:$E$16</definedName>
    <definedName name="_xlnm._FilterDatabase" localSheetId="3" hidden="1">SumIFS!$B$3:$E$15</definedName>
    <definedName name="Z_0458C18D_9EF5_4516_9145_CA54D8EB1865_.wvu.FilterData" localSheetId="0" hidden="1">SumIF!$B$4:$E$16</definedName>
    <definedName name="Z_0458C18D_9EF5_4516_9145_CA54D8EB1865_.wvu.FilterData" localSheetId="3" hidden="1">SumIFS!$B$3:$E$15</definedName>
    <definedName name="Z_08E755F8_82E9_4D95_862B_81F55FBDDDF6_.wvu.FilterData" localSheetId="0" hidden="1">SumIF!$B$4:$E$16</definedName>
    <definedName name="Z_08E755F8_82E9_4D95_862B_81F55FBDDDF6_.wvu.FilterData" localSheetId="3" hidden="1">SumIFS!$B$3:$E$15</definedName>
    <definedName name="Z_0BF42E77_7016_4BE4_A5AB_A49974630D91_.wvu.FilterData" localSheetId="0" hidden="1">SumIF!$B$4:$E$16</definedName>
    <definedName name="Z_0BF42E77_7016_4BE4_A5AB_A49974630D91_.wvu.FilterData" localSheetId="3" hidden="1">SumIFS!$B$3:$E$15</definedName>
    <definedName name="Z_0E02FCC8_6440_4859_9F6B_C77617EF5D89_.wvu.FilterData" localSheetId="0" hidden="1">SumIF!$B$4:$E$16</definedName>
    <definedName name="Z_0E02FCC8_6440_4859_9F6B_C77617EF5D89_.wvu.FilterData" localSheetId="3" hidden="1">SumIFS!$B$3:$E$15</definedName>
    <definedName name="Z_86D36E03_787A_41EB_85FF_8BB8A222055B_.wvu.FilterData" localSheetId="0" hidden="1">SumIF!$B$4:$E$16</definedName>
    <definedName name="Z_86D36E03_787A_41EB_85FF_8BB8A222055B_.wvu.FilterData" localSheetId="3" hidden="1">SumIFS!$B$3:$E$15</definedName>
    <definedName name="Z_B19B24CB_B859_49E3_8AE0_2D671510EE4F_.wvu.FilterData" localSheetId="0" hidden="1">SumIF!$B$4:$E$16</definedName>
    <definedName name="Z_B19B24CB_B859_49E3_8AE0_2D671510EE4F_.wvu.FilterData" localSheetId="3" hidden="1">SumIFS!$B$3:$E$15</definedName>
    <definedName name="Z_C453A932_6110_4A84_A9C2_26C809391387_.wvu.FilterData" localSheetId="0" hidden="1">SumIF!$B$4:$E$16</definedName>
    <definedName name="Z_C453A932_6110_4A84_A9C2_26C809391387_.wvu.FilterData" localSheetId="3" hidden="1">SumIFS!$B$3:$E$15</definedName>
    <definedName name="Z_D9413B31_FDB2_4AE8_80A8_7F09954E703C_.wvu.FilterData" localSheetId="0" hidden="1">SumIF!$B$4:$E$16</definedName>
    <definedName name="Z_D9413B31_FDB2_4AE8_80A8_7F09954E703C_.wvu.FilterData" localSheetId="3" hidden="1">SumIFS!$B$3:$E$15</definedName>
    <definedName name="Z_DFE0B66A_2DCB_4802_A91B_F836707AD43C_.wvu.FilterData" localSheetId="0" hidden="1">SumIF!$B$4:$E$16</definedName>
    <definedName name="Z_DFE0B66A_2DCB_4802_A91B_F836707AD43C_.wvu.FilterData" localSheetId="3" hidden="1">SumIFS!$B$3:$E$15</definedName>
    <definedName name="Z_EE811897_5BF5_4321_9879_5B7EDF90A350_.wvu.FilterData" localSheetId="0" hidden="1">SumIF!$B$4:$E$16</definedName>
    <definedName name="Z_EE811897_5BF5_4321_9879_5B7EDF90A350_.wvu.FilterData" localSheetId="3" hidden="1">SumIFS!$B$3:$E$15</definedName>
    <definedName name="Z_FF03E81F_A9A8_4546_A9C3_77A6EEA02ED9_.wvu.FilterData" localSheetId="0" hidden="1">SumIF!$B$4:$E$16</definedName>
    <definedName name="Z_FF03E81F_A9A8_4546_A9C3_77A6EEA02ED9_.wvu.FilterData" localSheetId="3" hidden="1">SumIFS!$B$3:$E$15</definedName>
  </definedNames>
  <calcPr calcId="191029"/>
  <customWorkbookViews>
    <customWorkbookView name="countif6" guid="{576A445C-3D9A-438D-AC68-B679E3D65634}" maximized="1" xWindow="-8" yWindow="-8" windowWidth="1382" windowHeight="744" activeSheetId="24"/>
    <customWorkbookView name="countif5" guid="{C1FEC2CE-0AE0-4F12-8438-BD3D230D3830}" maximized="1" xWindow="-8" yWindow="-8" windowWidth="1382" windowHeight="744" activeSheetId="24"/>
    <customWorkbookView name="countif4" guid="{A3C7F73E-8288-4122-801A-9A426BB0DFB8}" maximized="1" xWindow="-8" yWindow="-8" windowWidth="1382" windowHeight="744" activeSheetId="24"/>
    <customWorkbookView name="countif3" guid="{F102CDDA-1DB7-4BD5-8A8F-CD5640485596}" maximized="1" xWindow="-8" yWindow="-8" windowWidth="1382" windowHeight="744" activeSheetId="24"/>
    <customWorkbookView name="countif2" guid="{E18774DE-EF27-4708-91D7-FE2A7EE4C992}" maximized="1" xWindow="-8" yWindow="-8" windowWidth="1382" windowHeight="744" activeSheetId="24"/>
    <customWorkbookView name="countif1" guid="{E3977DAC-58A9-43A5-A2CD-037AE84A3934}" maximized="1" xWindow="-8" yWindow="-8" windowWidth="1382" windowHeight="744" activeSheetId="24"/>
    <customWorkbookView name="averageif6" guid="{0BFB30CE-F6D9-44B3-99BA-62858BF46600}" maximized="1" xWindow="-8" yWindow="-8" windowWidth="1382" windowHeight="744" activeSheetId="23"/>
    <customWorkbookView name="averageif5" guid="{EF2006E2-DE9B-4938-AD6F-8255BE7D529F}" maximized="1" xWindow="-8" yWindow="-8" windowWidth="1382" windowHeight="744" activeSheetId="23"/>
    <customWorkbookView name="averageif4" guid="{5B4753E1-B7DC-40C2-A28F-B07A6CB075FE}" maximized="1" xWindow="-8" yWindow="-8" windowWidth="1382" windowHeight="744" activeSheetId="23"/>
    <customWorkbookView name="averageif3" guid="{672B3D91-11D6-418C-A856-9FF74CE5E6FB}" maximized="1" xWindow="-8" yWindow="-8" windowWidth="1382" windowHeight="744" activeSheetId="23"/>
    <customWorkbookView name="averageif2" guid="{E712F22D-DF79-4936-B86B-186E637372BF}" maximized="1" xWindow="-8" yWindow="-8" windowWidth="1382" windowHeight="744" activeSheetId="23"/>
    <customWorkbookView name="averageif1" guid="{F716839F-5448-40FC-95BC-286199FD6764}" maximized="1" xWindow="-8" yWindow="-8" windowWidth="1382" windowHeight="744" activeSheetId="23"/>
    <customWorkbookView name="sumif6" guid="{8EBF087E-11C5-42EE-B564-FAEE72C86C17}" maximized="1" xWindow="-8" yWindow="-8" windowWidth="1382" windowHeight="744" activeSheetId="15"/>
    <customWorkbookView name="sumif5" guid="{6B1EB7F4-EF59-450E-A531-475C3A6E6150}" maximized="1" xWindow="-8" yWindow="-8" windowWidth="1382" windowHeight="744" activeSheetId="15"/>
    <customWorkbookView name="sumif4" guid="{8F332A92-7271-4FEC-B085-C15AA232FE21}" maximized="1" xWindow="-8" yWindow="-8" windowWidth="1382" windowHeight="744" activeSheetId="15"/>
    <customWorkbookView name="sumif3" guid="{F2A17A28-A3DF-492D-BAE9-AAEF2A13397B}" maximized="1" xWindow="-8" yWindow="-8" windowWidth="1382" windowHeight="744" activeSheetId="15"/>
    <customWorkbookView name="sumif2" guid="{4F11E31F-E14C-416D-BB97-C8CE74658FBE}" maximized="1" xWindow="-8" yWindow="-8" windowWidth="1382" windowHeight="744" activeSheetId="15"/>
    <customWorkbookView name="sumif1" guid="{C090DFAD-A23A-4678-87F2-095D84EBDDE8}" maximized="1" xWindow="-8" yWindow="-8" windowWidth="1382" windowHeight="744" activeSheetId="15"/>
    <customWorkbookView name="sumifs1" guid="{A5292A6B-6F92-4AB3-B051-EF87F39FC489}" maximized="1" xWindow="-8" yWindow="-8" windowWidth="1382" windowHeight="784" activeSheetId="25"/>
    <customWorkbookView name="sumifs2" guid="{6194C141-D0A1-4D58-BA55-90A184525AC3}" maximized="1" xWindow="-8" yWindow="-8" windowWidth="1382" windowHeight="784" activeSheetId="25"/>
    <customWorkbookView name="sumifs3" guid="{7A7FC9A5-F2B5-4894-82BC-4528575F10D4}" maximized="1" xWindow="-8" yWindow="-8" windowWidth="1382" windowHeight="784" activeSheetId="25"/>
    <customWorkbookView name="sumifs4" guid="{EBA5E9C4-A2DB-4DF0-BF75-1243E968318E}" maximized="1" xWindow="-8" yWindow="-8" windowWidth="1382" windowHeight="784" activeSheetId="25"/>
    <customWorkbookView name="sumifs5" guid="{C7330417-67A9-44CF-917F-5F5E2F191AD4}" maximized="1" xWindow="-8" yWindow="-8" windowWidth="1382" windowHeight="784" activeSheetId="25"/>
    <customWorkbookView name="sumifs6" guid="{47C01131-7443-4080-A2BB-6B6AA35C6913}" maximized="1" xWindow="-8" yWindow="-8" windowWidth="1382" windowHeight="784" activeSheetId="25"/>
    <customWorkbookView name="sumifs7" guid="{19DA6E7F-8950-4769-9BBE-2798EFA465A3}" maximized="1" xWindow="-8" yWindow="-8" windowWidth="1382" windowHeight="784" activeSheetId="25"/>
    <customWorkbookView name="sumifs8" guid="{F3CB97AD-592C-4B6E-8AE3-1CD47479060C}" maximized="1" xWindow="-8" yWindow="-8" windowWidth="1382" windowHeight="784" activeSheetId="25"/>
    <customWorkbookView name="averageifs1" guid="{422703F6-63C4-435C-AFE7-1030286678F6}" maximized="1" xWindow="-8" yWindow="-8" windowWidth="1382" windowHeight="784" activeSheetId="32"/>
    <customWorkbookView name="averageifs2" guid="{02D27969-4CD1-473E-A0E8-856AB0664DE8}" maximized="1" xWindow="-8" yWindow="-8" windowWidth="1382" windowHeight="784" activeSheetId="32"/>
    <customWorkbookView name="averageifs3" guid="{1920E7A3-1C9F-4320-81BB-D11544051025}" maximized="1" xWindow="-8" yWindow="-8" windowWidth="1382" windowHeight="784" activeSheetId="32"/>
    <customWorkbookView name="averageifs4" guid="{EC7537C6-1678-41C1-B788-EF4AFFECF769}" maximized="1" xWindow="-8" yWindow="-8" windowWidth="1382" windowHeight="784" activeSheetId="32"/>
    <customWorkbookView name="averageifs5" guid="{E4FF7DB9-14DF-49DB-9F59-1898DDED4DCE}" maximized="1" xWindow="-8" yWindow="-8" windowWidth="1382" windowHeight="784" activeSheetId="32"/>
    <customWorkbookView name="averageifs6" guid="{9AFCAA87-4888-4976-A7C9-C06A34CB6C97}" maximized="1" xWindow="-8" yWindow="-8" windowWidth="1382" windowHeight="784" activeSheetId="32"/>
    <customWorkbookView name="averageifs7" guid="{15D7A002-B247-4A6B-A16B-61BDD9B0066A}" maximized="1" xWindow="-8" yWindow="-8" windowWidth="1382" windowHeight="784" activeSheetId="32"/>
    <customWorkbookView name="averageifs8" guid="{F789A6E6-3D06-4D93-BF02-46FA1A2548B2}" maximized="1" xWindow="-8" yWindow="-8" windowWidth="1382" windowHeight="784" activeSheetId="32"/>
    <customWorkbookView name="countifs1" guid="{629A478C-29B1-4F25-A016-63CE32A1627F}" maximized="1" xWindow="-8" yWindow="-8" windowWidth="1382" windowHeight="784" activeSheetId="31"/>
    <customWorkbookView name="countifs2" guid="{51BA8A3D-4711-49ED-89E2-EBC09DF2AEDC}" maximized="1" xWindow="-8" yWindow="-8" windowWidth="1382" windowHeight="784" activeSheetId="31"/>
    <customWorkbookView name="countifs3" guid="{25A4A7C0-9593-456C-861C-76D101D3FE93}" maximized="1" xWindow="-8" yWindow="-8" windowWidth="1382" windowHeight="784" activeSheetId="31"/>
    <customWorkbookView name="countifs4" guid="{95D39BA8-2B16-4954-ABAC-09AD33A86339}" maximized="1" xWindow="-8" yWindow="-8" windowWidth="1382" windowHeight="784" activeSheetId="31"/>
    <customWorkbookView name="countifs5" guid="{C65059E8-30E8-488B-A0E9-1B7961920C81}" maximized="1" xWindow="-8" yWindow="-8" windowWidth="1382" windowHeight="784" activeSheetId="31"/>
    <customWorkbookView name="countifs6" guid="{644A6A80-0D34-48F6-A071-17016DCD2D6E}" maximized="1" xWindow="-8" yWindow="-8" windowWidth="1382" windowHeight="784" activeSheetId="31"/>
    <customWorkbookView name="countifs7" guid="{CC562453-1E6B-4010-9E1B-775397A26EFA}" maximized="1" xWindow="-8" yWindow="-8" windowWidth="1382" windowHeight="784" activeSheetId="31"/>
    <customWorkbookView name="countifs8" guid="{E1A67331-473F-4161-806C-BE35870C93B5}" maximized="1" xWindow="-8" yWindow="-8" windowWidth="1382" windowHeight="784" activeSheetId="31"/>
    <customWorkbookView name="minifs1" guid="{BCAB4838-A37A-4BCF-A9C9-CC50C95F58C7}" maximized="1" xWindow="-8" yWindow="-8" windowWidth="1382" windowHeight="784" activeSheetId="34"/>
    <customWorkbookView name="minifs2" guid="{F518ECB9-5D92-41E0-BFD2-C5175A02444D}" maximized="1" xWindow="-8" yWindow="-8" windowWidth="1382" windowHeight="784" activeSheetId="34"/>
    <customWorkbookView name="minifs3" guid="{FEB5A49F-F7F7-412A-BE72-F90F7A4799C8}" maximized="1" xWindow="-8" yWindow="-8" windowWidth="1382" windowHeight="784" activeSheetId="34"/>
    <customWorkbookView name="minifs4" guid="{F9A03991-7A83-41AE-B603-3D22265CDA22}" maximized="1" xWindow="-8" yWindow="-8" windowWidth="1382" windowHeight="784" activeSheetId="34"/>
    <customWorkbookView name="minifs5" guid="{8A25BF65-C908-4B2F-9805-3CD39BD4330E}" maximized="1" xWindow="-8" yWindow="-8" windowWidth="1382" windowHeight="784" activeSheetId="34"/>
    <customWorkbookView name="minifs6" guid="{5C8F4C13-387F-42D2-8CB5-92C4886D7919}" maximized="1" xWindow="-8" yWindow="-8" windowWidth="1382" windowHeight="784" activeSheetId="34"/>
    <customWorkbookView name="minifs7" guid="{395DC3D6-3299-4A43-88E2-62703FCC0349}" maximized="1" xWindow="-8" yWindow="-8" windowWidth="1382" windowHeight="784" activeSheetId="34"/>
    <customWorkbookView name="minifs8" guid="{FC8D231F-57F9-45EE-9DEF-D7ED111600EB}" maximized="1" xWindow="-8" yWindow="-8" windowWidth="1382" windowHeight="784" activeSheetId="34"/>
    <customWorkbookView name="floor" guid="{7A9AB605-DB82-470C-B86B-95E2AB3523F6}" maximized="1" xWindow="-8" yWindow="-8" windowWidth="1382" windowHeight="784" activeSheetId="35"/>
    <customWorkbookView name="ceiling" guid="{0125BE01-BBC8-4E5A-9A9A-3D1257916B8C}" maximized="1" xWindow="-8" yWindow="-8" windowWidth="1382" windowHeight="784" activeSheetId="35"/>
    <customWorkbookView name="roundup" guid="{8BEA0E04-8B9A-4A2D-9B80-4E7685E22D5E}" maximized="1" xWindow="-8" yWindow="-8" windowWidth="1382" windowHeight="784" activeSheetId="40"/>
    <customWorkbookView name="rounddown" guid="{EE4A95A5-BF42-4BAA-B9EB-84A9230A28F9}" maximized="1" xWindow="-8" yWindow="-8" windowWidth="1382" windowHeight="784" activeSheetId="40"/>
    <customWorkbookView name="mround" guid="{2032DE14-E33D-44B5-9022-A2B48F059704}" maximized="1" xWindow="-8" yWindow="-8" windowWidth="1382" windowHeight="784" activeSheetId="40"/>
    <customWorkbookView name="left" guid="{DF16608F-40E8-490E-B08D-ED6EEAB8B9EC}" maximized="1" xWindow="-8" yWindow="-8" windowWidth="1382" windowHeight="784" activeSheetId="41"/>
    <customWorkbookView name="right" guid="{2CEDB1FB-2942-4B51-BF30-285DCDB05292}" maximized="1" xWindow="-8" yWindow="-8" windowWidth="1382" windowHeight="784" activeSheetId="41"/>
    <customWorkbookView name="mid" guid="{E4375DB4-4B74-46BC-A9F2-C5C5055B366F}" maximized="1" xWindow="-8" yWindow="-8" windowWidth="1382" windowHeight="784" activeSheetId="41"/>
    <customWorkbookView name="upper" guid="{58306194-C83B-413E-AC5F-AD717216CB21}" maximized="1" xWindow="-8" yWindow="-8" windowWidth="1382" windowHeight="784" activeSheetId="42"/>
    <customWorkbookView name="lower" guid="{81DEBAD0-6E86-4DFB-8642-C52E8C976BDA}" maximized="1" xWindow="-8" yWindow="-8" windowWidth="1382" windowHeight="784" activeSheetId="42"/>
    <customWorkbookView name="proper" guid="{C575B46A-1D4C-489C-97AE-5DAB6560E171}" maximized="1" xWindow="-8" yWindow="-8" windowWidth="1382" windowHeight="784" activeSheetId="42"/>
    <customWorkbookView name="hardconcat" guid="{C908A6D6-4C77-416B-BC46-6F501B5F842F}" maximized="1" xWindow="-8" yWindow="-8" windowWidth="1382" windowHeight="784" activeSheetId="43"/>
    <customWorkbookView name="textjoin" guid="{CE50DC7E-3038-4337-BAC8-5B16EE1D95B0}" maximized="1" xWindow="-8" yWindow="-8" windowWidth="1382" windowHeight="784" activeSheetId="43"/>
    <customWorkbookView name="concat" guid="{3511E245-32F9-4CFF-8540-6B03C6FAE218}" maximized="1" xWindow="-8" yWindow="-8" windowWidth="1382" windowHeight="784" activeSheetId="43"/>
    <customWorkbookView name="maxifs1" guid="{DFE0B66A-2DCB-4802-A91B-F836707AD43C}" maximized="1" xWindow="-8" yWindow="-8" windowWidth="1382" windowHeight="784" activeSheetId="33"/>
    <customWorkbookView name="maxifs2" guid="{0458C18D-9EF5-4516-9145-CA54D8EB1865}" maximized="1" xWindow="-8" yWindow="-8" windowWidth="1382" windowHeight="784" activeSheetId="33"/>
    <customWorkbookView name="maxifs3" guid="{0E02FCC8-6440-4859-9F6B-C77617EF5D89}" maximized="1" xWindow="-8" yWindow="-8" windowWidth="1382" windowHeight="784" activeSheetId="33"/>
    <customWorkbookView name="maxifs4" guid="{EE811897-5BF5-4321-9879-5B7EDF90A350}" maximized="1" xWindow="-8" yWindow="-8" windowWidth="1382" windowHeight="784" activeSheetId="33"/>
    <customWorkbookView name="maxifs5" guid="{FF03E81F-A9A8-4546-A9C3-77A6EEA02ED9}" maximized="1" xWindow="-8" yWindow="-8" windowWidth="1382" windowHeight="784" activeSheetId="33"/>
    <customWorkbookView name="maxifs6" guid="{D9413B31-FDB2-4AE8-80A8-7F09954E703C}" maximized="1" xWindow="-8" yWindow="-8" windowWidth="1382" windowHeight="784" activeSheetId="33"/>
    <customWorkbookView name="maxifs7" guid="{B19B24CB-B859-49E3-8AE0-2D671510EE4F}" maximized="1" xWindow="-8" yWindow="-8" windowWidth="1382" windowHeight="784" activeSheetId="33"/>
    <customWorkbookView name="maxifs8" guid="{0BF42E77-7016-4BE4-A5AB-A49974630D91}" maximized="1" xWindow="-8" yWindow="-8" windowWidth="1382" windowHeight="784" activeSheetId="33"/>
    <customWorkbookView name="if1" guid="{C453A932-6110-4A84-A9C2-26C809391387}" maximized="1" xWindow="-8" yWindow="-8" windowWidth="1382" windowHeight="784" activeSheetId="36"/>
    <customWorkbookView name="if2" guid="{08E755F8-82E9-4D95-862B-81F55FBDDDF6}" maximized="1" xWindow="-8" yWindow="-8" windowWidth="1382" windowHeight="784" activeSheetId="36"/>
    <customWorkbookView name="if3" guid="{86D36E03-787A-41EB-85FF-8BB8A222055B}" maximized="1" xWindow="-8" yWindow="-8" windowWidth="1382" windowHeight="784" activeSheetId="36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50" i="34" l="1"/>
  <c r="J130" i="34"/>
  <c r="J109" i="34"/>
  <c r="J90" i="34"/>
  <c r="I94" i="33"/>
  <c r="J69" i="34"/>
  <c r="J48" i="34"/>
  <c r="J27" i="34"/>
  <c r="J7" i="34"/>
  <c r="I50" i="33"/>
  <c r="I72" i="33"/>
  <c r="I113" i="33"/>
  <c r="I136" i="33"/>
  <c r="L136" i="33"/>
  <c r="I158" i="33"/>
  <c r="I28" i="33"/>
  <c r="I8" i="33"/>
  <c r="J89" i="25"/>
  <c r="M89" i="25"/>
  <c r="J163" i="31"/>
  <c r="J140" i="31"/>
  <c r="J117" i="31"/>
  <c r="M8" i="31"/>
  <c r="J51" i="31"/>
  <c r="J97" i="31"/>
  <c r="J74" i="31"/>
  <c r="J93" i="32"/>
  <c r="J28" i="31"/>
  <c r="J8" i="31"/>
  <c r="J157" i="32"/>
  <c r="J135" i="32"/>
  <c r="J71" i="32"/>
  <c r="J49" i="32"/>
  <c r="J27" i="32"/>
  <c r="J7" i="32"/>
  <c r="J151" i="25"/>
  <c r="J130" i="25"/>
  <c r="J108" i="25"/>
  <c r="J68" i="25"/>
  <c r="J68" i="24"/>
  <c r="J49" i="24"/>
  <c r="J28" i="24"/>
  <c r="J8" i="24"/>
  <c r="I72" i="23"/>
  <c r="I51" i="23"/>
  <c r="I29" i="23"/>
  <c r="I8" i="23"/>
  <c r="I71" i="15" a="1"/>
  <c r="I70" i="15"/>
  <c r="I68" i="15"/>
  <c r="J113" i="32"/>
  <c r="J48" i="25"/>
  <c r="J27" i="25"/>
  <c r="J7" i="25"/>
  <c r="J91" i="24"/>
  <c r="J111" i="24"/>
  <c r="I115" i="23"/>
  <c r="I94" i="23"/>
  <c r="I110" i="15"/>
  <c r="I89" i="15"/>
  <c r="I48" i="15"/>
  <c r="I27" i="15"/>
  <c r="I8" i="15"/>
  <c r="M163" i="31"/>
  <c r="M140" i="31"/>
  <c r="M117" i="31"/>
  <c r="M97" i="31"/>
  <c r="M74" i="31"/>
  <c r="M151" i="25"/>
  <c r="M130" i="25"/>
  <c r="M108" i="25"/>
  <c r="M90" i="34"/>
  <c r="L94" i="33"/>
  <c r="M28" i="31"/>
  <c r="M51" i="31"/>
  <c r="G2" i="1" a="1"/>
  <c r="G3" i="1" a="1"/>
  <c r="G4" i="1" a="1"/>
  <c r="G5" i="1" a="1"/>
  <c r="G6" i="1" a="1"/>
  <c r="G7" i="1" a="1"/>
  <c r="G8" i="1" a="1"/>
  <c r="G9" i="1" a="1"/>
  <c r="G10" i="1" a="1"/>
  <c r="G11" i="1" a="1"/>
  <c r="G12" i="1" a="1"/>
  <c r="G13" i="1" a="1"/>
  <c r="G14" i="1" a="1"/>
  <c r="G15" i="1" a="1"/>
  <c r="G16" i="1" a="1"/>
  <c r="M150" i="34"/>
  <c r="M130" i="34"/>
  <c r="M109" i="34"/>
  <c r="M69" i="34"/>
  <c r="M48" i="34"/>
  <c r="M27" i="34"/>
  <c r="M7" i="34"/>
  <c r="L158" i="33"/>
  <c r="L113" i="33"/>
  <c r="M157" i="32"/>
  <c r="M135" i="32"/>
  <c r="M113" i="32"/>
  <c r="M71" i="32"/>
  <c r="M49" i="32"/>
  <c r="L72" i="33"/>
  <c r="L50" i="33"/>
  <c r="L28" i="33"/>
  <c r="L8" i="33"/>
  <c r="M27" i="32"/>
  <c r="M7" i="32"/>
  <c r="E88" i="34" l="1"/>
  <c r="E67" i="34"/>
  <c r="E68" i="34" s="1"/>
  <c r="E69" i="34" s="1"/>
  <c r="E70" i="34" s="1"/>
  <c r="E71" i="34" s="1"/>
  <c r="E72" i="34" s="1"/>
  <c r="E73" i="34" s="1"/>
  <c r="E74" i="34" s="1"/>
  <c r="E75" i="34" s="1"/>
  <c r="E76" i="34" s="1"/>
  <c r="E77" i="34" s="1"/>
  <c r="E92" i="33"/>
  <c r="E70" i="33"/>
  <c r="E71" i="33" s="1"/>
  <c r="E72" i="33" s="1"/>
  <c r="E73" i="33" s="1"/>
  <c r="E74" i="33" s="1"/>
  <c r="E75" i="33" s="1"/>
  <c r="E76" i="33" s="1"/>
  <c r="E77" i="33" s="1"/>
  <c r="E78" i="33" s="1"/>
  <c r="E79" i="33" s="1"/>
  <c r="E80" i="33" s="1"/>
  <c r="E91" i="32"/>
  <c r="E69" i="32"/>
  <c r="E70" i="32" s="1"/>
  <c r="E71" i="32" s="1"/>
  <c r="E72" i="32" s="1"/>
  <c r="E73" i="32" s="1"/>
  <c r="E74" i="32" s="1"/>
  <c r="E75" i="32" s="1"/>
  <c r="E76" i="32" s="1"/>
  <c r="E77" i="32" s="1"/>
  <c r="E78" i="32" s="1"/>
  <c r="E79" i="32" s="1"/>
  <c r="E95" i="31"/>
  <c r="E72" i="31"/>
  <c r="E73" i="31" s="1"/>
  <c r="E74" i="31" s="1"/>
  <c r="E75" i="31" s="1"/>
  <c r="E76" i="31" s="1"/>
  <c r="E77" i="31" s="1"/>
  <c r="E78" i="31" s="1"/>
  <c r="E79" i="31" s="1"/>
  <c r="E80" i="31" s="1"/>
  <c r="E81" i="31" s="1"/>
  <c r="E82" i="31" s="1"/>
  <c r="M68" i="25"/>
  <c r="M48" i="25"/>
  <c r="M27" i="25"/>
  <c r="M7" i="25"/>
  <c r="E87" i="25"/>
  <c r="E66" i="25"/>
  <c r="E67" i="25" s="1"/>
  <c r="E68" i="25" s="1"/>
  <c r="E69" i="25" s="1"/>
  <c r="E70" i="25" s="1"/>
  <c r="E71" i="25" s="1"/>
  <c r="E72" i="25" s="1"/>
  <c r="E73" i="25" s="1"/>
  <c r="E74" i="25" s="1"/>
  <c r="E75" i="25" s="1"/>
  <c r="E76" i="25" s="1"/>
  <c r="M111" i="24"/>
  <c r="M91" i="24"/>
  <c r="M68" i="24"/>
  <c r="M49" i="24"/>
  <c r="M28" i="24"/>
  <c r="M8" i="24"/>
  <c r="L115" i="23"/>
  <c r="L94" i="23"/>
  <c r="L72" i="23"/>
  <c r="L51" i="23"/>
  <c r="L29" i="23"/>
  <c r="L8" i="23"/>
  <c r="L110" i="15"/>
  <c r="L89" i="15"/>
  <c r="L68" i="15"/>
  <c r="L48" i="15"/>
  <c r="L27" i="15"/>
  <c r="E88" i="25" l="1"/>
  <c r="E89" i="25" s="1"/>
  <c r="E90" i="25" s="1"/>
  <c r="E91" i="25" s="1"/>
  <c r="E92" i="25" s="1"/>
  <c r="E93" i="25" s="1"/>
  <c r="E94" i="25" s="1"/>
  <c r="E95" i="25" s="1"/>
  <c r="E96" i="25" s="1"/>
  <c r="E97" i="25" s="1"/>
  <c r="E92" i="32"/>
  <c r="E93" i="32" s="1"/>
  <c r="E94" i="32" s="1"/>
  <c r="E95" i="32" s="1"/>
  <c r="E96" i="32" s="1"/>
  <c r="E97" i="32" s="1"/>
  <c r="E98" i="32" s="1"/>
  <c r="E99" i="32" s="1"/>
  <c r="E100" i="32" s="1"/>
  <c r="E101" i="32" s="1"/>
  <c r="E96" i="31"/>
  <c r="E97" i="31" s="1"/>
  <c r="E98" i="31" s="1"/>
  <c r="E99" i="31" s="1"/>
  <c r="E100" i="31" s="1"/>
  <c r="E101" i="31" s="1"/>
  <c r="E102" i="31" s="1"/>
  <c r="E103" i="31" s="1"/>
  <c r="E104" i="31" s="1"/>
  <c r="E105" i="31" s="1"/>
  <c r="E93" i="33"/>
  <c r="E94" i="33" s="1"/>
  <c r="E89" i="34"/>
  <c r="L8" i="15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2" i="1"/>
  <c r="E95" i="33" l="1"/>
  <c r="E96" i="33" s="1"/>
  <c r="E97" i="33" s="1"/>
  <c r="E98" i="33" s="1"/>
  <c r="E99" i="33" s="1"/>
  <c r="E100" i="33" s="1"/>
  <c r="E101" i="33" s="1"/>
  <c r="E102" i="33" s="1"/>
  <c r="E90" i="34"/>
  <c r="E91" i="34" l="1"/>
  <c r="E92" i="34" l="1"/>
  <c r="E93" i="34" l="1"/>
  <c r="E94" i="34" l="1"/>
  <c r="E95" i="34" s="1"/>
  <c r="E96" i="34" l="1"/>
  <c r="E97" i="34" l="1"/>
  <c r="E98" i="34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<sst xmlns="http://schemas.openxmlformats.org/spreadsheetml/2006/main" count="2405" uniqueCount="180">
  <si>
    <t>Rank</t>
  </si>
  <si>
    <t>Name</t>
  </si>
  <si>
    <t>LastChange</t>
  </si>
  <si>
    <t>YTDChange</t>
  </si>
  <si>
    <t>Country</t>
  </si>
  <si>
    <t xml:space="preserve">Elon Musk </t>
  </si>
  <si>
    <t>UnitedStates</t>
  </si>
  <si>
    <t xml:space="preserve">Jeff Bezos </t>
  </si>
  <si>
    <t xml:space="preserve">Bernard Arnault </t>
  </si>
  <si>
    <t>France</t>
  </si>
  <si>
    <t xml:space="preserve">Bill Gates </t>
  </si>
  <si>
    <t xml:space="preserve">Larry Page </t>
  </si>
  <si>
    <t xml:space="preserve">Sergey Brin </t>
  </si>
  <si>
    <t xml:space="preserve">Mark Zuckerberg </t>
  </si>
  <si>
    <t xml:space="preserve">Steve Ballmer </t>
  </si>
  <si>
    <t xml:space="preserve">Larry Ellison </t>
  </si>
  <si>
    <t xml:space="preserve">Warren Buffett </t>
  </si>
  <si>
    <t xml:space="preserve">Mukesh Ambani </t>
  </si>
  <si>
    <t>India</t>
  </si>
  <si>
    <t xml:space="preserve">Gautam Adani </t>
  </si>
  <si>
    <t xml:space="preserve">Amancio Ortega </t>
  </si>
  <si>
    <t>Spain</t>
  </si>
  <si>
    <t xml:space="preserve">Jim Walton </t>
  </si>
  <si>
    <t>Net Worth (B)</t>
  </si>
  <si>
    <t>Change Type</t>
  </si>
  <si>
    <t>Francoise Bettencourt</t>
  </si>
  <si>
    <t>Google</t>
  </si>
  <si>
    <t>Banana</t>
  </si>
  <si>
    <t>DoorDash</t>
  </si>
  <si>
    <t>Grapes</t>
  </si>
  <si>
    <t>Lyft</t>
  </si>
  <si>
    <t>Pineapple</t>
  </si>
  <si>
    <t>Walmart</t>
  </si>
  <si>
    <t>Kiwi</t>
  </si>
  <si>
    <t>BigBasket</t>
  </si>
  <si>
    <t>Orange</t>
  </si>
  <si>
    <t>Amazon</t>
  </si>
  <si>
    <t>Apple</t>
  </si>
  <si>
    <t>Vendor</t>
  </si>
  <si>
    <t>Price</t>
  </si>
  <si>
    <t>Fruit Name</t>
  </si>
  <si>
    <r>
      <rPr>
        <b/>
        <sz val="12"/>
        <rFont val="Calibri"/>
        <family val="2"/>
        <scheme val="minor"/>
      </rPr>
      <t xml:space="preserve">Logic1: 
</t>
    </r>
    <r>
      <rPr>
        <sz val="12"/>
        <rFont val="Calibri"/>
        <family val="2"/>
        <scheme val="minor"/>
      </rPr>
      <t xml:space="preserve">If the networth is Less then 100, then get an output as "Multi Billionaire"
</t>
    </r>
    <r>
      <rPr>
        <b/>
        <sz val="12"/>
        <rFont val="Calibri"/>
        <family val="2"/>
        <scheme val="minor"/>
      </rPr>
      <t xml:space="preserve">Logic 2:
</t>
    </r>
    <r>
      <rPr>
        <sz val="12"/>
        <rFont val="Calibri"/>
        <family val="2"/>
        <scheme val="minor"/>
      </rPr>
      <t>If the networth is over 100, then get an output as "Centi Billionaire"</t>
    </r>
  </si>
  <si>
    <t>Purchase Month</t>
  </si>
  <si>
    <t>Jan</t>
  </si>
  <si>
    <t>Feb</t>
  </si>
  <si>
    <t>Mar</t>
  </si>
  <si>
    <t>Overall Purchase Price for Amazon</t>
  </si>
  <si>
    <t>Overall Purchase Price for March Month</t>
  </si>
  <si>
    <t>Fruit Name:</t>
  </si>
  <si>
    <t>Overall Purchase Price for Kiwi</t>
  </si>
  <si>
    <t>Avacado</t>
  </si>
  <si>
    <t>Apricot</t>
  </si>
  <si>
    <r>
      <t xml:space="preserve">Overall Purchase Price for the combination of </t>
    </r>
    <r>
      <rPr>
        <b/>
        <sz val="12"/>
        <color theme="1"/>
        <rFont val="Calibri"/>
        <family val="2"/>
        <scheme val="minor"/>
      </rPr>
      <t>apple &amp; pineapple</t>
    </r>
  </si>
  <si>
    <t>Jun</t>
  </si>
  <si>
    <t>Jul</t>
  </si>
  <si>
    <t>Sep</t>
  </si>
  <si>
    <t>Aug</t>
  </si>
  <si>
    <r>
      <t>Overall Purchase Price of vendors that has "</t>
    </r>
    <r>
      <rPr>
        <b/>
        <sz val="12"/>
        <color theme="1"/>
        <rFont val="Calibri"/>
        <family val="2"/>
        <scheme val="minor"/>
      </rPr>
      <t>O</t>
    </r>
    <r>
      <rPr>
        <sz val="12"/>
        <color theme="1"/>
        <rFont val="Calibri"/>
        <family val="2"/>
        <scheme val="minor"/>
      </rPr>
      <t>" in it</t>
    </r>
  </si>
  <si>
    <r>
      <t>Overall Purchase Price of Month whose name starts with "</t>
    </r>
    <r>
      <rPr>
        <b/>
        <sz val="12"/>
        <color theme="1"/>
        <rFont val="Calibri"/>
        <family val="2"/>
        <scheme val="minor"/>
      </rPr>
      <t>J</t>
    </r>
    <r>
      <rPr>
        <sz val="12"/>
        <color theme="1"/>
        <rFont val="Calibri"/>
        <family val="2"/>
        <scheme val="minor"/>
      </rPr>
      <t>"</t>
    </r>
  </si>
  <si>
    <t>Average Purchase Price for March Month</t>
  </si>
  <si>
    <t>Average Purchase Price for Amazon</t>
  </si>
  <si>
    <t>Average Purchase Price for Kiwi</t>
  </si>
  <si>
    <r>
      <t xml:space="preserve">Average Purchase Price for the combination of </t>
    </r>
    <r>
      <rPr>
        <b/>
        <sz val="12"/>
        <color theme="1"/>
        <rFont val="Calibri"/>
        <family val="2"/>
        <scheme val="minor"/>
      </rPr>
      <t>apple &amp; pineapple</t>
    </r>
  </si>
  <si>
    <r>
      <t>Average Purchase Price of vendors that has "</t>
    </r>
    <r>
      <rPr>
        <b/>
        <sz val="12"/>
        <color theme="1"/>
        <rFont val="Calibri"/>
        <family val="2"/>
        <scheme val="minor"/>
      </rPr>
      <t>O</t>
    </r>
    <r>
      <rPr>
        <sz val="12"/>
        <color theme="1"/>
        <rFont val="Calibri"/>
        <family val="2"/>
        <scheme val="minor"/>
      </rPr>
      <t>" in it</t>
    </r>
  </si>
  <si>
    <r>
      <t>Average Purchase Price of Month whose name starts with "</t>
    </r>
    <r>
      <rPr>
        <b/>
        <sz val="12"/>
        <color theme="1"/>
        <rFont val="Calibri"/>
        <family val="2"/>
        <scheme val="minor"/>
      </rPr>
      <t>J</t>
    </r>
    <r>
      <rPr>
        <sz val="12"/>
        <color theme="1"/>
        <rFont val="Calibri"/>
        <family val="2"/>
        <scheme val="minor"/>
      </rPr>
      <t>"</t>
    </r>
  </si>
  <si>
    <t>How Many Purchases were made in March Month</t>
  </si>
  <si>
    <t>How Many Purchases were made from Amazon</t>
  </si>
  <si>
    <t>How Many Purchases were made for Kiwi</t>
  </si>
  <si>
    <r>
      <t xml:space="preserve">How Many Purchases were made for the combination of </t>
    </r>
    <r>
      <rPr>
        <b/>
        <sz val="11"/>
        <color theme="1"/>
        <rFont val="Calibri"/>
        <family val="2"/>
        <scheme val="minor"/>
      </rPr>
      <t>apple &amp; pineapple</t>
    </r>
  </si>
  <si>
    <r>
      <t>How many Purchases were made by vendors that has "</t>
    </r>
    <r>
      <rPr>
        <b/>
        <sz val="12"/>
        <color theme="1"/>
        <rFont val="Calibri"/>
        <family val="2"/>
        <scheme val="minor"/>
      </rPr>
      <t>O</t>
    </r>
    <r>
      <rPr>
        <sz val="12"/>
        <color theme="1"/>
        <rFont val="Calibri"/>
        <family val="2"/>
        <scheme val="minor"/>
      </rPr>
      <t>" in it</t>
    </r>
  </si>
  <si>
    <r>
      <t>How Many Purchases were made in Months whose name starts with "</t>
    </r>
    <r>
      <rPr>
        <b/>
        <sz val="12"/>
        <color theme="1"/>
        <rFont val="Calibri"/>
        <family val="2"/>
        <scheme val="minor"/>
      </rPr>
      <t>J</t>
    </r>
    <r>
      <rPr>
        <sz val="12"/>
        <color theme="1"/>
        <rFont val="Calibri"/>
        <family val="2"/>
        <scheme val="minor"/>
      </rPr>
      <t>"</t>
    </r>
  </si>
  <si>
    <t>Nov</t>
  </si>
  <si>
    <t>Overall Purchase Price for March Month made from Doordash</t>
  </si>
  <si>
    <t>Overall Purchase Price at Amazon for all Apple purchases</t>
  </si>
  <si>
    <t>Overall Purchase Price for Kiwi bought in the month of Jun</t>
  </si>
  <si>
    <t>Amount Greater</t>
  </si>
  <si>
    <t>Purchase Date</t>
  </si>
  <si>
    <t>Date After</t>
  </si>
  <si>
    <t>Overall Purchase Price for Kiwi whenever the purchase amount was greater than 5 $</t>
  </si>
  <si>
    <t>Average Purchase Price for March Month made from Doordash</t>
  </si>
  <si>
    <t>Average Purchase Price at Amazon for all Apple purchases</t>
  </si>
  <si>
    <t>Average Purchase Price for Kiwi bought in the month of Jun</t>
  </si>
  <si>
    <t>Average Purchase Price for Kiwi whenever the purchase amount was greater than 5 $</t>
  </si>
  <si>
    <t>Average Purchase Price for the combination of apple &amp; pineapple</t>
  </si>
  <si>
    <t>Average Purchase Price of vendors that has "O" in it</t>
  </si>
  <si>
    <t>Average Purchase Price of Month whose name starts with "J"</t>
  </si>
  <si>
    <t>Number of Purchase Price for Kiwi bought in the month of Jun</t>
  </si>
  <si>
    <t>Number of Purchase Price for Kiwi whenever the purchase amount was greater than 5 $</t>
  </si>
  <si>
    <t>Number of Purchase Price for the combination of apple &amp; pineapple</t>
  </si>
  <si>
    <t>Number of Purchase Price of vendors that has "O" in it</t>
  </si>
  <si>
    <t>Number of Purchase Price of Month whose name starts with "J"</t>
  </si>
  <si>
    <t>Maximum Purchase Price for March Month made from Doordash</t>
  </si>
  <si>
    <t>Maximum Purchase Price at Amazon for all Apple purchases</t>
  </si>
  <si>
    <t>Maximum Purchase Price for Kiwi bought in the month of Jun</t>
  </si>
  <si>
    <t>Maximum Purchase Price for Kiwi whenever the purchase amount was greater than 5 $</t>
  </si>
  <si>
    <t>Maximum Purchase Price for Kiwi bought bought on or After 10th July and Before 25 July</t>
  </si>
  <si>
    <t>Maximum Purchase Price for the combination of apple &amp; pineapple</t>
  </si>
  <si>
    <t>Maximum Purchase Price of Month whose name starts with "J"</t>
  </si>
  <si>
    <t>Minimum Purchase Price for March Month made from Doordash</t>
  </si>
  <si>
    <t>Minimum Purchase Price at Amazon for all Apple purchases</t>
  </si>
  <si>
    <t>Minimum Purchase Price for Kiwi bought in the month of Jun</t>
  </si>
  <si>
    <t>Minimum Purchase Price for Kiwi whenever the purchase amount was greater than 5 $</t>
  </si>
  <si>
    <t>Minimum Purchase Price for the combination of apple &amp; pineapple</t>
  </si>
  <si>
    <t>Minimum Purchase Price of vendors that has "O" in it</t>
  </si>
  <si>
    <t>Minimum Purchase Price of Month whose name starts with "J"</t>
  </si>
  <si>
    <t>Student</t>
  </si>
  <si>
    <t>Score</t>
  </si>
  <si>
    <t>Grade</t>
  </si>
  <si>
    <t>Kadhir</t>
  </si>
  <si>
    <t>Kyle</t>
  </si>
  <si>
    <t>Samant</t>
  </si>
  <si>
    <t>Tammanah</t>
  </si>
  <si>
    <t>Use the below Grading Criterias</t>
  </si>
  <si>
    <t>90 and above is Grade "A"</t>
  </si>
  <si>
    <t>80 and above is Grade "B"</t>
  </si>
  <si>
    <t>70 and above is Grade "C"</t>
  </si>
  <si>
    <t>60 and above is Grade "D"</t>
  </si>
  <si>
    <t>59 and below is Grade "E"</t>
  </si>
  <si>
    <t>Agent</t>
  </si>
  <si>
    <t>Mike</t>
  </si>
  <si>
    <t>Clark</t>
  </si>
  <si>
    <t>Cornell</t>
  </si>
  <si>
    <t>Trent</t>
  </si>
  <si>
    <t>Anderson</t>
  </si>
  <si>
    <t>Neo</t>
  </si>
  <si>
    <t>Jan Sales</t>
  </si>
  <si>
    <t>Feb Sales</t>
  </si>
  <si>
    <t>Commision Slab</t>
  </si>
  <si>
    <t>Commission %</t>
  </si>
  <si>
    <t>3.5 K to 5 K</t>
  </si>
  <si>
    <t>5 k to 8 k</t>
  </si>
  <si>
    <t>8 k to 12 k</t>
  </si>
  <si>
    <t>Less than 3.5 k</t>
  </si>
  <si>
    <t>More than 12k</t>
  </si>
  <si>
    <t>Pineapple fruit</t>
  </si>
  <si>
    <t>Apple is a fruit</t>
  </si>
  <si>
    <t>Orange is round in shape</t>
  </si>
  <si>
    <t>Kiwi is green in color</t>
  </si>
  <si>
    <t>Pineapple is has hard outer shell</t>
  </si>
  <si>
    <t>Grapes is ripe</t>
  </si>
  <si>
    <t>Banana is fresh</t>
  </si>
  <si>
    <t>Your Question Goes here:</t>
  </si>
  <si>
    <t>Number of Purchases at Amazon for all Apple purchases</t>
  </si>
  <si>
    <t>Number of Purchases for March Month made from Doordash</t>
  </si>
  <si>
    <t>Muhib</t>
  </si>
  <si>
    <t>Sadhvi</t>
  </si>
  <si>
    <t>Tom</t>
  </si>
  <si>
    <t>Karen</t>
  </si>
  <si>
    <t>Kylie</t>
  </si>
  <si>
    <t>Eminem</t>
  </si>
  <si>
    <t>Tamizh</t>
  </si>
  <si>
    <t>Jimmy</t>
  </si>
  <si>
    <t>Thor</t>
  </si>
  <si>
    <t>Jane</t>
  </si>
  <si>
    <t>Commision for Jan</t>
  </si>
  <si>
    <t>Commision for Feb</t>
  </si>
  <si>
    <t>Zeus</t>
  </si>
  <si>
    <t>Herald</t>
  </si>
  <si>
    <t>Create a Commision Amount List with the help of the Slab on the right side</t>
  </si>
  <si>
    <t>Employee</t>
  </si>
  <si>
    <t>Performance</t>
  </si>
  <si>
    <t>Revision Status</t>
  </si>
  <si>
    <t>Department</t>
  </si>
  <si>
    <t>Marketing</t>
  </si>
  <si>
    <t>HR</t>
  </si>
  <si>
    <t>Operations</t>
  </si>
  <si>
    <t>For HR</t>
  </si>
  <si>
    <t>For Marketing &amp; Operations</t>
  </si>
  <si>
    <t>&lt;1 Rating, Employee to be Fired</t>
  </si>
  <si>
    <t>3 Rating to 3.99 Ratings | 17% Hike</t>
  </si>
  <si>
    <t>1 Rating to 2.99 Ratings | 12% Hike</t>
  </si>
  <si>
    <t>4 &amp; Above | 24% Hike</t>
  </si>
  <si>
    <t>&lt;2 Rating, Fire the HR</t>
  </si>
  <si>
    <t>&gt;=2&amp; &lt;4 , 10% Hike</t>
  </si>
  <si>
    <t>&gt;=4 | 20% Hike</t>
  </si>
  <si>
    <t>Create a Employee Performance Review Decisions by Looking into their rating. Use the table on the Right side to do the same.</t>
  </si>
  <si>
    <t>Overall Purchase Price for Kiwi bought  on or After 10th July and Before 25 July</t>
  </si>
  <si>
    <t>Average Purchase Price for Kiwi bought on or After 10th July and Before 25 July</t>
  </si>
  <si>
    <t>Minimum Purchase Price for Kiwi bought on or After 10th July and Before 25 July</t>
  </si>
  <si>
    <t>Number of Purchase Price for Kiwi bought bought After 10th July and Before 25 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</si>
</sst>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 tint="0.249977111117893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595959"/>
      <name val="Calibri"/>
      <family val="2"/>
    </font>
    <font>
      <sz val="14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2" tint="-0.249977111117893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B48F"/>
        <bgColor indexed="64"/>
      </patternFill>
    </fill>
    <fill>
      <patternFill patternType="solid">
        <fgColor rgb="FFFCF49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CFFCC"/>
        <bgColor indexed="64"/>
      </patternFill>
    </fill>
  </fills>
  <borders count="5">
    <border>
      <left/>
      <right/>
      <top/>
      <bottom/>
      <diagonal/>
    </border>
    <border>
      <left style="thin">
        <color rgb="FFBDFFD5"/>
      </left>
      <right style="thin">
        <color rgb="FFBDFFD5"/>
      </right>
      <top style="thin">
        <color rgb="FFBDFFD5"/>
      </top>
      <bottom style="thin">
        <color rgb="FFBDFFD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4" fillId="0" borderId="0" xfId="0" applyFont="1"/>
    <xf numFmtId="0" fontId="1" fillId="4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/>
    <xf numFmtId="0" fontId="8" fillId="0" borderId="1" xfId="0" applyFont="1" applyBorder="1" applyAlignment="1">
      <alignment horizontal="center" vertical="center" readingOrder="1"/>
    </xf>
    <xf numFmtId="0" fontId="7" fillId="5" borderId="0" xfId="0" applyFont="1" applyFill="1" applyAlignment="1">
      <alignment horizontal="center"/>
    </xf>
    <xf numFmtId="0" fontId="9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14" fontId="8" fillId="0" borderId="1" xfId="0" applyNumberFormat="1" applyFont="1" applyBorder="1" applyAlignment="1">
      <alignment horizontal="center" vertical="center" readingOrder="1"/>
    </xf>
    <xf numFmtId="16" fontId="12" fillId="0" borderId="0" xfId="0" applyNumberFormat="1" applyFont="1" applyAlignment="1">
      <alignment horizontal="center"/>
    </xf>
    <xf numFmtId="15" fontId="8" fillId="0" borderId="1" xfId="0" applyNumberFormat="1" applyFont="1" applyBorder="1" applyAlignment="1">
      <alignment horizontal="center" vertical="center" readingOrder="1"/>
    </xf>
    <xf numFmtId="9" fontId="8" fillId="0" borderId="1" xfId="0" applyNumberFormat="1" applyFont="1" applyBorder="1" applyAlignment="1">
      <alignment horizontal="center" vertical="center" readingOrder="1"/>
    </xf>
    <xf numFmtId="0" fontId="8" fillId="0" borderId="0" xfId="0" applyFont="1" applyAlignment="1">
      <alignment horizontal="center" vertical="center" readingOrder="1"/>
    </xf>
    <xf numFmtId="14" fontId="8" fillId="0" borderId="0" xfId="0" applyNumberFormat="1" applyFont="1" applyAlignment="1">
      <alignment horizontal="center" vertical="center" readingOrder="1"/>
    </xf>
    <xf numFmtId="4" fontId="7" fillId="0" borderId="0" xfId="0" applyNumberFormat="1" applyFont="1"/>
    <xf numFmtId="0" fontId="8" fillId="0" borderId="1" xfId="0" applyFont="1" applyBorder="1" applyAlignment="1">
      <alignment horizontal="center" vertical="center" wrapText="1" readingOrder="1"/>
    </xf>
    <xf numFmtId="0" fontId="14" fillId="8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9" borderId="1" xfId="0" applyFont="1" applyFill="1" applyBorder="1" applyAlignment="1">
      <alignment horizontal="center" vertical="center" readingOrder="1"/>
    </xf>
    <xf numFmtId="9" fontId="8" fillId="9" borderId="1" xfId="0" applyNumberFormat="1" applyFont="1" applyFill="1" applyBorder="1" applyAlignment="1">
      <alignment horizontal="center" vertical="center" readingOrder="1"/>
    </xf>
    <xf numFmtId="0" fontId="7" fillId="4" borderId="0" xfId="0" applyFont="1" applyFill="1" applyAlignment="1">
      <alignment horizontal="center"/>
    </xf>
    <xf numFmtId="0" fontId="15" fillId="0" borderId="2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2" xfId="0" applyFont="1" applyBorder="1"/>
    <xf numFmtId="0" fontId="15" fillId="0" borderId="3" xfId="0" applyFont="1" applyBorder="1"/>
    <xf numFmtId="0" fontId="15" fillId="0" borderId="4" xfId="0" applyFont="1" applyBorder="1"/>
    <xf numFmtId="0" fontId="1" fillId="7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/>
    </xf>
    <xf numFmtId="0" fontId="13" fillId="7" borderId="0" xfId="0" applyFont="1" applyFill="1" applyAlignment="1">
      <alignment horizontal="center" vertical="center" wrapText="1"/>
    </xf>
    <xf numFmtId="0" fontId="10" fillId="7" borderId="0" xfId="0" applyFont="1" applyFill="1" applyAlignment="1">
      <alignment horizontal="center" vertical="center" wrapText="1"/>
    </xf>
    <xf numFmtId="0" fontId="10" fillId="7" borderId="0" xfId="0" applyFont="1" applyFill="1" applyAlignment="1">
      <alignment horizontal="center" vertical="center"/>
    </xf>
    <xf numFmtId="0" fontId="0" fillId="7" borderId="0" xfId="0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/>
    </xf>
    <xf numFmtId="0" fontId="11" fillId="7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59"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</dxfs>
  <tableStyles count="1" defaultTableStyle="TableStyleMedium2" defaultPivotStyle="PivotStyleLight16">
    <tableStyle name="Invisible" pivot="0" table="0" count="0" xr9:uid="{EDB19A61-AF1C-4A69-8598-828F601A79C0}"/>
  </tableStyles>
  <colors>
    <mruColors>
      <color rgb="FF66FF99"/>
      <color rgb="FFCCFFCC"/>
      <color rgb="FFFFB48F"/>
      <color rgb="FFFCF492"/>
      <color rgb="FFFF97B7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SumIF!A78"/><Relationship Id="rId7" Type="http://schemas.openxmlformats.org/officeDocument/2006/relationships/hyperlink" Target="#SumIF!I8"/><Relationship Id="rId2" Type="http://schemas.openxmlformats.org/officeDocument/2006/relationships/hyperlink" Target="#SumIF!A58"/><Relationship Id="rId1" Type="http://schemas.openxmlformats.org/officeDocument/2006/relationships/hyperlink" Target="#SumIF!A37"/><Relationship Id="rId6" Type="http://schemas.openxmlformats.org/officeDocument/2006/relationships/hyperlink" Target="#AverageIF!A1"/><Relationship Id="rId5" Type="http://schemas.openxmlformats.org/officeDocument/2006/relationships/hyperlink" Target="#SumIF!A118"/><Relationship Id="rId4" Type="http://schemas.openxmlformats.org/officeDocument/2006/relationships/hyperlink" Target="#SumIF!A98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AverageIF!A82"/><Relationship Id="rId7" Type="http://schemas.openxmlformats.org/officeDocument/2006/relationships/hyperlink" Target="#AverageIF!I8"/><Relationship Id="rId2" Type="http://schemas.openxmlformats.org/officeDocument/2006/relationships/hyperlink" Target="#AverageIF!A61"/><Relationship Id="rId1" Type="http://schemas.openxmlformats.org/officeDocument/2006/relationships/hyperlink" Target="#AverageIF!A39"/><Relationship Id="rId6" Type="http://schemas.openxmlformats.org/officeDocument/2006/relationships/hyperlink" Target="#CountIF!A1"/><Relationship Id="rId5" Type="http://schemas.openxmlformats.org/officeDocument/2006/relationships/hyperlink" Target="#AverageIF!A124"/><Relationship Id="rId4" Type="http://schemas.openxmlformats.org/officeDocument/2006/relationships/hyperlink" Target="#AverageIF!A102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CountIF!A77"/><Relationship Id="rId7" Type="http://schemas.openxmlformats.org/officeDocument/2006/relationships/hyperlink" Target="#CountIF!J8"/><Relationship Id="rId2" Type="http://schemas.openxmlformats.org/officeDocument/2006/relationships/hyperlink" Target="#CountIF!A58"/><Relationship Id="rId1" Type="http://schemas.openxmlformats.org/officeDocument/2006/relationships/hyperlink" Target="#CountIF!A37"/><Relationship Id="rId6" Type="http://schemas.openxmlformats.org/officeDocument/2006/relationships/hyperlink" Target="#SumIFS!A1"/><Relationship Id="rId5" Type="http://schemas.openxmlformats.org/officeDocument/2006/relationships/hyperlink" Target="#CountIF!A119"/><Relationship Id="rId4" Type="http://schemas.openxmlformats.org/officeDocument/2006/relationships/hyperlink" Target="#CountIF!A99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#SumIFS!J8"/><Relationship Id="rId3" Type="http://schemas.openxmlformats.org/officeDocument/2006/relationships/hyperlink" Target="#SumIFS!A77"/><Relationship Id="rId7" Type="http://schemas.openxmlformats.org/officeDocument/2006/relationships/hyperlink" Target="#SumIFS!A117"/><Relationship Id="rId2" Type="http://schemas.openxmlformats.org/officeDocument/2006/relationships/hyperlink" Target="#SumIFS!A57"/><Relationship Id="rId1" Type="http://schemas.openxmlformats.org/officeDocument/2006/relationships/hyperlink" Target="#SumIFS!A37"/><Relationship Id="rId6" Type="http://schemas.openxmlformats.org/officeDocument/2006/relationships/hyperlink" Target="#SumIFS!A98"/><Relationship Id="rId5" Type="http://schemas.openxmlformats.org/officeDocument/2006/relationships/hyperlink" Target="#SumIFS!A159"/><Relationship Id="rId4" Type="http://schemas.openxmlformats.org/officeDocument/2006/relationships/hyperlink" Target="#SumIFS!A138"/><Relationship Id="rId9" Type="http://schemas.openxmlformats.org/officeDocument/2006/relationships/hyperlink" Target="#AverageIFS!A1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hyperlink" Target="#AverageIFS!J8"/><Relationship Id="rId3" Type="http://schemas.openxmlformats.org/officeDocument/2006/relationships/hyperlink" Target="#AverageIFS!A81"/><Relationship Id="rId7" Type="http://schemas.openxmlformats.org/officeDocument/2006/relationships/hyperlink" Target="#AverageIFS!A122"/><Relationship Id="rId2" Type="http://schemas.openxmlformats.org/officeDocument/2006/relationships/hyperlink" Target="#AverageIFS!A58"/><Relationship Id="rId1" Type="http://schemas.openxmlformats.org/officeDocument/2006/relationships/hyperlink" Target="#AverageIFS!A36"/><Relationship Id="rId6" Type="http://schemas.openxmlformats.org/officeDocument/2006/relationships/hyperlink" Target="#AverageIFS!A102"/><Relationship Id="rId5" Type="http://schemas.openxmlformats.org/officeDocument/2006/relationships/hyperlink" Target="#AverageIFS!A165"/><Relationship Id="rId4" Type="http://schemas.openxmlformats.org/officeDocument/2006/relationships/hyperlink" Target="#AverageIFS!A143"/><Relationship Id="rId9" Type="http://schemas.openxmlformats.org/officeDocument/2006/relationships/hyperlink" Target="#CountIFS!A1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hyperlink" Target="#CountIFS!J8"/><Relationship Id="rId3" Type="http://schemas.openxmlformats.org/officeDocument/2006/relationships/hyperlink" Target="#CountIFS!A83"/><Relationship Id="rId7" Type="http://schemas.openxmlformats.org/officeDocument/2006/relationships/hyperlink" Target="#CountIFS!A126"/><Relationship Id="rId2" Type="http://schemas.openxmlformats.org/officeDocument/2006/relationships/hyperlink" Target="#CountIFS!A61"/><Relationship Id="rId1" Type="http://schemas.openxmlformats.org/officeDocument/2006/relationships/hyperlink" Target="#CountIFS!A37"/><Relationship Id="rId6" Type="http://schemas.openxmlformats.org/officeDocument/2006/relationships/hyperlink" Target="#CountIFS!A106"/><Relationship Id="rId5" Type="http://schemas.openxmlformats.org/officeDocument/2006/relationships/hyperlink" Target="#CountIFS!A171"/><Relationship Id="rId4" Type="http://schemas.openxmlformats.org/officeDocument/2006/relationships/hyperlink" Target="#CountIFS!A148"/><Relationship Id="rId9" Type="http://schemas.openxmlformats.org/officeDocument/2006/relationships/hyperlink" Target="#MaxIFS!A1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hyperlink" Target="#MaxIFS!A123"/><Relationship Id="rId3" Type="http://schemas.openxmlformats.org/officeDocument/2006/relationships/hyperlink" Target="#MaxIFS!A82"/><Relationship Id="rId7" Type="http://schemas.openxmlformats.org/officeDocument/2006/relationships/hyperlink" Target="#MaxIFS!A103"/><Relationship Id="rId2" Type="http://schemas.openxmlformats.org/officeDocument/2006/relationships/hyperlink" Target="#MaxIFS!A59"/><Relationship Id="rId1" Type="http://schemas.openxmlformats.org/officeDocument/2006/relationships/hyperlink" Target="#MaxIFS!A37"/><Relationship Id="rId6" Type="http://schemas.openxmlformats.org/officeDocument/2006/relationships/hyperlink" Target="#MinIFS!A1"/><Relationship Id="rId5" Type="http://schemas.openxmlformats.org/officeDocument/2006/relationships/hyperlink" Target="#MaxIFS!A166"/><Relationship Id="rId4" Type="http://schemas.openxmlformats.org/officeDocument/2006/relationships/hyperlink" Target="#MaxIFS!A144"/><Relationship Id="rId9" Type="http://schemas.openxmlformats.org/officeDocument/2006/relationships/hyperlink" Target="#MaxIFS!I8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hyperlink" Target="#MinIFS!A118"/><Relationship Id="rId3" Type="http://schemas.openxmlformats.org/officeDocument/2006/relationships/hyperlink" Target="#MinIFS!A78"/><Relationship Id="rId7" Type="http://schemas.openxmlformats.org/officeDocument/2006/relationships/hyperlink" Target="#MinIFS!A99"/><Relationship Id="rId2" Type="http://schemas.openxmlformats.org/officeDocument/2006/relationships/hyperlink" Target="#MinIFS!A57"/><Relationship Id="rId1" Type="http://schemas.openxmlformats.org/officeDocument/2006/relationships/hyperlink" Target="#MinIFS!A37"/><Relationship Id="rId6" Type="http://schemas.openxmlformats.org/officeDocument/2006/relationships/hyperlink" Target="#SumIF!A1"/><Relationship Id="rId5" Type="http://schemas.openxmlformats.org/officeDocument/2006/relationships/hyperlink" Target="#MinIFS!A158"/><Relationship Id="rId4" Type="http://schemas.openxmlformats.org/officeDocument/2006/relationships/hyperlink" Target="#MinIFS!A138"/><Relationship Id="rId9" Type="http://schemas.openxmlformats.org/officeDocument/2006/relationships/hyperlink" Target="#MinIFS!J8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1169698</xdr:colOff>
      <xdr:row>13</xdr:row>
      <xdr:rowOff>233075</xdr:rowOff>
    </xdr:from>
    <xdr:to>
      <xdr:col>10</xdr:col>
      <xdr:colOff>444499</xdr:colOff>
      <xdr:row>15</xdr:row>
      <xdr:rowOff>117621</xdr:rowOff>
    </xdr:to>
    <xdr:sp macro="[0]!Sheet1.sumif2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589C8A1-CB53-4874-A90B-2D7E8C71AA0B}"/>
            </a:ext>
          </a:extLst>
        </xdr:cNvPr>
        <xdr:cNvSpPr/>
      </xdr:nvSpPr>
      <xdr:spPr>
        <a:xfrm>
          <a:off x="8668471" y="3410961"/>
          <a:ext cx="1690687" cy="369455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2</a:t>
          </a:r>
        </a:p>
      </xdr:txBody>
    </xdr:sp>
    <xdr:clientData/>
  </xdr:twoCellAnchor>
  <xdr:twoCellAnchor>
    <xdr:from>
      <xdr:col>8</xdr:col>
      <xdr:colOff>782205</xdr:colOff>
      <xdr:row>34</xdr:row>
      <xdr:rowOff>5773</xdr:rowOff>
    </xdr:from>
    <xdr:to>
      <xdr:col>10</xdr:col>
      <xdr:colOff>49067</xdr:colOff>
      <xdr:row>35</xdr:row>
      <xdr:rowOff>137103</xdr:rowOff>
    </xdr:to>
    <xdr:sp macro="[0]!Sheet1.sumif3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4B09717-7AA2-47D0-B4CF-6BAB7BB6F856}"/>
            </a:ext>
          </a:extLst>
        </xdr:cNvPr>
        <xdr:cNvSpPr/>
      </xdr:nvSpPr>
      <xdr:spPr>
        <a:xfrm>
          <a:off x="8280978" y="8275205"/>
          <a:ext cx="1682748" cy="373784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3</a:t>
          </a:r>
        </a:p>
      </xdr:txBody>
    </xdr:sp>
    <xdr:clientData/>
  </xdr:twoCellAnchor>
  <xdr:twoCellAnchor>
    <xdr:from>
      <xdr:col>8</xdr:col>
      <xdr:colOff>150813</xdr:colOff>
      <xdr:row>54</xdr:row>
      <xdr:rowOff>127000</xdr:rowOff>
    </xdr:from>
    <xdr:to>
      <xdr:col>9</xdr:col>
      <xdr:colOff>31749</xdr:colOff>
      <xdr:row>56</xdr:row>
      <xdr:rowOff>15875</xdr:rowOff>
    </xdr:to>
    <xdr:sp macro="[0]!Sheet1.sumif4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AE1E76D-F7D1-4ECD-9FFE-2B0AB75CF8F7}"/>
            </a:ext>
          </a:extLst>
        </xdr:cNvPr>
        <xdr:cNvSpPr/>
      </xdr:nvSpPr>
      <xdr:spPr>
        <a:xfrm>
          <a:off x="8810626" y="11112500"/>
          <a:ext cx="1150936" cy="365125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4</a:t>
          </a:r>
        </a:p>
      </xdr:txBody>
    </xdr:sp>
    <xdr:clientData/>
  </xdr:twoCellAnchor>
  <xdr:twoCellAnchor>
    <xdr:from>
      <xdr:col>8</xdr:col>
      <xdr:colOff>0</xdr:colOff>
      <xdr:row>75</xdr:row>
      <xdr:rowOff>0</xdr:rowOff>
    </xdr:from>
    <xdr:to>
      <xdr:col>8</xdr:col>
      <xdr:colOff>1690686</xdr:colOff>
      <xdr:row>76</xdr:row>
      <xdr:rowOff>127000</xdr:rowOff>
    </xdr:to>
    <xdr:sp macro="[0]!Sheet1.sumif5" textlink="">
      <xdr:nvSpPr>
        <xdr:cNvPr id="6" name="Rectangle: Rounded Corner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C868A50-CD18-4AB0-ADF6-15E02575E876}"/>
            </a:ext>
          </a:extLst>
        </xdr:cNvPr>
        <xdr:cNvSpPr/>
      </xdr:nvSpPr>
      <xdr:spPr>
        <a:xfrm>
          <a:off x="8104188" y="20272375"/>
          <a:ext cx="1690686" cy="365125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5</a:t>
          </a:r>
        </a:p>
      </xdr:txBody>
    </xdr:sp>
    <xdr:clientData/>
  </xdr:twoCellAnchor>
  <xdr:twoCellAnchor>
    <xdr:from>
      <xdr:col>7</xdr:col>
      <xdr:colOff>952500</xdr:colOff>
      <xdr:row>94</xdr:row>
      <xdr:rowOff>206375</xdr:rowOff>
    </xdr:from>
    <xdr:to>
      <xdr:col>8</xdr:col>
      <xdr:colOff>1627186</xdr:colOff>
      <xdr:row>96</xdr:row>
      <xdr:rowOff>95250</xdr:rowOff>
    </xdr:to>
    <xdr:sp macro="[0]!Sheet1.sumif6" textlink="">
      <xdr:nvSpPr>
        <xdr:cNvPr id="8" name="Rectangle: Rounded Corners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8FCD2E4-ADC2-4DB3-91DF-40A824BFBF1D}"/>
            </a:ext>
          </a:extLst>
        </xdr:cNvPr>
        <xdr:cNvSpPr/>
      </xdr:nvSpPr>
      <xdr:spPr>
        <a:xfrm>
          <a:off x="8040688" y="24050625"/>
          <a:ext cx="1690686" cy="365125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6</a:t>
          </a:r>
        </a:p>
      </xdr:txBody>
    </xdr:sp>
    <xdr:clientData/>
  </xdr:twoCellAnchor>
  <xdr:twoCellAnchor>
    <xdr:from>
      <xdr:col>8</xdr:col>
      <xdr:colOff>0</xdr:colOff>
      <xdr:row>116</xdr:row>
      <xdr:rowOff>0</xdr:rowOff>
    </xdr:from>
    <xdr:to>
      <xdr:col>8</xdr:col>
      <xdr:colOff>1690686</xdr:colOff>
      <xdr:row>117</xdr:row>
      <xdr:rowOff>127000</xdr:rowOff>
    </xdr:to>
    <xdr:sp macro="[0]!Sheet4.averageif1" textlink="">
      <xdr:nvSpPr>
        <xdr:cNvPr id="9" name="Rectangle: Rounded Corners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A2F22DC1-49C5-4F6B-A76F-FDF9F2051E24}"/>
            </a:ext>
          </a:extLst>
        </xdr:cNvPr>
        <xdr:cNvSpPr/>
      </xdr:nvSpPr>
      <xdr:spPr>
        <a:xfrm>
          <a:off x="8104188" y="27892375"/>
          <a:ext cx="1690686" cy="365125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Averageif</a:t>
          </a:r>
        </a:p>
      </xdr:txBody>
    </xdr:sp>
    <xdr:clientData/>
  </xdr:twoCellAnchor>
  <xdr:twoCellAnchor>
    <xdr:from>
      <xdr:col>0</xdr:col>
      <xdr:colOff>55563</xdr:colOff>
      <xdr:row>0</xdr:row>
      <xdr:rowOff>23813</xdr:rowOff>
    </xdr:from>
    <xdr:to>
      <xdr:col>1</xdr:col>
      <xdr:colOff>341312</xdr:colOff>
      <xdr:row>1</xdr:row>
      <xdr:rowOff>15875</xdr:rowOff>
    </xdr:to>
    <xdr:sp macro="" textlink="">
      <xdr:nvSpPr>
        <xdr:cNvPr id="5" name="Rectangle: Rounded Corners 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8629397-75F8-49D2-9288-67A71F592CE2}"/>
            </a:ext>
          </a:extLst>
        </xdr:cNvPr>
        <xdr:cNvSpPr/>
      </xdr:nvSpPr>
      <xdr:spPr>
        <a:xfrm>
          <a:off x="55563" y="23813"/>
          <a:ext cx="865187" cy="230187"/>
        </a:xfrm>
        <a:prstGeom prst="roundRect">
          <a:avLst>
            <a:gd name="adj" fmla="val 50000"/>
          </a:avLst>
        </a:prstGeom>
        <a:solidFill>
          <a:srgbClr val="FFB48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200" b="1"/>
            <a:t>Start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1022494</xdr:colOff>
      <xdr:row>14</xdr:row>
      <xdr:rowOff>16598</xdr:rowOff>
    </xdr:from>
    <xdr:to>
      <xdr:col>10</xdr:col>
      <xdr:colOff>297295</xdr:colOff>
      <xdr:row>15</xdr:row>
      <xdr:rowOff>143599</xdr:rowOff>
    </xdr:to>
    <xdr:sp macro="[0]!Sheet4.averageif2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5AD7AD-65CC-4EB5-8D9A-C3015D2B7AFA}"/>
            </a:ext>
          </a:extLst>
        </xdr:cNvPr>
        <xdr:cNvSpPr/>
      </xdr:nvSpPr>
      <xdr:spPr>
        <a:xfrm>
          <a:off x="8521267" y="3436939"/>
          <a:ext cx="1690687" cy="369455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2</a:t>
          </a:r>
        </a:p>
      </xdr:txBody>
    </xdr:sp>
    <xdr:clientData/>
  </xdr:twoCellAnchor>
  <xdr:twoCellAnchor>
    <xdr:from>
      <xdr:col>8</xdr:col>
      <xdr:colOff>903432</xdr:colOff>
      <xdr:row>34</xdr:row>
      <xdr:rowOff>152976</xdr:rowOff>
    </xdr:from>
    <xdr:to>
      <xdr:col>10</xdr:col>
      <xdr:colOff>170294</xdr:colOff>
      <xdr:row>36</xdr:row>
      <xdr:rowOff>41851</xdr:rowOff>
    </xdr:to>
    <xdr:sp macro="[0]!Sheet4.averageif3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B889313-B923-459F-9D3D-251E5C3814BC}"/>
            </a:ext>
          </a:extLst>
        </xdr:cNvPr>
        <xdr:cNvSpPr/>
      </xdr:nvSpPr>
      <xdr:spPr>
        <a:xfrm>
          <a:off x="8402205" y="8422408"/>
          <a:ext cx="1682748" cy="373784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3</a:t>
          </a:r>
        </a:p>
      </xdr:txBody>
    </xdr:sp>
    <xdr:clientData/>
  </xdr:twoCellAnchor>
  <xdr:twoCellAnchor>
    <xdr:from>
      <xdr:col>8</xdr:col>
      <xdr:colOff>921472</xdr:colOff>
      <xdr:row>56</xdr:row>
      <xdr:rowOff>222249</xdr:rowOff>
    </xdr:from>
    <xdr:to>
      <xdr:col>10</xdr:col>
      <xdr:colOff>196272</xdr:colOff>
      <xdr:row>58</xdr:row>
      <xdr:rowOff>111124</xdr:rowOff>
    </xdr:to>
    <xdr:sp macro="[0]!Sheet4.averageif4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52D51D3-9E20-4696-BD73-FB2FFE78AE5D}"/>
            </a:ext>
          </a:extLst>
        </xdr:cNvPr>
        <xdr:cNvSpPr/>
      </xdr:nvSpPr>
      <xdr:spPr>
        <a:xfrm>
          <a:off x="8420245" y="13825681"/>
          <a:ext cx="1690686" cy="373784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4</a:t>
          </a:r>
        </a:p>
      </xdr:txBody>
    </xdr:sp>
    <xdr:clientData/>
  </xdr:twoCellAnchor>
  <xdr:twoCellAnchor>
    <xdr:from>
      <xdr:col>8</xdr:col>
      <xdr:colOff>900546</xdr:colOff>
      <xdr:row>78</xdr:row>
      <xdr:rowOff>86590</xdr:rowOff>
    </xdr:from>
    <xdr:to>
      <xdr:col>10</xdr:col>
      <xdr:colOff>175346</xdr:colOff>
      <xdr:row>79</xdr:row>
      <xdr:rowOff>213591</xdr:rowOff>
    </xdr:to>
    <xdr:sp macro="[0]!Sheet4.averageif5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A885B48-FE4A-46D6-BAB8-E197B418CD39}"/>
            </a:ext>
          </a:extLst>
        </xdr:cNvPr>
        <xdr:cNvSpPr/>
      </xdr:nvSpPr>
      <xdr:spPr>
        <a:xfrm>
          <a:off x="8399319" y="19024022"/>
          <a:ext cx="1690686" cy="369455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5</a:t>
          </a:r>
        </a:p>
      </xdr:txBody>
    </xdr:sp>
    <xdr:clientData/>
  </xdr:twoCellAnchor>
  <xdr:twoCellAnchor>
    <xdr:from>
      <xdr:col>7</xdr:col>
      <xdr:colOff>952500</xdr:colOff>
      <xdr:row>99</xdr:row>
      <xdr:rowOff>206375</xdr:rowOff>
    </xdr:from>
    <xdr:to>
      <xdr:col>8</xdr:col>
      <xdr:colOff>1627186</xdr:colOff>
      <xdr:row>101</xdr:row>
      <xdr:rowOff>95250</xdr:rowOff>
    </xdr:to>
    <xdr:sp macro="[0]!Sheet4.averageif6" textlink="">
      <xdr:nvSpPr>
        <xdr:cNvPr id="6" name="Rectangle: Rounded Corner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43C36AF-0D93-41C1-8D74-1FC85005C2E1}"/>
            </a:ext>
          </a:extLst>
        </xdr:cNvPr>
        <xdr:cNvSpPr/>
      </xdr:nvSpPr>
      <xdr:spPr>
        <a:xfrm>
          <a:off x="8039100" y="24047450"/>
          <a:ext cx="1693861" cy="365125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6</a:t>
          </a:r>
        </a:p>
      </xdr:txBody>
    </xdr:sp>
    <xdr:clientData/>
  </xdr:twoCellAnchor>
  <xdr:twoCellAnchor>
    <xdr:from>
      <xdr:col>8</xdr:col>
      <xdr:colOff>0</xdr:colOff>
      <xdr:row>121</xdr:row>
      <xdr:rowOff>0</xdr:rowOff>
    </xdr:from>
    <xdr:to>
      <xdr:col>8</xdr:col>
      <xdr:colOff>1690686</xdr:colOff>
      <xdr:row>122</xdr:row>
      <xdr:rowOff>127000</xdr:rowOff>
    </xdr:to>
    <xdr:sp macro="[0]!Sheet7.countif1" textlink="">
      <xdr:nvSpPr>
        <xdr:cNvPr id="7" name="Rectangle: Rounded Corner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F9ED57B-A584-4F1D-B9A1-85237D88E482}"/>
            </a:ext>
          </a:extLst>
        </xdr:cNvPr>
        <xdr:cNvSpPr/>
      </xdr:nvSpPr>
      <xdr:spPr>
        <a:xfrm>
          <a:off x="8105775" y="27889200"/>
          <a:ext cx="1690686" cy="365125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CountIF</a:t>
          </a:r>
        </a:p>
      </xdr:txBody>
    </xdr:sp>
    <xdr:clientData/>
  </xdr:twoCellAnchor>
  <xdr:twoCellAnchor>
    <xdr:from>
      <xdr:col>0</xdr:col>
      <xdr:colOff>152657</xdr:colOff>
      <xdr:row>0</xdr:row>
      <xdr:rowOff>22738</xdr:rowOff>
    </xdr:from>
    <xdr:to>
      <xdr:col>1</xdr:col>
      <xdr:colOff>246062</xdr:colOff>
      <xdr:row>1</xdr:row>
      <xdr:rowOff>31750</xdr:rowOff>
    </xdr:to>
    <xdr:sp macro="[0]!Sheet4.averageif1" textlink="">
      <xdr:nvSpPr>
        <xdr:cNvPr id="9" name="Graphic 7" descr="Play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F1BA17E-BDF7-4761-9C3F-B172C368EDC6}"/>
            </a:ext>
          </a:extLst>
        </xdr:cNvPr>
        <xdr:cNvSpPr/>
      </xdr:nvSpPr>
      <xdr:spPr>
        <a:xfrm>
          <a:off x="152657" y="22738"/>
          <a:ext cx="672843" cy="247137"/>
        </a:xfrm>
        <a:prstGeom prst="roundRect">
          <a:avLst>
            <a:gd name="adj" fmla="val 50000"/>
          </a:avLst>
        </a:prstGeom>
        <a:solidFill>
          <a:srgbClr val="FFB48F"/>
        </a:solidFill>
        <a:ln w="2480" cap="flat">
          <a:noFill/>
          <a:prstDash val="solid"/>
          <a:miter/>
        </a:ln>
      </xdr:spPr>
      <xdr:txBody>
        <a:bodyPr rtlCol="0" anchor="ctr"/>
        <a:lstStyle/>
        <a:p>
          <a:pPr algn="ctr"/>
          <a:r>
            <a:rPr lang="en-IN"/>
            <a:t>Start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1155988</xdr:colOff>
      <xdr:row>14</xdr:row>
      <xdr:rowOff>37524</xdr:rowOff>
    </xdr:from>
    <xdr:to>
      <xdr:col>11</xdr:col>
      <xdr:colOff>430789</xdr:colOff>
      <xdr:row>15</xdr:row>
      <xdr:rowOff>164525</xdr:rowOff>
    </xdr:to>
    <xdr:sp macro="[0]!Sheet7.countif2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222A5B2-919E-46BC-9D3E-2F48C6286D4A}"/>
            </a:ext>
          </a:extLst>
        </xdr:cNvPr>
        <xdr:cNvSpPr/>
      </xdr:nvSpPr>
      <xdr:spPr>
        <a:xfrm>
          <a:off x="8975147" y="3457865"/>
          <a:ext cx="1690687" cy="369455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2</a:t>
          </a:r>
        </a:p>
      </xdr:txBody>
    </xdr:sp>
    <xdr:clientData/>
  </xdr:twoCellAnchor>
  <xdr:twoCellAnchor>
    <xdr:from>
      <xdr:col>9</xdr:col>
      <xdr:colOff>747568</xdr:colOff>
      <xdr:row>34</xdr:row>
      <xdr:rowOff>225136</xdr:rowOff>
    </xdr:from>
    <xdr:to>
      <xdr:col>10</xdr:col>
      <xdr:colOff>334816</xdr:colOff>
      <xdr:row>36</xdr:row>
      <xdr:rowOff>155864</xdr:rowOff>
    </xdr:to>
    <xdr:sp macro="[0]!Sheet7.countif3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64DC54E-22EF-449F-A127-39E3630D0D3F}"/>
            </a:ext>
          </a:extLst>
        </xdr:cNvPr>
        <xdr:cNvSpPr/>
      </xdr:nvSpPr>
      <xdr:spPr>
        <a:xfrm>
          <a:off x="8566727" y="8494568"/>
          <a:ext cx="1396998" cy="415637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3</a:t>
          </a:r>
        </a:p>
      </xdr:txBody>
    </xdr:sp>
    <xdr:clientData/>
  </xdr:twoCellAnchor>
  <xdr:twoCellAnchor>
    <xdr:from>
      <xdr:col>9</xdr:col>
      <xdr:colOff>774267</xdr:colOff>
      <xdr:row>55</xdr:row>
      <xdr:rowOff>135659</xdr:rowOff>
    </xdr:from>
    <xdr:to>
      <xdr:col>11</xdr:col>
      <xdr:colOff>49067</xdr:colOff>
      <xdr:row>57</xdr:row>
      <xdr:rowOff>24534</xdr:rowOff>
    </xdr:to>
    <xdr:sp macro="[0]!Sheet7.countif4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15CE78B-1F37-4D98-981D-09C53CFA3CF1}"/>
            </a:ext>
          </a:extLst>
        </xdr:cNvPr>
        <xdr:cNvSpPr/>
      </xdr:nvSpPr>
      <xdr:spPr>
        <a:xfrm>
          <a:off x="8593426" y="13496636"/>
          <a:ext cx="1690686" cy="373784"/>
        </a:xfrm>
        <a:prstGeom prst="roundRect">
          <a:avLst>
            <a:gd name="adj" fmla="val 2825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4</a:t>
          </a:r>
        </a:p>
      </xdr:txBody>
    </xdr:sp>
    <xdr:clientData/>
  </xdr:twoCellAnchor>
  <xdr:twoCellAnchor>
    <xdr:from>
      <xdr:col>9</xdr:col>
      <xdr:colOff>0</xdr:colOff>
      <xdr:row>75</xdr:row>
      <xdr:rowOff>0</xdr:rowOff>
    </xdr:from>
    <xdr:to>
      <xdr:col>9</xdr:col>
      <xdr:colOff>1690686</xdr:colOff>
      <xdr:row>76</xdr:row>
      <xdr:rowOff>127000</xdr:rowOff>
    </xdr:to>
    <xdr:sp macro="[0]!Sheet7.countif5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C5D3157-CFC9-47DC-841D-B14DE647258E}"/>
            </a:ext>
          </a:extLst>
        </xdr:cNvPr>
        <xdr:cNvSpPr/>
      </xdr:nvSpPr>
      <xdr:spPr>
        <a:xfrm>
          <a:off x="8105775" y="20269200"/>
          <a:ext cx="1690686" cy="365125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5</a:t>
          </a:r>
        </a:p>
      </xdr:txBody>
    </xdr:sp>
    <xdr:clientData/>
  </xdr:twoCellAnchor>
  <xdr:twoCellAnchor>
    <xdr:from>
      <xdr:col>8</xdr:col>
      <xdr:colOff>952500</xdr:colOff>
      <xdr:row>96</xdr:row>
      <xdr:rowOff>206375</xdr:rowOff>
    </xdr:from>
    <xdr:to>
      <xdr:col>9</xdr:col>
      <xdr:colOff>1627186</xdr:colOff>
      <xdr:row>98</xdr:row>
      <xdr:rowOff>95250</xdr:rowOff>
    </xdr:to>
    <xdr:sp macro="[0]!Sheet7.countif6" textlink="">
      <xdr:nvSpPr>
        <xdr:cNvPr id="6" name="Rectangle: Rounded Corner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5B11D60-87BD-4B69-9C4B-C7A60FE48831}"/>
            </a:ext>
          </a:extLst>
        </xdr:cNvPr>
        <xdr:cNvSpPr/>
      </xdr:nvSpPr>
      <xdr:spPr>
        <a:xfrm>
          <a:off x="8039100" y="24047450"/>
          <a:ext cx="1693861" cy="365125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6</a:t>
          </a:r>
        </a:p>
      </xdr:txBody>
    </xdr:sp>
    <xdr:clientData/>
  </xdr:twoCellAnchor>
  <xdr:twoCellAnchor>
    <xdr:from>
      <xdr:col>9</xdr:col>
      <xdr:colOff>0</xdr:colOff>
      <xdr:row>117</xdr:row>
      <xdr:rowOff>0</xdr:rowOff>
    </xdr:from>
    <xdr:to>
      <xdr:col>9</xdr:col>
      <xdr:colOff>1690686</xdr:colOff>
      <xdr:row>118</xdr:row>
      <xdr:rowOff>127000</xdr:rowOff>
    </xdr:to>
    <xdr:sp macro="[0]!Sheet13.sumifs1" textlink="">
      <xdr:nvSpPr>
        <xdr:cNvPr id="7" name="Rectangle: Rounded Corner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2EE0C70-5714-47F4-8BC8-636124CA2447}"/>
            </a:ext>
          </a:extLst>
        </xdr:cNvPr>
        <xdr:cNvSpPr/>
      </xdr:nvSpPr>
      <xdr:spPr>
        <a:xfrm>
          <a:off x="8105775" y="27889200"/>
          <a:ext cx="1690686" cy="365125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SUMIFS</a:t>
          </a:r>
        </a:p>
      </xdr:txBody>
    </xdr:sp>
    <xdr:clientData/>
  </xdr:twoCellAnchor>
  <xdr:twoCellAnchor>
    <xdr:from>
      <xdr:col>0</xdr:col>
      <xdr:colOff>49468</xdr:colOff>
      <xdr:row>0</xdr:row>
      <xdr:rowOff>22737</xdr:rowOff>
    </xdr:from>
    <xdr:to>
      <xdr:col>1</xdr:col>
      <xdr:colOff>206375</xdr:colOff>
      <xdr:row>1</xdr:row>
      <xdr:rowOff>0</xdr:rowOff>
    </xdr:to>
    <xdr:sp macro="[0]!Sheet7.countif1" textlink="">
      <xdr:nvSpPr>
        <xdr:cNvPr id="9" name="Graphic 7" descr="Play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5391681-EB1F-4E68-906D-987C832145E7}"/>
            </a:ext>
          </a:extLst>
        </xdr:cNvPr>
        <xdr:cNvSpPr/>
      </xdr:nvSpPr>
      <xdr:spPr>
        <a:xfrm>
          <a:off x="49468" y="22737"/>
          <a:ext cx="736345" cy="215388"/>
        </a:xfrm>
        <a:prstGeom prst="roundRect">
          <a:avLst>
            <a:gd name="adj" fmla="val 50000"/>
          </a:avLst>
        </a:prstGeom>
        <a:solidFill>
          <a:srgbClr val="FFB48F"/>
        </a:solidFill>
        <a:ln w="2480" cap="flat">
          <a:noFill/>
          <a:prstDash val="solid"/>
          <a:miter/>
        </a:ln>
      </xdr:spPr>
      <xdr:txBody>
        <a:bodyPr rtlCol="0" anchor="ctr"/>
        <a:lstStyle/>
        <a:p>
          <a:pPr algn="ctr"/>
          <a:r>
            <a:rPr lang="en-IN"/>
            <a:t>Start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436562</xdr:colOff>
      <xdr:row>14</xdr:row>
      <xdr:rowOff>57009</xdr:rowOff>
    </xdr:from>
    <xdr:to>
      <xdr:col>9</xdr:col>
      <xdr:colOff>1809748</xdr:colOff>
      <xdr:row>15</xdr:row>
      <xdr:rowOff>188339</xdr:rowOff>
    </xdr:to>
    <xdr:sp macro="[0]!Sheet13.sumifs2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C31AA8F-E882-40B7-91D0-A975664D6951}"/>
            </a:ext>
          </a:extLst>
        </xdr:cNvPr>
        <xdr:cNvSpPr/>
      </xdr:nvSpPr>
      <xdr:spPr>
        <a:xfrm>
          <a:off x="8645380" y="3477350"/>
          <a:ext cx="1373186" cy="373784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2</a:t>
          </a:r>
        </a:p>
      </xdr:txBody>
    </xdr:sp>
    <xdr:clientData/>
  </xdr:twoCellAnchor>
  <xdr:twoCellAnchor>
    <xdr:from>
      <xdr:col>9</xdr:col>
      <xdr:colOff>500062</xdr:colOff>
      <xdr:row>33</xdr:row>
      <xdr:rowOff>127000</xdr:rowOff>
    </xdr:from>
    <xdr:to>
      <xdr:col>10</xdr:col>
      <xdr:colOff>31748</xdr:colOff>
      <xdr:row>35</xdr:row>
      <xdr:rowOff>15875</xdr:rowOff>
    </xdr:to>
    <xdr:sp macro="[0]!Sheet13.sumifs3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95050E1-31BF-4C25-AF8A-4CA915404A3C}"/>
            </a:ext>
          </a:extLst>
        </xdr:cNvPr>
        <xdr:cNvSpPr/>
      </xdr:nvSpPr>
      <xdr:spPr>
        <a:xfrm>
          <a:off x="8874125" y="7302500"/>
          <a:ext cx="1341436" cy="365125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3</a:t>
          </a:r>
        </a:p>
      </xdr:txBody>
    </xdr:sp>
    <xdr:clientData/>
  </xdr:twoCellAnchor>
  <xdr:twoCellAnchor>
    <xdr:from>
      <xdr:col>9</xdr:col>
      <xdr:colOff>468311</xdr:colOff>
      <xdr:row>54</xdr:row>
      <xdr:rowOff>127000</xdr:rowOff>
    </xdr:from>
    <xdr:to>
      <xdr:col>10</xdr:col>
      <xdr:colOff>31748</xdr:colOff>
      <xdr:row>56</xdr:row>
      <xdr:rowOff>15875</xdr:rowOff>
    </xdr:to>
    <xdr:sp macro="[0]!Sheet13.sumifs4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CC6BFFC-8918-45C2-B567-79E023BAFAD1}"/>
            </a:ext>
          </a:extLst>
        </xdr:cNvPr>
        <xdr:cNvSpPr/>
      </xdr:nvSpPr>
      <xdr:spPr>
        <a:xfrm>
          <a:off x="8842374" y="11112500"/>
          <a:ext cx="1373187" cy="365125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4</a:t>
          </a:r>
        </a:p>
      </xdr:txBody>
    </xdr:sp>
    <xdr:clientData/>
  </xdr:twoCellAnchor>
  <xdr:twoCellAnchor>
    <xdr:from>
      <xdr:col>9</xdr:col>
      <xdr:colOff>309562</xdr:colOff>
      <xdr:row>115</xdr:row>
      <xdr:rowOff>0</xdr:rowOff>
    </xdr:from>
    <xdr:to>
      <xdr:col>9</xdr:col>
      <xdr:colOff>1690686</xdr:colOff>
      <xdr:row>116</xdr:row>
      <xdr:rowOff>127000</xdr:rowOff>
    </xdr:to>
    <xdr:sp macro="[0]!Sheet13.sumifs7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7D10B71-6C39-48AE-BC74-9AAA204538DE}"/>
            </a:ext>
          </a:extLst>
        </xdr:cNvPr>
        <xdr:cNvSpPr/>
      </xdr:nvSpPr>
      <xdr:spPr>
        <a:xfrm>
          <a:off x="8683625" y="24884063"/>
          <a:ext cx="1381124" cy="365125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7</a:t>
          </a:r>
        </a:p>
      </xdr:txBody>
    </xdr:sp>
    <xdr:clientData/>
  </xdr:twoCellAnchor>
  <xdr:twoCellAnchor>
    <xdr:from>
      <xdr:col>9</xdr:col>
      <xdr:colOff>261936</xdr:colOff>
      <xdr:row>135</xdr:row>
      <xdr:rowOff>206375</xdr:rowOff>
    </xdr:from>
    <xdr:to>
      <xdr:col>9</xdr:col>
      <xdr:colOff>1627185</xdr:colOff>
      <xdr:row>137</xdr:row>
      <xdr:rowOff>95250</xdr:rowOff>
    </xdr:to>
    <xdr:sp macro="[0]!Sheet13.sumifs8" textlink="">
      <xdr:nvSpPr>
        <xdr:cNvPr id="6" name="Rectangle: Rounded Corner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BF50B21-194C-4333-91BD-A3BE7F74B696}"/>
            </a:ext>
          </a:extLst>
        </xdr:cNvPr>
        <xdr:cNvSpPr/>
      </xdr:nvSpPr>
      <xdr:spPr>
        <a:xfrm>
          <a:off x="8635999" y="28662313"/>
          <a:ext cx="1365249" cy="365125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8</a:t>
          </a:r>
        </a:p>
      </xdr:txBody>
    </xdr:sp>
    <xdr:clientData/>
  </xdr:twoCellAnchor>
  <xdr:twoCellAnchor>
    <xdr:from>
      <xdr:col>9</xdr:col>
      <xdr:colOff>404811</xdr:colOff>
      <xdr:row>74</xdr:row>
      <xdr:rowOff>127000</xdr:rowOff>
    </xdr:from>
    <xdr:to>
      <xdr:col>10</xdr:col>
      <xdr:colOff>31748</xdr:colOff>
      <xdr:row>76</xdr:row>
      <xdr:rowOff>17318</xdr:rowOff>
    </xdr:to>
    <xdr:sp macro="[0]!Sheet13.sumifs5" textlink="">
      <xdr:nvSpPr>
        <xdr:cNvPr id="10" name="Rectangle: Rounded Corners 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9CE31B3-717F-4EAC-875F-B207E5F61015}"/>
            </a:ext>
          </a:extLst>
        </xdr:cNvPr>
        <xdr:cNvSpPr/>
      </xdr:nvSpPr>
      <xdr:spPr>
        <a:xfrm>
          <a:off x="8613629" y="18094614"/>
          <a:ext cx="1436687" cy="375227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5</a:t>
          </a:r>
        </a:p>
      </xdr:txBody>
    </xdr:sp>
    <xdr:clientData/>
  </xdr:twoCellAnchor>
  <xdr:twoCellAnchor>
    <xdr:from>
      <xdr:col>9</xdr:col>
      <xdr:colOff>492125</xdr:colOff>
      <xdr:row>95</xdr:row>
      <xdr:rowOff>127000</xdr:rowOff>
    </xdr:from>
    <xdr:to>
      <xdr:col>10</xdr:col>
      <xdr:colOff>31749</xdr:colOff>
      <xdr:row>97</xdr:row>
      <xdr:rowOff>15875</xdr:rowOff>
    </xdr:to>
    <xdr:sp macro="[0]!Sheet13.sumifs6" textlink="">
      <xdr:nvSpPr>
        <xdr:cNvPr id="11" name="Rectangle: Rounded Corners 1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C339D3D-5A00-4E5F-99BB-2E0AEE60D570}"/>
            </a:ext>
          </a:extLst>
        </xdr:cNvPr>
        <xdr:cNvSpPr/>
      </xdr:nvSpPr>
      <xdr:spPr>
        <a:xfrm>
          <a:off x="8866188" y="18343563"/>
          <a:ext cx="1349374" cy="365125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6</a:t>
          </a:r>
        </a:p>
      </xdr:txBody>
    </xdr:sp>
    <xdr:clientData/>
  </xdr:twoCellAnchor>
  <xdr:twoCellAnchor>
    <xdr:from>
      <xdr:col>0</xdr:col>
      <xdr:colOff>0</xdr:colOff>
      <xdr:row>0</xdr:row>
      <xdr:rowOff>7938</xdr:rowOff>
    </xdr:from>
    <xdr:to>
      <xdr:col>1</xdr:col>
      <xdr:colOff>156907</xdr:colOff>
      <xdr:row>0</xdr:row>
      <xdr:rowOff>223326</xdr:rowOff>
    </xdr:to>
    <xdr:sp macro="[0]!Sheet13.sumifs1" textlink="">
      <xdr:nvSpPr>
        <xdr:cNvPr id="12" name="Graphic 7" descr="Play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6FA5B909-C108-46B9-B4BE-1C2AD32F4B5D}"/>
            </a:ext>
          </a:extLst>
        </xdr:cNvPr>
        <xdr:cNvSpPr/>
      </xdr:nvSpPr>
      <xdr:spPr>
        <a:xfrm>
          <a:off x="0" y="7938"/>
          <a:ext cx="736345" cy="215388"/>
        </a:xfrm>
        <a:prstGeom prst="roundRect">
          <a:avLst>
            <a:gd name="adj" fmla="val 50000"/>
          </a:avLst>
        </a:prstGeom>
        <a:solidFill>
          <a:srgbClr val="FFB48F"/>
        </a:solidFill>
        <a:ln w="2480" cap="flat">
          <a:noFill/>
          <a:prstDash val="solid"/>
          <a:miter/>
        </a:ln>
      </xdr:spPr>
      <xdr:txBody>
        <a:bodyPr rtlCol="0" anchor="ctr"/>
        <a:lstStyle/>
        <a:p>
          <a:pPr algn="ctr"/>
          <a:r>
            <a:rPr lang="en-IN"/>
            <a:t>Start</a:t>
          </a:r>
        </a:p>
      </xdr:txBody>
    </xdr:sp>
    <xdr:clientData/>
  </xdr:twoCellAnchor>
  <xdr:twoCellAnchor>
    <xdr:from>
      <xdr:col>9</xdr:col>
      <xdr:colOff>461961</xdr:colOff>
      <xdr:row>157</xdr:row>
      <xdr:rowOff>112712</xdr:rowOff>
    </xdr:from>
    <xdr:to>
      <xdr:col>10</xdr:col>
      <xdr:colOff>17460</xdr:colOff>
      <xdr:row>159</xdr:row>
      <xdr:rowOff>1587</xdr:rowOff>
    </xdr:to>
    <xdr:sp macro="[0]!Sheet16.averageifs1" textlink="">
      <xdr:nvSpPr>
        <xdr:cNvPr id="7" name="Rectangle: Rounded Corners 6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BF52C1D2-1B65-7B63-0FFC-77BDB8FAE81B}"/>
            </a:ext>
          </a:extLst>
        </xdr:cNvPr>
        <xdr:cNvSpPr/>
      </xdr:nvSpPr>
      <xdr:spPr>
        <a:xfrm>
          <a:off x="8645524" y="32616775"/>
          <a:ext cx="1365249" cy="365125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AverageIFS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615517</xdr:colOff>
      <xdr:row>13</xdr:row>
      <xdr:rowOff>103909</xdr:rowOff>
    </xdr:from>
    <xdr:to>
      <xdr:col>9</xdr:col>
      <xdr:colOff>1774392</xdr:colOff>
      <xdr:row>14</xdr:row>
      <xdr:rowOff>151537</xdr:rowOff>
    </xdr:to>
    <xdr:sp macro="[0]!Sheet16.averageifs2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E10D60-8BA2-4482-8F47-3CC30B8F0736}"/>
            </a:ext>
          </a:extLst>
        </xdr:cNvPr>
        <xdr:cNvSpPr/>
      </xdr:nvSpPr>
      <xdr:spPr>
        <a:xfrm>
          <a:off x="8997517" y="3524250"/>
          <a:ext cx="1158875" cy="290082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2</a:t>
          </a:r>
        </a:p>
      </xdr:txBody>
    </xdr:sp>
    <xdr:clientData/>
  </xdr:twoCellAnchor>
  <xdr:twoCellAnchor>
    <xdr:from>
      <xdr:col>9</xdr:col>
      <xdr:colOff>579436</xdr:colOff>
      <xdr:row>33</xdr:row>
      <xdr:rowOff>214313</xdr:rowOff>
    </xdr:from>
    <xdr:to>
      <xdr:col>10</xdr:col>
      <xdr:colOff>31747</xdr:colOff>
      <xdr:row>35</xdr:row>
      <xdr:rowOff>15875</xdr:rowOff>
    </xdr:to>
    <xdr:sp macro="[0]!Sheet16.averageifs3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A8A8609-3FA2-4FFD-8102-9011CF6FB176}"/>
            </a:ext>
          </a:extLst>
        </xdr:cNvPr>
        <xdr:cNvSpPr/>
      </xdr:nvSpPr>
      <xdr:spPr>
        <a:xfrm>
          <a:off x="8953499" y="7389813"/>
          <a:ext cx="1262061" cy="277812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3</a:t>
          </a:r>
        </a:p>
      </xdr:txBody>
    </xdr:sp>
    <xdr:clientData/>
  </xdr:twoCellAnchor>
  <xdr:twoCellAnchor>
    <xdr:from>
      <xdr:col>9</xdr:col>
      <xdr:colOff>492125</xdr:colOff>
      <xdr:row>56</xdr:row>
      <xdr:rowOff>7938</xdr:rowOff>
    </xdr:from>
    <xdr:to>
      <xdr:col>10</xdr:col>
      <xdr:colOff>31749</xdr:colOff>
      <xdr:row>57</xdr:row>
      <xdr:rowOff>15875</xdr:rowOff>
    </xdr:to>
    <xdr:sp macro="[0]!Sheet16.averageifs4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083BA63-92EA-4C0B-9D20-FD9FF7936805}"/>
            </a:ext>
          </a:extLst>
        </xdr:cNvPr>
        <xdr:cNvSpPr/>
      </xdr:nvSpPr>
      <xdr:spPr>
        <a:xfrm>
          <a:off x="8866188" y="11231563"/>
          <a:ext cx="1349374" cy="246062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4</a:t>
          </a:r>
        </a:p>
      </xdr:txBody>
    </xdr:sp>
    <xdr:clientData/>
  </xdr:twoCellAnchor>
  <xdr:twoCellAnchor>
    <xdr:from>
      <xdr:col>9</xdr:col>
      <xdr:colOff>388937</xdr:colOff>
      <xdr:row>120</xdr:row>
      <xdr:rowOff>55562</xdr:rowOff>
    </xdr:from>
    <xdr:to>
      <xdr:col>9</xdr:col>
      <xdr:colOff>1690685</xdr:colOff>
      <xdr:row>121</xdr:row>
      <xdr:rowOff>127000</xdr:rowOff>
    </xdr:to>
    <xdr:sp macro="[0]!Sheet16.averageifs7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96D6F20-D854-4DAC-A026-DC1B18E07B6E}"/>
            </a:ext>
          </a:extLst>
        </xdr:cNvPr>
        <xdr:cNvSpPr/>
      </xdr:nvSpPr>
      <xdr:spPr>
        <a:xfrm>
          <a:off x="8763000" y="25415875"/>
          <a:ext cx="1301748" cy="309563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7</a:t>
          </a:r>
        </a:p>
      </xdr:txBody>
    </xdr:sp>
    <xdr:clientData/>
  </xdr:twoCellAnchor>
  <xdr:twoCellAnchor>
    <xdr:from>
      <xdr:col>9</xdr:col>
      <xdr:colOff>365125</xdr:colOff>
      <xdr:row>141</xdr:row>
      <xdr:rowOff>95250</xdr:rowOff>
    </xdr:from>
    <xdr:to>
      <xdr:col>9</xdr:col>
      <xdr:colOff>1627185</xdr:colOff>
      <xdr:row>142</xdr:row>
      <xdr:rowOff>95250</xdr:rowOff>
    </xdr:to>
    <xdr:sp macro="[0]!Sheet16.averageifs8" textlink="">
      <xdr:nvSpPr>
        <xdr:cNvPr id="6" name="Rectangle: Rounded Corner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101C7B1-D37A-4F39-B47B-C703D27F060C}"/>
            </a:ext>
          </a:extLst>
        </xdr:cNvPr>
        <xdr:cNvSpPr/>
      </xdr:nvSpPr>
      <xdr:spPr>
        <a:xfrm>
          <a:off x="8739188" y="29265563"/>
          <a:ext cx="1262060" cy="238125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8</a:t>
          </a:r>
        </a:p>
      </xdr:txBody>
    </xdr:sp>
    <xdr:clientData/>
  </xdr:twoCellAnchor>
  <xdr:twoCellAnchor>
    <xdr:from>
      <xdr:col>9</xdr:col>
      <xdr:colOff>603250</xdr:colOff>
      <xdr:row>77</xdr:row>
      <xdr:rowOff>127001</xdr:rowOff>
    </xdr:from>
    <xdr:to>
      <xdr:col>10</xdr:col>
      <xdr:colOff>31748</xdr:colOff>
      <xdr:row>78</xdr:row>
      <xdr:rowOff>182564</xdr:rowOff>
    </xdr:to>
    <xdr:sp macro="[0]!Sheet16.averageifs5" textlink="">
      <xdr:nvSpPr>
        <xdr:cNvPr id="9" name="Rectangle: Rounded Corners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2F964E27-5B0F-4A45-B6C1-3872897F653E}"/>
            </a:ext>
          </a:extLst>
        </xdr:cNvPr>
        <xdr:cNvSpPr/>
      </xdr:nvSpPr>
      <xdr:spPr>
        <a:xfrm>
          <a:off x="8977313" y="14922501"/>
          <a:ext cx="1238248" cy="293688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5</a:t>
          </a:r>
        </a:p>
      </xdr:txBody>
    </xdr:sp>
    <xdr:clientData/>
  </xdr:twoCellAnchor>
  <xdr:twoCellAnchor>
    <xdr:from>
      <xdr:col>9</xdr:col>
      <xdr:colOff>507999</xdr:colOff>
      <xdr:row>99</xdr:row>
      <xdr:rowOff>206375</xdr:rowOff>
    </xdr:from>
    <xdr:to>
      <xdr:col>10</xdr:col>
      <xdr:colOff>31748</xdr:colOff>
      <xdr:row>101</xdr:row>
      <xdr:rowOff>15875</xdr:rowOff>
    </xdr:to>
    <xdr:sp macro="[0]!Sheet16.averageifs6" textlink="">
      <xdr:nvSpPr>
        <xdr:cNvPr id="10" name="Rectangle: Rounded Corners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C2E80AA-4291-43EE-B3B9-5E1E73D409F3}"/>
            </a:ext>
          </a:extLst>
        </xdr:cNvPr>
        <xdr:cNvSpPr/>
      </xdr:nvSpPr>
      <xdr:spPr>
        <a:xfrm>
          <a:off x="8882062" y="18899188"/>
          <a:ext cx="1333499" cy="285750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6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156907</xdr:colOff>
      <xdr:row>0</xdr:row>
      <xdr:rowOff>215388</xdr:rowOff>
    </xdr:to>
    <xdr:sp macro="[0]!Sheet16.averageifs1" textlink="">
      <xdr:nvSpPr>
        <xdr:cNvPr id="11" name="Graphic 7" descr="Play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5D568242-157A-41DD-AFBE-4EEF46AFB994}"/>
            </a:ext>
          </a:extLst>
        </xdr:cNvPr>
        <xdr:cNvSpPr/>
      </xdr:nvSpPr>
      <xdr:spPr>
        <a:xfrm>
          <a:off x="0" y="0"/>
          <a:ext cx="736345" cy="215388"/>
        </a:xfrm>
        <a:prstGeom prst="roundRect">
          <a:avLst>
            <a:gd name="adj" fmla="val 50000"/>
          </a:avLst>
        </a:prstGeom>
        <a:solidFill>
          <a:srgbClr val="FFB48F"/>
        </a:solidFill>
        <a:ln w="2480" cap="flat">
          <a:noFill/>
          <a:prstDash val="solid"/>
          <a:miter/>
        </a:ln>
      </xdr:spPr>
      <xdr:txBody>
        <a:bodyPr rtlCol="0" anchor="ctr"/>
        <a:lstStyle/>
        <a:p>
          <a:pPr algn="ctr"/>
          <a:r>
            <a:rPr lang="en-IN"/>
            <a:t>Start</a:t>
          </a:r>
        </a:p>
      </xdr:txBody>
    </xdr:sp>
    <xdr:clientData/>
  </xdr:twoCellAnchor>
  <xdr:twoCellAnchor>
    <xdr:from>
      <xdr:col>9</xdr:col>
      <xdr:colOff>414337</xdr:colOff>
      <xdr:row>163</xdr:row>
      <xdr:rowOff>73025</xdr:rowOff>
    </xdr:from>
    <xdr:to>
      <xdr:col>9</xdr:col>
      <xdr:colOff>1676397</xdr:colOff>
      <xdr:row>164</xdr:row>
      <xdr:rowOff>73025</xdr:rowOff>
    </xdr:to>
    <xdr:sp macro="[0]!Sheet15.countifs1" textlink="">
      <xdr:nvSpPr>
        <xdr:cNvPr id="7" name="Rectangle: Rounded Corners 6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D7F8A9D-B4B5-9090-16CF-053A402E371D}"/>
            </a:ext>
          </a:extLst>
        </xdr:cNvPr>
        <xdr:cNvSpPr/>
      </xdr:nvSpPr>
      <xdr:spPr>
        <a:xfrm>
          <a:off x="8788400" y="33053338"/>
          <a:ext cx="1262060" cy="238125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CountIFS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857250</xdr:colOff>
      <xdr:row>14</xdr:row>
      <xdr:rowOff>202045</xdr:rowOff>
    </xdr:from>
    <xdr:to>
      <xdr:col>10</xdr:col>
      <xdr:colOff>238123</xdr:colOff>
      <xdr:row>15</xdr:row>
      <xdr:rowOff>225861</xdr:rowOff>
    </xdr:to>
    <xdr:sp macro="[0]!Sheet15.countifs2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F2FADD1-4FD1-46B1-B06E-90EEE38386E2}"/>
            </a:ext>
          </a:extLst>
        </xdr:cNvPr>
        <xdr:cNvSpPr/>
      </xdr:nvSpPr>
      <xdr:spPr>
        <a:xfrm>
          <a:off x="9239250" y="3622386"/>
          <a:ext cx="1190623" cy="266270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2</a:t>
          </a:r>
        </a:p>
      </xdr:txBody>
    </xdr:sp>
    <xdr:clientData/>
  </xdr:twoCellAnchor>
  <xdr:twoCellAnchor>
    <xdr:from>
      <xdr:col>9</xdr:col>
      <xdr:colOff>412750</xdr:colOff>
      <xdr:row>34</xdr:row>
      <xdr:rowOff>230188</xdr:rowOff>
    </xdr:from>
    <xdr:to>
      <xdr:col>10</xdr:col>
      <xdr:colOff>31748</xdr:colOff>
      <xdr:row>36</xdr:row>
      <xdr:rowOff>15875</xdr:rowOff>
    </xdr:to>
    <xdr:sp macro="[0]!Sheet15.countifs3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E6F9DA2-ECE4-4A80-B885-8C1F2575D54A}"/>
            </a:ext>
          </a:extLst>
        </xdr:cNvPr>
        <xdr:cNvSpPr/>
      </xdr:nvSpPr>
      <xdr:spPr>
        <a:xfrm>
          <a:off x="8786813" y="7405688"/>
          <a:ext cx="1428748" cy="261937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3</a:t>
          </a:r>
        </a:p>
      </xdr:txBody>
    </xdr:sp>
    <xdr:clientData/>
  </xdr:twoCellAnchor>
  <xdr:twoCellAnchor>
    <xdr:from>
      <xdr:col>9</xdr:col>
      <xdr:colOff>492125</xdr:colOff>
      <xdr:row>57</xdr:row>
      <xdr:rowOff>198438</xdr:rowOff>
    </xdr:from>
    <xdr:to>
      <xdr:col>10</xdr:col>
      <xdr:colOff>31749</xdr:colOff>
      <xdr:row>59</xdr:row>
      <xdr:rowOff>15875</xdr:rowOff>
    </xdr:to>
    <xdr:sp macro="[0]!Sheet15.countifs4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353B62C-BBAD-474A-848B-DBD861E7273B}"/>
            </a:ext>
          </a:extLst>
        </xdr:cNvPr>
        <xdr:cNvSpPr/>
      </xdr:nvSpPr>
      <xdr:spPr>
        <a:xfrm>
          <a:off x="8866188" y="11183938"/>
          <a:ext cx="1349374" cy="293687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4</a:t>
          </a:r>
        </a:p>
      </xdr:txBody>
    </xdr:sp>
    <xdr:clientData/>
  </xdr:twoCellAnchor>
  <xdr:twoCellAnchor>
    <xdr:from>
      <xdr:col>9</xdr:col>
      <xdr:colOff>261936</xdr:colOff>
      <xdr:row>124</xdr:row>
      <xdr:rowOff>79375</xdr:rowOff>
    </xdr:from>
    <xdr:to>
      <xdr:col>9</xdr:col>
      <xdr:colOff>1690685</xdr:colOff>
      <xdr:row>125</xdr:row>
      <xdr:rowOff>127000</xdr:rowOff>
    </xdr:to>
    <xdr:sp macro="[0]!Sheet15.countifs7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0CB2418-DF92-44ED-84AE-8D8F2457CAAE}"/>
            </a:ext>
          </a:extLst>
        </xdr:cNvPr>
        <xdr:cNvSpPr/>
      </xdr:nvSpPr>
      <xdr:spPr>
        <a:xfrm>
          <a:off x="8635999" y="24963438"/>
          <a:ext cx="1428749" cy="285750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7</a:t>
          </a:r>
        </a:p>
      </xdr:txBody>
    </xdr:sp>
    <xdr:clientData/>
  </xdr:twoCellAnchor>
  <xdr:twoCellAnchor>
    <xdr:from>
      <xdr:col>9</xdr:col>
      <xdr:colOff>238124</xdr:colOff>
      <xdr:row>146</xdr:row>
      <xdr:rowOff>55562</xdr:rowOff>
    </xdr:from>
    <xdr:to>
      <xdr:col>9</xdr:col>
      <xdr:colOff>1627185</xdr:colOff>
      <xdr:row>147</xdr:row>
      <xdr:rowOff>95250</xdr:rowOff>
    </xdr:to>
    <xdr:sp macro="[0]!Sheet15.countifs8" textlink="">
      <xdr:nvSpPr>
        <xdr:cNvPr id="6" name="Rectangle: Rounded Corner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917FBFA-AEDB-4A42-AFB2-C1752C541614}"/>
            </a:ext>
          </a:extLst>
        </xdr:cNvPr>
        <xdr:cNvSpPr/>
      </xdr:nvSpPr>
      <xdr:spPr>
        <a:xfrm>
          <a:off x="8612187" y="28749625"/>
          <a:ext cx="1389061" cy="277813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8</a:t>
          </a:r>
        </a:p>
      </xdr:txBody>
    </xdr:sp>
    <xdr:clientData/>
  </xdr:twoCellAnchor>
  <xdr:twoCellAnchor>
    <xdr:from>
      <xdr:col>9</xdr:col>
      <xdr:colOff>460375</xdr:colOff>
      <xdr:row>80</xdr:row>
      <xdr:rowOff>230188</xdr:rowOff>
    </xdr:from>
    <xdr:to>
      <xdr:col>10</xdr:col>
      <xdr:colOff>31749</xdr:colOff>
      <xdr:row>82</xdr:row>
      <xdr:rowOff>15875</xdr:rowOff>
    </xdr:to>
    <xdr:sp macro="[0]!Sheet15.countifs5" textlink="">
      <xdr:nvSpPr>
        <xdr:cNvPr id="9" name="Rectangle: Rounded Corners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D0B31765-47AD-4287-8446-92C8C4F7E5C3}"/>
            </a:ext>
          </a:extLst>
        </xdr:cNvPr>
        <xdr:cNvSpPr/>
      </xdr:nvSpPr>
      <xdr:spPr>
        <a:xfrm>
          <a:off x="8834438" y="15025688"/>
          <a:ext cx="1381124" cy="261937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5</a:t>
          </a:r>
        </a:p>
      </xdr:txBody>
    </xdr:sp>
    <xdr:clientData/>
  </xdr:twoCellAnchor>
  <xdr:twoCellAnchor>
    <xdr:from>
      <xdr:col>9</xdr:col>
      <xdr:colOff>460375</xdr:colOff>
      <xdr:row>103</xdr:row>
      <xdr:rowOff>174625</xdr:rowOff>
    </xdr:from>
    <xdr:to>
      <xdr:col>10</xdr:col>
      <xdr:colOff>31749</xdr:colOff>
      <xdr:row>105</xdr:row>
      <xdr:rowOff>15875</xdr:rowOff>
    </xdr:to>
    <xdr:sp macro="[0]!Sheet15.countifs6" textlink="">
      <xdr:nvSpPr>
        <xdr:cNvPr id="10" name="Rectangle: Rounded Corners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2FAF761-324E-4D9E-BAC2-670B52BB0672}"/>
            </a:ext>
          </a:extLst>
        </xdr:cNvPr>
        <xdr:cNvSpPr/>
      </xdr:nvSpPr>
      <xdr:spPr>
        <a:xfrm>
          <a:off x="8834438" y="18391188"/>
          <a:ext cx="1381124" cy="317500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6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156907</xdr:colOff>
      <xdr:row>0</xdr:row>
      <xdr:rowOff>215388</xdr:rowOff>
    </xdr:to>
    <xdr:sp macro="[0]!Sheet15.countifs1" textlink="">
      <xdr:nvSpPr>
        <xdr:cNvPr id="11" name="Graphic 7" descr="Play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08938A6-5C5D-4AD3-9CA2-658A25FE1C13}"/>
            </a:ext>
          </a:extLst>
        </xdr:cNvPr>
        <xdr:cNvSpPr/>
      </xdr:nvSpPr>
      <xdr:spPr>
        <a:xfrm>
          <a:off x="0" y="0"/>
          <a:ext cx="736345" cy="215388"/>
        </a:xfrm>
        <a:prstGeom prst="roundRect">
          <a:avLst>
            <a:gd name="adj" fmla="val 50000"/>
          </a:avLst>
        </a:prstGeom>
        <a:solidFill>
          <a:srgbClr val="FFB48F"/>
        </a:solidFill>
        <a:ln w="2480" cap="flat">
          <a:noFill/>
          <a:prstDash val="solid"/>
          <a:miter/>
        </a:ln>
      </xdr:spPr>
      <xdr:txBody>
        <a:bodyPr rtlCol="0" anchor="ctr"/>
        <a:lstStyle/>
        <a:p>
          <a:pPr algn="ctr"/>
          <a:r>
            <a:rPr lang="en-IN"/>
            <a:t>Start</a:t>
          </a:r>
        </a:p>
      </xdr:txBody>
    </xdr:sp>
    <xdr:clientData/>
  </xdr:twoCellAnchor>
  <xdr:twoCellAnchor>
    <xdr:from>
      <xdr:col>9</xdr:col>
      <xdr:colOff>350836</xdr:colOff>
      <xdr:row>169</xdr:row>
      <xdr:rowOff>104774</xdr:rowOff>
    </xdr:from>
    <xdr:to>
      <xdr:col>9</xdr:col>
      <xdr:colOff>1739897</xdr:colOff>
      <xdr:row>170</xdr:row>
      <xdr:rowOff>144462</xdr:rowOff>
    </xdr:to>
    <xdr:sp macro="[0]!Sheet17.maxifs1" textlink="">
      <xdr:nvSpPr>
        <xdr:cNvPr id="7" name="Rectangle: Rounded Corners 6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2F951AE-FF24-DD49-F35B-552C76C06234}"/>
            </a:ext>
          </a:extLst>
        </xdr:cNvPr>
        <xdr:cNvSpPr/>
      </xdr:nvSpPr>
      <xdr:spPr>
        <a:xfrm>
          <a:off x="8724899" y="32608837"/>
          <a:ext cx="1389061" cy="277813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MAXIFS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1293091</xdr:colOff>
      <xdr:row>14</xdr:row>
      <xdr:rowOff>186892</xdr:rowOff>
    </xdr:from>
    <xdr:to>
      <xdr:col>10</xdr:col>
      <xdr:colOff>171016</xdr:colOff>
      <xdr:row>15</xdr:row>
      <xdr:rowOff>218644</xdr:rowOff>
    </xdr:to>
    <xdr:sp macro="[0]!Sheet17.maxifs2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5714CC-A48D-4E3D-8CFB-0597BCF0FC00}"/>
            </a:ext>
          </a:extLst>
        </xdr:cNvPr>
        <xdr:cNvSpPr/>
      </xdr:nvSpPr>
      <xdr:spPr>
        <a:xfrm>
          <a:off x="9571182" y="3607233"/>
          <a:ext cx="1189902" cy="274206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2</a:t>
          </a:r>
        </a:p>
      </xdr:txBody>
    </xdr:sp>
    <xdr:clientData/>
  </xdr:twoCellAnchor>
  <xdr:twoCellAnchor>
    <xdr:from>
      <xdr:col>8</xdr:col>
      <xdr:colOff>492125</xdr:colOff>
      <xdr:row>34</xdr:row>
      <xdr:rowOff>214313</xdr:rowOff>
    </xdr:from>
    <xdr:to>
      <xdr:col>9</xdr:col>
      <xdr:colOff>31747</xdr:colOff>
      <xdr:row>36</xdr:row>
      <xdr:rowOff>15875</xdr:rowOff>
    </xdr:to>
    <xdr:sp macro="[0]!Sheet17.maxifs3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AD118DE-3BB8-41C4-925A-9A079EED3337}"/>
            </a:ext>
          </a:extLst>
        </xdr:cNvPr>
        <xdr:cNvSpPr/>
      </xdr:nvSpPr>
      <xdr:spPr>
        <a:xfrm>
          <a:off x="8866188" y="7389813"/>
          <a:ext cx="1349372" cy="277812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3</a:t>
          </a:r>
        </a:p>
      </xdr:txBody>
    </xdr:sp>
    <xdr:clientData/>
  </xdr:twoCellAnchor>
  <xdr:twoCellAnchor>
    <xdr:from>
      <xdr:col>8</xdr:col>
      <xdr:colOff>571499</xdr:colOff>
      <xdr:row>56</xdr:row>
      <xdr:rowOff>214313</xdr:rowOff>
    </xdr:from>
    <xdr:to>
      <xdr:col>9</xdr:col>
      <xdr:colOff>31748</xdr:colOff>
      <xdr:row>58</xdr:row>
      <xdr:rowOff>15875</xdr:rowOff>
    </xdr:to>
    <xdr:sp macro="[0]!Sheet17.maxifs4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E1000DF-F0AB-4A50-AEDF-CB93DF86453B}"/>
            </a:ext>
          </a:extLst>
        </xdr:cNvPr>
        <xdr:cNvSpPr/>
      </xdr:nvSpPr>
      <xdr:spPr>
        <a:xfrm>
          <a:off x="8945562" y="11199813"/>
          <a:ext cx="1269999" cy="277812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4</a:t>
          </a:r>
        </a:p>
      </xdr:txBody>
    </xdr:sp>
    <xdr:clientData/>
  </xdr:twoCellAnchor>
  <xdr:twoCellAnchor>
    <xdr:from>
      <xdr:col>8</xdr:col>
      <xdr:colOff>349250</xdr:colOff>
      <xdr:row>120</xdr:row>
      <xdr:rowOff>87312</xdr:rowOff>
    </xdr:from>
    <xdr:to>
      <xdr:col>8</xdr:col>
      <xdr:colOff>1690686</xdr:colOff>
      <xdr:row>121</xdr:row>
      <xdr:rowOff>127000</xdr:rowOff>
    </xdr:to>
    <xdr:sp macro="[0]!Sheet17.maxifs7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4860126-BDE4-4FE5-963A-81458C371565}"/>
            </a:ext>
          </a:extLst>
        </xdr:cNvPr>
        <xdr:cNvSpPr/>
      </xdr:nvSpPr>
      <xdr:spPr>
        <a:xfrm>
          <a:off x="8723313" y="24971375"/>
          <a:ext cx="1341436" cy="277813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7</a:t>
          </a:r>
        </a:p>
      </xdr:txBody>
    </xdr:sp>
    <xdr:clientData/>
  </xdr:twoCellAnchor>
  <xdr:twoCellAnchor>
    <xdr:from>
      <xdr:col>8</xdr:col>
      <xdr:colOff>293686</xdr:colOff>
      <xdr:row>142</xdr:row>
      <xdr:rowOff>79375</xdr:rowOff>
    </xdr:from>
    <xdr:to>
      <xdr:col>8</xdr:col>
      <xdr:colOff>1627185</xdr:colOff>
      <xdr:row>143</xdr:row>
      <xdr:rowOff>95250</xdr:rowOff>
    </xdr:to>
    <xdr:sp macro="[0]!Sheet17.maxifs8" textlink="">
      <xdr:nvSpPr>
        <xdr:cNvPr id="6" name="Rectangle: Rounded Corner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4EF42E3-52A1-499F-A82C-D5779D336853}"/>
            </a:ext>
          </a:extLst>
        </xdr:cNvPr>
        <xdr:cNvSpPr/>
      </xdr:nvSpPr>
      <xdr:spPr>
        <a:xfrm>
          <a:off x="8667749" y="28773438"/>
          <a:ext cx="1333499" cy="254000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8</a:t>
          </a:r>
        </a:p>
      </xdr:txBody>
    </xdr:sp>
    <xdr:clientData/>
  </xdr:twoCellAnchor>
  <xdr:twoCellAnchor>
    <xdr:from>
      <xdr:col>8</xdr:col>
      <xdr:colOff>333374</xdr:colOff>
      <xdr:row>164</xdr:row>
      <xdr:rowOff>150812</xdr:rowOff>
    </xdr:from>
    <xdr:to>
      <xdr:col>8</xdr:col>
      <xdr:colOff>1690685</xdr:colOff>
      <xdr:row>165</xdr:row>
      <xdr:rowOff>127000</xdr:rowOff>
    </xdr:to>
    <xdr:sp macro="[0]!Sheet18.minifs1" textlink="">
      <xdr:nvSpPr>
        <xdr:cNvPr id="7" name="Rectangle: Rounded Corner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2FD55BF-CB3D-47C8-8ADD-685E817C0D65}"/>
            </a:ext>
          </a:extLst>
        </xdr:cNvPr>
        <xdr:cNvSpPr/>
      </xdr:nvSpPr>
      <xdr:spPr>
        <a:xfrm>
          <a:off x="8707437" y="32654875"/>
          <a:ext cx="1357311" cy="214313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</a:t>
          </a:r>
          <a:r>
            <a:rPr lang="en-IN" sz="1000" b="1" baseline="0"/>
            <a:t>o to MINIFS</a:t>
          </a:r>
          <a:endParaRPr lang="en-IN" sz="1000" b="1"/>
        </a:p>
      </xdr:txBody>
    </xdr:sp>
    <xdr:clientData/>
  </xdr:twoCellAnchor>
  <xdr:twoCellAnchor>
    <xdr:from>
      <xdr:col>8</xdr:col>
      <xdr:colOff>174626</xdr:colOff>
      <xdr:row>78</xdr:row>
      <xdr:rowOff>190500</xdr:rowOff>
    </xdr:from>
    <xdr:to>
      <xdr:col>8</xdr:col>
      <xdr:colOff>1531937</xdr:colOff>
      <xdr:row>80</xdr:row>
      <xdr:rowOff>15875</xdr:rowOff>
    </xdr:to>
    <xdr:sp macro="[0]!Sheet17.maxifs5" textlink="">
      <xdr:nvSpPr>
        <xdr:cNvPr id="9" name="Rectangle: Rounded Corner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26F8D0E-F9ED-434F-A400-DA71EC4BF294}"/>
            </a:ext>
          </a:extLst>
        </xdr:cNvPr>
        <xdr:cNvSpPr/>
      </xdr:nvSpPr>
      <xdr:spPr>
        <a:xfrm>
          <a:off x="8548689" y="14986000"/>
          <a:ext cx="1357311" cy="301625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5</a:t>
          </a:r>
        </a:p>
      </xdr:txBody>
    </xdr:sp>
    <xdr:clientData/>
  </xdr:twoCellAnchor>
  <xdr:twoCellAnchor>
    <xdr:from>
      <xdr:col>8</xdr:col>
      <xdr:colOff>380998</xdr:colOff>
      <xdr:row>100</xdr:row>
      <xdr:rowOff>214312</xdr:rowOff>
    </xdr:from>
    <xdr:to>
      <xdr:col>8</xdr:col>
      <xdr:colOff>1571625</xdr:colOff>
      <xdr:row>102</xdr:row>
      <xdr:rowOff>15875</xdr:rowOff>
    </xdr:to>
    <xdr:sp macro="[0]!Sheet17.maxifs6" textlink="">
      <xdr:nvSpPr>
        <xdr:cNvPr id="10" name="Rectangle: Rounded Corners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ADA95AEA-AF9E-4D07-87A7-14B7AE1E1198}"/>
            </a:ext>
          </a:extLst>
        </xdr:cNvPr>
        <xdr:cNvSpPr/>
      </xdr:nvSpPr>
      <xdr:spPr>
        <a:xfrm>
          <a:off x="8461373" y="18907125"/>
          <a:ext cx="1190627" cy="277813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6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156907</xdr:colOff>
      <xdr:row>0</xdr:row>
      <xdr:rowOff>215388</xdr:rowOff>
    </xdr:to>
    <xdr:sp macro="[0]!Sheet17.maxifs1" textlink="">
      <xdr:nvSpPr>
        <xdr:cNvPr id="11" name="Graphic 7" descr="Play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25B15869-3205-4DED-9C99-AC2D6F671B6D}"/>
            </a:ext>
          </a:extLst>
        </xdr:cNvPr>
        <xdr:cNvSpPr/>
      </xdr:nvSpPr>
      <xdr:spPr>
        <a:xfrm>
          <a:off x="0" y="0"/>
          <a:ext cx="736345" cy="215388"/>
        </a:xfrm>
        <a:prstGeom prst="roundRect">
          <a:avLst>
            <a:gd name="adj" fmla="val 50000"/>
          </a:avLst>
        </a:prstGeom>
        <a:solidFill>
          <a:srgbClr val="FFB48F"/>
        </a:solidFill>
        <a:ln w="2480" cap="flat">
          <a:noFill/>
          <a:prstDash val="solid"/>
          <a:miter/>
        </a:ln>
      </xdr:spPr>
      <xdr:txBody>
        <a:bodyPr rtlCol="0" anchor="ctr"/>
        <a:lstStyle/>
        <a:p>
          <a:pPr algn="ctr"/>
          <a:r>
            <a:rPr lang="en-IN"/>
            <a:t>Start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349250</xdr:colOff>
      <xdr:row>14</xdr:row>
      <xdr:rowOff>150813</xdr:rowOff>
    </xdr:from>
    <xdr:to>
      <xdr:col>9</xdr:col>
      <xdr:colOff>1595437</xdr:colOff>
      <xdr:row>15</xdr:row>
      <xdr:rowOff>150815</xdr:rowOff>
    </xdr:to>
    <xdr:sp macro="[0]!Sheet18.minifs2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5C9ADF-740D-44C2-A026-160B9DFB2024}"/>
            </a:ext>
          </a:extLst>
        </xdr:cNvPr>
        <xdr:cNvSpPr/>
      </xdr:nvSpPr>
      <xdr:spPr>
        <a:xfrm>
          <a:off x="8723313" y="3754438"/>
          <a:ext cx="1246187" cy="238127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2</a:t>
          </a:r>
        </a:p>
      </xdr:txBody>
    </xdr:sp>
    <xdr:clientData/>
  </xdr:twoCellAnchor>
  <xdr:twoCellAnchor>
    <xdr:from>
      <xdr:col>9</xdr:col>
      <xdr:colOff>523874</xdr:colOff>
      <xdr:row>34</xdr:row>
      <xdr:rowOff>15875</xdr:rowOff>
    </xdr:from>
    <xdr:to>
      <xdr:col>10</xdr:col>
      <xdr:colOff>31747</xdr:colOff>
      <xdr:row>35</xdr:row>
      <xdr:rowOff>15875</xdr:rowOff>
    </xdr:to>
    <xdr:sp macro="[0]!Sheet18.minifs3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E185833-45AD-48DA-B593-0EA4089CE1DF}"/>
            </a:ext>
          </a:extLst>
        </xdr:cNvPr>
        <xdr:cNvSpPr/>
      </xdr:nvSpPr>
      <xdr:spPr>
        <a:xfrm>
          <a:off x="8897937" y="7429500"/>
          <a:ext cx="1317623" cy="238125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3</a:t>
          </a:r>
        </a:p>
      </xdr:txBody>
    </xdr:sp>
    <xdr:clientData/>
  </xdr:twoCellAnchor>
  <xdr:twoCellAnchor>
    <xdr:from>
      <xdr:col>9</xdr:col>
      <xdr:colOff>452437</xdr:colOff>
      <xdr:row>54</xdr:row>
      <xdr:rowOff>230188</xdr:rowOff>
    </xdr:from>
    <xdr:to>
      <xdr:col>10</xdr:col>
      <xdr:colOff>31749</xdr:colOff>
      <xdr:row>56</xdr:row>
      <xdr:rowOff>15875</xdr:rowOff>
    </xdr:to>
    <xdr:sp macro="[0]!Sheet18.minifs4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40ECF86-7EF6-48F0-BC23-2EA92332E4F1}"/>
            </a:ext>
          </a:extLst>
        </xdr:cNvPr>
        <xdr:cNvSpPr/>
      </xdr:nvSpPr>
      <xdr:spPr>
        <a:xfrm>
          <a:off x="8826500" y="11215688"/>
          <a:ext cx="1389062" cy="261937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4</a:t>
          </a:r>
        </a:p>
      </xdr:txBody>
    </xdr:sp>
    <xdr:clientData/>
  </xdr:twoCellAnchor>
  <xdr:twoCellAnchor>
    <xdr:from>
      <xdr:col>9</xdr:col>
      <xdr:colOff>285750</xdr:colOff>
      <xdr:row>116</xdr:row>
      <xdr:rowOff>87312</xdr:rowOff>
    </xdr:from>
    <xdr:to>
      <xdr:col>9</xdr:col>
      <xdr:colOff>1690686</xdr:colOff>
      <xdr:row>117</xdr:row>
      <xdr:rowOff>127000</xdr:rowOff>
    </xdr:to>
    <xdr:sp macro="[0]!Sheet18.minifs7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8C0487C-1DB0-4B83-9A79-16F474A93D7A}"/>
            </a:ext>
          </a:extLst>
        </xdr:cNvPr>
        <xdr:cNvSpPr/>
      </xdr:nvSpPr>
      <xdr:spPr>
        <a:xfrm>
          <a:off x="8659813" y="25447625"/>
          <a:ext cx="1404936" cy="277813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7</a:t>
          </a:r>
        </a:p>
      </xdr:txBody>
    </xdr:sp>
    <xdr:clientData/>
  </xdr:twoCellAnchor>
  <xdr:twoCellAnchor>
    <xdr:from>
      <xdr:col>9</xdr:col>
      <xdr:colOff>388936</xdr:colOff>
      <xdr:row>136</xdr:row>
      <xdr:rowOff>87312</xdr:rowOff>
    </xdr:from>
    <xdr:to>
      <xdr:col>9</xdr:col>
      <xdr:colOff>1627185</xdr:colOff>
      <xdr:row>137</xdr:row>
      <xdr:rowOff>95250</xdr:rowOff>
    </xdr:to>
    <xdr:sp macro="[0]!Sheet18.minifs8" textlink="">
      <xdr:nvSpPr>
        <xdr:cNvPr id="6" name="Rectangle: Rounded Corner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0D7F4DD-205A-4184-97FC-2C80892F000A}"/>
            </a:ext>
          </a:extLst>
        </xdr:cNvPr>
        <xdr:cNvSpPr/>
      </xdr:nvSpPr>
      <xdr:spPr>
        <a:xfrm>
          <a:off x="8762999" y="29257625"/>
          <a:ext cx="1238249" cy="246063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8</a:t>
          </a:r>
        </a:p>
      </xdr:txBody>
    </xdr:sp>
    <xdr:clientData/>
  </xdr:twoCellAnchor>
  <xdr:twoCellAnchor>
    <xdr:from>
      <xdr:col>9</xdr:col>
      <xdr:colOff>246062</xdr:colOff>
      <xdr:row>156</xdr:row>
      <xdr:rowOff>158749</xdr:rowOff>
    </xdr:from>
    <xdr:to>
      <xdr:col>9</xdr:col>
      <xdr:colOff>1373187</xdr:colOff>
      <xdr:row>157</xdr:row>
      <xdr:rowOff>126999</xdr:rowOff>
    </xdr:to>
    <xdr:sp macro="[0]!Sheet20.roundup" textlink="">
      <xdr:nvSpPr>
        <xdr:cNvPr id="7" name="Rectangle: Rounded Corner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27E2EEB3-4C40-4749-901D-8CB77D55FD82}"/>
            </a:ext>
          </a:extLst>
        </xdr:cNvPr>
        <xdr:cNvSpPr/>
      </xdr:nvSpPr>
      <xdr:spPr>
        <a:xfrm>
          <a:off x="8620125" y="33139062"/>
          <a:ext cx="1127125" cy="206375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Home</a:t>
          </a:r>
        </a:p>
      </xdr:txBody>
    </xdr:sp>
    <xdr:clientData/>
  </xdr:twoCellAnchor>
  <xdr:twoCellAnchor>
    <xdr:from>
      <xdr:col>9</xdr:col>
      <xdr:colOff>547687</xdr:colOff>
      <xdr:row>75</xdr:row>
      <xdr:rowOff>222250</xdr:rowOff>
    </xdr:from>
    <xdr:to>
      <xdr:col>10</xdr:col>
      <xdr:colOff>31749</xdr:colOff>
      <xdr:row>77</xdr:row>
      <xdr:rowOff>15875</xdr:rowOff>
    </xdr:to>
    <xdr:sp macro="[0]!Sheet18.minifs5" textlink="">
      <xdr:nvSpPr>
        <xdr:cNvPr id="9" name="Rectangle: Rounded Corner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A17F631-1843-4D91-B25C-9FB5E59E2D53}"/>
            </a:ext>
          </a:extLst>
        </xdr:cNvPr>
        <xdr:cNvSpPr/>
      </xdr:nvSpPr>
      <xdr:spPr>
        <a:xfrm>
          <a:off x="8921750" y="15017750"/>
          <a:ext cx="1293812" cy="269875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5</a:t>
          </a:r>
        </a:p>
      </xdr:txBody>
    </xdr:sp>
    <xdr:clientData/>
  </xdr:twoCellAnchor>
  <xdr:twoCellAnchor>
    <xdr:from>
      <xdr:col>9</xdr:col>
      <xdr:colOff>523875</xdr:colOff>
      <xdr:row>96</xdr:row>
      <xdr:rowOff>206375</xdr:rowOff>
    </xdr:from>
    <xdr:to>
      <xdr:col>10</xdr:col>
      <xdr:colOff>31749</xdr:colOff>
      <xdr:row>98</xdr:row>
      <xdr:rowOff>15875</xdr:rowOff>
    </xdr:to>
    <xdr:sp macro="[0]!Sheet18.minifs6" textlink="">
      <xdr:nvSpPr>
        <xdr:cNvPr id="10" name="Rectangle: Rounded Corners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C1CE0DD7-304A-4403-92C1-D6F99072F373}"/>
            </a:ext>
          </a:extLst>
        </xdr:cNvPr>
        <xdr:cNvSpPr/>
      </xdr:nvSpPr>
      <xdr:spPr>
        <a:xfrm>
          <a:off x="8897938" y="18899188"/>
          <a:ext cx="1317624" cy="285750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6</a:t>
          </a:r>
        </a:p>
      </xdr:txBody>
    </xdr:sp>
    <xdr:clientData/>
  </xdr:twoCellAnchor>
  <xdr:twoCellAnchor>
    <xdr:from>
      <xdr:col>0</xdr:col>
      <xdr:colOff>0</xdr:colOff>
      <xdr:row>0</xdr:row>
      <xdr:rowOff>39687</xdr:rowOff>
    </xdr:from>
    <xdr:to>
      <xdr:col>1</xdr:col>
      <xdr:colOff>156907</xdr:colOff>
      <xdr:row>1</xdr:row>
      <xdr:rowOff>0</xdr:rowOff>
    </xdr:to>
    <xdr:sp macro="[0]!Sheet18.minifs1" textlink="">
      <xdr:nvSpPr>
        <xdr:cNvPr id="11" name="Graphic 7" descr="Play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8683A09-EC8A-4BD1-94DD-F4E618DAB367}"/>
            </a:ext>
          </a:extLst>
        </xdr:cNvPr>
        <xdr:cNvSpPr/>
      </xdr:nvSpPr>
      <xdr:spPr>
        <a:xfrm>
          <a:off x="0" y="39687"/>
          <a:ext cx="736345" cy="215388"/>
        </a:xfrm>
        <a:prstGeom prst="roundRect">
          <a:avLst>
            <a:gd name="adj" fmla="val 50000"/>
          </a:avLst>
        </a:prstGeom>
        <a:solidFill>
          <a:srgbClr val="FFB48F"/>
        </a:solidFill>
        <a:ln w="2480" cap="flat">
          <a:noFill/>
          <a:prstDash val="solid"/>
          <a:miter/>
        </a:ln>
      </xdr:spPr>
      <xdr:txBody>
        <a:bodyPr rtlCol="0" anchor="ctr"/>
        <a:lstStyle/>
        <a:p>
          <a:pPr algn="ctr"/>
          <a:r>
            <a:rPr lang="en-IN"/>
            <a:t>Start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1246187</xdr:colOff>
      <xdr:row>11</xdr:row>
      <xdr:rowOff>142875</xdr:rowOff>
    </xdr:from>
    <xdr:to>
      <xdr:col>6</xdr:col>
      <xdr:colOff>485774</xdr:colOff>
      <xdr:row>12</xdr:row>
      <xdr:rowOff>79377</xdr:rowOff>
    </xdr:to>
    <xdr:sp macro="[0]!Sheet19.if2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41AD0F69-6848-4DDB-B245-B438E3DE3C7B}"/>
            </a:ext>
          </a:extLst>
        </xdr:cNvPr>
        <xdr:cNvSpPr/>
      </xdr:nvSpPr>
      <xdr:spPr>
        <a:xfrm>
          <a:off x="8128000" y="3238500"/>
          <a:ext cx="1231899" cy="222252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Next</a:t>
          </a:r>
        </a:p>
      </xdr:txBody>
    </xdr:sp>
    <xdr:clientData/>
  </xdr:twoCellAnchor>
  <xdr:twoCellAnchor>
    <xdr:from>
      <xdr:col>6</xdr:col>
      <xdr:colOff>644524</xdr:colOff>
      <xdr:row>31</xdr:row>
      <xdr:rowOff>80962</xdr:rowOff>
    </xdr:from>
    <xdr:to>
      <xdr:col>7</xdr:col>
      <xdr:colOff>606424</xdr:colOff>
      <xdr:row>32</xdr:row>
      <xdr:rowOff>65089</xdr:rowOff>
    </xdr:to>
    <xdr:sp macro="[0]!Sheet19.if3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C7DD0DCA-2D52-E478-EAD6-30AC9E4FCD1A}"/>
            </a:ext>
          </a:extLst>
        </xdr:cNvPr>
        <xdr:cNvSpPr/>
      </xdr:nvSpPr>
      <xdr:spPr>
        <a:xfrm>
          <a:off x="8542337" y="7843837"/>
          <a:ext cx="1231900" cy="222252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Next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printerSettings" Target="../printerSettings/printerSettings26.bin"/><Relationship Id="rId21" Type="http://schemas.openxmlformats.org/officeDocument/2006/relationships/printerSettings" Target="../printerSettings/printerSettings21.bin"/><Relationship Id="rId42" Type="http://schemas.openxmlformats.org/officeDocument/2006/relationships/printerSettings" Target="../printerSettings/printerSettings42.bin"/><Relationship Id="rId47" Type="http://schemas.openxmlformats.org/officeDocument/2006/relationships/printerSettings" Target="../printerSettings/printerSettings47.bin"/><Relationship Id="rId63" Type="http://schemas.openxmlformats.org/officeDocument/2006/relationships/printerSettings" Target="../printerSettings/printerSettings63.bin"/><Relationship Id="rId68" Type="http://schemas.openxmlformats.org/officeDocument/2006/relationships/printerSettings" Target="../printerSettings/printerSettings68.bin"/><Relationship Id="rId16" Type="http://schemas.openxmlformats.org/officeDocument/2006/relationships/printerSettings" Target="../printerSettings/printerSettings16.bin"/><Relationship Id="rId11" Type="http://schemas.openxmlformats.org/officeDocument/2006/relationships/printerSettings" Target="../printerSettings/printerSettings11.bin"/><Relationship Id="rId24" Type="http://schemas.openxmlformats.org/officeDocument/2006/relationships/printerSettings" Target="../printerSettings/printerSettings24.bin"/><Relationship Id="rId32" Type="http://schemas.openxmlformats.org/officeDocument/2006/relationships/printerSettings" Target="../printerSettings/printerSettings32.bin"/><Relationship Id="rId37" Type="http://schemas.openxmlformats.org/officeDocument/2006/relationships/printerSettings" Target="../printerSettings/printerSettings37.bin"/><Relationship Id="rId40" Type="http://schemas.openxmlformats.org/officeDocument/2006/relationships/printerSettings" Target="../printerSettings/printerSettings40.bin"/><Relationship Id="rId45" Type="http://schemas.openxmlformats.org/officeDocument/2006/relationships/printerSettings" Target="../printerSettings/printerSettings45.bin"/><Relationship Id="rId53" Type="http://schemas.openxmlformats.org/officeDocument/2006/relationships/printerSettings" Target="../printerSettings/printerSettings53.bin"/><Relationship Id="rId58" Type="http://schemas.openxmlformats.org/officeDocument/2006/relationships/printerSettings" Target="../printerSettings/printerSettings58.bin"/><Relationship Id="rId66" Type="http://schemas.openxmlformats.org/officeDocument/2006/relationships/printerSettings" Target="../printerSettings/printerSettings66.bin"/><Relationship Id="rId74" Type="http://schemas.openxmlformats.org/officeDocument/2006/relationships/printerSettings" Target="../printerSettings/printerSettings74.bin"/><Relationship Id="rId5" Type="http://schemas.openxmlformats.org/officeDocument/2006/relationships/printerSettings" Target="../printerSettings/printerSettings5.bin"/><Relationship Id="rId61" Type="http://schemas.openxmlformats.org/officeDocument/2006/relationships/printerSettings" Target="../printerSettings/printerSettings61.bin"/><Relationship Id="rId19" Type="http://schemas.openxmlformats.org/officeDocument/2006/relationships/printerSettings" Target="../printerSettings/printerSettings19.bin"/><Relationship Id="rId14" Type="http://schemas.openxmlformats.org/officeDocument/2006/relationships/printerSettings" Target="../printerSettings/printerSettings14.bin"/><Relationship Id="rId22" Type="http://schemas.openxmlformats.org/officeDocument/2006/relationships/printerSettings" Target="../printerSettings/printerSettings22.bin"/><Relationship Id="rId27" Type="http://schemas.openxmlformats.org/officeDocument/2006/relationships/printerSettings" Target="../printerSettings/printerSettings27.bin"/><Relationship Id="rId30" Type="http://schemas.openxmlformats.org/officeDocument/2006/relationships/printerSettings" Target="../printerSettings/printerSettings30.bin"/><Relationship Id="rId35" Type="http://schemas.openxmlformats.org/officeDocument/2006/relationships/printerSettings" Target="../printerSettings/printerSettings35.bin"/><Relationship Id="rId43" Type="http://schemas.openxmlformats.org/officeDocument/2006/relationships/printerSettings" Target="../printerSettings/printerSettings43.bin"/><Relationship Id="rId48" Type="http://schemas.openxmlformats.org/officeDocument/2006/relationships/printerSettings" Target="../printerSettings/printerSettings48.bin"/><Relationship Id="rId56" Type="http://schemas.openxmlformats.org/officeDocument/2006/relationships/printerSettings" Target="../printerSettings/printerSettings56.bin"/><Relationship Id="rId64" Type="http://schemas.openxmlformats.org/officeDocument/2006/relationships/printerSettings" Target="../printerSettings/printerSettings64.bin"/><Relationship Id="rId69" Type="http://schemas.openxmlformats.org/officeDocument/2006/relationships/printerSettings" Target="../printerSettings/printerSettings69.bin"/><Relationship Id="rId77" Type="http://schemas.openxmlformats.org/officeDocument/2006/relationships/drawing" Target="../drawings/drawing1.xml"/><Relationship Id="rId8" Type="http://schemas.openxmlformats.org/officeDocument/2006/relationships/printerSettings" Target="../printerSettings/printerSettings8.bin"/><Relationship Id="rId51" Type="http://schemas.openxmlformats.org/officeDocument/2006/relationships/printerSettings" Target="../printerSettings/printerSettings51.bin"/><Relationship Id="rId72" Type="http://schemas.openxmlformats.org/officeDocument/2006/relationships/printerSettings" Target="../printerSettings/printerSettings72.bin"/><Relationship Id="rId3" Type="http://schemas.openxmlformats.org/officeDocument/2006/relationships/printerSettings" Target="../printerSettings/printerSettings3.bin"/><Relationship Id="rId12" Type="http://schemas.openxmlformats.org/officeDocument/2006/relationships/printerSettings" Target="../printerSettings/printerSettings12.bin"/><Relationship Id="rId17" Type="http://schemas.openxmlformats.org/officeDocument/2006/relationships/printerSettings" Target="../printerSettings/printerSettings17.bin"/><Relationship Id="rId25" Type="http://schemas.openxmlformats.org/officeDocument/2006/relationships/printerSettings" Target="../printerSettings/printerSettings25.bin"/><Relationship Id="rId33" Type="http://schemas.openxmlformats.org/officeDocument/2006/relationships/printerSettings" Target="../printerSettings/printerSettings33.bin"/><Relationship Id="rId38" Type="http://schemas.openxmlformats.org/officeDocument/2006/relationships/printerSettings" Target="../printerSettings/printerSettings38.bin"/><Relationship Id="rId46" Type="http://schemas.openxmlformats.org/officeDocument/2006/relationships/printerSettings" Target="../printerSettings/printerSettings46.bin"/><Relationship Id="rId59" Type="http://schemas.openxmlformats.org/officeDocument/2006/relationships/printerSettings" Target="../printerSettings/printerSettings59.bin"/><Relationship Id="rId67" Type="http://schemas.openxmlformats.org/officeDocument/2006/relationships/printerSettings" Target="../printerSettings/printerSettings67.bin"/><Relationship Id="rId20" Type="http://schemas.openxmlformats.org/officeDocument/2006/relationships/printerSettings" Target="../printerSettings/printerSettings20.bin"/><Relationship Id="rId41" Type="http://schemas.openxmlformats.org/officeDocument/2006/relationships/printerSettings" Target="../printerSettings/printerSettings41.bin"/><Relationship Id="rId54" Type="http://schemas.openxmlformats.org/officeDocument/2006/relationships/printerSettings" Target="../printerSettings/printerSettings54.bin"/><Relationship Id="rId62" Type="http://schemas.openxmlformats.org/officeDocument/2006/relationships/printerSettings" Target="../printerSettings/printerSettings62.bin"/><Relationship Id="rId70" Type="http://schemas.openxmlformats.org/officeDocument/2006/relationships/printerSettings" Target="../printerSettings/printerSettings70.bin"/><Relationship Id="rId75" Type="http://schemas.openxmlformats.org/officeDocument/2006/relationships/printerSettings" Target="../printerSettings/printerSettings75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15" Type="http://schemas.openxmlformats.org/officeDocument/2006/relationships/printerSettings" Target="../printerSettings/printerSettings15.bin"/><Relationship Id="rId23" Type="http://schemas.openxmlformats.org/officeDocument/2006/relationships/printerSettings" Target="../printerSettings/printerSettings23.bin"/><Relationship Id="rId28" Type="http://schemas.openxmlformats.org/officeDocument/2006/relationships/printerSettings" Target="../printerSettings/printerSettings28.bin"/><Relationship Id="rId36" Type="http://schemas.openxmlformats.org/officeDocument/2006/relationships/printerSettings" Target="../printerSettings/printerSettings36.bin"/><Relationship Id="rId49" Type="http://schemas.openxmlformats.org/officeDocument/2006/relationships/printerSettings" Target="../printerSettings/printerSettings49.bin"/><Relationship Id="rId57" Type="http://schemas.openxmlformats.org/officeDocument/2006/relationships/printerSettings" Target="../printerSettings/printerSettings57.bin"/><Relationship Id="rId10" Type="http://schemas.openxmlformats.org/officeDocument/2006/relationships/printerSettings" Target="../printerSettings/printerSettings10.bin"/><Relationship Id="rId31" Type="http://schemas.openxmlformats.org/officeDocument/2006/relationships/printerSettings" Target="../printerSettings/printerSettings31.bin"/><Relationship Id="rId44" Type="http://schemas.openxmlformats.org/officeDocument/2006/relationships/printerSettings" Target="../printerSettings/printerSettings44.bin"/><Relationship Id="rId52" Type="http://schemas.openxmlformats.org/officeDocument/2006/relationships/printerSettings" Target="../printerSettings/printerSettings52.bin"/><Relationship Id="rId60" Type="http://schemas.openxmlformats.org/officeDocument/2006/relationships/printerSettings" Target="../printerSettings/printerSettings60.bin"/><Relationship Id="rId65" Type="http://schemas.openxmlformats.org/officeDocument/2006/relationships/printerSettings" Target="../printerSettings/printerSettings65.bin"/><Relationship Id="rId73" Type="http://schemas.openxmlformats.org/officeDocument/2006/relationships/printerSettings" Target="../printerSettings/printerSettings73.bin"/><Relationship Id="rId4" Type="http://schemas.openxmlformats.org/officeDocument/2006/relationships/printerSettings" Target="../printerSettings/printerSettings4.bin"/><Relationship Id="rId9" Type="http://schemas.openxmlformats.org/officeDocument/2006/relationships/printerSettings" Target="../printerSettings/printerSettings9.bin"/><Relationship Id="rId13" Type="http://schemas.openxmlformats.org/officeDocument/2006/relationships/printerSettings" Target="../printerSettings/printerSettings13.bin"/><Relationship Id="rId18" Type="http://schemas.openxmlformats.org/officeDocument/2006/relationships/printerSettings" Target="../printerSettings/printerSettings18.bin"/><Relationship Id="rId39" Type="http://schemas.openxmlformats.org/officeDocument/2006/relationships/printerSettings" Target="../printerSettings/printerSettings39.bin"/><Relationship Id="rId34" Type="http://schemas.openxmlformats.org/officeDocument/2006/relationships/printerSettings" Target="../printerSettings/printerSettings34.bin"/><Relationship Id="rId50" Type="http://schemas.openxmlformats.org/officeDocument/2006/relationships/printerSettings" Target="../printerSettings/printerSettings50.bin"/><Relationship Id="rId55" Type="http://schemas.openxmlformats.org/officeDocument/2006/relationships/printerSettings" Target="../printerSettings/printerSettings55.bin"/><Relationship Id="rId76" Type="http://schemas.openxmlformats.org/officeDocument/2006/relationships/printerSettings" Target="../printerSettings/printerSettings76.bin"/><Relationship Id="rId7" Type="http://schemas.openxmlformats.org/officeDocument/2006/relationships/printerSettings" Target="../printerSettings/printerSettings7.bin"/><Relationship Id="rId71" Type="http://schemas.openxmlformats.org/officeDocument/2006/relationships/printerSettings" Target="../printerSettings/printerSettings71.bin"/><Relationship Id="rId2" Type="http://schemas.openxmlformats.org/officeDocument/2006/relationships/printerSettings" Target="../printerSettings/printerSettings2.bin"/><Relationship Id="rId29" Type="http://schemas.openxmlformats.org/officeDocument/2006/relationships/printerSettings" Target="../printerSettings/printerSettings29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printerSettings" Target="../printerSettings/printerSettings102.bin"/><Relationship Id="rId21" Type="http://schemas.openxmlformats.org/officeDocument/2006/relationships/printerSettings" Target="../printerSettings/printerSettings97.bin"/><Relationship Id="rId42" Type="http://schemas.openxmlformats.org/officeDocument/2006/relationships/printerSettings" Target="../printerSettings/printerSettings118.bin"/><Relationship Id="rId47" Type="http://schemas.openxmlformats.org/officeDocument/2006/relationships/printerSettings" Target="../printerSettings/printerSettings123.bin"/><Relationship Id="rId63" Type="http://schemas.openxmlformats.org/officeDocument/2006/relationships/printerSettings" Target="../printerSettings/printerSettings139.bin"/><Relationship Id="rId68" Type="http://schemas.openxmlformats.org/officeDocument/2006/relationships/printerSettings" Target="../printerSettings/printerSettings144.bin"/><Relationship Id="rId7" Type="http://schemas.openxmlformats.org/officeDocument/2006/relationships/printerSettings" Target="../printerSettings/printerSettings83.bin"/><Relationship Id="rId71" Type="http://schemas.openxmlformats.org/officeDocument/2006/relationships/drawing" Target="../drawings/drawing2.xml"/><Relationship Id="rId2" Type="http://schemas.openxmlformats.org/officeDocument/2006/relationships/printerSettings" Target="../printerSettings/printerSettings78.bin"/><Relationship Id="rId16" Type="http://schemas.openxmlformats.org/officeDocument/2006/relationships/printerSettings" Target="../printerSettings/printerSettings92.bin"/><Relationship Id="rId29" Type="http://schemas.openxmlformats.org/officeDocument/2006/relationships/printerSettings" Target="../printerSettings/printerSettings105.bin"/><Relationship Id="rId11" Type="http://schemas.openxmlformats.org/officeDocument/2006/relationships/printerSettings" Target="../printerSettings/printerSettings87.bin"/><Relationship Id="rId24" Type="http://schemas.openxmlformats.org/officeDocument/2006/relationships/printerSettings" Target="../printerSettings/printerSettings100.bin"/><Relationship Id="rId32" Type="http://schemas.openxmlformats.org/officeDocument/2006/relationships/printerSettings" Target="../printerSettings/printerSettings108.bin"/><Relationship Id="rId37" Type="http://schemas.openxmlformats.org/officeDocument/2006/relationships/printerSettings" Target="../printerSettings/printerSettings113.bin"/><Relationship Id="rId40" Type="http://schemas.openxmlformats.org/officeDocument/2006/relationships/printerSettings" Target="../printerSettings/printerSettings116.bin"/><Relationship Id="rId45" Type="http://schemas.openxmlformats.org/officeDocument/2006/relationships/printerSettings" Target="../printerSettings/printerSettings121.bin"/><Relationship Id="rId53" Type="http://schemas.openxmlformats.org/officeDocument/2006/relationships/printerSettings" Target="../printerSettings/printerSettings129.bin"/><Relationship Id="rId58" Type="http://schemas.openxmlformats.org/officeDocument/2006/relationships/printerSettings" Target="../printerSettings/printerSettings134.bin"/><Relationship Id="rId66" Type="http://schemas.openxmlformats.org/officeDocument/2006/relationships/printerSettings" Target="../printerSettings/printerSettings142.bin"/><Relationship Id="rId5" Type="http://schemas.openxmlformats.org/officeDocument/2006/relationships/printerSettings" Target="../printerSettings/printerSettings81.bin"/><Relationship Id="rId61" Type="http://schemas.openxmlformats.org/officeDocument/2006/relationships/printerSettings" Target="../printerSettings/printerSettings137.bin"/><Relationship Id="rId19" Type="http://schemas.openxmlformats.org/officeDocument/2006/relationships/printerSettings" Target="../printerSettings/printerSettings95.bin"/><Relationship Id="rId14" Type="http://schemas.openxmlformats.org/officeDocument/2006/relationships/printerSettings" Target="../printerSettings/printerSettings90.bin"/><Relationship Id="rId22" Type="http://schemas.openxmlformats.org/officeDocument/2006/relationships/printerSettings" Target="../printerSettings/printerSettings98.bin"/><Relationship Id="rId27" Type="http://schemas.openxmlformats.org/officeDocument/2006/relationships/printerSettings" Target="../printerSettings/printerSettings103.bin"/><Relationship Id="rId30" Type="http://schemas.openxmlformats.org/officeDocument/2006/relationships/printerSettings" Target="../printerSettings/printerSettings106.bin"/><Relationship Id="rId35" Type="http://schemas.openxmlformats.org/officeDocument/2006/relationships/printerSettings" Target="../printerSettings/printerSettings111.bin"/><Relationship Id="rId43" Type="http://schemas.openxmlformats.org/officeDocument/2006/relationships/printerSettings" Target="../printerSettings/printerSettings119.bin"/><Relationship Id="rId48" Type="http://schemas.openxmlformats.org/officeDocument/2006/relationships/printerSettings" Target="../printerSettings/printerSettings124.bin"/><Relationship Id="rId56" Type="http://schemas.openxmlformats.org/officeDocument/2006/relationships/printerSettings" Target="../printerSettings/printerSettings132.bin"/><Relationship Id="rId64" Type="http://schemas.openxmlformats.org/officeDocument/2006/relationships/printerSettings" Target="../printerSettings/printerSettings140.bin"/><Relationship Id="rId69" Type="http://schemas.openxmlformats.org/officeDocument/2006/relationships/printerSettings" Target="../printerSettings/printerSettings145.bin"/><Relationship Id="rId8" Type="http://schemas.openxmlformats.org/officeDocument/2006/relationships/printerSettings" Target="../printerSettings/printerSettings84.bin"/><Relationship Id="rId51" Type="http://schemas.openxmlformats.org/officeDocument/2006/relationships/printerSettings" Target="../printerSettings/printerSettings127.bin"/><Relationship Id="rId3" Type="http://schemas.openxmlformats.org/officeDocument/2006/relationships/printerSettings" Target="../printerSettings/printerSettings79.bin"/><Relationship Id="rId12" Type="http://schemas.openxmlformats.org/officeDocument/2006/relationships/printerSettings" Target="../printerSettings/printerSettings88.bin"/><Relationship Id="rId17" Type="http://schemas.openxmlformats.org/officeDocument/2006/relationships/printerSettings" Target="../printerSettings/printerSettings93.bin"/><Relationship Id="rId25" Type="http://schemas.openxmlformats.org/officeDocument/2006/relationships/printerSettings" Target="../printerSettings/printerSettings101.bin"/><Relationship Id="rId33" Type="http://schemas.openxmlformats.org/officeDocument/2006/relationships/printerSettings" Target="../printerSettings/printerSettings109.bin"/><Relationship Id="rId38" Type="http://schemas.openxmlformats.org/officeDocument/2006/relationships/printerSettings" Target="../printerSettings/printerSettings114.bin"/><Relationship Id="rId46" Type="http://schemas.openxmlformats.org/officeDocument/2006/relationships/printerSettings" Target="../printerSettings/printerSettings122.bin"/><Relationship Id="rId59" Type="http://schemas.openxmlformats.org/officeDocument/2006/relationships/printerSettings" Target="../printerSettings/printerSettings135.bin"/><Relationship Id="rId67" Type="http://schemas.openxmlformats.org/officeDocument/2006/relationships/printerSettings" Target="../printerSettings/printerSettings143.bin"/><Relationship Id="rId20" Type="http://schemas.openxmlformats.org/officeDocument/2006/relationships/printerSettings" Target="../printerSettings/printerSettings96.bin"/><Relationship Id="rId41" Type="http://schemas.openxmlformats.org/officeDocument/2006/relationships/printerSettings" Target="../printerSettings/printerSettings117.bin"/><Relationship Id="rId54" Type="http://schemas.openxmlformats.org/officeDocument/2006/relationships/printerSettings" Target="../printerSettings/printerSettings130.bin"/><Relationship Id="rId62" Type="http://schemas.openxmlformats.org/officeDocument/2006/relationships/printerSettings" Target="../printerSettings/printerSettings138.bin"/><Relationship Id="rId70" Type="http://schemas.openxmlformats.org/officeDocument/2006/relationships/printerSettings" Target="../printerSettings/printerSettings146.bin"/><Relationship Id="rId1" Type="http://schemas.openxmlformats.org/officeDocument/2006/relationships/printerSettings" Target="../printerSettings/printerSettings77.bin"/><Relationship Id="rId6" Type="http://schemas.openxmlformats.org/officeDocument/2006/relationships/printerSettings" Target="../printerSettings/printerSettings82.bin"/><Relationship Id="rId15" Type="http://schemas.openxmlformats.org/officeDocument/2006/relationships/printerSettings" Target="../printerSettings/printerSettings91.bin"/><Relationship Id="rId23" Type="http://schemas.openxmlformats.org/officeDocument/2006/relationships/printerSettings" Target="../printerSettings/printerSettings99.bin"/><Relationship Id="rId28" Type="http://schemas.openxmlformats.org/officeDocument/2006/relationships/printerSettings" Target="../printerSettings/printerSettings104.bin"/><Relationship Id="rId36" Type="http://schemas.openxmlformats.org/officeDocument/2006/relationships/printerSettings" Target="../printerSettings/printerSettings112.bin"/><Relationship Id="rId49" Type="http://schemas.openxmlformats.org/officeDocument/2006/relationships/printerSettings" Target="../printerSettings/printerSettings125.bin"/><Relationship Id="rId57" Type="http://schemas.openxmlformats.org/officeDocument/2006/relationships/printerSettings" Target="../printerSettings/printerSettings133.bin"/><Relationship Id="rId10" Type="http://schemas.openxmlformats.org/officeDocument/2006/relationships/printerSettings" Target="../printerSettings/printerSettings86.bin"/><Relationship Id="rId31" Type="http://schemas.openxmlformats.org/officeDocument/2006/relationships/printerSettings" Target="../printerSettings/printerSettings107.bin"/><Relationship Id="rId44" Type="http://schemas.openxmlformats.org/officeDocument/2006/relationships/printerSettings" Target="../printerSettings/printerSettings120.bin"/><Relationship Id="rId52" Type="http://schemas.openxmlformats.org/officeDocument/2006/relationships/printerSettings" Target="../printerSettings/printerSettings128.bin"/><Relationship Id="rId60" Type="http://schemas.openxmlformats.org/officeDocument/2006/relationships/printerSettings" Target="../printerSettings/printerSettings136.bin"/><Relationship Id="rId65" Type="http://schemas.openxmlformats.org/officeDocument/2006/relationships/printerSettings" Target="../printerSettings/printerSettings141.bin"/><Relationship Id="rId4" Type="http://schemas.openxmlformats.org/officeDocument/2006/relationships/printerSettings" Target="../printerSettings/printerSettings80.bin"/><Relationship Id="rId9" Type="http://schemas.openxmlformats.org/officeDocument/2006/relationships/printerSettings" Target="../printerSettings/printerSettings85.bin"/><Relationship Id="rId13" Type="http://schemas.openxmlformats.org/officeDocument/2006/relationships/printerSettings" Target="../printerSettings/printerSettings89.bin"/><Relationship Id="rId18" Type="http://schemas.openxmlformats.org/officeDocument/2006/relationships/printerSettings" Target="../printerSettings/printerSettings94.bin"/><Relationship Id="rId39" Type="http://schemas.openxmlformats.org/officeDocument/2006/relationships/printerSettings" Target="../printerSettings/printerSettings115.bin"/><Relationship Id="rId34" Type="http://schemas.openxmlformats.org/officeDocument/2006/relationships/printerSettings" Target="../printerSettings/printerSettings110.bin"/><Relationship Id="rId50" Type="http://schemas.openxmlformats.org/officeDocument/2006/relationships/printerSettings" Target="../printerSettings/printerSettings126.bin"/><Relationship Id="rId55" Type="http://schemas.openxmlformats.org/officeDocument/2006/relationships/printerSettings" Target="../printerSettings/printerSettings131.bin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printerSettings" Target="../printerSettings/printerSettings172.bin"/><Relationship Id="rId21" Type="http://schemas.openxmlformats.org/officeDocument/2006/relationships/printerSettings" Target="../printerSettings/printerSettings167.bin"/><Relationship Id="rId42" Type="http://schemas.openxmlformats.org/officeDocument/2006/relationships/printerSettings" Target="../printerSettings/printerSettings188.bin"/><Relationship Id="rId47" Type="http://schemas.openxmlformats.org/officeDocument/2006/relationships/printerSettings" Target="../printerSettings/printerSettings193.bin"/><Relationship Id="rId63" Type="http://schemas.openxmlformats.org/officeDocument/2006/relationships/printerSettings" Target="../printerSettings/printerSettings209.bin"/><Relationship Id="rId68" Type="http://schemas.openxmlformats.org/officeDocument/2006/relationships/printerSettings" Target="../printerSettings/printerSettings214.bin"/><Relationship Id="rId7" Type="http://schemas.openxmlformats.org/officeDocument/2006/relationships/printerSettings" Target="../printerSettings/printerSettings153.bin"/><Relationship Id="rId71" Type="http://schemas.openxmlformats.org/officeDocument/2006/relationships/drawing" Target="../drawings/drawing3.xml"/><Relationship Id="rId2" Type="http://schemas.openxmlformats.org/officeDocument/2006/relationships/printerSettings" Target="../printerSettings/printerSettings148.bin"/><Relationship Id="rId16" Type="http://schemas.openxmlformats.org/officeDocument/2006/relationships/printerSettings" Target="../printerSettings/printerSettings162.bin"/><Relationship Id="rId29" Type="http://schemas.openxmlformats.org/officeDocument/2006/relationships/printerSettings" Target="../printerSettings/printerSettings175.bin"/><Relationship Id="rId11" Type="http://schemas.openxmlformats.org/officeDocument/2006/relationships/printerSettings" Target="../printerSettings/printerSettings157.bin"/><Relationship Id="rId24" Type="http://schemas.openxmlformats.org/officeDocument/2006/relationships/printerSettings" Target="../printerSettings/printerSettings170.bin"/><Relationship Id="rId32" Type="http://schemas.openxmlformats.org/officeDocument/2006/relationships/printerSettings" Target="../printerSettings/printerSettings178.bin"/><Relationship Id="rId37" Type="http://schemas.openxmlformats.org/officeDocument/2006/relationships/printerSettings" Target="../printerSettings/printerSettings183.bin"/><Relationship Id="rId40" Type="http://schemas.openxmlformats.org/officeDocument/2006/relationships/printerSettings" Target="../printerSettings/printerSettings186.bin"/><Relationship Id="rId45" Type="http://schemas.openxmlformats.org/officeDocument/2006/relationships/printerSettings" Target="../printerSettings/printerSettings191.bin"/><Relationship Id="rId53" Type="http://schemas.openxmlformats.org/officeDocument/2006/relationships/printerSettings" Target="../printerSettings/printerSettings199.bin"/><Relationship Id="rId58" Type="http://schemas.openxmlformats.org/officeDocument/2006/relationships/printerSettings" Target="../printerSettings/printerSettings204.bin"/><Relationship Id="rId66" Type="http://schemas.openxmlformats.org/officeDocument/2006/relationships/printerSettings" Target="../printerSettings/printerSettings212.bin"/><Relationship Id="rId5" Type="http://schemas.openxmlformats.org/officeDocument/2006/relationships/printerSettings" Target="../printerSettings/printerSettings151.bin"/><Relationship Id="rId61" Type="http://schemas.openxmlformats.org/officeDocument/2006/relationships/printerSettings" Target="../printerSettings/printerSettings207.bin"/><Relationship Id="rId19" Type="http://schemas.openxmlformats.org/officeDocument/2006/relationships/printerSettings" Target="../printerSettings/printerSettings165.bin"/><Relationship Id="rId14" Type="http://schemas.openxmlformats.org/officeDocument/2006/relationships/printerSettings" Target="../printerSettings/printerSettings160.bin"/><Relationship Id="rId22" Type="http://schemas.openxmlformats.org/officeDocument/2006/relationships/printerSettings" Target="../printerSettings/printerSettings168.bin"/><Relationship Id="rId27" Type="http://schemas.openxmlformats.org/officeDocument/2006/relationships/printerSettings" Target="../printerSettings/printerSettings173.bin"/><Relationship Id="rId30" Type="http://schemas.openxmlformats.org/officeDocument/2006/relationships/printerSettings" Target="../printerSettings/printerSettings176.bin"/><Relationship Id="rId35" Type="http://schemas.openxmlformats.org/officeDocument/2006/relationships/printerSettings" Target="../printerSettings/printerSettings181.bin"/><Relationship Id="rId43" Type="http://schemas.openxmlformats.org/officeDocument/2006/relationships/printerSettings" Target="../printerSettings/printerSettings189.bin"/><Relationship Id="rId48" Type="http://schemas.openxmlformats.org/officeDocument/2006/relationships/printerSettings" Target="../printerSettings/printerSettings194.bin"/><Relationship Id="rId56" Type="http://schemas.openxmlformats.org/officeDocument/2006/relationships/printerSettings" Target="../printerSettings/printerSettings202.bin"/><Relationship Id="rId64" Type="http://schemas.openxmlformats.org/officeDocument/2006/relationships/printerSettings" Target="../printerSettings/printerSettings210.bin"/><Relationship Id="rId69" Type="http://schemas.openxmlformats.org/officeDocument/2006/relationships/printerSettings" Target="../printerSettings/printerSettings215.bin"/><Relationship Id="rId8" Type="http://schemas.openxmlformats.org/officeDocument/2006/relationships/printerSettings" Target="../printerSettings/printerSettings154.bin"/><Relationship Id="rId51" Type="http://schemas.openxmlformats.org/officeDocument/2006/relationships/printerSettings" Target="../printerSettings/printerSettings197.bin"/><Relationship Id="rId3" Type="http://schemas.openxmlformats.org/officeDocument/2006/relationships/printerSettings" Target="../printerSettings/printerSettings149.bin"/><Relationship Id="rId12" Type="http://schemas.openxmlformats.org/officeDocument/2006/relationships/printerSettings" Target="../printerSettings/printerSettings158.bin"/><Relationship Id="rId17" Type="http://schemas.openxmlformats.org/officeDocument/2006/relationships/printerSettings" Target="../printerSettings/printerSettings163.bin"/><Relationship Id="rId25" Type="http://schemas.openxmlformats.org/officeDocument/2006/relationships/printerSettings" Target="../printerSettings/printerSettings171.bin"/><Relationship Id="rId33" Type="http://schemas.openxmlformats.org/officeDocument/2006/relationships/printerSettings" Target="../printerSettings/printerSettings179.bin"/><Relationship Id="rId38" Type="http://schemas.openxmlformats.org/officeDocument/2006/relationships/printerSettings" Target="../printerSettings/printerSettings184.bin"/><Relationship Id="rId46" Type="http://schemas.openxmlformats.org/officeDocument/2006/relationships/printerSettings" Target="../printerSettings/printerSettings192.bin"/><Relationship Id="rId59" Type="http://schemas.openxmlformats.org/officeDocument/2006/relationships/printerSettings" Target="../printerSettings/printerSettings205.bin"/><Relationship Id="rId67" Type="http://schemas.openxmlformats.org/officeDocument/2006/relationships/printerSettings" Target="../printerSettings/printerSettings213.bin"/><Relationship Id="rId20" Type="http://schemas.openxmlformats.org/officeDocument/2006/relationships/printerSettings" Target="../printerSettings/printerSettings166.bin"/><Relationship Id="rId41" Type="http://schemas.openxmlformats.org/officeDocument/2006/relationships/printerSettings" Target="../printerSettings/printerSettings187.bin"/><Relationship Id="rId54" Type="http://schemas.openxmlformats.org/officeDocument/2006/relationships/printerSettings" Target="../printerSettings/printerSettings200.bin"/><Relationship Id="rId62" Type="http://schemas.openxmlformats.org/officeDocument/2006/relationships/printerSettings" Target="../printerSettings/printerSettings208.bin"/><Relationship Id="rId70" Type="http://schemas.openxmlformats.org/officeDocument/2006/relationships/printerSettings" Target="../printerSettings/printerSettings216.bin"/><Relationship Id="rId1" Type="http://schemas.openxmlformats.org/officeDocument/2006/relationships/printerSettings" Target="../printerSettings/printerSettings147.bin"/><Relationship Id="rId6" Type="http://schemas.openxmlformats.org/officeDocument/2006/relationships/printerSettings" Target="../printerSettings/printerSettings152.bin"/><Relationship Id="rId15" Type="http://schemas.openxmlformats.org/officeDocument/2006/relationships/printerSettings" Target="../printerSettings/printerSettings161.bin"/><Relationship Id="rId23" Type="http://schemas.openxmlformats.org/officeDocument/2006/relationships/printerSettings" Target="../printerSettings/printerSettings169.bin"/><Relationship Id="rId28" Type="http://schemas.openxmlformats.org/officeDocument/2006/relationships/printerSettings" Target="../printerSettings/printerSettings174.bin"/><Relationship Id="rId36" Type="http://schemas.openxmlformats.org/officeDocument/2006/relationships/printerSettings" Target="../printerSettings/printerSettings182.bin"/><Relationship Id="rId49" Type="http://schemas.openxmlformats.org/officeDocument/2006/relationships/printerSettings" Target="../printerSettings/printerSettings195.bin"/><Relationship Id="rId57" Type="http://schemas.openxmlformats.org/officeDocument/2006/relationships/printerSettings" Target="../printerSettings/printerSettings203.bin"/><Relationship Id="rId10" Type="http://schemas.openxmlformats.org/officeDocument/2006/relationships/printerSettings" Target="../printerSettings/printerSettings156.bin"/><Relationship Id="rId31" Type="http://schemas.openxmlformats.org/officeDocument/2006/relationships/printerSettings" Target="../printerSettings/printerSettings177.bin"/><Relationship Id="rId44" Type="http://schemas.openxmlformats.org/officeDocument/2006/relationships/printerSettings" Target="../printerSettings/printerSettings190.bin"/><Relationship Id="rId52" Type="http://schemas.openxmlformats.org/officeDocument/2006/relationships/printerSettings" Target="../printerSettings/printerSettings198.bin"/><Relationship Id="rId60" Type="http://schemas.openxmlformats.org/officeDocument/2006/relationships/printerSettings" Target="../printerSettings/printerSettings206.bin"/><Relationship Id="rId65" Type="http://schemas.openxmlformats.org/officeDocument/2006/relationships/printerSettings" Target="../printerSettings/printerSettings211.bin"/><Relationship Id="rId4" Type="http://schemas.openxmlformats.org/officeDocument/2006/relationships/printerSettings" Target="../printerSettings/printerSettings150.bin"/><Relationship Id="rId9" Type="http://schemas.openxmlformats.org/officeDocument/2006/relationships/printerSettings" Target="../printerSettings/printerSettings155.bin"/><Relationship Id="rId13" Type="http://schemas.openxmlformats.org/officeDocument/2006/relationships/printerSettings" Target="../printerSettings/printerSettings159.bin"/><Relationship Id="rId18" Type="http://schemas.openxmlformats.org/officeDocument/2006/relationships/printerSettings" Target="../printerSettings/printerSettings164.bin"/><Relationship Id="rId39" Type="http://schemas.openxmlformats.org/officeDocument/2006/relationships/printerSettings" Target="../printerSettings/printerSettings185.bin"/><Relationship Id="rId34" Type="http://schemas.openxmlformats.org/officeDocument/2006/relationships/printerSettings" Target="../printerSettings/printerSettings180.bin"/><Relationship Id="rId50" Type="http://schemas.openxmlformats.org/officeDocument/2006/relationships/printerSettings" Target="../printerSettings/printerSettings196.bin"/><Relationship Id="rId55" Type="http://schemas.openxmlformats.org/officeDocument/2006/relationships/printerSettings" Target="../printerSettings/printerSettings201.bin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printerSettings" Target="../printerSettings/printerSettings229.bin"/><Relationship Id="rId18" Type="http://schemas.openxmlformats.org/officeDocument/2006/relationships/printerSettings" Target="../printerSettings/printerSettings234.bin"/><Relationship Id="rId26" Type="http://schemas.openxmlformats.org/officeDocument/2006/relationships/printerSettings" Target="../printerSettings/printerSettings242.bin"/><Relationship Id="rId39" Type="http://schemas.openxmlformats.org/officeDocument/2006/relationships/printerSettings" Target="../printerSettings/printerSettings255.bin"/><Relationship Id="rId21" Type="http://schemas.openxmlformats.org/officeDocument/2006/relationships/printerSettings" Target="../printerSettings/printerSettings237.bin"/><Relationship Id="rId34" Type="http://schemas.openxmlformats.org/officeDocument/2006/relationships/printerSettings" Target="../printerSettings/printerSettings250.bin"/><Relationship Id="rId42" Type="http://schemas.openxmlformats.org/officeDocument/2006/relationships/printerSettings" Target="../printerSettings/printerSettings258.bin"/><Relationship Id="rId47" Type="http://schemas.openxmlformats.org/officeDocument/2006/relationships/printerSettings" Target="../printerSettings/printerSettings263.bin"/><Relationship Id="rId50" Type="http://schemas.openxmlformats.org/officeDocument/2006/relationships/printerSettings" Target="../printerSettings/printerSettings266.bin"/><Relationship Id="rId55" Type="http://schemas.openxmlformats.org/officeDocument/2006/relationships/printerSettings" Target="../printerSettings/printerSettings271.bin"/><Relationship Id="rId7" Type="http://schemas.openxmlformats.org/officeDocument/2006/relationships/printerSettings" Target="../printerSettings/printerSettings223.bin"/><Relationship Id="rId2" Type="http://schemas.openxmlformats.org/officeDocument/2006/relationships/printerSettings" Target="../printerSettings/printerSettings218.bin"/><Relationship Id="rId16" Type="http://schemas.openxmlformats.org/officeDocument/2006/relationships/printerSettings" Target="../printerSettings/printerSettings232.bin"/><Relationship Id="rId29" Type="http://schemas.openxmlformats.org/officeDocument/2006/relationships/printerSettings" Target="../printerSettings/printerSettings245.bin"/><Relationship Id="rId11" Type="http://schemas.openxmlformats.org/officeDocument/2006/relationships/printerSettings" Target="../printerSettings/printerSettings227.bin"/><Relationship Id="rId24" Type="http://schemas.openxmlformats.org/officeDocument/2006/relationships/printerSettings" Target="../printerSettings/printerSettings240.bin"/><Relationship Id="rId32" Type="http://schemas.openxmlformats.org/officeDocument/2006/relationships/printerSettings" Target="../printerSettings/printerSettings248.bin"/><Relationship Id="rId37" Type="http://schemas.openxmlformats.org/officeDocument/2006/relationships/printerSettings" Target="../printerSettings/printerSettings253.bin"/><Relationship Id="rId40" Type="http://schemas.openxmlformats.org/officeDocument/2006/relationships/printerSettings" Target="../printerSettings/printerSettings256.bin"/><Relationship Id="rId45" Type="http://schemas.openxmlformats.org/officeDocument/2006/relationships/printerSettings" Target="../printerSettings/printerSettings261.bin"/><Relationship Id="rId53" Type="http://schemas.openxmlformats.org/officeDocument/2006/relationships/printerSettings" Target="../printerSettings/printerSettings269.bin"/><Relationship Id="rId58" Type="http://schemas.openxmlformats.org/officeDocument/2006/relationships/printerSettings" Target="../printerSettings/printerSettings274.bin"/><Relationship Id="rId5" Type="http://schemas.openxmlformats.org/officeDocument/2006/relationships/printerSettings" Target="../printerSettings/printerSettings221.bin"/><Relationship Id="rId19" Type="http://schemas.openxmlformats.org/officeDocument/2006/relationships/printerSettings" Target="../printerSettings/printerSettings235.bin"/><Relationship Id="rId4" Type="http://schemas.openxmlformats.org/officeDocument/2006/relationships/printerSettings" Target="../printerSettings/printerSettings220.bin"/><Relationship Id="rId9" Type="http://schemas.openxmlformats.org/officeDocument/2006/relationships/printerSettings" Target="../printerSettings/printerSettings225.bin"/><Relationship Id="rId14" Type="http://schemas.openxmlformats.org/officeDocument/2006/relationships/printerSettings" Target="../printerSettings/printerSettings230.bin"/><Relationship Id="rId22" Type="http://schemas.openxmlformats.org/officeDocument/2006/relationships/printerSettings" Target="../printerSettings/printerSettings238.bin"/><Relationship Id="rId27" Type="http://schemas.openxmlformats.org/officeDocument/2006/relationships/printerSettings" Target="../printerSettings/printerSettings243.bin"/><Relationship Id="rId30" Type="http://schemas.openxmlformats.org/officeDocument/2006/relationships/printerSettings" Target="../printerSettings/printerSettings246.bin"/><Relationship Id="rId35" Type="http://schemas.openxmlformats.org/officeDocument/2006/relationships/printerSettings" Target="../printerSettings/printerSettings251.bin"/><Relationship Id="rId43" Type="http://schemas.openxmlformats.org/officeDocument/2006/relationships/printerSettings" Target="../printerSettings/printerSettings259.bin"/><Relationship Id="rId48" Type="http://schemas.openxmlformats.org/officeDocument/2006/relationships/printerSettings" Target="../printerSettings/printerSettings264.bin"/><Relationship Id="rId56" Type="http://schemas.openxmlformats.org/officeDocument/2006/relationships/printerSettings" Target="../printerSettings/printerSettings272.bin"/><Relationship Id="rId8" Type="http://schemas.openxmlformats.org/officeDocument/2006/relationships/printerSettings" Target="../printerSettings/printerSettings224.bin"/><Relationship Id="rId51" Type="http://schemas.openxmlformats.org/officeDocument/2006/relationships/printerSettings" Target="../printerSettings/printerSettings267.bin"/><Relationship Id="rId3" Type="http://schemas.openxmlformats.org/officeDocument/2006/relationships/printerSettings" Target="../printerSettings/printerSettings219.bin"/><Relationship Id="rId12" Type="http://schemas.openxmlformats.org/officeDocument/2006/relationships/printerSettings" Target="../printerSettings/printerSettings228.bin"/><Relationship Id="rId17" Type="http://schemas.openxmlformats.org/officeDocument/2006/relationships/printerSettings" Target="../printerSettings/printerSettings233.bin"/><Relationship Id="rId25" Type="http://schemas.openxmlformats.org/officeDocument/2006/relationships/printerSettings" Target="../printerSettings/printerSettings241.bin"/><Relationship Id="rId33" Type="http://schemas.openxmlformats.org/officeDocument/2006/relationships/printerSettings" Target="../printerSettings/printerSettings249.bin"/><Relationship Id="rId38" Type="http://schemas.openxmlformats.org/officeDocument/2006/relationships/printerSettings" Target="../printerSettings/printerSettings254.bin"/><Relationship Id="rId46" Type="http://schemas.openxmlformats.org/officeDocument/2006/relationships/printerSettings" Target="../printerSettings/printerSettings262.bin"/><Relationship Id="rId59" Type="http://schemas.openxmlformats.org/officeDocument/2006/relationships/drawing" Target="../drawings/drawing4.xml"/><Relationship Id="rId20" Type="http://schemas.openxmlformats.org/officeDocument/2006/relationships/printerSettings" Target="../printerSettings/printerSettings236.bin"/><Relationship Id="rId41" Type="http://schemas.openxmlformats.org/officeDocument/2006/relationships/printerSettings" Target="../printerSettings/printerSettings257.bin"/><Relationship Id="rId54" Type="http://schemas.openxmlformats.org/officeDocument/2006/relationships/printerSettings" Target="../printerSettings/printerSettings270.bin"/><Relationship Id="rId1" Type="http://schemas.openxmlformats.org/officeDocument/2006/relationships/printerSettings" Target="../printerSettings/printerSettings217.bin"/><Relationship Id="rId6" Type="http://schemas.openxmlformats.org/officeDocument/2006/relationships/printerSettings" Target="../printerSettings/printerSettings222.bin"/><Relationship Id="rId15" Type="http://schemas.openxmlformats.org/officeDocument/2006/relationships/printerSettings" Target="../printerSettings/printerSettings231.bin"/><Relationship Id="rId23" Type="http://schemas.openxmlformats.org/officeDocument/2006/relationships/printerSettings" Target="../printerSettings/printerSettings239.bin"/><Relationship Id="rId28" Type="http://schemas.openxmlformats.org/officeDocument/2006/relationships/printerSettings" Target="../printerSettings/printerSettings244.bin"/><Relationship Id="rId36" Type="http://schemas.openxmlformats.org/officeDocument/2006/relationships/printerSettings" Target="../printerSettings/printerSettings252.bin"/><Relationship Id="rId49" Type="http://schemas.openxmlformats.org/officeDocument/2006/relationships/printerSettings" Target="../printerSettings/printerSettings265.bin"/><Relationship Id="rId57" Type="http://schemas.openxmlformats.org/officeDocument/2006/relationships/printerSettings" Target="../printerSettings/printerSettings273.bin"/><Relationship Id="rId10" Type="http://schemas.openxmlformats.org/officeDocument/2006/relationships/printerSettings" Target="../printerSettings/printerSettings226.bin"/><Relationship Id="rId31" Type="http://schemas.openxmlformats.org/officeDocument/2006/relationships/printerSettings" Target="../printerSettings/printerSettings247.bin"/><Relationship Id="rId44" Type="http://schemas.openxmlformats.org/officeDocument/2006/relationships/printerSettings" Target="../printerSettings/printerSettings260.bin"/><Relationship Id="rId52" Type="http://schemas.openxmlformats.org/officeDocument/2006/relationships/printerSettings" Target="../printerSettings/printerSettings268.bin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printerSettings" Target="../printerSettings/printerSettings287.bin"/><Relationship Id="rId18" Type="http://schemas.openxmlformats.org/officeDocument/2006/relationships/printerSettings" Target="../printerSettings/printerSettings292.bin"/><Relationship Id="rId26" Type="http://schemas.openxmlformats.org/officeDocument/2006/relationships/printerSettings" Target="../printerSettings/printerSettings300.bin"/><Relationship Id="rId39" Type="http://schemas.openxmlformats.org/officeDocument/2006/relationships/printerSettings" Target="../printerSettings/printerSettings313.bin"/><Relationship Id="rId21" Type="http://schemas.openxmlformats.org/officeDocument/2006/relationships/printerSettings" Target="../printerSettings/printerSettings295.bin"/><Relationship Id="rId34" Type="http://schemas.openxmlformats.org/officeDocument/2006/relationships/printerSettings" Target="../printerSettings/printerSettings308.bin"/><Relationship Id="rId42" Type="http://schemas.openxmlformats.org/officeDocument/2006/relationships/printerSettings" Target="../printerSettings/printerSettings316.bin"/><Relationship Id="rId47" Type="http://schemas.openxmlformats.org/officeDocument/2006/relationships/printerSettings" Target="../printerSettings/printerSettings321.bin"/><Relationship Id="rId50" Type="http://schemas.openxmlformats.org/officeDocument/2006/relationships/printerSettings" Target="../printerSettings/printerSettings324.bin"/><Relationship Id="rId55" Type="http://schemas.openxmlformats.org/officeDocument/2006/relationships/printerSettings" Target="../printerSettings/printerSettings329.bin"/><Relationship Id="rId7" Type="http://schemas.openxmlformats.org/officeDocument/2006/relationships/printerSettings" Target="../printerSettings/printerSettings281.bin"/><Relationship Id="rId2" Type="http://schemas.openxmlformats.org/officeDocument/2006/relationships/printerSettings" Target="../printerSettings/printerSettings276.bin"/><Relationship Id="rId16" Type="http://schemas.openxmlformats.org/officeDocument/2006/relationships/printerSettings" Target="../printerSettings/printerSettings290.bin"/><Relationship Id="rId29" Type="http://schemas.openxmlformats.org/officeDocument/2006/relationships/printerSettings" Target="../printerSettings/printerSettings303.bin"/><Relationship Id="rId11" Type="http://schemas.openxmlformats.org/officeDocument/2006/relationships/printerSettings" Target="../printerSettings/printerSettings285.bin"/><Relationship Id="rId24" Type="http://schemas.openxmlformats.org/officeDocument/2006/relationships/printerSettings" Target="../printerSettings/printerSettings298.bin"/><Relationship Id="rId32" Type="http://schemas.openxmlformats.org/officeDocument/2006/relationships/printerSettings" Target="../printerSettings/printerSettings306.bin"/><Relationship Id="rId37" Type="http://schemas.openxmlformats.org/officeDocument/2006/relationships/printerSettings" Target="../printerSettings/printerSettings311.bin"/><Relationship Id="rId40" Type="http://schemas.openxmlformats.org/officeDocument/2006/relationships/printerSettings" Target="../printerSettings/printerSettings314.bin"/><Relationship Id="rId45" Type="http://schemas.openxmlformats.org/officeDocument/2006/relationships/printerSettings" Target="../printerSettings/printerSettings319.bin"/><Relationship Id="rId53" Type="http://schemas.openxmlformats.org/officeDocument/2006/relationships/printerSettings" Target="../printerSettings/printerSettings327.bin"/><Relationship Id="rId58" Type="http://schemas.openxmlformats.org/officeDocument/2006/relationships/printerSettings" Target="../printerSettings/printerSettings332.bin"/><Relationship Id="rId5" Type="http://schemas.openxmlformats.org/officeDocument/2006/relationships/printerSettings" Target="../printerSettings/printerSettings279.bin"/><Relationship Id="rId19" Type="http://schemas.openxmlformats.org/officeDocument/2006/relationships/printerSettings" Target="../printerSettings/printerSettings293.bin"/><Relationship Id="rId4" Type="http://schemas.openxmlformats.org/officeDocument/2006/relationships/printerSettings" Target="../printerSettings/printerSettings278.bin"/><Relationship Id="rId9" Type="http://schemas.openxmlformats.org/officeDocument/2006/relationships/printerSettings" Target="../printerSettings/printerSettings283.bin"/><Relationship Id="rId14" Type="http://schemas.openxmlformats.org/officeDocument/2006/relationships/printerSettings" Target="../printerSettings/printerSettings288.bin"/><Relationship Id="rId22" Type="http://schemas.openxmlformats.org/officeDocument/2006/relationships/printerSettings" Target="../printerSettings/printerSettings296.bin"/><Relationship Id="rId27" Type="http://schemas.openxmlformats.org/officeDocument/2006/relationships/printerSettings" Target="../printerSettings/printerSettings301.bin"/><Relationship Id="rId30" Type="http://schemas.openxmlformats.org/officeDocument/2006/relationships/printerSettings" Target="../printerSettings/printerSettings304.bin"/><Relationship Id="rId35" Type="http://schemas.openxmlformats.org/officeDocument/2006/relationships/printerSettings" Target="../printerSettings/printerSettings309.bin"/><Relationship Id="rId43" Type="http://schemas.openxmlformats.org/officeDocument/2006/relationships/printerSettings" Target="../printerSettings/printerSettings317.bin"/><Relationship Id="rId48" Type="http://schemas.openxmlformats.org/officeDocument/2006/relationships/printerSettings" Target="../printerSettings/printerSettings322.bin"/><Relationship Id="rId56" Type="http://schemas.openxmlformats.org/officeDocument/2006/relationships/printerSettings" Target="../printerSettings/printerSettings330.bin"/><Relationship Id="rId8" Type="http://schemas.openxmlformats.org/officeDocument/2006/relationships/printerSettings" Target="../printerSettings/printerSettings282.bin"/><Relationship Id="rId51" Type="http://schemas.openxmlformats.org/officeDocument/2006/relationships/printerSettings" Target="../printerSettings/printerSettings325.bin"/><Relationship Id="rId3" Type="http://schemas.openxmlformats.org/officeDocument/2006/relationships/printerSettings" Target="../printerSettings/printerSettings277.bin"/><Relationship Id="rId12" Type="http://schemas.openxmlformats.org/officeDocument/2006/relationships/printerSettings" Target="../printerSettings/printerSettings286.bin"/><Relationship Id="rId17" Type="http://schemas.openxmlformats.org/officeDocument/2006/relationships/printerSettings" Target="../printerSettings/printerSettings291.bin"/><Relationship Id="rId25" Type="http://schemas.openxmlformats.org/officeDocument/2006/relationships/printerSettings" Target="../printerSettings/printerSettings299.bin"/><Relationship Id="rId33" Type="http://schemas.openxmlformats.org/officeDocument/2006/relationships/printerSettings" Target="../printerSettings/printerSettings307.bin"/><Relationship Id="rId38" Type="http://schemas.openxmlformats.org/officeDocument/2006/relationships/printerSettings" Target="../printerSettings/printerSettings312.bin"/><Relationship Id="rId46" Type="http://schemas.openxmlformats.org/officeDocument/2006/relationships/printerSettings" Target="../printerSettings/printerSettings320.bin"/><Relationship Id="rId59" Type="http://schemas.openxmlformats.org/officeDocument/2006/relationships/drawing" Target="../drawings/drawing5.xml"/><Relationship Id="rId20" Type="http://schemas.openxmlformats.org/officeDocument/2006/relationships/printerSettings" Target="../printerSettings/printerSettings294.bin"/><Relationship Id="rId41" Type="http://schemas.openxmlformats.org/officeDocument/2006/relationships/printerSettings" Target="../printerSettings/printerSettings315.bin"/><Relationship Id="rId54" Type="http://schemas.openxmlformats.org/officeDocument/2006/relationships/printerSettings" Target="../printerSettings/printerSettings328.bin"/><Relationship Id="rId1" Type="http://schemas.openxmlformats.org/officeDocument/2006/relationships/printerSettings" Target="../printerSettings/printerSettings275.bin"/><Relationship Id="rId6" Type="http://schemas.openxmlformats.org/officeDocument/2006/relationships/printerSettings" Target="../printerSettings/printerSettings280.bin"/><Relationship Id="rId15" Type="http://schemas.openxmlformats.org/officeDocument/2006/relationships/printerSettings" Target="../printerSettings/printerSettings289.bin"/><Relationship Id="rId23" Type="http://schemas.openxmlformats.org/officeDocument/2006/relationships/printerSettings" Target="../printerSettings/printerSettings297.bin"/><Relationship Id="rId28" Type="http://schemas.openxmlformats.org/officeDocument/2006/relationships/printerSettings" Target="../printerSettings/printerSettings302.bin"/><Relationship Id="rId36" Type="http://schemas.openxmlformats.org/officeDocument/2006/relationships/printerSettings" Target="../printerSettings/printerSettings310.bin"/><Relationship Id="rId49" Type="http://schemas.openxmlformats.org/officeDocument/2006/relationships/printerSettings" Target="../printerSettings/printerSettings323.bin"/><Relationship Id="rId57" Type="http://schemas.openxmlformats.org/officeDocument/2006/relationships/printerSettings" Target="../printerSettings/printerSettings331.bin"/><Relationship Id="rId10" Type="http://schemas.openxmlformats.org/officeDocument/2006/relationships/printerSettings" Target="../printerSettings/printerSettings284.bin"/><Relationship Id="rId31" Type="http://schemas.openxmlformats.org/officeDocument/2006/relationships/printerSettings" Target="../printerSettings/printerSettings305.bin"/><Relationship Id="rId44" Type="http://schemas.openxmlformats.org/officeDocument/2006/relationships/printerSettings" Target="../printerSettings/printerSettings318.bin"/><Relationship Id="rId52" Type="http://schemas.openxmlformats.org/officeDocument/2006/relationships/printerSettings" Target="../printerSettings/printerSettings326.bin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printerSettings" Target="../printerSettings/printerSettings345.bin"/><Relationship Id="rId18" Type="http://schemas.openxmlformats.org/officeDocument/2006/relationships/printerSettings" Target="../printerSettings/printerSettings350.bin"/><Relationship Id="rId26" Type="http://schemas.openxmlformats.org/officeDocument/2006/relationships/printerSettings" Target="../printerSettings/printerSettings358.bin"/><Relationship Id="rId39" Type="http://schemas.openxmlformats.org/officeDocument/2006/relationships/printerSettings" Target="../printerSettings/printerSettings371.bin"/><Relationship Id="rId21" Type="http://schemas.openxmlformats.org/officeDocument/2006/relationships/printerSettings" Target="../printerSettings/printerSettings353.bin"/><Relationship Id="rId34" Type="http://schemas.openxmlformats.org/officeDocument/2006/relationships/printerSettings" Target="../printerSettings/printerSettings366.bin"/><Relationship Id="rId42" Type="http://schemas.openxmlformats.org/officeDocument/2006/relationships/printerSettings" Target="../printerSettings/printerSettings374.bin"/><Relationship Id="rId47" Type="http://schemas.openxmlformats.org/officeDocument/2006/relationships/printerSettings" Target="../printerSettings/printerSettings379.bin"/><Relationship Id="rId50" Type="http://schemas.openxmlformats.org/officeDocument/2006/relationships/printerSettings" Target="../printerSettings/printerSettings382.bin"/><Relationship Id="rId55" Type="http://schemas.openxmlformats.org/officeDocument/2006/relationships/printerSettings" Target="../printerSettings/printerSettings387.bin"/><Relationship Id="rId7" Type="http://schemas.openxmlformats.org/officeDocument/2006/relationships/printerSettings" Target="../printerSettings/printerSettings339.bin"/><Relationship Id="rId2" Type="http://schemas.openxmlformats.org/officeDocument/2006/relationships/printerSettings" Target="../printerSettings/printerSettings334.bin"/><Relationship Id="rId16" Type="http://schemas.openxmlformats.org/officeDocument/2006/relationships/printerSettings" Target="../printerSettings/printerSettings348.bin"/><Relationship Id="rId29" Type="http://schemas.openxmlformats.org/officeDocument/2006/relationships/printerSettings" Target="../printerSettings/printerSettings361.bin"/><Relationship Id="rId11" Type="http://schemas.openxmlformats.org/officeDocument/2006/relationships/printerSettings" Target="../printerSettings/printerSettings343.bin"/><Relationship Id="rId24" Type="http://schemas.openxmlformats.org/officeDocument/2006/relationships/printerSettings" Target="../printerSettings/printerSettings356.bin"/><Relationship Id="rId32" Type="http://schemas.openxmlformats.org/officeDocument/2006/relationships/printerSettings" Target="../printerSettings/printerSettings364.bin"/><Relationship Id="rId37" Type="http://schemas.openxmlformats.org/officeDocument/2006/relationships/printerSettings" Target="../printerSettings/printerSettings369.bin"/><Relationship Id="rId40" Type="http://schemas.openxmlformats.org/officeDocument/2006/relationships/printerSettings" Target="../printerSettings/printerSettings372.bin"/><Relationship Id="rId45" Type="http://schemas.openxmlformats.org/officeDocument/2006/relationships/printerSettings" Target="../printerSettings/printerSettings377.bin"/><Relationship Id="rId53" Type="http://schemas.openxmlformats.org/officeDocument/2006/relationships/printerSettings" Target="../printerSettings/printerSettings385.bin"/><Relationship Id="rId58" Type="http://schemas.openxmlformats.org/officeDocument/2006/relationships/printerSettings" Target="../printerSettings/printerSettings390.bin"/><Relationship Id="rId5" Type="http://schemas.openxmlformats.org/officeDocument/2006/relationships/printerSettings" Target="../printerSettings/printerSettings337.bin"/><Relationship Id="rId19" Type="http://schemas.openxmlformats.org/officeDocument/2006/relationships/printerSettings" Target="../printerSettings/printerSettings351.bin"/><Relationship Id="rId4" Type="http://schemas.openxmlformats.org/officeDocument/2006/relationships/printerSettings" Target="../printerSettings/printerSettings336.bin"/><Relationship Id="rId9" Type="http://schemas.openxmlformats.org/officeDocument/2006/relationships/printerSettings" Target="../printerSettings/printerSettings341.bin"/><Relationship Id="rId14" Type="http://schemas.openxmlformats.org/officeDocument/2006/relationships/printerSettings" Target="../printerSettings/printerSettings346.bin"/><Relationship Id="rId22" Type="http://schemas.openxmlformats.org/officeDocument/2006/relationships/printerSettings" Target="../printerSettings/printerSettings354.bin"/><Relationship Id="rId27" Type="http://schemas.openxmlformats.org/officeDocument/2006/relationships/printerSettings" Target="../printerSettings/printerSettings359.bin"/><Relationship Id="rId30" Type="http://schemas.openxmlformats.org/officeDocument/2006/relationships/printerSettings" Target="../printerSettings/printerSettings362.bin"/><Relationship Id="rId35" Type="http://schemas.openxmlformats.org/officeDocument/2006/relationships/printerSettings" Target="../printerSettings/printerSettings367.bin"/><Relationship Id="rId43" Type="http://schemas.openxmlformats.org/officeDocument/2006/relationships/printerSettings" Target="../printerSettings/printerSettings375.bin"/><Relationship Id="rId48" Type="http://schemas.openxmlformats.org/officeDocument/2006/relationships/printerSettings" Target="../printerSettings/printerSettings380.bin"/><Relationship Id="rId56" Type="http://schemas.openxmlformats.org/officeDocument/2006/relationships/printerSettings" Target="../printerSettings/printerSettings388.bin"/><Relationship Id="rId8" Type="http://schemas.openxmlformats.org/officeDocument/2006/relationships/printerSettings" Target="../printerSettings/printerSettings340.bin"/><Relationship Id="rId51" Type="http://schemas.openxmlformats.org/officeDocument/2006/relationships/printerSettings" Target="../printerSettings/printerSettings383.bin"/><Relationship Id="rId3" Type="http://schemas.openxmlformats.org/officeDocument/2006/relationships/printerSettings" Target="../printerSettings/printerSettings335.bin"/><Relationship Id="rId12" Type="http://schemas.openxmlformats.org/officeDocument/2006/relationships/printerSettings" Target="../printerSettings/printerSettings344.bin"/><Relationship Id="rId17" Type="http://schemas.openxmlformats.org/officeDocument/2006/relationships/printerSettings" Target="../printerSettings/printerSettings349.bin"/><Relationship Id="rId25" Type="http://schemas.openxmlformats.org/officeDocument/2006/relationships/printerSettings" Target="../printerSettings/printerSettings357.bin"/><Relationship Id="rId33" Type="http://schemas.openxmlformats.org/officeDocument/2006/relationships/printerSettings" Target="../printerSettings/printerSettings365.bin"/><Relationship Id="rId38" Type="http://schemas.openxmlformats.org/officeDocument/2006/relationships/printerSettings" Target="../printerSettings/printerSettings370.bin"/><Relationship Id="rId46" Type="http://schemas.openxmlformats.org/officeDocument/2006/relationships/printerSettings" Target="../printerSettings/printerSettings378.bin"/><Relationship Id="rId59" Type="http://schemas.openxmlformats.org/officeDocument/2006/relationships/drawing" Target="../drawings/drawing6.xml"/><Relationship Id="rId20" Type="http://schemas.openxmlformats.org/officeDocument/2006/relationships/printerSettings" Target="../printerSettings/printerSettings352.bin"/><Relationship Id="rId41" Type="http://schemas.openxmlformats.org/officeDocument/2006/relationships/printerSettings" Target="../printerSettings/printerSettings373.bin"/><Relationship Id="rId54" Type="http://schemas.openxmlformats.org/officeDocument/2006/relationships/printerSettings" Target="../printerSettings/printerSettings386.bin"/><Relationship Id="rId1" Type="http://schemas.openxmlformats.org/officeDocument/2006/relationships/printerSettings" Target="../printerSettings/printerSettings333.bin"/><Relationship Id="rId6" Type="http://schemas.openxmlformats.org/officeDocument/2006/relationships/printerSettings" Target="../printerSettings/printerSettings338.bin"/><Relationship Id="rId15" Type="http://schemas.openxmlformats.org/officeDocument/2006/relationships/printerSettings" Target="../printerSettings/printerSettings347.bin"/><Relationship Id="rId23" Type="http://schemas.openxmlformats.org/officeDocument/2006/relationships/printerSettings" Target="../printerSettings/printerSettings355.bin"/><Relationship Id="rId28" Type="http://schemas.openxmlformats.org/officeDocument/2006/relationships/printerSettings" Target="../printerSettings/printerSettings360.bin"/><Relationship Id="rId36" Type="http://schemas.openxmlformats.org/officeDocument/2006/relationships/printerSettings" Target="../printerSettings/printerSettings368.bin"/><Relationship Id="rId49" Type="http://schemas.openxmlformats.org/officeDocument/2006/relationships/printerSettings" Target="../printerSettings/printerSettings381.bin"/><Relationship Id="rId57" Type="http://schemas.openxmlformats.org/officeDocument/2006/relationships/printerSettings" Target="../printerSettings/printerSettings389.bin"/><Relationship Id="rId10" Type="http://schemas.openxmlformats.org/officeDocument/2006/relationships/printerSettings" Target="../printerSettings/printerSettings342.bin"/><Relationship Id="rId31" Type="http://schemas.openxmlformats.org/officeDocument/2006/relationships/printerSettings" Target="../printerSettings/printerSettings363.bin"/><Relationship Id="rId44" Type="http://schemas.openxmlformats.org/officeDocument/2006/relationships/printerSettings" Target="../printerSettings/printerSettings376.bin"/><Relationship Id="rId52" Type="http://schemas.openxmlformats.org/officeDocument/2006/relationships/printerSettings" Target="../printerSettings/printerSettings384.bin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printerSettings" Target="../printerSettings/printerSettings403.bin"/><Relationship Id="rId18" Type="http://schemas.openxmlformats.org/officeDocument/2006/relationships/printerSettings" Target="../printerSettings/printerSettings408.bin"/><Relationship Id="rId26" Type="http://schemas.openxmlformats.org/officeDocument/2006/relationships/printerSettings" Target="../printerSettings/printerSettings416.bin"/><Relationship Id="rId39" Type="http://schemas.openxmlformats.org/officeDocument/2006/relationships/printerSettings" Target="../printerSettings/printerSettings429.bin"/><Relationship Id="rId21" Type="http://schemas.openxmlformats.org/officeDocument/2006/relationships/printerSettings" Target="../printerSettings/printerSettings411.bin"/><Relationship Id="rId34" Type="http://schemas.openxmlformats.org/officeDocument/2006/relationships/printerSettings" Target="../printerSettings/printerSettings424.bin"/><Relationship Id="rId42" Type="http://schemas.openxmlformats.org/officeDocument/2006/relationships/printerSettings" Target="../printerSettings/printerSettings432.bin"/><Relationship Id="rId47" Type="http://schemas.openxmlformats.org/officeDocument/2006/relationships/printerSettings" Target="../printerSettings/printerSettings437.bin"/><Relationship Id="rId50" Type="http://schemas.openxmlformats.org/officeDocument/2006/relationships/printerSettings" Target="../printerSettings/printerSettings440.bin"/><Relationship Id="rId55" Type="http://schemas.openxmlformats.org/officeDocument/2006/relationships/printerSettings" Target="../printerSettings/printerSettings445.bin"/><Relationship Id="rId7" Type="http://schemas.openxmlformats.org/officeDocument/2006/relationships/printerSettings" Target="../printerSettings/printerSettings397.bin"/><Relationship Id="rId2" Type="http://schemas.openxmlformats.org/officeDocument/2006/relationships/printerSettings" Target="../printerSettings/printerSettings392.bin"/><Relationship Id="rId16" Type="http://schemas.openxmlformats.org/officeDocument/2006/relationships/printerSettings" Target="../printerSettings/printerSettings406.bin"/><Relationship Id="rId29" Type="http://schemas.openxmlformats.org/officeDocument/2006/relationships/printerSettings" Target="../printerSettings/printerSettings419.bin"/><Relationship Id="rId11" Type="http://schemas.openxmlformats.org/officeDocument/2006/relationships/printerSettings" Target="../printerSettings/printerSettings401.bin"/><Relationship Id="rId24" Type="http://schemas.openxmlformats.org/officeDocument/2006/relationships/printerSettings" Target="../printerSettings/printerSettings414.bin"/><Relationship Id="rId32" Type="http://schemas.openxmlformats.org/officeDocument/2006/relationships/printerSettings" Target="../printerSettings/printerSettings422.bin"/><Relationship Id="rId37" Type="http://schemas.openxmlformats.org/officeDocument/2006/relationships/printerSettings" Target="../printerSettings/printerSettings427.bin"/><Relationship Id="rId40" Type="http://schemas.openxmlformats.org/officeDocument/2006/relationships/printerSettings" Target="../printerSettings/printerSettings430.bin"/><Relationship Id="rId45" Type="http://schemas.openxmlformats.org/officeDocument/2006/relationships/printerSettings" Target="../printerSettings/printerSettings435.bin"/><Relationship Id="rId53" Type="http://schemas.openxmlformats.org/officeDocument/2006/relationships/printerSettings" Target="../printerSettings/printerSettings443.bin"/><Relationship Id="rId58" Type="http://schemas.openxmlformats.org/officeDocument/2006/relationships/printerSettings" Target="../printerSettings/printerSettings448.bin"/><Relationship Id="rId5" Type="http://schemas.openxmlformats.org/officeDocument/2006/relationships/printerSettings" Target="../printerSettings/printerSettings395.bin"/><Relationship Id="rId19" Type="http://schemas.openxmlformats.org/officeDocument/2006/relationships/printerSettings" Target="../printerSettings/printerSettings409.bin"/><Relationship Id="rId4" Type="http://schemas.openxmlformats.org/officeDocument/2006/relationships/printerSettings" Target="../printerSettings/printerSettings394.bin"/><Relationship Id="rId9" Type="http://schemas.openxmlformats.org/officeDocument/2006/relationships/printerSettings" Target="../printerSettings/printerSettings399.bin"/><Relationship Id="rId14" Type="http://schemas.openxmlformats.org/officeDocument/2006/relationships/printerSettings" Target="../printerSettings/printerSettings404.bin"/><Relationship Id="rId22" Type="http://schemas.openxmlformats.org/officeDocument/2006/relationships/printerSettings" Target="../printerSettings/printerSettings412.bin"/><Relationship Id="rId27" Type="http://schemas.openxmlformats.org/officeDocument/2006/relationships/printerSettings" Target="../printerSettings/printerSettings417.bin"/><Relationship Id="rId30" Type="http://schemas.openxmlformats.org/officeDocument/2006/relationships/printerSettings" Target="../printerSettings/printerSettings420.bin"/><Relationship Id="rId35" Type="http://schemas.openxmlformats.org/officeDocument/2006/relationships/printerSettings" Target="../printerSettings/printerSettings425.bin"/><Relationship Id="rId43" Type="http://schemas.openxmlformats.org/officeDocument/2006/relationships/printerSettings" Target="../printerSettings/printerSettings433.bin"/><Relationship Id="rId48" Type="http://schemas.openxmlformats.org/officeDocument/2006/relationships/printerSettings" Target="../printerSettings/printerSettings438.bin"/><Relationship Id="rId56" Type="http://schemas.openxmlformats.org/officeDocument/2006/relationships/printerSettings" Target="../printerSettings/printerSettings446.bin"/><Relationship Id="rId8" Type="http://schemas.openxmlformats.org/officeDocument/2006/relationships/printerSettings" Target="../printerSettings/printerSettings398.bin"/><Relationship Id="rId51" Type="http://schemas.openxmlformats.org/officeDocument/2006/relationships/printerSettings" Target="../printerSettings/printerSettings441.bin"/><Relationship Id="rId3" Type="http://schemas.openxmlformats.org/officeDocument/2006/relationships/printerSettings" Target="../printerSettings/printerSettings393.bin"/><Relationship Id="rId12" Type="http://schemas.openxmlformats.org/officeDocument/2006/relationships/printerSettings" Target="../printerSettings/printerSettings402.bin"/><Relationship Id="rId17" Type="http://schemas.openxmlformats.org/officeDocument/2006/relationships/printerSettings" Target="../printerSettings/printerSettings407.bin"/><Relationship Id="rId25" Type="http://schemas.openxmlformats.org/officeDocument/2006/relationships/printerSettings" Target="../printerSettings/printerSettings415.bin"/><Relationship Id="rId33" Type="http://schemas.openxmlformats.org/officeDocument/2006/relationships/printerSettings" Target="../printerSettings/printerSettings423.bin"/><Relationship Id="rId38" Type="http://schemas.openxmlformats.org/officeDocument/2006/relationships/printerSettings" Target="../printerSettings/printerSettings428.bin"/><Relationship Id="rId46" Type="http://schemas.openxmlformats.org/officeDocument/2006/relationships/printerSettings" Target="../printerSettings/printerSettings436.bin"/><Relationship Id="rId59" Type="http://schemas.openxmlformats.org/officeDocument/2006/relationships/drawing" Target="../drawings/drawing7.xml"/><Relationship Id="rId20" Type="http://schemas.openxmlformats.org/officeDocument/2006/relationships/printerSettings" Target="../printerSettings/printerSettings410.bin"/><Relationship Id="rId41" Type="http://schemas.openxmlformats.org/officeDocument/2006/relationships/printerSettings" Target="../printerSettings/printerSettings431.bin"/><Relationship Id="rId54" Type="http://schemas.openxmlformats.org/officeDocument/2006/relationships/printerSettings" Target="../printerSettings/printerSettings444.bin"/><Relationship Id="rId1" Type="http://schemas.openxmlformats.org/officeDocument/2006/relationships/printerSettings" Target="../printerSettings/printerSettings391.bin"/><Relationship Id="rId6" Type="http://schemas.openxmlformats.org/officeDocument/2006/relationships/printerSettings" Target="../printerSettings/printerSettings396.bin"/><Relationship Id="rId15" Type="http://schemas.openxmlformats.org/officeDocument/2006/relationships/printerSettings" Target="../printerSettings/printerSettings405.bin"/><Relationship Id="rId23" Type="http://schemas.openxmlformats.org/officeDocument/2006/relationships/printerSettings" Target="../printerSettings/printerSettings413.bin"/><Relationship Id="rId28" Type="http://schemas.openxmlformats.org/officeDocument/2006/relationships/printerSettings" Target="../printerSettings/printerSettings418.bin"/><Relationship Id="rId36" Type="http://schemas.openxmlformats.org/officeDocument/2006/relationships/printerSettings" Target="../printerSettings/printerSettings426.bin"/><Relationship Id="rId49" Type="http://schemas.openxmlformats.org/officeDocument/2006/relationships/printerSettings" Target="../printerSettings/printerSettings439.bin"/><Relationship Id="rId57" Type="http://schemas.openxmlformats.org/officeDocument/2006/relationships/printerSettings" Target="../printerSettings/printerSettings447.bin"/><Relationship Id="rId10" Type="http://schemas.openxmlformats.org/officeDocument/2006/relationships/printerSettings" Target="../printerSettings/printerSettings400.bin"/><Relationship Id="rId31" Type="http://schemas.openxmlformats.org/officeDocument/2006/relationships/printerSettings" Target="../printerSettings/printerSettings421.bin"/><Relationship Id="rId44" Type="http://schemas.openxmlformats.org/officeDocument/2006/relationships/printerSettings" Target="../printerSettings/printerSettings434.bin"/><Relationship Id="rId52" Type="http://schemas.openxmlformats.org/officeDocument/2006/relationships/printerSettings" Target="../printerSettings/printerSettings442.bin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printerSettings" Target="../printerSettings/printerSettings461.bin"/><Relationship Id="rId18" Type="http://schemas.openxmlformats.org/officeDocument/2006/relationships/printerSettings" Target="../printerSettings/printerSettings466.bin"/><Relationship Id="rId26" Type="http://schemas.openxmlformats.org/officeDocument/2006/relationships/printerSettings" Target="../printerSettings/printerSettings474.bin"/><Relationship Id="rId39" Type="http://schemas.openxmlformats.org/officeDocument/2006/relationships/printerSettings" Target="../printerSettings/printerSettings487.bin"/><Relationship Id="rId21" Type="http://schemas.openxmlformats.org/officeDocument/2006/relationships/printerSettings" Target="../printerSettings/printerSettings469.bin"/><Relationship Id="rId34" Type="http://schemas.openxmlformats.org/officeDocument/2006/relationships/printerSettings" Target="../printerSettings/printerSettings482.bin"/><Relationship Id="rId42" Type="http://schemas.openxmlformats.org/officeDocument/2006/relationships/printerSettings" Target="../printerSettings/printerSettings490.bin"/><Relationship Id="rId47" Type="http://schemas.openxmlformats.org/officeDocument/2006/relationships/printerSettings" Target="../printerSettings/printerSettings495.bin"/><Relationship Id="rId50" Type="http://schemas.openxmlformats.org/officeDocument/2006/relationships/printerSettings" Target="../printerSettings/printerSettings498.bin"/><Relationship Id="rId55" Type="http://schemas.openxmlformats.org/officeDocument/2006/relationships/printerSettings" Target="../printerSettings/printerSettings503.bin"/><Relationship Id="rId7" Type="http://schemas.openxmlformats.org/officeDocument/2006/relationships/printerSettings" Target="../printerSettings/printerSettings455.bin"/><Relationship Id="rId2" Type="http://schemas.openxmlformats.org/officeDocument/2006/relationships/printerSettings" Target="../printerSettings/printerSettings450.bin"/><Relationship Id="rId16" Type="http://schemas.openxmlformats.org/officeDocument/2006/relationships/printerSettings" Target="../printerSettings/printerSettings464.bin"/><Relationship Id="rId29" Type="http://schemas.openxmlformats.org/officeDocument/2006/relationships/printerSettings" Target="../printerSettings/printerSettings477.bin"/><Relationship Id="rId11" Type="http://schemas.openxmlformats.org/officeDocument/2006/relationships/printerSettings" Target="../printerSettings/printerSettings459.bin"/><Relationship Id="rId24" Type="http://schemas.openxmlformats.org/officeDocument/2006/relationships/printerSettings" Target="../printerSettings/printerSettings472.bin"/><Relationship Id="rId32" Type="http://schemas.openxmlformats.org/officeDocument/2006/relationships/printerSettings" Target="../printerSettings/printerSettings480.bin"/><Relationship Id="rId37" Type="http://schemas.openxmlformats.org/officeDocument/2006/relationships/printerSettings" Target="../printerSettings/printerSettings485.bin"/><Relationship Id="rId40" Type="http://schemas.openxmlformats.org/officeDocument/2006/relationships/printerSettings" Target="../printerSettings/printerSettings488.bin"/><Relationship Id="rId45" Type="http://schemas.openxmlformats.org/officeDocument/2006/relationships/printerSettings" Target="../printerSettings/printerSettings493.bin"/><Relationship Id="rId53" Type="http://schemas.openxmlformats.org/officeDocument/2006/relationships/printerSettings" Target="../printerSettings/printerSettings501.bin"/><Relationship Id="rId58" Type="http://schemas.openxmlformats.org/officeDocument/2006/relationships/printerSettings" Target="../printerSettings/printerSettings506.bin"/><Relationship Id="rId5" Type="http://schemas.openxmlformats.org/officeDocument/2006/relationships/printerSettings" Target="../printerSettings/printerSettings453.bin"/><Relationship Id="rId19" Type="http://schemas.openxmlformats.org/officeDocument/2006/relationships/printerSettings" Target="../printerSettings/printerSettings467.bin"/><Relationship Id="rId4" Type="http://schemas.openxmlformats.org/officeDocument/2006/relationships/printerSettings" Target="../printerSettings/printerSettings452.bin"/><Relationship Id="rId9" Type="http://schemas.openxmlformats.org/officeDocument/2006/relationships/printerSettings" Target="../printerSettings/printerSettings457.bin"/><Relationship Id="rId14" Type="http://schemas.openxmlformats.org/officeDocument/2006/relationships/printerSettings" Target="../printerSettings/printerSettings462.bin"/><Relationship Id="rId22" Type="http://schemas.openxmlformats.org/officeDocument/2006/relationships/printerSettings" Target="../printerSettings/printerSettings470.bin"/><Relationship Id="rId27" Type="http://schemas.openxmlformats.org/officeDocument/2006/relationships/printerSettings" Target="../printerSettings/printerSettings475.bin"/><Relationship Id="rId30" Type="http://schemas.openxmlformats.org/officeDocument/2006/relationships/printerSettings" Target="../printerSettings/printerSettings478.bin"/><Relationship Id="rId35" Type="http://schemas.openxmlformats.org/officeDocument/2006/relationships/printerSettings" Target="../printerSettings/printerSettings483.bin"/><Relationship Id="rId43" Type="http://schemas.openxmlformats.org/officeDocument/2006/relationships/printerSettings" Target="../printerSettings/printerSettings491.bin"/><Relationship Id="rId48" Type="http://schemas.openxmlformats.org/officeDocument/2006/relationships/printerSettings" Target="../printerSettings/printerSettings496.bin"/><Relationship Id="rId56" Type="http://schemas.openxmlformats.org/officeDocument/2006/relationships/printerSettings" Target="../printerSettings/printerSettings504.bin"/><Relationship Id="rId8" Type="http://schemas.openxmlformats.org/officeDocument/2006/relationships/printerSettings" Target="../printerSettings/printerSettings456.bin"/><Relationship Id="rId51" Type="http://schemas.openxmlformats.org/officeDocument/2006/relationships/printerSettings" Target="../printerSettings/printerSettings499.bin"/><Relationship Id="rId3" Type="http://schemas.openxmlformats.org/officeDocument/2006/relationships/printerSettings" Target="../printerSettings/printerSettings451.bin"/><Relationship Id="rId12" Type="http://schemas.openxmlformats.org/officeDocument/2006/relationships/printerSettings" Target="../printerSettings/printerSettings460.bin"/><Relationship Id="rId17" Type="http://schemas.openxmlformats.org/officeDocument/2006/relationships/printerSettings" Target="../printerSettings/printerSettings465.bin"/><Relationship Id="rId25" Type="http://schemas.openxmlformats.org/officeDocument/2006/relationships/printerSettings" Target="../printerSettings/printerSettings473.bin"/><Relationship Id="rId33" Type="http://schemas.openxmlformats.org/officeDocument/2006/relationships/printerSettings" Target="../printerSettings/printerSettings481.bin"/><Relationship Id="rId38" Type="http://schemas.openxmlformats.org/officeDocument/2006/relationships/printerSettings" Target="../printerSettings/printerSettings486.bin"/><Relationship Id="rId46" Type="http://schemas.openxmlformats.org/officeDocument/2006/relationships/printerSettings" Target="../printerSettings/printerSettings494.bin"/><Relationship Id="rId59" Type="http://schemas.openxmlformats.org/officeDocument/2006/relationships/drawing" Target="../drawings/drawing8.xml"/><Relationship Id="rId20" Type="http://schemas.openxmlformats.org/officeDocument/2006/relationships/printerSettings" Target="../printerSettings/printerSettings468.bin"/><Relationship Id="rId41" Type="http://schemas.openxmlformats.org/officeDocument/2006/relationships/printerSettings" Target="../printerSettings/printerSettings489.bin"/><Relationship Id="rId54" Type="http://schemas.openxmlformats.org/officeDocument/2006/relationships/printerSettings" Target="../printerSettings/printerSettings502.bin"/><Relationship Id="rId1" Type="http://schemas.openxmlformats.org/officeDocument/2006/relationships/printerSettings" Target="../printerSettings/printerSettings449.bin"/><Relationship Id="rId6" Type="http://schemas.openxmlformats.org/officeDocument/2006/relationships/printerSettings" Target="../printerSettings/printerSettings454.bin"/><Relationship Id="rId15" Type="http://schemas.openxmlformats.org/officeDocument/2006/relationships/printerSettings" Target="../printerSettings/printerSettings463.bin"/><Relationship Id="rId23" Type="http://schemas.openxmlformats.org/officeDocument/2006/relationships/printerSettings" Target="../printerSettings/printerSettings471.bin"/><Relationship Id="rId28" Type="http://schemas.openxmlformats.org/officeDocument/2006/relationships/printerSettings" Target="../printerSettings/printerSettings476.bin"/><Relationship Id="rId36" Type="http://schemas.openxmlformats.org/officeDocument/2006/relationships/printerSettings" Target="../printerSettings/printerSettings484.bin"/><Relationship Id="rId49" Type="http://schemas.openxmlformats.org/officeDocument/2006/relationships/printerSettings" Target="../printerSettings/printerSettings497.bin"/><Relationship Id="rId57" Type="http://schemas.openxmlformats.org/officeDocument/2006/relationships/printerSettings" Target="../printerSettings/printerSettings505.bin"/><Relationship Id="rId10" Type="http://schemas.openxmlformats.org/officeDocument/2006/relationships/printerSettings" Target="../printerSettings/printerSettings458.bin"/><Relationship Id="rId31" Type="http://schemas.openxmlformats.org/officeDocument/2006/relationships/printerSettings" Target="../printerSettings/printerSettings479.bin"/><Relationship Id="rId44" Type="http://schemas.openxmlformats.org/officeDocument/2006/relationships/printerSettings" Target="../printerSettings/printerSettings492.bin"/><Relationship Id="rId52" Type="http://schemas.openxmlformats.org/officeDocument/2006/relationships/printerSettings" Target="../printerSettings/printerSettings500.bin"/></Relationships>
</file>

<file path=xl/worksheets/_rels/sheet9.xml.rels><?xml version="1.0" encoding="UTF-8" standalone="yes"?>
<Relationships xmlns="http://schemas.openxmlformats.org/package/2006/relationships"><Relationship Id="rId26" Type="http://schemas.openxmlformats.org/officeDocument/2006/relationships/printerSettings" Target="../printerSettings/printerSettings532.bin"/><Relationship Id="rId21" Type="http://schemas.openxmlformats.org/officeDocument/2006/relationships/printerSettings" Target="../printerSettings/printerSettings527.bin"/><Relationship Id="rId42" Type="http://schemas.openxmlformats.org/officeDocument/2006/relationships/printerSettings" Target="../printerSettings/printerSettings548.bin"/><Relationship Id="rId47" Type="http://schemas.openxmlformats.org/officeDocument/2006/relationships/printerSettings" Target="../printerSettings/printerSettings553.bin"/><Relationship Id="rId63" Type="http://schemas.openxmlformats.org/officeDocument/2006/relationships/printerSettings" Target="../printerSettings/printerSettings569.bin"/><Relationship Id="rId68" Type="http://schemas.openxmlformats.org/officeDocument/2006/relationships/printerSettings" Target="../printerSettings/printerSettings574.bin"/><Relationship Id="rId2" Type="http://schemas.openxmlformats.org/officeDocument/2006/relationships/printerSettings" Target="../printerSettings/printerSettings508.bin"/><Relationship Id="rId16" Type="http://schemas.openxmlformats.org/officeDocument/2006/relationships/printerSettings" Target="../printerSettings/printerSettings522.bin"/><Relationship Id="rId29" Type="http://schemas.openxmlformats.org/officeDocument/2006/relationships/printerSettings" Target="../printerSettings/printerSettings535.bin"/><Relationship Id="rId11" Type="http://schemas.openxmlformats.org/officeDocument/2006/relationships/printerSettings" Target="../printerSettings/printerSettings517.bin"/><Relationship Id="rId24" Type="http://schemas.openxmlformats.org/officeDocument/2006/relationships/printerSettings" Target="../printerSettings/printerSettings530.bin"/><Relationship Id="rId32" Type="http://schemas.openxmlformats.org/officeDocument/2006/relationships/printerSettings" Target="../printerSettings/printerSettings538.bin"/><Relationship Id="rId37" Type="http://schemas.openxmlformats.org/officeDocument/2006/relationships/printerSettings" Target="../printerSettings/printerSettings543.bin"/><Relationship Id="rId40" Type="http://schemas.openxmlformats.org/officeDocument/2006/relationships/printerSettings" Target="../printerSettings/printerSettings546.bin"/><Relationship Id="rId45" Type="http://schemas.openxmlformats.org/officeDocument/2006/relationships/printerSettings" Target="../printerSettings/printerSettings551.bin"/><Relationship Id="rId53" Type="http://schemas.openxmlformats.org/officeDocument/2006/relationships/printerSettings" Target="../printerSettings/printerSettings559.bin"/><Relationship Id="rId58" Type="http://schemas.openxmlformats.org/officeDocument/2006/relationships/printerSettings" Target="../printerSettings/printerSettings564.bin"/><Relationship Id="rId66" Type="http://schemas.openxmlformats.org/officeDocument/2006/relationships/printerSettings" Target="../printerSettings/printerSettings572.bin"/><Relationship Id="rId74" Type="http://schemas.openxmlformats.org/officeDocument/2006/relationships/printerSettings" Target="../printerSettings/printerSettings580.bin"/><Relationship Id="rId5" Type="http://schemas.openxmlformats.org/officeDocument/2006/relationships/printerSettings" Target="../printerSettings/printerSettings511.bin"/><Relationship Id="rId61" Type="http://schemas.openxmlformats.org/officeDocument/2006/relationships/printerSettings" Target="../printerSettings/printerSettings567.bin"/><Relationship Id="rId19" Type="http://schemas.openxmlformats.org/officeDocument/2006/relationships/printerSettings" Target="../printerSettings/printerSettings525.bin"/><Relationship Id="rId14" Type="http://schemas.openxmlformats.org/officeDocument/2006/relationships/printerSettings" Target="../printerSettings/printerSettings520.bin"/><Relationship Id="rId22" Type="http://schemas.openxmlformats.org/officeDocument/2006/relationships/printerSettings" Target="../printerSettings/printerSettings528.bin"/><Relationship Id="rId27" Type="http://schemas.openxmlformats.org/officeDocument/2006/relationships/printerSettings" Target="../printerSettings/printerSettings533.bin"/><Relationship Id="rId30" Type="http://schemas.openxmlformats.org/officeDocument/2006/relationships/printerSettings" Target="../printerSettings/printerSettings536.bin"/><Relationship Id="rId35" Type="http://schemas.openxmlformats.org/officeDocument/2006/relationships/printerSettings" Target="../printerSettings/printerSettings541.bin"/><Relationship Id="rId43" Type="http://schemas.openxmlformats.org/officeDocument/2006/relationships/printerSettings" Target="../printerSettings/printerSettings549.bin"/><Relationship Id="rId48" Type="http://schemas.openxmlformats.org/officeDocument/2006/relationships/printerSettings" Target="../printerSettings/printerSettings554.bin"/><Relationship Id="rId56" Type="http://schemas.openxmlformats.org/officeDocument/2006/relationships/printerSettings" Target="../printerSettings/printerSettings562.bin"/><Relationship Id="rId64" Type="http://schemas.openxmlformats.org/officeDocument/2006/relationships/printerSettings" Target="../printerSettings/printerSettings570.bin"/><Relationship Id="rId69" Type="http://schemas.openxmlformats.org/officeDocument/2006/relationships/printerSettings" Target="../printerSettings/printerSettings575.bin"/><Relationship Id="rId8" Type="http://schemas.openxmlformats.org/officeDocument/2006/relationships/printerSettings" Target="../printerSettings/printerSettings514.bin"/><Relationship Id="rId51" Type="http://schemas.openxmlformats.org/officeDocument/2006/relationships/printerSettings" Target="../printerSettings/printerSettings557.bin"/><Relationship Id="rId72" Type="http://schemas.openxmlformats.org/officeDocument/2006/relationships/printerSettings" Target="../printerSettings/printerSettings578.bin"/><Relationship Id="rId3" Type="http://schemas.openxmlformats.org/officeDocument/2006/relationships/printerSettings" Target="../printerSettings/printerSettings509.bin"/><Relationship Id="rId12" Type="http://schemas.openxmlformats.org/officeDocument/2006/relationships/printerSettings" Target="../printerSettings/printerSettings518.bin"/><Relationship Id="rId17" Type="http://schemas.openxmlformats.org/officeDocument/2006/relationships/printerSettings" Target="../printerSettings/printerSettings523.bin"/><Relationship Id="rId25" Type="http://schemas.openxmlformats.org/officeDocument/2006/relationships/printerSettings" Target="../printerSettings/printerSettings531.bin"/><Relationship Id="rId33" Type="http://schemas.openxmlformats.org/officeDocument/2006/relationships/printerSettings" Target="../printerSettings/printerSettings539.bin"/><Relationship Id="rId38" Type="http://schemas.openxmlformats.org/officeDocument/2006/relationships/printerSettings" Target="../printerSettings/printerSettings544.bin"/><Relationship Id="rId46" Type="http://schemas.openxmlformats.org/officeDocument/2006/relationships/printerSettings" Target="../printerSettings/printerSettings552.bin"/><Relationship Id="rId59" Type="http://schemas.openxmlformats.org/officeDocument/2006/relationships/printerSettings" Target="../printerSettings/printerSettings565.bin"/><Relationship Id="rId67" Type="http://schemas.openxmlformats.org/officeDocument/2006/relationships/printerSettings" Target="../printerSettings/printerSettings573.bin"/><Relationship Id="rId20" Type="http://schemas.openxmlformats.org/officeDocument/2006/relationships/printerSettings" Target="../printerSettings/printerSettings526.bin"/><Relationship Id="rId41" Type="http://schemas.openxmlformats.org/officeDocument/2006/relationships/printerSettings" Target="../printerSettings/printerSettings547.bin"/><Relationship Id="rId54" Type="http://schemas.openxmlformats.org/officeDocument/2006/relationships/printerSettings" Target="../printerSettings/printerSettings560.bin"/><Relationship Id="rId62" Type="http://schemas.openxmlformats.org/officeDocument/2006/relationships/printerSettings" Target="../printerSettings/printerSettings568.bin"/><Relationship Id="rId70" Type="http://schemas.openxmlformats.org/officeDocument/2006/relationships/printerSettings" Target="../printerSettings/printerSettings576.bin"/><Relationship Id="rId75" Type="http://schemas.openxmlformats.org/officeDocument/2006/relationships/printerSettings" Target="../printerSettings/printerSettings581.bin"/><Relationship Id="rId1" Type="http://schemas.openxmlformats.org/officeDocument/2006/relationships/printerSettings" Target="../printerSettings/printerSettings507.bin"/><Relationship Id="rId6" Type="http://schemas.openxmlformats.org/officeDocument/2006/relationships/printerSettings" Target="../printerSettings/printerSettings512.bin"/><Relationship Id="rId15" Type="http://schemas.openxmlformats.org/officeDocument/2006/relationships/printerSettings" Target="../printerSettings/printerSettings521.bin"/><Relationship Id="rId23" Type="http://schemas.openxmlformats.org/officeDocument/2006/relationships/printerSettings" Target="../printerSettings/printerSettings529.bin"/><Relationship Id="rId28" Type="http://schemas.openxmlformats.org/officeDocument/2006/relationships/printerSettings" Target="../printerSettings/printerSettings534.bin"/><Relationship Id="rId36" Type="http://schemas.openxmlformats.org/officeDocument/2006/relationships/printerSettings" Target="../printerSettings/printerSettings542.bin"/><Relationship Id="rId49" Type="http://schemas.openxmlformats.org/officeDocument/2006/relationships/printerSettings" Target="../printerSettings/printerSettings555.bin"/><Relationship Id="rId57" Type="http://schemas.openxmlformats.org/officeDocument/2006/relationships/printerSettings" Target="../printerSettings/printerSettings563.bin"/><Relationship Id="rId10" Type="http://schemas.openxmlformats.org/officeDocument/2006/relationships/printerSettings" Target="../printerSettings/printerSettings516.bin"/><Relationship Id="rId31" Type="http://schemas.openxmlformats.org/officeDocument/2006/relationships/printerSettings" Target="../printerSettings/printerSettings537.bin"/><Relationship Id="rId44" Type="http://schemas.openxmlformats.org/officeDocument/2006/relationships/printerSettings" Target="../printerSettings/printerSettings550.bin"/><Relationship Id="rId52" Type="http://schemas.openxmlformats.org/officeDocument/2006/relationships/printerSettings" Target="../printerSettings/printerSettings558.bin"/><Relationship Id="rId60" Type="http://schemas.openxmlformats.org/officeDocument/2006/relationships/printerSettings" Target="../printerSettings/printerSettings566.bin"/><Relationship Id="rId65" Type="http://schemas.openxmlformats.org/officeDocument/2006/relationships/printerSettings" Target="../printerSettings/printerSettings571.bin"/><Relationship Id="rId73" Type="http://schemas.openxmlformats.org/officeDocument/2006/relationships/printerSettings" Target="../printerSettings/printerSettings579.bin"/><Relationship Id="rId4" Type="http://schemas.openxmlformats.org/officeDocument/2006/relationships/printerSettings" Target="../printerSettings/printerSettings510.bin"/><Relationship Id="rId9" Type="http://schemas.openxmlformats.org/officeDocument/2006/relationships/printerSettings" Target="../printerSettings/printerSettings515.bin"/><Relationship Id="rId13" Type="http://schemas.openxmlformats.org/officeDocument/2006/relationships/printerSettings" Target="../printerSettings/printerSettings519.bin"/><Relationship Id="rId18" Type="http://schemas.openxmlformats.org/officeDocument/2006/relationships/printerSettings" Target="../printerSettings/printerSettings524.bin"/><Relationship Id="rId39" Type="http://schemas.openxmlformats.org/officeDocument/2006/relationships/printerSettings" Target="../printerSettings/printerSettings545.bin"/><Relationship Id="rId34" Type="http://schemas.openxmlformats.org/officeDocument/2006/relationships/printerSettings" Target="../printerSettings/printerSettings540.bin"/><Relationship Id="rId50" Type="http://schemas.openxmlformats.org/officeDocument/2006/relationships/printerSettings" Target="../printerSettings/printerSettings556.bin"/><Relationship Id="rId55" Type="http://schemas.openxmlformats.org/officeDocument/2006/relationships/printerSettings" Target="../printerSettings/printerSettings561.bin"/><Relationship Id="rId76" Type="http://schemas.openxmlformats.org/officeDocument/2006/relationships/printerSettings" Target="../printerSettings/printerSettings582.bin"/><Relationship Id="rId7" Type="http://schemas.openxmlformats.org/officeDocument/2006/relationships/printerSettings" Target="../printerSettings/printerSettings513.bin"/><Relationship Id="rId71" Type="http://schemas.openxmlformats.org/officeDocument/2006/relationships/printerSettings" Target="../printerSettings/printerSettings577.bin"/></Relationships>
</file>

<file path=xl/worksheets/_rels/sheet10.xml.rels><?xml version="1.0" encoding="UTF-8" standalone="yes"?>
<Relationships xmlns="http://schemas.openxmlformats.org/package/2006/relationships"><Relationship Id="rId13" Type="http://schemas.openxmlformats.org/officeDocument/2006/relationships/printerSettings" Target="../printerSettings/printerSettings595.bin"/><Relationship Id="rId18" Type="http://schemas.openxmlformats.org/officeDocument/2006/relationships/printerSettings" Target="../printerSettings/printerSettings600.bin"/><Relationship Id="rId26" Type="http://schemas.openxmlformats.org/officeDocument/2006/relationships/printerSettings" Target="../printerSettings/printerSettings608.bin"/><Relationship Id="rId39" Type="http://schemas.openxmlformats.org/officeDocument/2006/relationships/printerSettings" Target="../printerSettings/printerSettings621.bin"/><Relationship Id="rId21" Type="http://schemas.openxmlformats.org/officeDocument/2006/relationships/printerSettings" Target="../printerSettings/printerSettings603.bin"/><Relationship Id="rId34" Type="http://schemas.openxmlformats.org/officeDocument/2006/relationships/printerSettings" Target="../printerSettings/printerSettings616.bin"/><Relationship Id="rId42" Type="http://schemas.openxmlformats.org/officeDocument/2006/relationships/printerSettings" Target="../printerSettings/printerSettings624.bin"/><Relationship Id="rId47" Type="http://schemas.openxmlformats.org/officeDocument/2006/relationships/printerSettings" Target="../printerSettings/printerSettings629.bin"/><Relationship Id="rId50" Type="http://schemas.openxmlformats.org/officeDocument/2006/relationships/printerSettings" Target="../printerSettings/printerSettings632.bin"/><Relationship Id="rId55" Type="http://schemas.openxmlformats.org/officeDocument/2006/relationships/printerSettings" Target="../printerSettings/printerSettings637.bin"/><Relationship Id="rId7" Type="http://schemas.openxmlformats.org/officeDocument/2006/relationships/printerSettings" Target="../printerSettings/printerSettings589.bin"/><Relationship Id="rId2" Type="http://schemas.openxmlformats.org/officeDocument/2006/relationships/printerSettings" Target="../printerSettings/printerSettings584.bin"/><Relationship Id="rId16" Type="http://schemas.openxmlformats.org/officeDocument/2006/relationships/printerSettings" Target="../printerSettings/printerSettings598.bin"/><Relationship Id="rId29" Type="http://schemas.openxmlformats.org/officeDocument/2006/relationships/printerSettings" Target="../printerSettings/printerSettings611.bin"/><Relationship Id="rId11" Type="http://schemas.openxmlformats.org/officeDocument/2006/relationships/printerSettings" Target="../printerSettings/printerSettings593.bin"/><Relationship Id="rId24" Type="http://schemas.openxmlformats.org/officeDocument/2006/relationships/printerSettings" Target="../printerSettings/printerSettings606.bin"/><Relationship Id="rId32" Type="http://schemas.openxmlformats.org/officeDocument/2006/relationships/printerSettings" Target="../printerSettings/printerSettings614.bin"/><Relationship Id="rId37" Type="http://schemas.openxmlformats.org/officeDocument/2006/relationships/printerSettings" Target="../printerSettings/printerSettings619.bin"/><Relationship Id="rId40" Type="http://schemas.openxmlformats.org/officeDocument/2006/relationships/printerSettings" Target="../printerSettings/printerSettings622.bin"/><Relationship Id="rId45" Type="http://schemas.openxmlformats.org/officeDocument/2006/relationships/printerSettings" Target="../printerSettings/printerSettings627.bin"/><Relationship Id="rId53" Type="http://schemas.openxmlformats.org/officeDocument/2006/relationships/printerSettings" Target="../printerSettings/printerSettings635.bin"/><Relationship Id="rId58" Type="http://schemas.openxmlformats.org/officeDocument/2006/relationships/printerSettings" Target="../printerSettings/printerSettings640.bin"/><Relationship Id="rId5" Type="http://schemas.openxmlformats.org/officeDocument/2006/relationships/printerSettings" Target="../printerSettings/printerSettings587.bin"/><Relationship Id="rId19" Type="http://schemas.openxmlformats.org/officeDocument/2006/relationships/printerSettings" Target="../printerSettings/printerSettings601.bin"/><Relationship Id="rId4" Type="http://schemas.openxmlformats.org/officeDocument/2006/relationships/printerSettings" Target="../printerSettings/printerSettings586.bin"/><Relationship Id="rId9" Type="http://schemas.openxmlformats.org/officeDocument/2006/relationships/printerSettings" Target="../printerSettings/printerSettings591.bin"/><Relationship Id="rId14" Type="http://schemas.openxmlformats.org/officeDocument/2006/relationships/printerSettings" Target="../printerSettings/printerSettings596.bin"/><Relationship Id="rId22" Type="http://schemas.openxmlformats.org/officeDocument/2006/relationships/printerSettings" Target="../printerSettings/printerSettings604.bin"/><Relationship Id="rId27" Type="http://schemas.openxmlformats.org/officeDocument/2006/relationships/printerSettings" Target="../printerSettings/printerSettings609.bin"/><Relationship Id="rId30" Type="http://schemas.openxmlformats.org/officeDocument/2006/relationships/printerSettings" Target="../printerSettings/printerSettings612.bin"/><Relationship Id="rId35" Type="http://schemas.openxmlformats.org/officeDocument/2006/relationships/printerSettings" Target="../printerSettings/printerSettings617.bin"/><Relationship Id="rId43" Type="http://schemas.openxmlformats.org/officeDocument/2006/relationships/printerSettings" Target="../printerSettings/printerSettings625.bin"/><Relationship Id="rId48" Type="http://schemas.openxmlformats.org/officeDocument/2006/relationships/printerSettings" Target="../printerSettings/printerSettings630.bin"/><Relationship Id="rId56" Type="http://schemas.openxmlformats.org/officeDocument/2006/relationships/printerSettings" Target="../printerSettings/printerSettings638.bin"/><Relationship Id="rId8" Type="http://schemas.openxmlformats.org/officeDocument/2006/relationships/printerSettings" Target="../printerSettings/printerSettings590.bin"/><Relationship Id="rId51" Type="http://schemas.openxmlformats.org/officeDocument/2006/relationships/printerSettings" Target="../printerSettings/printerSettings633.bin"/><Relationship Id="rId3" Type="http://schemas.openxmlformats.org/officeDocument/2006/relationships/printerSettings" Target="../printerSettings/printerSettings585.bin"/><Relationship Id="rId12" Type="http://schemas.openxmlformats.org/officeDocument/2006/relationships/printerSettings" Target="../printerSettings/printerSettings594.bin"/><Relationship Id="rId17" Type="http://schemas.openxmlformats.org/officeDocument/2006/relationships/printerSettings" Target="../printerSettings/printerSettings599.bin"/><Relationship Id="rId25" Type="http://schemas.openxmlformats.org/officeDocument/2006/relationships/printerSettings" Target="../printerSettings/printerSettings607.bin"/><Relationship Id="rId33" Type="http://schemas.openxmlformats.org/officeDocument/2006/relationships/printerSettings" Target="../printerSettings/printerSettings615.bin"/><Relationship Id="rId38" Type="http://schemas.openxmlformats.org/officeDocument/2006/relationships/printerSettings" Target="../printerSettings/printerSettings620.bin"/><Relationship Id="rId46" Type="http://schemas.openxmlformats.org/officeDocument/2006/relationships/printerSettings" Target="../printerSettings/printerSettings628.bin"/><Relationship Id="rId59" Type="http://schemas.openxmlformats.org/officeDocument/2006/relationships/drawing" Target="../drawings/drawing9.xml"/><Relationship Id="rId20" Type="http://schemas.openxmlformats.org/officeDocument/2006/relationships/printerSettings" Target="../printerSettings/printerSettings602.bin"/><Relationship Id="rId41" Type="http://schemas.openxmlformats.org/officeDocument/2006/relationships/printerSettings" Target="../printerSettings/printerSettings623.bin"/><Relationship Id="rId54" Type="http://schemas.openxmlformats.org/officeDocument/2006/relationships/printerSettings" Target="../printerSettings/printerSettings636.bin"/><Relationship Id="rId1" Type="http://schemas.openxmlformats.org/officeDocument/2006/relationships/printerSettings" Target="../printerSettings/printerSettings583.bin"/><Relationship Id="rId6" Type="http://schemas.openxmlformats.org/officeDocument/2006/relationships/printerSettings" Target="../printerSettings/printerSettings588.bin"/><Relationship Id="rId15" Type="http://schemas.openxmlformats.org/officeDocument/2006/relationships/printerSettings" Target="../printerSettings/printerSettings597.bin"/><Relationship Id="rId23" Type="http://schemas.openxmlformats.org/officeDocument/2006/relationships/printerSettings" Target="../printerSettings/printerSettings605.bin"/><Relationship Id="rId28" Type="http://schemas.openxmlformats.org/officeDocument/2006/relationships/printerSettings" Target="../printerSettings/printerSettings610.bin"/><Relationship Id="rId36" Type="http://schemas.openxmlformats.org/officeDocument/2006/relationships/printerSettings" Target="../printerSettings/printerSettings618.bin"/><Relationship Id="rId49" Type="http://schemas.openxmlformats.org/officeDocument/2006/relationships/printerSettings" Target="../printerSettings/printerSettings631.bin"/><Relationship Id="rId57" Type="http://schemas.openxmlformats.org/officeDocument/2006/relationships/printerSettings" Target="../printerSettings/printerSettings639.bin"/><Relationship Id="rId10" Type="http://schemas.openxmlformats.org/officeDocument/2006/relationships/printerSettings" Target="../printerSettings/printerSettings592.bin"/><Relationship Id="rId31" Type="http://schemas.openxmlformats.org/officeDocument/2006/relationships/printerSettings" Target="../printerSettings/printerSettings613.bin"/><Relationship Id="rId44" Type="http://schemas.openxmlformats.org/officeDocument/2006/relationships/printerSettings" Target="../printerSettings/printerSettings626.bin"/><Relationship Id="rId52" Type="http://schemas.openxmlformats.org/officeDocument/2006/relationships/printerSettings" Target="../printerSettings/printerSettings6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6D679-BBB8-44F0-B28F-9E16A9FB1BA6}">
  <sheetPr codeName="Sheet1">
    <pageSetUpPr autoPageBreaks="0"/>
  </sheetPr>
  <dimension ref="B4:L117"/>
  <sheetViews>
    <sheetView showGridLines="0" topLeftCell="A49" zoomScale="110" zoomScaleNormal="110" workbookViewId="0">
      <selection activeCell="I72" sqref="I72"/>
    </sheetView>
  </sheetViews>
  <sheetFormatPr defaultRowHeight="18.75" x14ac:dyDescent="0.3"/>
  <cols>
    <col min="1" max="1" width="8.7109375" style="7" customWidth="1"/>
    <col min="2" max="2" width="17.140625" style="7" bestFit="1" customWidth="1"/>
    <col min="3" max="3" width="8.28515625" style="7" bestFit="1" customWidth="1"/>
    <col min="4" max="4" width="13.85546875" style="7" bestFit="1" customWidth="1"/>
    <col min="5" max="5" width="19.7109375" style="7" bestFit="1" customWidth="1"/>
    <col min="6" max="6" width="9.140625" style="7"/>
    <col min="7" max="7" width="20.28515625" style="7" customWidth="1"/>
    <col min="8" max="8" width="15.28515625" style="7" customWidth="1"/>
    <col min="9" max="9" width="27.140625" style="7" bestFit="1" customWidth="1"/>
    <col min="10" max="16384" width="9.140625" style="7"/>
  </cols>
  <sheetData>
    <row r="4" spans="2:12" x14ac:dyDescent="0.3">
      <c r="B4" s="9" t="s">
        <v>40</v>
      </c>
      <c r="C4" s="9" t="s">
        <v>39</v>
      </c>
      <c r="D4" s="9" t="s">
        <v>38</v>
      </c>
      <c r="E4" s="9" t="s">
        <v>42</v>
      </c>
    </row>
    <row r="5" spans="2:12" x14ac:dyDescent="0.3">
      <c r="B5" s="8" t="s">
        <v>37</v>
      </c>
      <c r="C5" s="8">
        <v>7.85</v>
      </c>
      <c r="D5" s="8" t="s">
        <v>36</v>
      </c>
      <c r="E5" s="8" t="s">
        <v>43</v>
      </c>
    </row>
    <row r="6" spans="2:12" ht="18.75" customHeight="1" x14ac:dyDescent="0.3">
      <c r="B6" s="8" t="s">
        <v>35</v>
      </c>
      <c r="C6" s="8">
        <v>3.25</v>
      </c>
      <c r="D6" s="8" t="s">
        <v>34</v>
      </c>
      <c r="E6" s="8" t="s">
        <v>44</v>
      </c>
    </row>
    <row r="7" spans="2:12" ht="21" customHeight="1" x14ac:dyDescent="0.3">
      <c r="B7" s="8" t="s">
        <v>33</v>
      </c>
      <c r="C7" s="8">
        <v>12.5</v>
      </c>
      <c r="D7" s="8" t="s">
        <v>32</v>
      </c>
      <c r="E7" s="8" t="s">
        <v>45</v>
      </c>
    </row>
    <row r="8" spans="2:12" x14ac:dyDescent="0.3">
      <c r="B8" s="8" t="s">
        <v>31</v>
      </c>
      <c r="C8" s="8">
        <v>6.35</v>
      </c>
      <c r="D8" s="8" t="s">
        <v>30</v>
      </c>
      <c r="E8" s="8" t="s">
        <v>43</v>
      </c>
      <c r="G8" s="34" t="s">
        <v>47</v>
      </c>
      <c r="H8" s="34"/>
      <c r="I8" s="32">
        <f>SUMIF(E5:E16, "Mar",C5:C16)</f>
        <v>41.8</v>
      </c>
      <c r="L8" s="10">
        <f>SUMIF(E5:E16,"Mar",C5:C16)</f>
        <v>41.8</v>
      </c>
    </row>
    <row r="9" spans="2:12" x14ac:dyDescent="0.3">
      <c r="B9" s="8" t="s">
        <v>29</v>
      </c>
      <c r="C9" s="8">
        <v>2.5</v>
      </c>
      <c r="D9" s="8" t="s">
        <v>28</v>
      </c>
      <c r="E9" s="8" t="s">
        <v>44</v>
      </c>
      <c r="G9" s="34"/>
      <c r="H9" s="34"/>
      <c r="I9" s="32"/>
    </row>
    <row r="10" spans="2:12" x14ac:dyDescent="0.3">
      <c r="B10" s="8" t="s">
        <v>27</v>
      </c>
      <c r="C10" s="8">
        <v>6.5</v>
      </c>
      <c r="D10" s="8" t="s">
        <v>26</v>
      </c>
      <c r="E10" s="8" t="s">
        <v>45</v>
      </c>
    </row>
    <row r="11" spans="2:12" x14ac:dyDescent="0.3">
      <c r="B11" s="8" t="s">
        <v>37</v>
      </c>
      <c r="C11" s="8">
        <v>8.75</v>
      </c>
      <c r="D11" s="8" t="s">
        <v>36</v>
      </c>
      <c r="E11" s="8" t="s">
        <v>43</v>
      </c>
    </row>
    <row r="12" spans="2:12" x14ac:dyDescent="0.3">
      <c r="B12" s="8" t="s">
        <v>31</v>
      </c>
      <c r="C12" s="8">
        <v>4.6500000000000004</v>
      </c>
      <c r="D12" s="8" t="s">
        <v>30</v>
      </c>
      <c r="E12" s="8" t="s">
        <v>44</v>
      </c>
    </row>
    <row r="13" spans="2:12" x14ac:dyDescent="0.3">
      <c r="B13" s="8" t="s">
        <v>37</v>
      </c>
      <c r="C13" s="8">
        <v>12.85</v>
      </c>
      <c r="D13" s="8" t="s">
        <v>36</v>
      </c>
      <c r="E13" s="8" t="s">
        <v>45</v>
      </c>
    </row>
    <row r="14" spans="2:12" ht="18.75" customHeight="1" x14ac:dyDescent="0.3">
      <c r="B14" s="8" t="s">
        <v>35</v>
      </c>
      <c r="C14" s="8">
        <v>8.25</v>
      </c>
      <c r="D14" s="8" t="s">
        <v>34</v>
      </c>
      <c r="E14" s="8" t="s">
        <v>43</v>
      </c>
    </row>
    <row r="15" spans="2:12" x14ac:dyDescent="0.3">
      <c r="B15" s="8" t="s">
        <v>33</v>
      </c>
      <c r="C15" s="8">
        <v>13.5</v>
      </c>
      <c r="D15" s="8" t="s">
        <v>32</v>
      </c>
      <c r="E15" s="8" t="s">
        <v>44</v>
      </c>
    </row>
    <row r="16" spans="2:12" x14ac:dyDescent="0.3">
      <c r="B16" s="8" t="s">
        <v>31</v>
      </c>
      <c r="C16" s="8">
        <v>9.9499999999999993</v>
      </c>
      <c r="D16" s="8" t="s">
        <v>30</v>
      </c>
      <c r="E16" s="8" t="s">
        <v>45</v>
      </c>
    </row>
    <row r="23" spans="2:12" x14ac:dyDescent="0.3">
      <c r="B23" s="9" t="s">
        <v>40</v>
      </c>
      <c r="C23" s="9" t="s">
        <v>39</v>
      </c>
      <c r="D23" s="9" t="s">
        <v>38</v>
      </c>
      <c r="E23" s="9" t="s">
        <v>42</v>
      </c>
    </row>
    <row r="24" spans="2:12" x14ac:dyDescent="0.3">
      <c r="B24" s="8" t="s">
        <v>37</v>
      </c>
      <c r="C24" s="8">
        <v>7.85</v>
      </c>
      <c r="D24" s="8" t="s">
        <v>36</v>
      </c>
      <c r="E24" s="8" t="s">
        <v>43</v>
      </c>
    </row>
    <row r="25" spans="2:12" x14ac:dyDescent="0.3">
      <c r="B25" s="8" t="s">
        <v>35</v>
      </c>
      <c r="C25" s="8">
        <v>3.25</v>
      </c>
      <c r="D25" s="8" t="s">
        <v>34</v>
      </c>
      <c r="E25" s="8" t="s">
        <v>44</v>
      </c>
    </row>
    <row r="26" spans="2:12" x14ac:dyDescent="0.3">
      <c r="B26" s="8" t="s">
        <v>33</v>
      </c>
      <c r="C26" s="8">
        <v>12.5</v>
      </c>
      <c r="D26" s="8" t="s">
        <v>32</v>
      </c>
      <c r="E26" s="8" t="s">
        <v>45</v>
      </c>
    </row>
    <row r="27" spans="2:12" x14ac:dyDescent="0.3">
      <c r="B27" s="8" t="s">
        <v>31</v>
      </c>
      <c r="C27" s="8">
        <v>6.35</v>
      </c>
      <c r="D27" s="8" t="s">
        <v>30</v>
      </c>
      <c r="E27" s="8" t="s">
        <v>43</v>
      </c>
      <c r="G27" s="34" t="s">
        <v>46</v>
      </c>
      <c r="H27" s="34"/>
      <c r="I27" s="32">
        <f>SUMIF(D24:D35,"Amazon",C24:C35)</f>
        <v>29.450000000000003</v>
      </c>
      <c r="L27" s="10">
        <f>SUMIF(D24:D35,"Amazon",C24:C35)</f>
        <v>29.450000000000003</v>
      </c>
    </row>
    <row r="28" spans="2:12" x14ac:dyDescent="0.3">
      <c r="B28" s="8" t="s">
        <v>29</v>
      </c>
      <c r="C28" s="8">
        <v>2.5</v>
      </c>
      <c r="D28" s="8" t="s">
        <v>28</v>
      </c>
      <c r="E28" s="8" t="s">
        <v>44</v>
      </c>
      <c r="G28" s="34"/>
      <c r="H28" s="34"/>
      <c r="I28" s="32"/>
    </row>
    <row r="29" spans="2:12" x14ac:dyDescent="0.3">
      <c r="B29" s="8" t="s">
        <v>27</v>
      </c>
      <c r="C29" s="8">
        <v>6.5</v>
      </c>
      <c r="D29" s="8" t="s">
        <v>26</v>
      </c>
      <c r="E29" s="8" t="s">
        <v>45</v>
      </c>
    </row>
    <row r="30" spans="2:12" x14ac:dyDescent="0.3">
      <c r="B30" s="8" t="s">
        <v>37</v>
      </c>
      <c r="C30" s="8">
        <v>8.75</v>
      </c>
      <c r="D30" s="8" t="s">
        <v>36</v>
      </c>
      <c r="E30" s="8" t="s">
        <v>43</v>
      </c>
    </row>
    <row r="31" spans="2:12" x14ac:dyDescent="0.3">
      <c r="B31" s="8" t="s">
        <v>31</v>
      </c>
      <c r="C31" s="8">
        <v>4.6500000000000004</v>
      </c>
      <c r="D31" s="8" t="s">
        <v>30</v>
      </c>
      <c r="E31" s="8" t="s">
        <v>44</v>
      </c>
    </row>
    <row r="32" spans="2:12" x14ac:dyDescent="0.3">
      <c r="B32" s="8" t="s">
        <v>37</v>
      </c>
      <c r="C32" s="8">
        <v>12.85</v>
      </c>
      <c r="D32" s="8" t="s">
        <v>36</v>
      </c>
      <c r="E32" s="8" t="s">
        <v>45</v>
      </c>
    </row>
    <row r="33" spans="2:12" x14ac:dyDescent="0.3">
      <c r="B33" s="8" t="s">
        <v>35</v>
      </c>
      <c r="C33" s="8">
        <v>8.25</v>
      </c>
      <c r="D33" s="8" t="s">
        <v>34</v>
      </c>
      <c r="E33" s="8" t="s">
        <v>43</v>
      </c>
    </row>
    <row r="34" spans="2:12" x14ac:dyDescent="0.3">
      <c r="B34" s="8" t="s">
        <v>33</v>
      </c>
      <c r="C34" s="8">
        <v>13.5</v>
      </c>
      <c r="D34" s="8" t="s">
        <v>32</v>
      </c>
      <c r="E34" s="8" t="s">
        <v>44</v>
      </c>
    </row>
    <row r="35" spans="2:12" x14ac:dyDescent="0.3">
      <c r="B35" s="8" t="s">
        <v>31</v>
      </c>
      <c r="C35" s="8">
        <v>9.9499999999999993</v>
      </c>
      <c r="D35" s="8" t="s">
        <v>30</v>
      </c>
      <c r="E35" s="8" t="s">
        <v>45</v>
      </c>
    </row>
    <row r="44" spans="2:12" x14ac:dyDescent="0.3">
      <c r="B44" s="9" t="s">
        <v>40</v>
      </c>
      <c r="C44" s="9" t="s">
        <v>39</v>
      </c>
      <c r="D44" s="9" t="s">
        <v>38</v>
      </c>
      <c r="E44" s="9" t="s">
        <v>42</v>
      </c>
    </row>
    <row r="45" spans="2:12" x14ac:dyDescent="0.3">
      <c r="B45" s="8" t="s">
        <v>37</v>
      </c>
      <c r="C45" s="8">
        <v>7.85</v>
      </c>
      <c r="D45" s="8" t="s">
        <v>36</v>
      </c>
      <c r="E45" s="8" t="s">
        <v>43</v>
      </c>
    </row>
    <row r="46" spans="2:12" x14ac:dyDescent="0.3">
      <c r="B46" s="8" t="s">
        <v>35</v>
      </c>
      <c r="C46" s="8"/>
      <c r="D46" s="8" t="s">
        <v>34</v>
      </c>
      <c r="E46" s="8" t="s">
        <v>44</v>
      </c>
    </row>
    <row r="47" spans="2:12" x14ac:dyDescent="0.3">
      <c r="B47" s="8" t="s">
        <v>33</v>
      </c>
      <c r="C47" s="8">
        <v>12.5</v>
      </c>
      <c r="D47" s="8" t="s">
        <v>32</v>
      </c>
      <c r="E47" s="8" t="s">
        <v>45</v>
      </c>
      <c r="H47" s="11" t="s">
        <v>48</v>
      </c>
      <c r="I47" s="11" t="s">
        <v>33</v>
      </c>
    </row>
    <row r="48" spans="2:12" x14ac:dyDescent="0.3">
      <c r="B48" s="8" t="s">
        <v>31</v>
      </c>
      <c r="C48" s="8">
        <v>6.35</v>
      </c>
      <c r="D48" s="8" t="s">
        <v>30</v>
      </c>
      <c r="E48" s="8" t="s">
        <v>43</v>
      </c>
      <c r="G48" s="34" t="s">
        <v>49</v>
      </c>
      <c r="H48" s="34"/>
      <c r="I48" s="32">
        <f>SUMIF(B45:B56,"Kiwi",C45:C56)</f>
        <v>26</v>
      </c>
      <c r="L48" s="10">
        <f>SUMIF(B45:B56,I47,C45:C56)</f>
        <v>26</v>
      </c>
    </row>
    <row r="49" spans="2:9" x14ac:dyDescent="0.3">
      <c r="B49" s="8" t="s">
        <v>29</v>
      </c>
      <c r="C49" s="8">
        <v>2.5</v>
      </c>
      <c r="D49" s="8" t="s">
        <v>28</v>
      </c>
      <c r="E49" s="8" t="s">
        <v>44</v>
      </c>
      <c r="G49" s="34"/>
      <c r="H49" s="34"/>
      <c r="I49" s="32"/>
    </row>
    <row r="50" spans="2:9" x14ac:dyDescent="0.3">
      <c r="B50" s="8" t="s">
        <v>27</v>
      </c>
      <c r="C50" s="8">
        <v>6.5</v>
      </c>
      <c r="D50" s="8" t="s">
        <v>26</v>
      </c>
      <c r="E50" s="8" t="s">
        <v>45</v>
      </c>
    </row>
    <row r="51" spans="2:9" x14ac:dyDescent="0.3">
      <c r="B51" s="8" t="s">
        <v>37</v>
      </c>
      <c r="C51" s="8">
        <v>8.75</v>
      </c>
      <c r="D51" s="8" t="s">
        <v>36</v>
      </c>
      <c r="E51" s="8" t="s">
        <v>43</v>
      </c>
    </row>
    <row r="52" spans="2:9" x14ac:dyDescent="0.3">
      <c r="B52" s="8" t="s">
        <v>31</v>
      </c>
      <c r="C52" s="8">
        <v>4.6500000000000004</v>
      </c>
      <c r="D52" s="8" t="s">
        <v>30</v>
      </c>
      <c r="E52" s="8" t="s">
        <v>44</v>
      </c>
    </row>
    <row r="53" spans="2:9" x14ac:dyDescent="0.3">
      <c r="B53" s="8" t="s">
        <v>37</v>
      </c>
      <c r="C53" s="8">
        <v>12.85</v>
      </c>
      <c r="D53" s="8" t="s">
        <v>36</v>
      </c>
      <c r="E53" s="8" t="s">
        <v>45</v>
      </c>
    </row>
    <row r="54" spans="2:9" x14ac:dyDescent="0.3">
      <c r="B54" s="8" t="s">
        <v>35</v>
      </c>
      <c r="C54" s="8">
        <v>8.25</v>
      </c>
      <c r="D54" s="8" t="s">
        <v>34</v>
      </c>
      <c r="E54" s="8" t="s">
        <v>43</v>
      </c>
    </row>
    <row r="55" spans="2:9" x14ac:dyDescent="0.3">
      <c r="B55" s="8" t="s">
        <v>33</v>
      </c>
      <c r="C55" s="8">
        <v>13.5</v>
      </c>
      <c r="D55" s="8" t="s">
        <v>32</v>
      </c>
      <c r="E55" s="8" t="s">
        <v>44</v>
      </c>
    </row>
    <row r="56" spans="2:9" x14ac:dyDescent="0.3">
      <c r="B56" s="8" t="s">
        <v>31</v>
      </c>
      <c r="C56" s="8">
        <v>9.9499999999999993</v>
      </c>
      <c r="D56" s="8" t="s">
        <v>30</v>
      </c>
      <c r="E56" s="8" t="s">
        <v>45</v>
      </c>
    </row>
    <row r="64" spans="2:9" x14ac:dyDescent="0.3">
      <c r="B64" s="9" t="s">
        <v>40</v>
      </c>
      <c r="C64" s="9" t="s">
        <v>39</v>
      </c>
      <c r="D64" s="9" t="s">
        <v>38</v>
      </c>
      <c r="E64" s="9" t="s">
        <v>42</v>
      </c>
    </row>
    <row r="65" spans="2:12" x14ac:dyDescent="0.3">
      <c r="B65" s="8" t="s">
        <v>37</v>
      </c>
      <c r="C65" s="8">
        <v>7.85</v>
      </c>
      <c r="D65" s="8" t="s">
        <v>36</v>
      </c>
      <c r="E65" s="8" t="s">
        <v>43</v>
      </c>
    </row>
    <row r="66" spans="2:12" x14ac:dyDescent="0.3">
      <c r="B66" s="8" t="s">
        <v>35</v>
      </c>
      <c r="C66" s="8">
        <v>3.25</v>
      </c>
      <c r="D66" s="8" t="s">
        <v>34</v>
      </c>
      <c r="E66" s="8" t="s">
        <v>44</v>
      </c>
    </row>
    <row r="67" spans="2:12" x14ac:dyDescent="0.3">
      <c r="B67" s="8" t="s">
        <v>33</v>
      </c>
      <c r="C67" s="8">
        <v>12.5</v>
      </c>
      <c r="D67" s="8" t="s">
        <v>32</v>
      </c>
      <c r="E67" s="8" t="s">
        <v>56</v>
      </c>
      <c r="H67" s="11"/>
      <c r="I67" s="11"/>
    </row>
    <row r="68" spans="2:12" x14ac:dyDescent="0.3">
      <c r="B68" s="8" t="s">
        <v>31</v>
      </c>
      <c r="C68" s="8">
        <v>6.35</v>
      </c>
      <c r="D68" s="8" t="s">
        <v>30</v>
      </c>
      <c r="E68" s="8" t="s">
        <v>43</v>
      </c>
      <c r="G68" s="31" t="s">
        <v>52</v>
      </c>
      <c r="H68" s="31"/>
      <c r="I68" s="32">
        <f>SUMIF(B65:B76,"Apple",C65:C76)+SUMIF(B65:B76,"Pineapple",C65:C76)</f>
        <v>40.450000000000003</v>
      </c>
      <c r="L68" s="10">
        <f>SUMIF(B65:B76,"*apple*",C65:C76)</f>
        <v>40.450000000000003</v>
      </c>
    </row>
    <row r="69" spans="2:12" x14ac:dyDescent="0.3">
      <c r="B69" s="8" t="s">
        <v>29</v>
      </c>
      <c r="C69" s="8">
        <v>2.5</v>
      </c>
      <c r="D69" s="8" t="s">
        <v>28</v>
      </c>
      <c r="E69" s="8" t="s">
        <v>55</v>
      </c>
      <c r="G69" s="31"/>
      <c r="H69" s="31"/>
      <c r="I69" s="32"/>
    </row>
    <row r="70" spans="2:12" x14ac:dyDescent="0.3">
      <c r="B70" s="8" t="s">
        <v>27</v>
      </c>
      <c r="C70" s="8">
        <v>6.5</v>
      </c>
      <c r="D70" s="8" t="s">
        <v>26</v>
      </c>
      <c r="E70" s="8" t="s">
        <v>45</v>
      </c>
      <c r="I70" s="7">
        <f>SUMIF(B65:B76,"*apple*",C65:C76)</f>
        <v>40.450000000000003</v>
      </c>
    </row>
    <row r="71" spans="2:12" ht="18.75" customHeight="1" x14ac:dyDescent="0.3">
      <c r="B71" s="8" t="s">
        <v>37</v>
      </c>
      <c r="C71" s="8">
        <v>8.75</v>
      </c>
      <c r="D71" s="8" t="s">
        <v>36</v>
      </c>
      <c r="E71" s="8" t="s">
        <v>43</v>
      </c>
      <c r="I71" s="7" cm="1">
        <f t="array" ref="I71">SUM(SUMIF(B65:B76,{"Apple","Pineapple"},C65:C76))</f>
        <v>40.450000000000003</v>
      </c>
    </row>
    <row r="72" spans="2:12" x14ac:dyDescent="0.3">
      <c r="B72" s="8" t="s">
        <v>31</v>
      </c>
      <c r="C72" s="8">
        <v>4.6500000000000004</v>
      </c>
      <c r="D72" s="8" t="s">
        <v>30</v>
      </c>
      <c r="E72" s="8" t="s">
        <v>44</v>
      </c>
    </row>
    <row r="73" spans="2:12" x14ac:dyDescent="0.3">
      <c r="B73" s="8" t="s">
        <v>37</v>
      </c>
      <c r="C73" s="8">
        <v>12.85</v>
      </c>
      <c r="D73" s="8" t="s">
        <v>36</v>
      </c>
      <c r="E73" s="8" t="s">
        <v>53</v>
      </c>
    </row>
    <row r="74" spans="2:12" ht="18.75" customHeight="1" x14ac:dyDescent="0.3">
      <c r="B74" s="8" t="s">
        <v>50</v>
      </c>
      <c r="C74" s="8">
        <v>8.25</v>
      </c>
      <c r="D74" s="8" t="s">
        <v>34</v>
      </c>
      <c r="E74" s="8" t="s">
        <v>43</v>
      </c>
    </row>
    <row r="75" spans="2:12" x14ac:dyDescent="0.3">
      <c r="B75" s="8" t="s">
        <v>33</v>
      </c>
      <c r="C75" s="8">
        <v>13.5</v>
      </c>
      <c r="D75" s="8" t="s">
        <v>32</v>
      </c>
      <c r="E75" s="8" t="s">
        <v>44</v>
      </c>
    </row>
    <row r="76" spans="2:12" x14ac:dyDescent="0.3">
      <c r="B76" s="8" t="s">
        <v>51</v>
      </c>
      <c r="C76" s="8">
        <v>9.9499999999999993</v>
      </c>
      <c r="D76" s="8" t="s">
        <v>30</v>
      </c>
      <c r="E76" s="8" t="s">
        <v>54</v>
      </c>
    </row>
    <row r="84" spans="2:12" x14ac:dyDescent="0.3">
      <c r="B84" s="9" t="s">
        <v>40</v>
      </c>
      <c r="C84" s="9" t="s">
        <v>39</v>
      </c>
      <c r="D84" s="9" t="s">
        <v>38</v>
      </c>
      <c r="E84" s="9" t="s">
        <v>42</v>
      </c>
    </row>
    <row r="85" spans="2:12" x14ac:dyDescent="0.3">
      <c r="B85" s="8" t="s">
        <v>37</v>
      </c>
      <c r="C85" s="8">
        <v>7.85</v>
      </c>
      <c r="D85" s="8" t="s">
        <v>36</v>
      </c>
      <c r="E85" s="8" t="s">
        <v>43</v>
      </c>
    </row>
    <row r="86" spans="2:12" x14ac:dyDescent="0.3">
      <c r="B86" s="8" t="s">
        <v>35</v>
      </c>
      <c r="C86" s="8">
        <v>3.25</v>
      </c>
      <c r="D86" s="8" t="s">
        <v>34</v>
      </c>
      <c r="E86" s="8" t="s">
        <v>44</v>
      </c>
    </row>
    <row r="87" spans="2:12" x14ac:dyDescent="0.3">
      <c r="B87" s="8" t="s">
        <v>33</v>
      </c>
      <c r="C87" s="8">
        <v>12.5</v>
      </c>
      <c r="D87" s="8" t="s">
        <v>32</v>
      </c>
      <c r="E87" s="8" t="s">
        <v>56</v>
      </c>
      <c r="H87" s="11"/>
      <c r="I87" s="11"/>
    </row>
    <row r="88" spans="2:12" x14ac:dyDescent="0.3">
      <c r="B88" s="8" t="s">
        <v>31</v>
      </c>
      <c r="C88" s="8">
        <v>6.35</v>
      </c>
      <c r="D88" s="8" t="s">
        <v>30</v>
      </c>
      <c r="E88" s="8" t="s">
        <v>43</v>
      </c>
    </row>
    <row r="89" spans="2:12" x14ac:dyDescent="0.3">
      <c r="B89" s="8" t="s">
        <v>29</v>
      </c>
      <c r="C89" s="8">
        <v>2.5</v>
      </c>
      <c r="D89" s="8" t="s">
        <v>28</v>
      </c>
      <c r="E89" s="8" t="s">
        <v>55</v>
      </c>
      <c r="G89" s="31" t="s">
        <v>57</v>
      </c>
      <c r="H89" s="31"/>
      <c r="I89" s="32">
        <f>SUMIF(D85:D96,"*o*",C85:C96)</f>
        <v>38.450000000000003</v>
      </c>
      <c r="L89" s="10">
        <f>SUMIF(D85:D96,"*O*",C85:C96)</f>
        <v>38.450000000000003</v>
      </c>
    </row>
    <row r="90" spans="2:12" x14ac:dyDescent="0.3">
      <c r="B90" s="8" t="s">
        <v>27</v>
      </c>
      <c r="C90" s="8">
        <v>6.5</v>
      </c>
      <c r="D90" s="8" t="s">
        <v>26</v>
      </c>
      <c r="E90" s="8" t="s">
        <v>45</v>
      </c>
      <c r="G90" s="31"/>
      <c r="H90" s="31"/>
      <c r="I90" s="32"/>
    </row>
    <row r="91" spans="2:12" x14ac:dyDescent="0.3">
      <c r="B91" s="8" t="s">
        <v>37</v>
      </c>
      <c r="C91" s="8">
        <v>8.75</v>
      </c>
      <c r="D91" s="8" t="s">
        <v>36</v>
      </c>
      <c r="E91" s="8" t="s">
        <v>43</v>
      </c>
    </row>
    <row r="92" spans="2:12" x14ac:dyDescent="0.3">
      <c r="B92" s="8" t="s">
        <v>31</v>
      </c>
      <c r="C92" s="8">
        <v>4.6500000000000004</v>
      </c>
      <c r="D92" s="8" t="s">
        <v>30</v>
      </c>
      <c r="E92" s="8" t="s">
        <v>44</v>
      </c>
    </row>
    <row r="93" spans="2:12" x14ac:dyDescent="0.3">
      <c r="B93" s="8" t="s">
        <v>37</v>
      </c>
      <c r="C93" s="8">
        <v>12.85</v>
      </c>
      <c r="D93" s="8" t="s">
        <v>36</v>
      </c>
      <c r="E93" s="8" t="s">
        <v>53</v>
      </c>
    </row>
    <row r="94" spans="2:12" x14ac:dyDescent="0.3">
      <c r="B94" s="8" t="s">
        <v>50</v>
      </c>
      <c r="C94" s="8">
        <v>8.25</v>
      </c>
      <c r="D94" s="8" t="s">
        <v>34</v>
      </c>
      <c r="E94" s="8" t="s">
        <v>43</v>
      </c>
    </row>
    <row r="95" spans="2:12" x14ac:dyDescent="0.3">
      <c r="B95" s="8" t="s">
        <v>33</v>
      </c>
      <c r="C95" s="8">
        <v>13.5</v>
      </c>
      <c r="D95" s="8" t="s">
        <v>32</v>
      </c>
      <c r="E95" s="8" t="s">
        <v>44</v>
      </c>
    </row>
    <row r="96" spans="2:12" x14ac:dyDescent="0.3">
      <c r="B96" s="8" t="s">
        <v>51</v>
      </c>
      <c r="C96" s="8">
        <v>9.9499999999999993</v>
      </c>
      <c r="D96" s="8" t="s">
        <v>30</v>
      </c>
      <c r="E96" s="8" t="s">
        <v>54</v>
      </c>
    </row>
    <row r="105" spans="2:12" x14ac:dyDescent="0.3">
      <c r="B105" s="9" t="s">
        <v>40</v>
      </c>
      <c r="C105" s="9" t="s">
        <v>39</v>
      </c>
      <c r="D105" s="9" t="s">
        <v>38</v>
      </c>
      <c r="E105" s="9" t="s">
        <v>42</v>
      </c>
    </row>
    <row r="106" spans="2:12" x14ac:dyDescent="0.3">
      <c r="B106" s="8" t="s">
        <v>37</v>
      </c>
      <c r="C106" s="8">
        <v>7.85</v>
      </c>
      <c r="D106" s="8" t="s">
        <v>36</v>
      </c>
      <c r="E106" s="8" t="s">
        <v>43</v>
      </c>
    </row>
    <row r="107" spans="2:12" x14ac:dyDescent="0.3">
      <c r="B107" s="8" t="s">
        <v>35</v>
      </c>
      <c r="C107" s="8">
        <v>3.25</v>
      </c>
      <c r="D107" s="8" t="s">
        <v>34</v>
      </c>
      <c r="E107" s="8" t="s">
        <v>44</v>
      </c>
    </row>
    <row r="108" spans="2:12" x14ac:dyDescent="0.3">
      <c r="B108" s="8" t="s">
        <v>33</v>
      </c>
      <c r="C108" s="8">
        <v>12.5</v>
      </c>
      <c r="D108" s="8" t="s">
        <v>32</v>
      </c>
      <c r="E108" s="8" t="s">
        <v>56</v>
      </c>
      <c r="H108" s="11"/>
      <c r="I108" s="11"/>
    </row>
    <row r="109" spans="2:12" x14ac:dyDescent="0.3">
      <c r="B109" s="8" t="s">
        <v>31</v>
      </c>
      <c r="C109" s="8">
        <v>6.35</v>
      </c>
      <c r="D109" s="8" t="s">
        <v>30</v>
      </c>
      <c r="E109" s="8" t="s">
        <v>43</v>
      </c>
    </row>
    <row r="110" spans="2:12" x14ac:dyDescent="0.3">
      <c r="B110" s="8" t="s">
        <v>29</v>
      </c>
      <c r="C110" s="8">
        <v>2.5</v>
      </c>
      <c r="D110" s="8" t="s">
        <v>28</v>
      </c>
      <c r="E110" s="8" t="s">
        <v>55</v>
      </c>
      <c r="G110" s="31" t="s">
        <v>58</v>
      </c>
      <c r="H110" s="31"/>
      <c r="I110" s="32">
        <f>SUMIF(E106:E117,"j*",C106:C117)</f>
        <v>54</v>
      </c>
      <c r="L110" s="10">
        <f>SUMIF(E106:E117,"J*",C106:C117)</f>
        <v>54</v>
      </c>
    </row>
    <row r="111" spans="2:12" x14ac:dyDescent="0.3">
      <c r="B111" s="8" t="s">
        <v>27</v>
      </c>
      <c r="C111" s="8">
        <v>6.5</v>
      </c>
      <c r="D111" s="8" t="s">
        <v>26</v>
      </c>
      <c r="E111" s="8" t="s">
        <v>45</v>
      </c>
      <c r="G111" s="31"/>
      <c r="H111" s="31"/>
      <c r="I111" s="32"/>
    </row>
    <row r="112" spans="2:12" x14ac:dyDescent="0.3">
      <c r="B112" s="8" t="s">
        <v>37</v>
      </c>
      <c r="C112" s="8">
        <v>8.75</v>
      </c>
      <c r="D112" s="8" t="s">
        <v>36</v>
      </c>
      <c r="E112" s="8" t="s">
        <v>43</v>
      </c>
    </row>
    <row r="113" spans="2:5" x14ac:dyDescent="0.3">
      <c r="B113" s="8" t="s">
        <v>31</v>
      </c>
      <c r="C113" s="8">
        <v>4.6500000000000004</v>
      </c>
      <c r="D113" s="8" t="s">
        <v>30</v>
      </c>
      <c r="E113" s="8" t="s">
        <v>44</v>
      </c>
    </row>
    <row r="114" spans="2:5" x14ac:dyDescent="0.3">
      <c r="B114" s="8" t="s">
        <v>37</v>
      </c>
      <c r="C114" s="8">
        <v>12.85</v>
      </c>
      <c r="D114" s="8" t="s">
        <v>36</v>
      </c>
      <c r="E114" s="8" t="s">
        <v>53</v>
      </c>
    </row>
    <row r="115" spans="2:5" x14ac:dyDescent="0.3">
      <c r="B115" s="8" t="s">
        <v>50</v>
      </c>
      <c r="C115" s="8">
        <v>8.25</v>
      </c>
      <c r="D115" s="8" t="s">
        <v>34</v>
      </c>
      <c r="E115" s="8" t="s">
        <v>43</v>
      </c>
    </row>
    <row r="116" spans="2:5" x14ac:dyDescent="0.3">
      <c r="B116" s="8" t="s">
        <v>33</v>
      </c>
      <c r="C116" s="8">
        <v>13.5</v>
      </c>
      <c r="D116" s="8" t="s">
        <v>32</v>
      </c>
      <c r="E116" s="8" t="s">
        <v>44</v>
      </c>
    </row>
    <row r="117" spans="2:5" x14ac:dyDescent="0.3">
      <c r="B117" s="8" t="s">
        <v>51</v>
      </c>
      <c r="C117" s="8">
        <v>9.9499999999999993</v>
      </c>
      <c r="D117" s="8" t="s">
        <v>30</v>
      </c>
      <c r="E117" s="8" t="s">
        <v>54</v>
      </c>
    </row>
  </sheetData>
  <customSheetViews>
    <customSheetView guid="{576A445C-3D9A-438D-AC68-B679E3D65634}" scale="120" showGridLines="0" topLeftCell="A73">
      <selection activeCell="H78" sqref="H78:I79"/>
      <pageMargins left="0.7" right="0.7" top="0.75" bottom="0.75" header="0.3" footer="0.3"/>
      <pageSetup orientation="portrait" r:id="rId1"/>
    </customSheetView>
    <customSheetView guid="{C1FEC2CE-0AE0-4F12-8438-BD3D230D3830}" scale="120" showGridLines="0" topLeftCell="A73">
      <selection activeCell="H78" sqref="H78:I79"/>
      <pageMargins left="0.7" right="0.7" top="0.75" bottom="0.75" header="0.3" footer="0.3"/>
      <pageSetup orientation="portrait" r:id="rId2"/>
    </customSheetView>
    <customSheetView guid="{A3C7F73E-8288-4122-801A-9A426BB0DFB8}" scale="120" showGridLines="0" topLeftCell="A73">
      <selection activeCell="H78" sqref="H78:I79"/>
      <pageMargins left="0.7" right="0.7" top="0.75" bottom="0.75" header="0.3" footer="0.3"/>
      <pageSetup orientation="portrait" r:id="rId3"/>
    </customSheetView>
    <customSheetView guid="{F102CDDA-1DB7-4BD5-8A8F-CD5640485596}" scale="120" showGridLines="0" topLeftCell="A73">
      <selection activeCell="H78" sqref="H78:I79"/>
      <pageMargins left="0.7" right="0.7" top="0.75" bottom="0.75" header="0.3" footer="0.3"/>
      <pageSetup orientation="portrait" r:id="rId4"/>
    </customSheetView>
    <customSheetView guid="{E18774DE-EF27-4708-91D7-FE2A7EE4C992}" scale="120" showGridLines="0" topLeftCell="A73">
      <selection activeCell="H78" sqref="H78:I79"/>
      <pageMargins left="0.7" right="0.7" top="0.75" bottom="0.75" header="0.3" footer="0.3"/>
      <pageSetup orientation="portrait" r:id="rId5"/>
    </customSheetView>
    <customSheetView guid="{E3977DAC-58A9-43A5-A2CD-037AE84A3934}" scale="120" showGridLines="0" topLeftCell="A73">
      <selection activeCell="H78" sqref="H78:I79"/>
      <pageMargins left="0.7" right="0.7" top="0.75" bottom="0.75" header="0.3" footer="0.3"/>
      <pageSetup orientation="portrait" r:id="rId6"/>
    </customSheetView>
    <customSheetView guid="{0BFB30CE-F6D9-44B3-99BA-62858BF46600}" scale="120" showGridLines="0" topLeftCell="A73">
      <selection activeCell="H78" sqref="H78:I79"/>
      <pageMargins left="0.7" right="0.7" top="0.75" bottom="0.75" header="0.3" footer="0.3"/>
      <pageSetup orientation="portrait" r:id="rId7"/>
    </customSheetView>
    <customSheetView guid="{EF2006E2-DE9B-4938-AD6F-8255BE7D529F}" scale="120" showGridLines="0" topLeftCell="A73">
      <selection activeCell="H78" sqref="H78:I79"/>
      <pageMargins left="0.7" right="0.7" top="0.75" bottom="0.75" header="0.3" footer="0.3"/>
      <pageSetup orientation="portrait" r:id="rId8"/>
    </customSheetView>
    <customSheetView guid="{5B4753E1-B7DC-40C2-A28F-B07A6CB075FE}" scale="120" showGridLines="0" topLeftCell="A73">
      <selection activeCell="H78" sqref="H78:I79"/>
      <pageMargins left="0.7" right="0.7" top="0.75" bottom="0.75" header="0.3" footer="0.3"/>
      <pageSetup orientation="portrait" r:id="rId9"/>
    </customSheetView>
    <customSheetView guid="{672B3D91-11D6-418C-A856-9FF74CE5E6FB}" scale="120" showGridLines="0" topLeftCell="A73">
      <selection activeCell="H78" sqref="H78:I79"/>
      <pageMargins left="0.7" right="0.7" top="0.75" bottom="0.75" header="0.3" footer="0.3"/>
      <pageSetup orientation="portrait" r:id="rId10"/>
    </customSheetView>
    <customSheetView guid="{E712F22D-DF79-4936-B86B-186E637372BF}" scale="120" showGridLines="0" topLeftCell="A73">
      <selection activeCell="H78" sqref="H78:I79"/>
      <pageMargins left="0.7" right="0.7" top="0.75" bottom="0.75" header="0.3" footer="0.3"/>
      <pageSetup orientation="portrait" r:id="rId11"/>
    </customSheetView>
    <customSheetView guid="{F716839F-5448-40FC-95BC-286199FD6764}" scale="120" showGridLines="0" topLeftCell="A73">
      <selection activeCell="H78" sqref="H78:I79"/>
      <pageMargins left="0.7" right="0.7" top="0.75" bottom="0.75" header="0.3" footer="0.3"/>
      <pageSetup orientation="portrait" r:id="rId12"/>
    </customSheetView>
    <customSheetView guid="{8EBF087E-11C5-42EE-B564-FAEE72C86C17}" scale="120" showGridLines="0" topLeftCell="A105">
      <selection activeCell="B91" sqref="B91"/>
      <pageMargins left="0.7" right="0.7" top="0.75" bottom="0.75" header="0.3" footer="0.3"/>
      <pageSetup orientation="portrait" r:id="rId13"/>
    </customSheetView>
    <customSheetView guid="{6B1EB7F4-EF59-450E-A531-475C3A6E6150}" scale="120" showGridLines="0" topLeftCell="A89">
      <selection activeCell="H83" sqref="H83"/>
      <pageMargins left="0.7" right="0.7" top="0.75" bottom="0.75" header="0.3" footer="0.3"/>
      <pageSetup orientation="portrait" r:id="rId14"/>
    </customSheetView>
    <customSheetView guid="{8F332A92-7271-4FEC-B085-C15AA232FE21}" scale="120" showGridLines="0" topLeftCell="A73">
      <selection activeCell="B74" sqref="B74"/>
      <pageMargins left="0.7" right="0.7" top="0.75" bottom="0.75" header="0.3" footer="0.3"/>
      <pageSetup orientation="portrait" r:id="rId15"/>
    </customSheetView>
    <customSheetView guid="{F2A17A28-A3DF-492D-BAE9-AAEF2A13397B}" scale="120" showGridLines="0" topLeftCell="A36">
      <selection activeCell="C38" sqref="C38"/>
      <pageMargins left="0.7" right="0.7" top="0.75" bottom="0.75" header="0.3" footer="0.3"/>
      <pageSetup orientation="portrait" r:id="rId16"/>
    </customSheetView>
    <customSheetView guid="{4F11E31F-E14C-416D-BB97-C8CE74658FBE}" scale="120" showGridLines="0" topLeftCell="A19">
      <selection activeCell="I21" sqref="I21"/>
      <pageMargins left="0.7" right="0.7" top="0.75" bottom="0.75" header="0.3" footer="0.3"/>
      <pageSetup orientation="portrait" r:id="rId17"/>
    </customSheetView>
    <customSheetView guid="{C090DFAD-A23A-4678-87F2-095D84EBDDE8}" scale="120" showGridLines="0" topLeftCell="A3">
      <selection activeCell="A2" sqref="A2"/>
      <pageMargins left="0.7" right="0.7" top="0.75" bottom="0.75" header="0.3" footer="0.3"/>
      <pageSetup orientation="portrait" r:id="rId18"/>
    </customSheetView>
    <customSheetView guid="{A5292A6B-6F92-4AB3-B051-EF87F39FC489}" scale="120" showGridLines="0" topLeftCell="A73">
      <selection activeCell="H78" sqref="H78:I79"/>
      <pageMargins left="0.7" right="0.7" top="0.75" bottom="0.75" header="0.3" footer="0.3"/>
      <pageSetup orientation="portrait" r:id="rId19"/>
    </customSheetView>
    <customSheetView guid="{6194C141-D0A1-4D58-BA55-90A184525AC3}" scale="120" showGridLines="0" topLeftCell="A73">
      <selection activeCell="H78" sqref="H78:I79"/>
      <pageMargins left="0.7" right="0.7" top="0.75" bottom="0.75" header="0.3" footer="0.3"/>
      <pageSetup orientation="portrait" r:id="rId20"/>
    </customSheetView>
    <customSheetView guid="{7A7FC9A5-F2B5-4894-82BC-4528575F10D4}" scale="120" showGridLines="0" topLeftCell="A73">
      <selection activeCell="H78" sqref="H78:I79"/>
      <pageMargins left="0.7" right="0.7" top="0.75" bottom="0.75" header="0.3" footer="0.3"/>
      <pageSetup orientation="portrait" r:id="rId21"/>
    </customSheetView>
    <customSheetView guid="{EBA5E9C4-A2DB-4DF0-BF75-1243E968318E}" scale="120" showGridLines="0" topLeftCell="A73">
      <selection activeCell="H78" sqref="H78:I79"/>
      <pageMargins left="0.7" right="0.7" top="0.75" bottom="0.75" header="0.3" footer="0.3"/>
      <pageSetup orientation="portrait" r:id="rId22"/>
    </customSheetView>
    <customSheetView guid="{C7330417-67A9-44CF-917F-5F5E2F191AD4}" scale="120" showGridLines="0" topLeftCell="A73">
      <selection activeCell="H78" sqref="H78:I79"/>
      <pageMargins left="0.7" right="0.7" top="0.75" bottom="0.75" header="0.3" footer="0.3"/>
      <pageSetup orientation="portrait" r:id="rId23"/>
    </customSheetView>
    <customSheetView guid="{47C01131-7443-4080-A2BB-6B6AA35C6913}" scale="120" showGridLines="0" topLeftCell="A73">
      <selection activeCell="H78" sqref="H78:I79"/>
      <pageMargins left="0.7" right="0.7" top="0.75" bottom="0.75" header="0.3" footer="0.3"/>
      <pageSetup orientation="portrait" r:id="rId24"/>
    </customSheetView>
    <customSheetView guid="{19DA6E7F-8950-4769-9BBE-2798EFA465A3}" scale="120" showGridLines="0" topLeftCell="A73">
      <selection activeCell="H78" sqref="H78:I79"/>
      <pageMargins left="0.7" right="0.7" top="0.75" bottom="0.75" header="0.3" footer="0.3"/>
      <pageSetup orientation="portrait" r:id="rId25"/>
    </customSheetView>
    <customSheetView guid="{F3CB97AD-592C-4B6E-8AE3-1CD47479060C}" scale="120" showGridLines="0" topLeftCell="A73">
      <selection activeCell="H78" sqref="H78:I79"/>
      <pageMargins left="0.7" right="0.7" top="0.75" bottom="0.75" header="0.3" footer="0.3"/>
      <pageSetup orientation="portrait" r:id="rId26"/>
    </customSheetView>
    <customSheetView guid="{422703F6-63C4-435C-AFE7-1030286678F6}" scale="120" showGridLines="0" topLeftCell="A73">
      <selection activeCell="H78" sqref="H78:I79"/>
      <pageMargins left="0.7" right="0.7" top="0.75" bottom="0.75" header="0.3" footer="0.3"/>
      <pageSetup orientation="portrait" r:id="rId27"/>
    </customSheetView>
    <customSheetView guid="{02D27969-4CD1-473E-A0E8-856AB0664DE8}" scale="120" showGridLines="0" topLeftCell="A73">
      <selection activeCell="H78" sqref="H78:I79"/>
      <pageMargins left="0.7" right="0.7" top="0.75" bottom="0.75" header="0.3" footer="0.3"/>
      <pageSetup orientation="portrait" r:id="rId28"/>
    </customSheetView>
    <customSheetView guid="{1920E7A3-1C9F-4320-81BB-D11544051025}" scale="120" showGridLines="0" topLeftCell="A73">
      <selection activeCell="H78" sqref="H78:I79"/>
      <pageMargins left="0.7" right="0.7" top="0.75" bottom="0.75" header="0.3" footer="0.3"/>
      <pageSetup orientation="portrait" r:id="rId29"/>
    </customSheetView>
    <customSheetView guid="{EC7537C6-1678-41C1-B788-EF4AFFECF769}" scale="120" showGridLines="0" topLeftCell="A73">
      <selection activeCell="H78" sqref="H78:I79"/>
      <pageMargins left="0.7" right="0.7" top="0.75" bottom="0.75" header="0.3" footer="0.3"/>
      <pageSetup orientation="portrait" r:id="rId30"/>
    </customSheetView>
    <customSheetView guid="{E4FF7DB9-14DF-49DB-9F59-1898DDED4DCE}" scale="120" showGridLines="0" topLeftCell="A73">
      <selection activeCell="H78" sqref="H78:I79"/>
      <pageMargins left="0.7" right="0.7" top="0.75" bottom="0.75" header="0.3" footer="0.3"/>
      <pageSetup orientation="portrait" r:id="rId31"/>
    </customSheetView>
    <customSheetView guid="{9AFCAA87-4888-4976-A7C9-C06A34CB6C97}" scale="120" showGridLines="0" topLeftCell="A73">
      <selection activeCell="H78" sqref="H78:I79"/>
      <pageMargins left="0.7" right="0.7" top="0.75" bottom="0.75" header="0.3" footer="0.3"/>
      <pageSetup orientation="portrait" r:id="rId32"/>
    </customSheetView>
    <customSheetView guid="{15D7A002-B247-4A6B-A16B-61BDD9B0066A}" scale="120" showGridLines="0" topLeftCell="A73">
      <selection activeCell="H78" sqref="H78:I79"/>
      <pageMargins left="0.7" right="0.7" top="0.75" bottom="0.75" header="0.3" footer="0.3"/>
      <pageSetup orientation="portrait" r:id="rId33"/>
    </customSheetView>
    <customSheetView guid="{F789A6E6-3D06-4D93-BF02-46FA1A2548B2}" scale="120" showGridLines="0" topLeftCell="A73">
      <selection activeCell="H78" sqref="H78:I79"/>
      <pageMargins left="0.7" right="0.7" top="0.75" bottom="0.75" header="0.3" footer="0.3"/>
      <pageSetup orientation="portrait" r:id="rId34"/>
    </customSheetView>
    <customSheetView guid="{629A478C-29B1-4F25-A016-63CE32A1627F}" scale="120" showGridLines="0" topLeftCell="A73">
      <selection activeCell="H78" sqref="H78:I79"/>
      <pageMargins left="0.7" right="0.7" top="0.75" bottom="0.75" header="0.3" footer="0.3"/>
      <pageSetup orientation="portrait" r:id="rId35"/>
    </customSheetView>
    <customSheetView guid="{51BA8A3D-4711-49ED-89E2-EBC09DF2AEDC}" scale="120" showGridLines="0" topLeftCell="A73">
      <selection activeCell="H78" sqref="H78:I79"/>
      <pageMargins left="0.7" right="0.7" top="0.75" bottom="0.75" header="0.3" footer="0.3"/>
      <pageSetup orientation="portrait" r:id="rId36"/>
    </customSheetView>
    <customSheetView guid="{25A4A7C0-9593-456C-861C-76D101D3FE93}" scale="120" showGridLines="0" topLeftCell="A73">
      <selection activeCell="H78" sqref="H78:I79"/>
      <pageMargins left="0.7" right="0.7" top="0.75" bottom="0.75" header="0.3" footer="0.3"/>
      <pageSetup orientation="portrait" r:id="rId37"/>
    </customSheetView>
    <customSheetView guid="{95D39BA8-2B16-4954-ABAC-09AD33A86339}" scale="120" showGridLines="0" topLeftCell="A73">
      <selection activeCell="H78" sqref="H78:I79"/>
      <pageMargins left="0.7" right="0.7" top="0.75" bottom="0.75" header="0.3" footer="0.3"/>
      <pageSetup orientation="portrait" r:id="rId38"/>
    </customSheetView>
    <customSheetView guid="{C65059E8-30E8-488B-A0E9-1B7961920C81}" scale="120" showGridLines="0" topLeftCell="A73">
      <selection activeCell="H78" sqref="H78:I79"/>
      <pageMargins left="0.7" right="0.7" top="0.75" bottom="0.75" header="0.3" footer="0.3"/>
      <pageSetup orientation="portrait" r:id="rId39"/>
    </customSheetView>
    <customSheetView guid="{644A6A80-0D34-48F6-A071-17016DCD2D6E}" scale="120" showGridLines="0" topLeftCell="A73">
      <selection activeCell="H78" sqref="H78:I79"/>
      <pageMargins left="0.7" right="0.7" top="0.75" bottom="0.75" header="0.3" footer="0.3"/>
      <pageSetup orientation="portrait" r:id="rId40"/>
    </customSheetView>
    <customSheetView guid="{CC562453-1E6B-4010-9E1B-775397A26EFA}" scale="120" showGridLines="0" topLeftCell="A73">
      <selection activeCell="H78" sqref="H78:I79"/>
      <pageMargins left="0.7" right="0.7" top="0.75" bottom="0.75" header="0.3" footer="0.3"/>
      <pageSetup orientation="portrait" r:id="rId41"/>
    </customSheetView>
    <customSheetView guid="{E1A67331-473F-4161-806C-BE35870C93B5}" scale="120" showGridLines="0" topLeftCell="A73">
      <selection activeCell="H78" sqref="H78:I79"/>
      <pageMargins left="0.7" right="0.7" top="0.75" bottom="0.75" header="0.3" footer="0.3"/>
      <pageSetup orientation="portrait" r:id="rId42"/>
    </customSheetView>
    <customSheetView guid="{BCAB4838-A37A-4BCF-A9C9-CC50C95F58C7}" scale="120" showGridLines="0" topLeftCell="A73">
      <selection activeCell="H78" sqref="H78:I79"/>
      <pageMargins left="0.7" right="0.7" top="0.75" bottom="0.75" header="0.3" footer="0.3"/>
      <pageSetup orientation="portrait" r:id="rId43"/>
    </customSheetView>
    <customSheetView guid="{F518ECB9-5D92-41E0-BFD2-C5175A02444D}" scale="120" showGridLines="0" topLeftCell="A73">
      <selection activeCell="H78" sqref="H78:I79"/>
      <pageMargins left="0.7" right="0.7" top="0.75" bottom="0.75" header="0.3" footer="0.3"/>
      <pageSetup orientation="portrait" r:id="rId44"/>
    </customSheetView>
    <customSheetView guid="{FEB5A49F-F7F7-412A-BE72-F90F7A4799C8}" scale="120" showGridLines="0" topLeftCell="A73">
      <selection activeCell="H78" sqref="H78:I79"/>
      <pageMargins left="0.7" right="0.7" top="0.75" bottom="0.75" header="0.3" footer="0.3"/>
      <pageSetup orientation="portrait" r:id="rId45"/>
    </customSheetView>
    <customSheetView guid="{F9A03991-7A83-41AE-B603-3D22265CDA22}" scale="120" showGridLines="0" topLeftCell="A73">
      <selection activeCell="H78" sqref="H78:I79"/>
      <pageMargins left="0.7" right="0.7" top="0.75" bottom="0.75" header="0.3" footer="0.3"/>
      <pageSetup orientation="portrait" r:id="rId46"/>
    </customSheetView>
    <customSheetView guid="{8A25BF65-C908-4B2F-9805-3CD39BD4330E}" scale="120" showGridLines="0" topLeftCell="A73">
      <selection activeCell="H78" sqref="H78:I79"/>
      <pageMargins left="0.7" right="0.7" top="0.75" bottom="0.75" header="0.3" footer="0.3"/>
      <pageSetup orientation="portrait" r:id="rId47"/>
    </customSheetView>
    <customSheetView guid="{5C8F4C13-387F-42D2-8CB5-92C4886D7919}" scale="120" showGridLines="0" topLeftCell="A73">
      <selection activeCell="H78" sqref="H78:I79"/>
      <pageMargins left="0.7" right="0.7" top="0.75" bottom="0.75" header="0.3" footer="0.3"/>
      <pageSetup orientation="portrait" r:id="rId48"/>
    </customSheetView>
    <customSheetView guid="{395DC3D6-3299-4A43-88E2-62703FCC0349}" scale="120" showGridLines="0" topLeftCell="A73">
      <selection activeCell="H78" sqref="H78:I79"/>
      <pageMargins left="0.7" right="0.7" top="0.75" bottom="0.75" header="0.3" footer="0.3"/>
      <pageSetup orientation="portrait" r:id="rId49"/>
    </customSheetView>
    <customSheetView guid="{FC8D231F-57F9-45EE-9DEF-D7ED111600EB}" scale="120" showGridLines="0" topLeftCell="A73">
      <selection activeCell="H78" sqref="H78:I79"/>
      <pageMargins left="0.7" right="0.7" top="0.75" bottom="0.75" header="0.3" footer="0.3"/>
      <pageSetup orientation="portrait" r:id="rId50"/>
    </customSheetView>
    <customSheetView guid="{7A9AB605-DB82-470C-B86B-95E2AB3523F6}" scale="120" showGridLines="0" topLeftCell="A73">
      <selection activeCell="H78" sqref="H78:I79"/>
      <pageMargins left="0.7" right="0.7" top="0.75" bottom="0.75" header="0.3" footer="0.3"/>
      <pageSetup orientation="portrait" r:id="rId51"/>
    </customSheetView>
    <customSheetView guid="{0125BE01-BBC8-4E5A-9A9A-3D1257916B8C}" scale="120" showGridLines="0" topLeftCell="A73">
      <selection activeCell="H78" sqref="H78:I79"/>
      <pageMargins left="0.7" right="0.7" top="0.75" bottom="0.75" header="0.3" footer="0.3"/>
      <pageSetup orientation="portrait" r:id="rId52"/>
    </customSheetView>
    <customSheetView guid="{8BEA0E04-8B9A-4A2D-9B80-4E7685E22D5E}" scale="120" showGridLines="0" topLeftCell="A73">
      <selection activeCell="H78" sqref="H78:I79"/>
      <pageMargins left="0.7" right="0.7" top="0.75" bottom="0.75" header="0.3" footer="0.3"/>
      <pageSetup orientation="portrait" r:id="rId53"/>
    </customSheetView>
    <customSheetView guid="{EE4A95A5-BF42-4BAA-B9EB-84A9230A28F9}" scale="120" showGridLines="0" topLeftCell="A73">
      <selection activeCell="H78" sqref="H78:I79"/>
      <pageMargins left="0.7" right="0.7" top="0.75" bottom="0.75" header="0.3" footer="0.3"/>
      <pageSetup orientation="portrait" r:id="rId54"/>
    </customSheetView>
    <customSheetView guid="{2032DE14-E33D-44B5-9022-A2B48F059704}" scale="120" showGridLines="0" topLeftCell="A73">
      <selection activeCell="H78" sqref="H78:I79"/>
      <pageMargins left="0.7" right="0.7" top="0.75" bottom="0.75" header="0.3" footer="0.3"/>
      <pageSetup orientation="portrait" r:id="rId55"/>
    </customSheetView>
    <customSheetView guid="{DF16608F-40E8-490E-B08D-ED6EEAB8B9EC}" scale="120" showGridLines="0" topLeftCell="A73">
      <selection activeCell="H78" sqref="H78:I79"/>
      <pageMargins left="0.7" right="0.7" top="0.75" bottom="0.75" header="0.3" footer="0.3"/>
      <pageSetup orientation="portrait" r:id="rId56"/>
    </customSheetView>
    <customSheetView guid="{2CEDB1FB-2942-4B51-BF30-285DCDB05292}" scale="120" showGridLines="0" topLeftCell="A73">
      <selection activeCell="H78" sqref="H78:I79"/>
      <pageMargins left="0.7" right="0.7" top="0.75" bottom="0.75" header="0.3" footer="0.3"/>
      <pageSetup orientation="portrait" r:id="rId57"/>
    </customSheetView>
    <customSheetView guid="{E4375DB4-4B74-46BC-A9F2-C5C5055B366F}" scale="120" showGridLines="0" topLeftCell="A73">
      <selection activeCell="H78" sqref="H78:I79"/>
      <pageMargins left="0.7" right="0.7" top="0.75" bottom="0.75" header="0.3" footer="0.3"/>
      <pageSetup orientation="portrait" r:id="rId58"/>
    </customSheetView>
    <customSheetView guid="{58306194-C83B-413E-AC5F-AD717216CB21}" scale="120" showGridLines="0" topLeftCell="A73">
      <selection activeCell="H78" sqref="H78:I79"/>
      <pageMargins left="0.7" right="0.7" top="0.75" bottom="0.75" header="0.3" footer="0.3"/>
      <pageSetup orientation="portrait" r:id="rId59"/>
    </customSheetView>
    <customSheetView guid="{81DEBAD0-6E86-4DFB-8642-C52E8C976BDA}" scale="120" showGridLines="0" topLeftCell="A73">
      <selection activeCell="H78" sqref="H78:I79"/>
      <pageMargins left="0.7" right="0.7" top="0.75" bottom="0.75" header="0.3" footer="0.3"/>
      <pageSetup orientation="portrait" r:id="rId60"/>
    </customSheetView>
    <customSheetView guid="{C575B46A-1D4C-489C-97AE-5DAB6560E171}" scale="120" showGridLines="0" topLeftCell="A73">
      <selection activeCell="H78" sqref="H78:I79"/>
      <pageMargins left="0.7" right="0.7" top="0.75" bottom="0.75" header="0.3" footer="0.3"/>
      <pageSetup orientation="portrait" r:id="rId61"/>
    </customSheetView>
    <customSheetView guid="{C908A6D6-4C77-416B-BC46-6F501B5F842F}" scale="120" showGridLines="0" topLeftCell="A73">
      <selection activeCell="H78" sqref="H78:I79"/>
      <pageMargins left="0.7" right="0.7" top="0.75" bottom="0.75" header="0.3" footer="0.3"/>
      <pageSetup orientation="portrait" r:id="rId62"/>
    </customSheetView>
    <customSheetView guid="{CE50DC7E-3038-4337-BAC8-5B16EE1D95B0}" scale="120" showGridLines="0" topLeftCell="A73">
      <selection activeCell="H78" sqref="H78:I79"/>
      <pageMargins left="0.7" right="0.7" top="0.75" bottom="0.75" header="0.3" footer="0.3"/>
      <pageSetup orientation="portrait" r:id="rId63"/>
    </customSheetView>
    <customSheetView guid="{3511E245-32F9-4CFF-8540-6B03C6FAE218}" scale="120" showGridLines="0" topLeftCell="A73">
      <selection activeCell="H78" sqref="H78:I79"/>
      <pageMargins left="0.7" right="0.7" top="0.75" bottom="0.75" header="0.3" footer="0.3"/>
      <pageSetup orientation="portrait" r:id="rId64"/>
    </customSheetView>
    <customSheetView guid="{DFE0B66A-2DCB-4802-A91B-F836707AD43C}" scale="120" showGridLines="0" topLeftCell="A73">
      <selection activeCell="H78" sqref="H78:I79"/>
      <pageMargins left="0.7" right="0.7" top="0.75" bottom="0.75" header="0.3" footer="0.3"/>
      <pageSetup orientation="portrait" r:id="rId65"/>
    </customSheetView>
    <customSheetView guid="{0458C18D-9EF5-4516-9145-CA54D8EB1865}" scale="120" showGridLines="0" topLeftCell="A73">
      <selection activeCell="H78" sqref="H78:I79"/>
      <pageMargins left="0.7" right="0.7" top="0.75" bottom="0.75" header="0.3" footer="0.3"/>
      <pageSetup orientation="portrait" r:id="rId66"/>
    </customSheetView>
    <customSheetView guid="{0E02FCC8-6440-4859-9F6B-C77617EF5D89}" scale="120" showGridLines="0" topLeftCell="A73">
      <selection activeCell="H78" sqref="H78:I79"/>
      <pageMargins left="0.7" right="0.7" top="0.75" bottom="0.75" header="0.3" footer="0.3"/>
      <pageSetup orientation="portrait" r:id="rId67"/>
    </customSheetView>
    <customSheetView guid="{EE811897-5BF5-4321-9879-5B7EDF90A350}" scale="120" showGridLines="0" topLeftCell="A73">
      <selection activeCell="H78" sqref="H78:I79"/>
      <pageMargins left="0.7" right="0.7" top="0.75" bottom="0.75" header="0.3" footer="0.3"/>
      <pageSetup orientation="portrait" r:id="rId68"/>
    </customSheetView>
    <customSheetView guid="{FF03E81F-A9A8-4546-A9C3-77A6EEA02ED9}" scale="120" showGridLines="0" topLeftCell="A73">
      <selection activeCell="H78" sqref="H78:I79"/>
      <pageMargins left="0.7" right="0.7" top="0.75" bottom="0.75" header="0.3" footer="0.3"/>
      <pageSetup orientation="portrait" r:id="rId69"/>
    </customSheetView>
    <customSheetView guid="{D9413B31-FDB2-4AE8-80A8-7F09954E703C}" scale="120" showGridLines="0" topLeftCell="A73">
      <selection activeCell="H78" sqref="H78:I79"/>
      <pageMargins left="0.7" right="0.7" top="0.75" bottom="0.75" header="0.3" footer="0.3"/>
      <pageSetup orientation="portrait" r:id="rId70"/>
    </customSheetView>
    <customSheetView guid="{B19B24CB-B859-49E3-8AE0-2D671510EE4F}" scale="120" showGridLines="0" topLeftCell="A73">
      <selection activeCell="H78" sqref="H78:I79"/>
      <pageMargins left="0.7" right="0.7" top="0.75" bottom="0.75" header="0.3" footer="0.3"/>
      <pageSetup orientation="portrait" r:id="rId71"/>
    </customSheetView>
    <customSheetView guid="{0BF42E77-7016-4BE4-A5AB-A49974630D91}" scale="120" showGridLines="0" topLeftCell="A73">
      <selection activeCell="H78" sqref="H78:I79"/>
      <pageMargins left="0.7" right="0.7" top="0.75" bottom="0.75" header="0.3" footer="0.3"/>
      <pageSetup orientation="portrait" r:id="rId72"/>
    </customSheetView>
    <customSheetView guid="{C453A932-6110-4A84-A9C2-26C809391387}" scale="120" showGridLines="0" topLeftCell="A73">
      <selection activeCell="H78" sqref="H78:I79"/>
      <pageMargins left="0.7" right="0.7" top="0.75" bottom="0.75" header="0.3" footer="0.3"/>
      <pageSetup orientation="portrait" r:id="rId73"/>
    </customSheetView>
    <customSheetView guid="{08E755F8-82E9-4D95-862B-81F55FBDDDF6}" scale="120" showGridLines="0" topLeftCell="A73">
      <selection activeCell="H78" sqref="H78:I79"/>
      <pageMargins left="0.7" right="0.7" top="0.75" bottom="0.75" header="0.3" footer="0.3"/>
      <pageSetup orientation="portrait" r:id="rId74"/>
    </customSheetView>
    <customSheetView guid="{86D36E03-787A-41EB-85FF-8BB8A222055B}" scale="120" showGridLines="0" topLeftCell="A73">
      <selection activeCell="H78" sqref="H78:I79"/>
      <pageMargins left="0.7" right="0.7" top="0.75" bottom="0.75" header="0.3" footer="0.3"/>
      <pageSetup orientation="portrait" r:id="rId75"/>
    </customSheetView>
  </customSheetViews>
  <mergeCells count="12">
    <mergeCell ref="G110:H111"/>
    <mergeCell ref="I110:I111"/>
    <mergeCell ref="G89:H90"/>
    <mergeCell ref="I89:I90"/>
    <mergeCell ref="G68:H69"/>
    <mergeCell ref="I68:I69"/>
    <mergeCell ref="I8:I9"/>
    <mergeCell ref="G8:H9"/>
    <mergeCell ref="G27:H28"/>
    <mergeCell ref="I27:I28"/>
    <mergeCell ref="G48:H49"/>
    <mergeCell ref="I48:I49"/>
  </mergeCells>
  <conditionalFormatting sqref="I8">
    <cfRule type="expression" dxfId="58" priority="9">
      <formula>$I8=$L8</formula>
    </cfRule>
  </conditionalFormatting>
  <conditionalFormatting sqref="I27">
    <cfRule type="expression" dxfId="57" priority="10">
      <formula>$I27=$L27</formula>
    </cfRule>
  </conditionalFormatting>
  <conditionalFormatting sqref="I48">
    <cfRule type="expression" dxfId="56" priority="11">
      <formula>$I48=$L48</formula>
    </cfRule>
  </conditionalFormatting>
  <conditionalFormatting sqref="I68">
    <cfRule type="expression" dxfId="55" priority="8">
      <formula>$I68=$L68</formula>
    </cfRule>
  </conditionalFormatting>
  <conditionalFormatting sqref="I89">
    <cfRule type="expression" dxfId="54" priority="4">
      <formula>$I89=$L89</formula>
    </cfRule>
  </conditionalFormatting>
  <conditionalFormatting sqref="I110">
    <cfRule type="expression" dxfId="53" priority="1">
      <formula>$I110=$L110</formula>
    </cfRule>
  </conditionalFormatting>
  <pageMargins left="0.7" right="0.7" top="0.75" bottom="0.75" header="0.3" footer="0.3"/>
  <pageSetup orientation="portrait" r:id="rId76"/>
  <drawing r:id="rId7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A4828-FCAD-401D-B1F9-5ADBF54998CC}">
  <sheetPr codeName="Sheet4">
    <pageSetUpPr autoPageBreaks="0"/>
  </sheetPr>
  <dimension ref="B4:L122"/>
  <sheetViews>
    <sheetView showGridLines="0" topLeftCell="A121" zoomScale="110" zoomScaleNormal="110" workbookViewId="0">
      <selection activeCell="G81" sqref="G81"/>
    </sheetView>
  </sheetViews>
  <sheetFormatPr defaultRowHeight="18.75" x14ac:dyDescent="0.3"/>
  <cols>
    <col min="1" max="1" width="8.7109375" style="7" customWidth="1"/>
    <col min="2" max="2" width="17.140625" style="7" bestFit="1" customWidth="1"/>
    <col min="3" max="3" width="8.28515625" style="7" bestFit="1" customWidth="1"/>
    <col min="4" max="4" width="13.85546875" style="7" bestFit="1" customWidth="1"/>
    <col min="5" max="5" width="19.7109375" style="7" bestFit="1" customWidth="1"/>
    <col min="6" max="6" width="9.140625" style="7"/>
    <col min="7" max="7" width="20.28515625" style="7" customWidth="1"/>
    <col min="8" max="8" width="15.28515625" style="7" customWidth="1"/>
    <col min="9" max="9" width="27.140625" style="7" bestFit="1" customWidth="1"/>
    <col min="10" max="16384" width="9.140625" style="7"/>
  </cols>
  <sheetData>
    <row r="4" spans="2:12" x14ac:dyDescent="0.3">
      <c r="B4" s="9" t="s">
        <v>40</v>
      </c>
      <c r="C4" s="9" t="s">
        <v>39</v>
      </c>
      <c r="D4" s="9" t="s">
        <v>38</v>
      </c>
      <c r="E4" s="9" t="s">
        <v>42</v>
      </c>
    </row>
    <row r="5" spans="2:12" x14ac:dyDescent="0.3">
      <c r="B5" s="8" t="s">
        <v>37</v>
      </c>
      <c r="C5" s="8">
        <v>7.85</v>
      </c>
      <c r="D5" s="8" t="s">
        <v>36</v>
      </c>
      <c r="E5" s="8" t="s">
        <v>43</v>
      </c>
    </row>
    <row r="6" spans="2:12" ht="18.75" customHeight="1" x14ac:dyDescent="0.3">
      <c r="B6" s="8" t="s">
        <v>35</v>
      </c>
      <c r="C6" s="8">
        <v>3.25</v>
      </c>
      <c r="D6" s="8" t="s">
        <v>34</v>
      </c>
      <c r="E6" s="8" t="s">
        <v>44</v>
      </c>
    </row>
    <row r="7" spans="2:12" ht="21" customHeight="1" x14ac:dyDescent="0.3">
      <c r="B7" s="8" t="s">
        <v>33</v>
      </c>
      <c r="C7" s="8">
        <v>12.5</v>
      </c>
      <c r="D7" s="8" t="s">
        <v>32</v>
      </c>
      <c r="E7" s="8" t="s">
        <v>45</v>
      </c>
    </row>
    <row r="8" spans="2:12" x14ac:dyDescent="0.3">
      <c r="B8" s="8" t="s">
        <v>31</v>
      </c>
      <c r="C8" s="8">
        <v>6.35</v>
      </c>
      <c r="D8" s="8" t="s">
        <v>30</v>
      </c>
      <c r="E8" s="8" t="s">
        <v>43</v>
      </c>
      <c r="G8" s="31" t="s">
        <v>59</v>
      </c>
      <c r="H8" s="31"/>
      <c r="I8" s="32">
        <f>AVERAGEIF(E5:E16,"Mar",C5:C16)</f>
        <v>10.45</v>
      </c>
      <c r="L8" s="10">
        <f>AVERAGEIF(E5:E16,"Mar",C5:C16)</f>
        <v>10.45</v>
      </c>
    </row>
    <row r="9" spans="2:12" x14ac:dyDescent="0.3">
      <c r="B9" s="8" t="s">
        <v>29</v>
      </c>
      <c r="C9" s="8">
        <v>2.5</v>
      </c>
      <c r="D9" s="8" t="s">
        <v>28</v>
      </c>
      <c r="E9" s="8" t="s">
        <v>44</v>
      </c>
      <c r="G9" s="31"/>
      <c r="H9" s="31"/>
      <c r="I9" s="32"/>
    </row>
    <row r="10" spans="2:12" x14ac:dyDescent="0.3">
      <c r="B10" s="8" t="s">
        <v>27</v>
      </c>
      <c r="C10" s="8">
        <v>6.5</v>
      </c>
      <c r="D10" s="8" t="s">
        <v>26</v>
      </c>
      <c r="E10" s="8" t="s">
        <v>45</v>
      </c>
    </row>
    <row r="11" spans="2:12" x14ac:dyDescent="0.3">
      <c r="B11" s="8" t="s">
        <v>37</v>
      </c>
      <c r="C11" s="8">
        <v>8.75</v>
      </c>
      <c r="D11" s="8" t="s">
        <v>36</v>
      </c>
      <c r="E11" s="8" t="s">
        <v>43</v>
      </c>
    </row>
    <row r="12" spans="2:12" x14ac:dyDescent="0.3">
      <c r="B12" s="8" t="s">
        <v>31</v>
      </c>
      <c r="C12" s="8">
        <v>4.6500000000000004</v>
      </c>
      <c r="D12" s="8" t="s">
        <v>30</v>
      </c>
      <c r="E12" s="8" t="s">
        <v>44</v>
      </c>
    </row>
    <row r="13" spans="2:12" x14ac:dyDescent="0.3">
      <c r="B13" s="8" t="s">
        <v>37</v>
      </c>
      <c r="C13" s="8">
        <v>12.85</v>
      </c>
      <c r="D13" s="8" t="s">
        <v>36</v>
      </c>
      <c r="E13" s="8" t="s">
        <v>45</v>
      </c>
    </row>
    <row r="14" spans="2:12" ht="18.75" customHeight="1" x14ac:dyDescent="0.3">
      <c r="B14" s="8" t="s">
        <v>35</v>
      </c>
      <c r="C14" s="8">
        <v>8.25</v>
      </c>
      <c r="D14" s="8" t="s">
        <v>34</v>
      </c>
      <c r="E14" s="8" t="s">
        <v>43</v>
      </c>
    </row>
    <row r="15" spans="2:12" x14ac:dyDescent="0.3">
      <c r="B15" s="8" t="s">
        <v>33</v>
      </c>
      <c r="C15" s="8">
        <v>13.5</v>
      </c>
      <c r="D15" s="8" t="s">
        <v>32</v>
      </c>
      <c r="E15" s="8" t="s">
        <v>44</v>
      </c>
    </row>
    <row r="16" spans="2:12" x14ac:dyDescent="0.3">
      <c r="B16" s="8" t="s">
        <v>31</v>
      </c>
      <c r="C16" s="8">
        <v>9.9499999999999993</v>
      </c>
      <c r="D16" s="8" t="s">
        <v>30</v>
      </c>
      <c r="E16" s="8" t="s">
        <v>45</v>
      </c>
    </row>
    <row r="25" spans="2:12" x14ac:dyDescent="0.3">
      <c r="B25" s="9" t="s">
        <v>40</v>
      </c>
      <c r="C25" s="9" t="s">
        <v>39</v>
      </c>
      <c r="D25" s="9" t="s">
        <v>38</v>
      </c>
      <c r="E25" s="9" t="s">
        <v>42</v>
      </c>
    </row>
    <row r="26" spans="2:12" x14ac:dyDescent="0.3">
      <c r="B26" s="8" t="s">
        <v>37</v>
      </c>
      <c r="C26" s="8">
        <v>7.85</v>
      </c>
      <c r="D26" s="8" t="s">
        <v>36</v>
      </c>
      <c r="E26" s="8" t="s">
        <v>43</v>
      </c>
    </row>
    <row r="27" spans="2:12" x14ac:dyDescent="0.3">
      <c r="B27" s="8" t="s">
        <v>35</v>
      </c>
      <c r="C27" s="8">
        <v>3.25</v>
      </c>
      <c r="D27" s="8" t="s">
        <v>34</v>
      </c>
      <c r="E27" s="8" t="s">
        <v>44</v>
      </c>
    </row>
    <row r="28" spans="2:12" x14ac:dyDescent="0.3">
      <c r="B28" s="8" t="s">
        <v>33</v>
      </c>
      <c r="C28" s="8">
        <v>12.5</v>
      </c>
      <c r="D28" s="8" t="s">
        <v>32</v>
      </c>
      <c r="E28" s="8" t="s">
        <v>45</v>
      </c>
    </row>
    <row r="29" spans="2:12" x14ac:dyDescent="0.3">
      <c r="B29" s="8" t="s">
        <v>31</v>
      </c>
      <c r="C29" s="8">
        <v>6.35</v>
      </c>
      <c r="D29" s="8" t="s">
        <v>30</v>
      </c>
      <c r="E29" s="8" t="s">
        <v>43</v>
      </c>
      <c r="G29" s="31" t="s">
        <v>60</v>
      </c>
      <c r="H29" s="31"/>
      <c r="I29" s="32">
        <f>AVERAGEIF(D26:D37,"Amazon",C26:C37)</f>
        <v>9.8166666666666682</v>
      </c>
      <c r="L29" s="10">
        <f>AVERAGEIF(D26:D37,"Amazon",C26:C37)</f>
        <v>9.8166666666666682</v>
      </c>
    </row>
    <row r="30" spans="2:12" x14ac:dyDescent="0.3">
      <c r="B30" s="8" t="s">
        <v>29</v>
      </c>
      <c r="C30" s="8">
        <v>2.5</v>
      </c>
      <c r="D30" s="8" t="s">
        <v>28</v>
      </c>
      <c r="E30" s="8" t="s">
        <v>44</v>
      </c>
      <c r="G30" s="31"/>
      <c r="H30" s="31"/>
      <c r="I30" s="32"/>
    </row>
    <row r="31" spans="2:12" x14ac:dyDescent="0.3">
      <c r="B31" s="8" t="s">
        <v>27</v>
      </c>
      <c r="C31" s="8">
        <v>6.5</v>
      </c>
      <c r="D31" s="8" t="s">
        <v>26</v>
      </c>
      <c r="E31" s="8" t="s">
        <v>45</v>
      </c>
    </row>
    <row r="32" spans="2:12" x14ac:dyDescent="0.3">
      <c r="B32" s="8" t="s">
        <v>37</v>
      </c>
      <c r="C32" s="8">
        <v>8.75</v>
      </c>
      <c r="D32" s="8" t="s">
        <v>36</v>
      </c>
      <c r="E32" s="8" t="s">
        <v>43</v>
      </c>
    </row>
    <row r="33" spans="2:5" x14ac:dyDescent="0.3">
      <c r="B33" s="8" t="s">
        <v>31</v>
      </c>
      <c r="C33" s="8">
        <v>4.6500000000000004</v>
      </c>
      <c r="D33" s="8" t="s">
        <v>30</v>
      </c>
      <c r="E33" s="8" t="s">
        <v>44</v>
      </c>
    </row>
    <row r="34" spans="2:5" x14ac:dyDescent="0.3">
      <c r="B34" s="8" t="s">
        <v>37</v>
      </c>
      <c r="C34" s="8">
        <v>12.85</v>
      </c>
      <c r="D34" s="8" t="s">
        <v>36</v>
      </c>
      <c r="E34" s="8" t="s">
        <v>45</v>
      </c>
    </row>
    <row r="35" spans="2:5" x14ac:dyDescent="0.3">
      <c r="B35" s="8" t="s">
        <v>35</v>
      </c>
      <c r="C35" s="8">
        <v>8.25</v>
      </c>
      <c r="D35" s="8" t="s">
        <v>34</v>
      </c>
      <c r="E35" s="8" t="s">
        <v>43</v>
      </c>
    </row>
    <row r="36" spans="2:5" x14ac:dyDescent="0.3">
      <c r="B36" s="8" t="s">
        <v>33</v>
      </c>
      <c r="C36" s="8">
        <v>13.5</v>
      </c>
      <c r="D36" s="8" t="s">
        <v>32</v>
      </c>
      <c r="E36" s="8" t="s">
        <v>44</v>
      </c>
    </row>
    <row r="37" spans="2:5" x14ac:dyDescent="0.3">
      <c r="B37" s="8" t="s">
        <v>31</v>
      </c>
      <c r="C37" s="8">
        <v>9.9499999999999993</v>
      </c>
      <c r="D37" s="8" t="s">
        <v>30</v>
      </c>
      <c r="E37" s="8" t="s">
        <v>45</v>
      </c>
    </row>
    <row r="47" spans="2:5" x14ac:dyDescent="0.3">
      <c r="B47" s="9" t="s">
        <v>40</v>
      </c>
      <c r="C47" s="9" t="s">
        <v>39</v>
      </c>
      <c r="D47" s="9" t="s">
        <v>38</v>
      </c>
      <c r="E47" s="9" t="s">
        <v>42</v>
      </c>
    </row>
    <row r="48" spans="2:5" x14ac:dyDescent="0.3">
      <c r="B48" s="8" t="s">
        <v>37</v>
      </c>
      <c r="C48" s="8">
        <v>7.85</v>
      </c>
      <c r="D48" s="8" t="s">
        <v>36</v>
      </c>
      <c r="E48" s="8" t="s">
        <v>43</v>
      </c>
    </row>
    <row r="49" spans="2:12" x14ac:dyDescent="0.3">
      <c r="B49" s="8" t="s">
        <v>35</v>
      </c>
      <c r="C49" s="8">
        <v>3.25</v>
      </c>
      <c r="D49" s="8" t="s">
        <v>34</v>
      </c>
      <c r="E49" s="8" t="s">
        <v>44</v>
      </c>
    </row>
    <row r="50" spans="2:12" x14ac:dyDescent="0.3">
      <c r="B50" s="8" t="s">
        <v>33</v>
      </c>
      <c r="C50" s="8">
        <v>12.5</v>
      </c>
      <c r="D50" s="8" t="s">
        <v>32</v>
      </c>
      <c r="E50" s="8" t="s">
        <v>45</v>
      </c>
      <c r="H50" s="11" t="s">
        <v>48</v>
      </c>
      <c r="I50" s="11" t="s">
        <v>33</v>
      </c>
    </row>
    <row r="51" spans="2:12" x14ac:dyDescent="0.3">
      <c r="B51" s="8" t="s">
        <v>31</v>
      </c>
      <c r="C51" s="8">
        <v>6.35</v>
      </c>
      <c r="D51" s="8" t="s">
        <v>30</v>
      </c>
      <c r="E51" s="8" t="s">
        <v>43</v>
      </c>
      <c r="G51" s="31" t="s">
        <v>61</v>
      </c>
      <c r="H51" s="31"/>
      <c r="I51" s="32">
        <f>AVERAGEIF(B48:B59,"Kiwi",C48:C59)</f>
        <v>13</v>
      </c>
      <c r="L51" s="10">
        <f>AVERAGEIF(B48:B59,I50,C48:C59)</f>
        <v>13</v>
      </c>
    </row>
    <row r="52" spans="2:12" x14ac:dyDescent="0.3">
      <c r="B52" s="8" t="s">
        <v>29</v>
      </c>
      <c r="C52" s="8">
        <v>2.5</v>
      </c>
      <c r="D52" s="8" t="s">
        <v>28</v>
      </c>
      <c r="E52" s="8" t="s">
        <v>44</v>
      </c>
      <c r="G52" s="31"/>
      <c r="H52" s="31"/>
      <c r="I52" s="32"/>
    </row>
    <row r="53" spans="2:12" x14ac:dyDescent="0.3">
      <c r="B53" s="8" t="s">
        <v>27</v>
      </c>
      <c r="C53" s="8">
        <v>6.5</v>
      </c>
      <c r="D53" s="8" t="s">
        <v>26</v>
      </c>
      <c r="E53" s="8" t="s">
        <v>45</v>
      </c>
    </row>
    <row r="54" spans="2:12" x14ac:dyDescent="0.3">
      <c r="B54" s="8" t="s">
        <v>37</v>
      </c>
      <c r="C54" s="8">
        <v>8.75</v>
      </c>
      <c r="D54" s="8" t="s">
        <v>36</v>
      </c>
      <c r="E54" s="8" t="s">
        <v>43</v>
      </c>
    </row>
    <row r="55" spans="2:12" x14ac:dyDescent="0.3">
      <c r="B55" s="8" t="s">
        <v>31</v>
      </c>
      <c r="C55" s="8">
        <v>4.6500000000000004</v>
      </c>
      <c r="D55" s="8" t="s">
        <v>30</v>
      </c>
      <c r="E55" s="8" t="s">
        <v>44</v>
      </c>
    </row>
    <row r="56" spans="2:12" x14ac:dyDescent="0.3">
      <c r="B56" s="8" t="s">
        <v>37</v>
      </c>
      <c r="C56" s="8">
        <v>12.85</v>
      </c>
      <c r="D56" s="8" t="s">
        <v>36</v>
      </c>
      <c r="E56" s="8" t="s">
        <v>45</v>
      </c>
    </row>
    <row r="57" spans="2:12" x14ac:dyDescent="0.3">
      <c r="B57" s="8" t="s">
        <v>35</v>
      </c>
      <c r="C57" s="8">
        <v>8.25</v>
      </c>
      <c r="D57" s="8" t="s">
        <v>34</v>
      </c>
      <c r="E57" s="8" t="s">
        <v>43</v>
      </c>
    </row>
    <row r="58" spans="2:12" x14ac:dyDescent="0.3">
      <c r="B58" s="8" t="s">
        <v>33</v>
      </c>
      <c r="C58" s="8">
        <v>13.5</v>
      </c>
      <c r="D58" s="8" t="s">
        <v>32</v>
      </c>
      <c r="E58" s="8" t="s">
        <v>44</v>
      </c>
    </row>
    <row r="59" spans="2:12" x14ac:dyDescent="0.3">
      <c r="B59" s="8" t="s">
        <v>31</v>
      </c>
      <c r="C59" s="8">
        <v>9.9499999999999993</v>
      </c>
      <c r="D59" s="8" t="s">
        <v>30</v>
      </c>
      <c r="E59" s="8" t="s">
        <v>45</v>
      </c>
    </row>
    <row r="68" spans="2:12" x14ac:dyDescent="0.3">
      <c r="B68" s="9" t="s">
        <v>40</v>
      </c>
      <c r="C68" s="9" t="s">
        <v>39</v>
      </c>
      <c r="D68" s="9" t="s">
        <v>38</v>
      </c>
      <c r="E68" s="9" t="s">
        <v>42</v>
      </c>
    </row>
    <row r="69" spans="2:12" x14ac:dyDescent="0.3">
      <c r="B69" s="8" t="s">
        <v>37</v>
      </c>
      <c r="C69" s="8">
        <v>7.85</v>
      </c>
      <c r="D69" s="8" t="s">
        <v>36</v>
      </c>
      <c r="E69" s="8" t="s">
        <v>43</v>
      </c>
    </row>
    <row r="70" spans="2:12" x14ac:dyDescent="0.3">
      <c r="B70" s="8" t="s">
        <v>35</v>
      </c>
      <c r="C70" s="8">
        <v>3.25</v>
      </c>
      <c r="D70" s="8" t="s">
        <v>34</v>
      </c>
      <c r="E70" s="8" t="s">
        <v>44</v>
      </c>
    </row>
    <row r="71" spans="2:12" x14ac:dyDescent="0.3">
      <c r="B71" s="8" t="s">
        <v>33</v>
      </c>
      <c r="C71" s="8">
        <v>12.5</v>
      </c>
      <c r="D71" s="8" t="s">
        <v>32</v>
      </c>
      <c r="E71" s="8" t="s">
        <v>56</v>
      </c>
      <c r="H71" s="11"/>
      <c r="I71" s="11"/>
    </row>
    <row r="72" spans="2:12" x14ac:dyDescent="0.3">
      <c r="B72" s="8" t="s">
        <v>31</v>
      </c>
      <c r="C72" s="8">
        <v>6.35</v>
      </c>
      <c r="D72" s="8" t="s">
        <v>30</v>
      </c>
      <c r="E72" s="8" t="s">
        <v>43</v>
      </c>
      <c r="G72" s="31" t="s">
        <v>62</v>
      </c>
      <c r="H72" s="31"/>
      <c r="I72" s="32">
        <f>AVERAGEIF(B69:B80,"*apple*",C69:C80)</f>
        <v>8.09</v>
      </c>
      <c r="L72" s="10">
        <f>AVERAGEIF(B69:B80,"*apple*",C69:C80)</f>
        <v>8.09</v>
      </c>
    </row>
    <row r="73" spans="2:12" x14ac:dyDescent="0.3">
      <c r="B73" s="8" t="s">
        <v>29</v>
      </c>
      <c r="C73" s="8">
        <v>2.5</v>
      </c>
      <c r="D73" s="8" t="s">
        <v>28</v>
      </c>
      <c r="E73" s="8" t="s">
        <v>55</v>
      </c>
      <c r="G73" s="31"/>
      <c r="H73" s="31"/>
      <c r="I73" s="32"/>
    </row>
    <row r="74" spans="2:12" x14ac:dyDescent="0.3">
      <c r="B74" s="8" t="s">
        <v>27</v>
      </c>
      <c r="C74" s="8">
        <v>6.5</v>
      </c>
      <c r="D74" s="8" t="s">
        <v>26</v>
      </c>
      <c r="E74" s="8" t="s">
        <v>45</v>
      </c>
    </row>
    <row r="75" spans="2:12" ht="18.75" customHeight="1" x14ac:dyDescent="0.3">
      <c r="B75" s="8" t="s">
        <v>37</v>
      </c>
      <c r="C75" s="8">
        <v>8.75</v>
      </c>
      <c r="D75" s="8" t="s">
        <v>36</v>
      </c>
      <c r="E75" s="8" t="s">
        <v>43</v>
      </c>
    </row>
    <row r="76" spans="2:12" x14ac:dyDescent="0.3">
      <c r="B76" s="8" t="s">
        <v>31</v>
      </c>
      <c r="C76" s="8">
        <v>4.6500000000000004</v>
      </c>
      <c r="D76" s="8" t="s">
        <v>30</v>
      </c>
      <c r="E76" s="8" t="s">
        <v>44</v>
      </c>
    </row>
    <row r="77" spans="2:12" x14ac:dyDescent="0.3">
      <c r="B77" s="8" t="s">
        <v>37</v>
      </c>
      <c r="C77" s="8">
        <v>12.85</v>
      </c>
      <c r="D77" s="8" t="s">
        <v>36</v>
      </c>
      <c r="E77" s="8" t="s">
        <v>53</v>
      </c>
    </row>
    <row r="78" spans="2:12" ht="18.75" customHeight="1" x14ac:dyDescent="0.3">
      <c r="B78" s="8" t="s">
        <v>50</v>
      </c>
      <c r="C78" s="8">
        <v>8.25</v>
      </c>
      <c r="D78" s="8" t="s">
        <v>34</v>
      </c>
      <c r="E78" s="8" t="s">
        <v>43</v>
      </c>
    </row>
    <row r="79" spans="2:12" x14ac:dyDescent="0.3">
      <c r="B79" s="8" t="s">
        <v>33</v>
      </c>
      <c r="C79" s="8">
        <v>13.5</v>
      </c>
      <c r="D79" s="8" t="s">
        <v>32</v>
      </c>
      <c r="E79" s="8" t="s">
        <v>44</v>
      </c>
    </row>
    <row r="80" spans="2:12" x14ac:dyDescent="0.3">
      <c r="B80" s="8" t="s">
        <v>51</v>
      </c>
      <c r="C80" s="8">
        <v>9.9499999999999993</v>
      </c>
      <c r="D80" s="8" t="s">
        <v>30</v>
      </c>
      <c r="E80" s="8" t="s">
        <v>54</v>
      </c>
    </row>
    <row r="89" spans="2:12" x14ac:dyDescent="0.3">
      <c r="B89" s="9" t="s">
        <v>40</v>
      </c>
      <c r="C89" s="9" t="s">
        <v>39</v>
      </c>
      <c r="D89" s="9" t="s">
        <v>38</v>
      </c>
      <c r="E89" s="9" t="s">
        <v>42</v>
      </c>
    </row>
    <row r="90" spans="2:12" x14ac:dyDescent="0.3">
      <c r="B90" s="8" t="s">
        <v>37</v>
      </c>
      <c r="C90" s="8">
        <v>7.85</v>
      </c>
      <c r="D90" s="8" t="s">
        <v>36</v>
      </c>
      <c r="E90" s="8" t="s">
        <v>43</v>
      </c>
    </row>
    <row r="91" spans="2:12" x14ac:dyDescent="0.3">
      <c r="B91" s="8" t="s">
        <v>35</v>
      </c>
      <c r="C91" s="8">
        <v>3.25</v>
      </c>
      <c r="D91" s="8" t="s">
        <v>34</v>
      </c>
      <c r="E91" s="8" t="s">
        <v>44</v>
      </c>
    </row>
    <row r="92" spans="2:12" x14ac:dyDescent="0.3">
      <c r="B92" s="8" t="s">
        <v>33</v>
      </c>
      <c r="C92" s="8">
        <v>12.5</v>
      </c>
      <c r="D92" s="8" t="s">
        <v>32</v>
      </c>
      <c r="E92" s="8" t="s">
        <v>56</v>
      </c>
      <c r="H92" s="11"/>
      <c r="I92" s="11"/>
    </row>
    <row r="93" spans="2:12" x14ac:dyDescent="0.3">
      <c r="B93" s="8" t="s">
        <v>31</v>
      </c>
      <c r="C93" s="8">
        <v>6.35</v>
      </c>
      <c r="D93" s="8" t="s">
        <v>30</v>
      </c>
      <c r="E93" s="8" t="s">
        <v>43</v>
      </c>
    </row>
    <row r="94" spans="2:12" x14ac:dyDescent="0.3">
      <c r="B94" s="8" t="s">
        <v>29</v>
      </c>
      <c r="C94" s="8">
        <v>2.5</v>
      </c>
      <c r="D94" s="8" t="s">
        <v>28</v>
      </c>
      <c r="E94" s="8" t="s">
        <v>55</v>
      </c>
      <c r="G94" s="31" t="s">
        <v>63</v>
      </c>
      <c r="H94" s="31"/>
      <c r="I94" s="32">
        <f>AVERAGEIF(D90:D101,"*o*",C90:C101)</f>
        <v>7.69</v>
      </c>
      <c r="L94" s="10">
        <f>AVERAGEIF(D90:D101,"*O*",C90:C101)</f>
        <v>7.69</v>
      </c>
    </row>
    <row r="95" spans="2:12" x14ac:dyDescent="0.3">
      <c r="B95" s="8" t="s">
        <v>27</v>
      </c>
      <c r="C95" s="8">
        <v>6.5</v>
      </c>
      <c r="D95" s="8" t="s">
        <v>26</v>
      </c>
      <c r="E95" s="8" t="s">
        <v>45</v>
      </c>
      <c r="G95" s="31"/>
      <c r="H95" s="31"/>
      <c r="I95" s="32"/>
    </row>
    <row r="96" spans="2:12" x14ac:dyDescent="0.3">
      <c r="B96" s="8" t="s">
        <v>37</v>
      </c>
      <c r="C96" s="8">
        <v>8.75</v>
      </c>
      <c r="D96" s="8" t="s">
        <v>36</v>
      </c>
      <c r="E96" s="8" t="s">
        <v>43</v>
      </c>
    </row>
    <row r="97" spans="2:5" x14ac:dyDescent="0.3">
      <c r="B97" s="8" t="s">
        <v>31</v>
      </c>
      <c r="C97" s="8">
        <v>4.6500000000000004</v>
      </c>
      <c r="D97" s="8" t="s">
        <v>30</v>
      </c>
      <c r="E97" s="8" t="s">
        <v>44</v>
      </c>
    </row>
    <row r="98" spans="2:5" x14ac:dyDescent="0.3">
      <c r="B98" s="8" t="s">
        <v>37</v>
      </c>
      <c r="C98" s="8">
        <v>12.85</v>
      </c>
      <c r="D98" s="8" t="s">
        <v>36</v>
      </c>
      <c r="E98" s="8" t="s">
        <v>53</v>
      </c>
    </row>
    <row r="99" spans="2:5" x14ac:dyDescent="0.3">
      <c r="B99" s="8" t="s">
        <v>50</v>
      </c>
      <c r="C99" s="8">
        <v>8.25</v>
      </c>
      <c r="D99" s="8" t="s">
        <v>34</v>
      </c>
      <c r="E99" s="8" t="s">
        <v>43</v>
      </c>
    </row>
    <row r="100" spans="2:5" x14ac:dyDescent="0.3">
      <c r="B100" s="8" t="s">
        <v>33</v>
      </c>
      <c r="C100" s="8">
        <v>13.5</v>
      </c>
      <c r="D100" s="8" t="s">
        <v>32</v>
      </c>
      <c r="E100" s="8" t="s">
        <v>44</v>
      </c>
    </row>
    <row r="101" spans="2:5" x14ac:dyDescent="0.3">
      <c r="B101" s="8" t="s">
        <v>51</v>
      </c>
      <c r="C101" s="8">
        <v>9.9499999999999993</v>
      </c>
      <c r="D101" s="8" t="s">
        <v>30</v>
      </c>
      <c r="E101" s="8" t="s">
        <v>54</v>
      </c>
    </row>
    <row r="110" spans="2:5" x14ac:dyDescent="0.3">
      <c r="B110" s="9" t="s">
        <v>40</v>
      </c>
      <c r="C110" s="9" t="s">
        <v>39</v>
      </c>
      <c r="D110" s="9" t="s">
        <v>38</v>
      </c>
      <c r="E110" s="9" t="s">
        <v>42</v>
      </c>
    </row>
    <row r="111" spans="2:5" x14ac:dyDescent="0.3">
      <c r="B111" s="8" t="s">
        <v>37</v>
      </c>
      <c r="C111" s="8">
        <v>7.85</v>
      </c>
      <c r="D111" s="8" t="s">
        <v>36</v>
      </c>
      <c r="E111" s="8" t="s">
        <v>43</v>
      </c>
    </row>
    <row r="112" spans="2:5" x14ac:dyDescent="0.3">
      <c r="B112" s="8" t="s">
        <v>35</v>
      </c>
      <c r="C112" s="8">
        <v>3.25</v>
      </c>
      <c r="D112" s="8" t="s">
        <v>34</v>
      </c>
      <c r="E112" s="8" t="s">
        <v>44</v>
      </c>
    </row>
    <row r="113" spans="2:12" x14ac:dyDescent="0.3">
      <c r="B113" s="8" t="s">
        <v>33</v>
      </c>
      <c r="C113" s="8">
        <v>12.5</v>
      </c>
      <c r="D113" s="8" t="s">
        <v>32</v>
      </c>
      <c r="E113" s="8" t="s">
        <v>56</v>
      </c>
      <c r="H113" s="11"/>
      <c r="I113" s="11"/>
    </row>
    <row r="114" spans="2:12" x14ac:dyDescent="0.3">
      <c r="B114" s="8" t="s">
        <v>31</v>
      </c>
      <c r="C114" s="8">
        <v>6.35</v>
      </c>
      <c r="D114" s="8" t="s">
        <v>30</v>
      </c>
      <c r="E114" s="8" t="s">
        <v>43</v>
      </c>
    </row>
    <row r="115" spans="2:12" x14ac:dyDescent="0.3">
      <c r="B115" s="8" t="s">
        <v>29</v>
      </c>
      <c r="C115" s="8">
        <v>2.5</v>
      </c>
      <c r="D115" s="8" t="s">
        <v>28</v>
      </c>
      <c r="E115" s="8" t="s">
        <v>55</v>
      </c>
      <c r="G115" s="31" t="s">
        <v>64</v>
      </c>
      <c r="H115" s="31"/>
      <c r="I115" s="32">
        <f>AVERAGEIF(E111:E122,"j*",C111:C122)</f>
        <v>9</v>
      </c>
      <c r="L115" s="10">
        <f>AVERAGEIF(E111:E122,"J*",C111:C122)</f>
        <v>9</v>
      </c>
    </row>
    <row r="116" spans="2:12" x14ac:dyDescent="0.3">
      <c r="B116" s="8" t="s">
        <v>27</v>
      </c>
      <c r="C116" s="8">
        <v>6.5</v>
      </c>
      <c r="D116" s="8" t="s">
        <v>26</v>
      </c>
      <c r="E116" s="8" t="s">
        <v>45</v>
      </c>
      <c r="G116" s="31"/>
      <c r="H116" s="31"/>
      <c r="I116" s="32"/>
    </row>
    <row r="117" spans="2:12" x14ac:dyDescent="0.3">
      <c r="B117" s="8" t="s">
        <v>37</v>
      </c>
      <c r="C117" s="8">
        <v>8.75</v>
      </c>
      <c r="D117" s="8" t="s">
        <v>36</v>
      </c>
      <c r="E117" s="8" t="s">
        <v>43</v>
      </c>
    </row>
    <row r="118" spans="2:12" x14ac:dyDescent="0.3">
      <c r="B118" s="8" t="s">
        <v>31</v>
      </c>
      <c r="C118" s="8">
        <v>4.6500000000000004</v>
      </c>
      <c r="D118" s="8" t="s">
        <v>30</v>
      </c>
      <c r="E118" s="8" t="s">
        <v>44</v>
      </c>
    </row>
    <row r="119" spans="2:12" x14ac:dyDescent="0.3">
      <c r="B119" s="8" t="s">
        <v>37</v>
      </c>
      <c r="C119" s="8">
        <v>12.85</v>
      </c>
      <c r="D119" s="8" t="s">
        <v>36</v>
      </c>
      <c r="E119" s="8" t="s">
        <v>53</v>
      </c>
    </row>
    <row r="120" spans="2:12" x14ac:dyDescent="0.3">
      <c r="B120" s="8" t="s">
        <v>50</v>
      </c>
      <c r="C120" s="8">
        <v>8.25</v>
      </c>
      <c r="D120" s="8" t="s">
        <v>34</v>
      </c>
      <c r="E120" s="8" t="s">
        <v>43</v>
      </c>
    </row>
    <row r="121" spans="2:12" x14ac:dyDescent="0.3">
      <c r="B121" s="8" t="s">
        <v>33</v>
      </c>
      <c r="C121" s="8">
        <v>13.5</v>
      </c>
      <c r="D121" s="8" t="s">
        <v>32</v>
      </c>
      <c r="E121" s="8" t="s">
        <v>44</v>
      </c>
    </row>
    <row r="122" spans="2:12" x14ac:dyDescent="0.3">
      <c r="B122" s="8" t="s">
        <v>51</v>
      </c>
      <c r="C122" s="8">
        <v>9.9499999999999993</v>
      </c>
      <c r="D122" s="8" t="s">
        <v>30</v>
      </c>
      <c r="E122" s="8" t="s">
        <v>54</v>
      </c>
    </row>
  </sheetData>
  <customSheetViews>
    <customSheetView guid="{576A445C-3D9A-438D-AC68-B679E3D65634}" scale="120" showGridLines="0">
      <selection activeCell="H8" sqref="H8:I9"/>
      <pageMargins left="0.7" right="0.7" top="0.75" bottom="0.75" header="0.3" footer="0.3"/>
      <pageSetup orientation="portrait" r:id="rId1"/>
    </customSheetView>
    <customSheetView guid="{C1FEC2CE-0AE0-4F12-8438-BD3D230D3830}" scale="120" showGridLines="0">
      <selection activeCell="H8" sqref="H8:I9"/>
      <pageMargins left="0.7" right="0.7" top="0.75" bottom="0.75" header="0.3" footer="0.3"/>
      <pageSetup orientation="portrait" r:id="rId2"/>
    </customSheetView>
    <customSheetView guid="{A3C7F73E-8288-4122-801A-9A426BB0DFB8}" scale="120" showGridLines="0">
      <selection activeCell="H8" sqref="H8:I9"/>
      <pageMargins left="0.7" right="0.7" top="0.75" bottom="0.75" header="0.3" footer="0.3"/>
      <pageSetup orientation="portrait" r:id="rId3"/>
    </customSheetView>
    <customSheetView guid="{F102CDDA-1DB7-4BD5-8A8F-CD5640485596}" scale="120" showGridLines="0">
      <selection activeCell="H8" sqref="H8:I9"/>
      <pageMargins left="0.7" right="0.7" top="0.75" bottom="0.75" header="0.3" footer="0.3"/>
      <pageSetup orientation="portrait" r:id="rId4"/>
    </customSheetView>
    <customSheetView guid="{E18774DE-EF27-4708-91D7-FE2A7EE4C992}" scale="120" showGridLines="0">
      <selection activeCell="H8" sqref="H8:I9"/>
      <pageMargins left="0.7" right="0.7" top="0.75" bottom="0.75" header="0.3" footer="0.3"/>
      <pageSetup orientation="portrait" r:id="rId5"/>
    </customSheetView>
    <customSheetView guid="{E3977DAC-58A9-43A5-A2CD-037AE84A3934}" scale="120" showGridLines="0">
      <selection activeCell="H8" sqref="H8:I9"/>
      <pageMargins left="0.7" right="0.7" top="0.75" bottom="0.75" header="0.3" footer="0.3"/>
      <pageSetup orientation="portrait" r:id="rId6"/>
    </customSheetView>
    <customSheetView guid="{0BFB30CE-F6D9-44B3-99BA-62858BF46600}" scale="120" showGridLines="0" topLeftCell="A105">
      <selection activeCell="H8" sqref="H8:I9"/>
      <pageMargins left="0.7" right="0.7" top="0.75" bottom="0.75" header="0.3" footer="0.3"/>
      <pageSetup orientation="portrait" r:id="rId7"/>
    </customSheetView>
    <customSheetView guid="{EF2006E2-DE9B-4938-AD6F-8255BE7D529F}" scale="120" showGridLines="0" topLeftCell="A89">
      <selection activeCell="H8" sqref="H8:I9"/>
      <pageMargins left="0.7" right="0.7" top="0.75" bottom="0.75" header="0.3" footer="0.3"/>
      <pageSetup orientation="portrait" r:id="rId8"/>
    </customSheetView>
    <customSheetView guid="{5B4753E1-B7DC-40C2-A28F-B07A6CB075FE}" scale="120" showGridLines="0" topLeftCell="A73">
      <selection activeCell="H8" sqref="H8:I9"/>
      <pageMargins left="0.7" right="0.7" top="0.75" bottom="0.75" header="0.3" footer="0.3"/>
      <pageSetup orientation="portrait" r:id="rId9"/>
    </customSheetView>
    <customSheetView guid="{672B3D91-11D6-418C-A856-9FF74CE5E6FB}" scale="120" showGridLines="0" topLeftCell="A35">
      <selection activeCell="H8" sqref="H8:I9"/>
      <pageMargins left="0.7" right="0.7" top="0.75" bottom="0.75" header="0.3" footer="0.3"/>
      <pageSetup orientation="portrait" r:id="rId10"/>
    </customSheetView>
    <customSheetView guid="{E712F22D-DF79-4936-B86B-186E637372BF}" scale="120" showGridLines="0" topLeftCell="A19">
      <selection activeCell="H8" sqref="H8:I9"/>
      <pageMargins left="0.7" right="0.7" top="0.75" bottom="0.75" header="0.3" footer="0.3"/>
      <pageSetup orientation="portrait" r:id="rId11"/>
    </customSheetView>
    <customSheetView guid="{F716839F-5448-40FC-95BC-286199FD6764}" scale="120" showGridLines="0" topLeftCell="A3">
      <selection activeCell="H8" sqref="H8:I9"/>
      <pageMargins left="0.7" right="0.7" top="0.75" bottom="0.75" header="0.3" footer="0.3"/>
      <pageSetup orientation="portrait" r:id="rId12"/>
    </customSheetView>
    <customSheetView guid="{A5292A6B-6F92-4AB3-B051-EF87F39FC489}" scale="120" showGridLines="0">
      <selection activeCell="H8" sqref="H8:I9"/>
      <pageMargins left="0.7" right="0.7" top="0.75" bottom="0.75" header="0.3" footer="0.3"/>
      <pageSetup orientation="portrait" r:id="rId13"/>
    </customSheetView>
    <customSheetView guid="{6194C141-D0A1-4D58-BA55-90A184525AC3}" scale="120" showGridLines="0">
      <selection activeCell="H8" sqref="H8:I9"/>
      <pageMargins left="0.7" right="0.7" top="0.75" bottom="0.75" header="0.3" footer="0.3"/>
      <pageSetup orientation="portrait" r:id="rId14"/>
    </customSheetView>
    <customSheetView guid="{7A7FC9A5-F2B5-4894-82BC-4528575F10D4}" scale="120" showGridLines="0">
      <selection activeCell="H8" sqref="H8:I9"/>
      <pageMargins left="0.7" right="0.7" top="0.75" bottom="0.75" header="0.3" footer="0.3"/>
      <pageSetup orientation="portrait" r:id="rId15"/>
    </customSheetView>
    <customSheetView guid="{EBA5E9C4-A2DB-4DF0-BF75-1243E968318E}" scale="120" showGridLines="0">
      <selection activeCell="H8" sqref="H8:I9"/>
      <pageMargins left="0.7" right="0.7" top="0.75" bottom="0.75" header="0.3" footer="0.3"/>
      <pageSetup orientation="portrait" r:id="rId16"/>
    </customSheetView>
    <customSheetView guid="{C7330417-67A9-44CF-917F-5F5E2F191AD4}" scale="120" showGridLines="0">
      <selection activeCell="H8" sqref="H8:I9"/>
      <pageMargins left="0.7" right="0.7" top="0.75" bottom="0.75" header="0.3" footer="0.3"/>
      <pageSetup orientation="portrait" r:id="rId17"/>
    </customSheetView>
    <customSheetView guid="{47C01131-7443-4080-A2BB-6B6AA35C6913}" scale="120" showGridLines="0">
      <selection activeCell="H8" sqref="H8:I9"/>
      <pageMargins left="0.7" right="0.7" top="0.75" bottom="0.75" header="0.3" footer="0.3"/>
      <pageSetup orientation="portrait" r:id="rId18"/>
    </customSheetView>
    <customSheetView guid="{19DA6E7F-8950-4769-9BBE-2798EFA465A3}" scale="120" showGridLines="0">
      <selection activeCell="H8" sqref="H8:I9"/>
      <pageMargins left="0.7" right="0.7" top="0.75" bottom="0.75" header="0.3" footer="0.3"/>
      <pageSetup orientation="portrait" r:id="rId19"/>
    </customSheetView>
    <customSheetView guid="{F3CB97AD-592C-4B6E-8AE3-1CD47479060C}" scale="120" showGridLines="0">
      <selection activeCell="H8" sqref="H8:I9"/>
      <pageMargins left="0.7" right="0.7" top="0.75" bottom="0.75" header="0.3" footer="0.3"/>
      <pageSetup orientation="portrait" r:id="rId20"/>
    </customSheetView>
    <customSheetView guid="{422703F6-63C4-435C-AFE7-1030286678F6}" scale="120" showGridLines="0">
      <selection activeCell="H8" sqref="H8:I9"/>
      <pageMargins left="0.7" right="0.7" top="0.75" bottom="0.75" header="0.3" footer="0.3"/>
      <pageSetup orientation="portrait" r:id="rId21"/>
    </customSheetView>
    <customSheetView guid="{02D27969-4CD1-473E-A0E8-856AB0664DE8}" scale="120" showGridLines="0">
      <selection activeCell="H8" sqref="H8:I9"/>
      <pageMargins left="0.7" right="0.7" top="0.75" bottom="0.75" header="0.3" footer="0.3"/>
      <pageSetup orientation="portrait" r:id="rId22"/>
    </customSheetView>
    <customSheetView guid="{1920E7A3-1C9F-4320-81BB-D11544051025}" scale="120" showGridLines="0">
      <selection activeCell="H8" sqref="H8:I9"/>
      <pageMargins left="0.7" right="0.7" top="0.75" bottom="0.75" header="0.3" footer="0.3"/>
      <pageSetup orientation="portrait" r:id="rId23"/>
    </customSheetView>
    <customSheetView guid="{EC7537C6-1678-41C1-B788-EF4AFFECF769}" scale="120" showGridLines="0">
      <selection activeCell="H8" sqref="H8:I9"/>
      <pageMargins left="0.7" right="0.7" top="0.75" bottom="0.75" header="0.3" footer="0.3"/>
      <pageSetup orientation="portrait" r:id="rId24"/>
    </customSheetView>
    <customSheetView guid="{E4FF7DB9-14DF-49DB-9F59-1898DDED4DCE}" scale="120" showGridLines="0">
      <selection activeCell="H8" sqref="H8:I9"/>
      <pageMargins left="0.7" right="0.7" top="0.75" bottom="0.75" header="0.3" footer="0.3"/>
      <pageSetup orientation="portrait" r:id="rId25"/>
    </customSheetView>
    <customSheetView guid="{9AFCAA87-4888-4976-A7C9-C06A34CB6C97}" scale="120" showGridLines="0">
      <selection activeCell="H8" sqref="H8:I9"/>
      <pageMargins left="0.7" right="0.7" top="0.75" bottom="0.75" header="0.3" footer="0.3"/>
      <pageSetup orientation="portrait" r:id="rId26"/>
    </customSheetView>
    <customSheetView guid="{15D7A002-B247-4A6B-A16B-61BDD9B0066A}" scale="120" showGridLines="0">
      <selection activeCell="H8" sqref="H8:I9"/>
      <pageMargins left="0.7" right="0.7" top="0.75" bottom="0.75" header="0.3" footer="0.3"/>
      <pageSetup orientation="portrait" r:id="rId27"/>
    </customSheetView>
    <customSheetView guid="{F789A6E6-3D06-4D93-BF02-46FA1A2548B2}" scale="120" showGridLines="0">
      <selection activeCell="H8" sqref="H8:I9"/>
      <pageMargins left="0.7" right="0.7" top="0.75" bottom="0.75" header="0.3" footer="0.3"/>
      <pageSetup orientation="portrait" r:id="rId28"/>
    </customSheetView>
    <customSheetView guid="{629A478C-29B1-4F25-A016-63CE32A1627F}" scale="120" showGridLines="0">
      <selection activeCell="H8" sqref="H8:I9"/>
      <pageMargins left="0.7" right="0.7" top="0.75" bottom="0.75" header="0.3" footer="0.3"/>
      <pageSetup orientation="portrait" r:id="rId29"/>
    </customSheetView>
    <customSheetView guid="{51BA8A3D-4711-49ED-89E2-EBC09DF2AEDC}" scale="120" showGridLines="0">
      <selection activeCell="H8" sqref="H8:I9"/>
      <pageMargins left="0.7" right="0.7" top="0.75" bottom="0.75" header="0.3" footer="0.3"/>
      <pageSetup orientation="portrait" r:id="rId30"/>
    </customSheetView>
    <customSheetView guid="{25A4A7C0-9593-456C-861C-76D101D3FE93}" scale="120" showGridLines="0">
      <selection activeCell="H8" sqref="H8:I9"/>
      <pageMargins left="0.7" right="0.7" top="0.75" bottom="0.75" header="0.3" footer="0.3"/>
      <pageSetup orientation="portrait" r:id="rId31"/>
    </customSheetView>
    <customSheetView guid="{95D39BA8-2B16-4954-ABAC-09AD33A86339}" scale="120" showGridLines="0">
      <selection activeCell="H8" sqref="H8:I9"/>
      <pageMargins left="0.7" right="0.7" top="0.75" bottom="0.75" header="0.3" footer="0.3"/>
      <pageSetup orientation="portrait" r:id="rId32"/>
    </customSheetView>
    <customSheetView guid="{C65059E8-30E8-488B-A0E9-1B7961920C81}" scale="120" showGridLines="0">
      <selection activeCell="H8" sqref="H8:I9"/>
      <pageMargins left="0.7" right="0.7" top="0.75" bottom="0.75" header="0.3" footer="0.3"/>
      <pageSetup orientation="portrait" r:id="rId33"/>
    </customSheetView>
    <customSheetView guid="{644A6A80-0D34-48F6-A071-17016DCD2D6E}" scale="120" showGridLines="0">
      <selection activeCell="H8" sqref="H8:I9"/>
      <pageMargins left="0.7" right="0.7" top="0.75" bottom="0.75" header="0.3" footer="0.3"/>
      <pageSetup orientation="portrait" r:id="rId34"/>
    </customSheetView>
    <customSheetView guid="{CC562453-1E6B-4010-9E1B-775397A26EFA}" scale="120" showGridLines="0">
      <selection activeCell="H8" sqref="H8:I9"/>
      <pageMargins left="0.7" right="0.7" top="0.75" bottom="0.75" header="0.3" footer="0.3"/>
      <pageSetup orientation="portrait" r:id="rId35"/>
    </customSheetView>
    <customSheetView guid="{E1A67331-473F-4161-806C-BE35870C93B5}" scale="120" showGridLines="0">
      <selection activeCell="H8" sqref="H8:I9"/>
      <pageMargins left="0.7" right="0.7" top="0.75" bottom="0.75" header="0.3" footer="0.3"/>
      <pageSetup orientation="portrait" r:id="rId36"/>
    </customSheetView>
    <customSheetView guid="{BCAB4838-A37A-4BCF-A9C9-CC50C95F58C7}" scale="120" showGridLines="0">
      <selection activeCell="H8" sqref="H8:I9"/>
      <pageMargins left="0.7" right="0.7" top="0.75" bottom="0.75" header="0.3" footer="0.3"/>
      <pageSetup orientation="portrait" r:id="rId37"/>
    </customSheetView>
    <customSheetView guid="{F518ECB9-5D92-41E0-BFD2-C5175A02444D}" scale="120" showGridLines="0">
      <selection activeCell="H8" sqref="H8:I9"/>
      <pageMargins left="0.7" right="0.7" top="0.75" bottom="0.75" header="0.3" footer="0.3"/>
      <pageSetup orientation="portrait" r:id="rId38"/>
    </customSheetView>
    <customSheetView guid="{FEB5A49F-F7F7-412A-BE72-F90F7A4799C8}" scale="120" showGridLines="0">
      <selection activeCell="H8" sqref="H8:I9"/>
      <pageMargins left="0.7" right="0.7" top="0.75" bottom="0.75" header="0.3" footer="0.3"/>
      <pageSetup orientation="portrait" r:id="rId39"/>
    </customSheetView>
    <customSheetView guid="{F9A03991-7A83-41AE-B603-3D22265CDA22}" scale="120" showGridLines="0">
      <selection activeCell="H8" sqref="H8:I9"/>
      <pageMargins left="0.7" right="0.7" top="0.75" bottom="0.75" header="0.3" footer="0.3"/>
      <pageSetup orientation="portrait" r:id="rId40"/>
    </customSheetView>
    <customSheetView guid="{8A25BF65-C908-4B2F-9805-3CD39BD4330E}" scale="120" showGridLines="0">
      <selection activeCell="H8" sqref="H8:I9"/>
      <pageMargins left="0.7" right="0.7" top="0.75" bottom="0.75" header="0.3" footer="0.3"/>
      <pageSetup orientation="portrait" r:id="rId41"/>
    </customSheetView>
    <customSheetView guid="{5C8F4C13-387F-42D2-8CB5-92C4886D7919}" scale="120" showGridLines="0">
      <selection activeCell="H8" sqref="H8:I9"/>
      <pageMargins left="0.7" right="0.7" top="0.75" bottom="0.75" header="0.3" footer="0.3"/>
      <pageSetup orientation="portrait" r:id="rId42"/>
    </customSheetView>
    <customSheetView guid="{395DC3D6-3299-4A43-88E2-62703FCC0349}" scale="120" showGridLines="0">
      <selection activeCell="H8" sqref="H8:I9"/>
      <pageMargins left="0.7" right="0.7" top="0.75" bottom="0.75" header="0.3" footer="0.3"/>
      <pageSetup orientation="portrait" r:id="rId43"/>
    </customSheetView>
    <customSheetView guid="{FC8D231F-57F9-45EE-9DEF-D7ED111600EB}" scale="120" showGridLines="0">
      <selection activeCell="H8" sqref="H8:I9"/>
      <pageMargins left="0.7" right="0.7" top="0.75" bottom="0.75" header="0.3" footer="0.3"/>
      <pageSetup orientation="portrait" r:id="rId44"/>
    </customSheetView>
    <customSheetView guid="{7A9AB605-DB82-470C-B86B-95E2AB3523F6}" scale="120" showGridLines="0">
      <selection activeCell="H8" sqref="H8:I9"/>
      <pageMargins left="0.7" right="0.7" top="0.75" bottom="0.75" header="0.3" footer="0.3"/>
      <pageSetup orientation="portrait" r:id="rId45"/>
    </customSheetView>
    <customSheetView guid="{0125BE01-BBC8-4E5A-9A9A-3D1257916B8C}" scale="120" showGridLines="0">
      <selection activeCell="H8" sqref="H8:I9"/>
      <pageMargins left="0.7" right="0.7" top="0.75" bottom="0.75" header="0.3" footer="0.3"/>
      <pageSetup orientation="portrait" r:id="rId46"/>
    </customSheetView>
    <customSheetView guid="{8BEA0E04-8B9A-4A2D-9B80-4E7685E22D5E}" scale="120" showGridLines="0">
      <selection activeCell="H8" sqref="H8:I9"/>
      <pageMargins left="0.7" right="0.7" top="0.75" bottom="0.75" header="0.3" footer="0.3"/>
      <pageSetup orientation="portrait" r:id="rId47"/>
    </customSheetView>
    <customSheetView guid="{EE4A95A5-BF42-4BAA-B9EB-84A9230A28F9}" scale="120" showGridLines="0">
      <selection activeCell="H8" sqref="H8:I9"/>
      <pageMargins left="0.7" right="0.7" top="0.75" bottom="0.75" header="0.3" footer="0.3"/>
      <pageSetup orientation="portrait" r:id="rId48"/>
    </customSheetView>
    <customSheetView guid="{2032DE14-E33D-44B5-9022-A2B48F059704}" scale="120" showGridLines="0">
      <selection activeCell="H8" sqref="H8:I9"/>
      <pageMargins left="0.7" right="0.7" top="0.75" bottom="0.75" header="0.3" footer="0.3"/>
      <pageSetup orientation="portrait" r:id="rId49"/>
    </customSheetView>
    <customSheetView guid="{DF16608F-40E8-490E-B08D-ED6EEAB8B9EC}" scale="120" showGridLines="0">
      <selection activeCell="H8" sqref="H8:I9"/>
      <pageMargins left="0.7" right="0.7" top="0.75" bottom="0.75" header="0.3" footer="0.3"/>
      <pageSetup orientation="portrait" r:id="rId50"/>
    </customSheetView>
    <customSheetView guid="{2CEDB1FB-2942-4B51-BF30-285DCDB05292}" scale="120" showGridLines="0">
      <selection activeCell="H8" sqref="H8:I9"/>
      <pageMargins left="0.7" right="0.7" top="0.75" bottom="0.75" header="0.3" footer="0.3"/>
      <pageSetup orientation="portrait" r:id="rId51"/>
    </customSheetView>
    <customSheetView guid="{E4375DB4-4B74-46BC-A9F2-C5C5055B366F}" scale="120" showGridLines="0">
      <selection activeCell="H8" sqref="H8:I9"/>
      <pageMargins left="0.7" right="0.7" top="0.75" bottom="0.75" header="0.3" footer="0.3"/>
      <pageSetup orientation="portrait" r:id="rId52"/>
    </customSheetView>
    <customSheetView guid="{58306194-C83B-413E-AC5F-AD717216CB21}" scale="120" showGridLines="0">
      <selection activeCell="H8" sqref="H8:I9"/>
      <pageMargins left="0.7" right="0.7" top="0.75" bottom="0.75" header="0.3" footer="0.3"/>
      <pageSetup orientation="portrait" r:id="rId53"/>
    </customSheetView>
    <customSheetView guid="{81DEBAD0-6E86-4DFB-8642-C52E8C976BDA}" scale="120" showGridLines="0">
      <selection activeCell="H8" sqref="H8:I9"/>
      <pageMargins left="0.7" right="0.7" top="0.75" bottom="0.75" header="0.3" footer="0.3"/>
      <pageSetup orientation="portrait" r:id="rId54"/>
    </customSheetView>
    <customSheetView guid="{C575B46A-1D4C-489C-97AE-5DAB6560E171}" scale="120" showGridLines="0">
      <selection activeCell="H8" sqref="H8:I9"/>
      <pageMargins left="0.7" right="0.7" top="0.75" bottom="0.75" header="0.3" footer="0.3"/>
      <pageSetup orientation="portrait" r:id="rId55"/>
    </customSheetView>
    <customSheetView guid="{C908A6D6-4C77-416B-BC46-6F501B5F842F}" scale="120" showGridLines="0">
      <selection activeCell="H8" sqref="H8:I9"/>
      <pageMargins left="0.7" right="0.7" top="0.75" bottom="0.75" header="0.3" footer="0.3"/>
      <pageSetup orientation="portrait" r:id="rId56"/>
    </customSheetView>
    <customSheetView guid="{CE50DC7E-3038-4337-BAC8-5B16EE1D95B0}" scale="120" showGridLines="0">
      <selection activeCell="H8" sqref="H8:I9"/>
      <pageMargins left="0.7" right="0.7" top="0.75" bottom="0.75" header="0.3" footer="0.3"/>
      <pageSetup orientation="portrait" r:id="rId57"/>
    </customSheetView>
    <customSheetView guid="{3511E245-32F9-4CFF-8540-6B03C6FAE218}" scale="120" showGridLines="0">
      <selection activeCell="H8" sqref="H8:I9"/>
      <pageMargins left="0.7" right="0.7" top="0.75" bottom="0.75" header="0.3" footer="0.3"/>
      <pageSetup orientation="portrait" r:id="rId58"/>
    </customSheetView>
    <customSheetView guid="{DFE0B66A-2DCB-4802-A91B-F836707AD43C}" scale="120" showGridLines="0">
      <selection activeCell="H8" sqref="H8:I9"/>
      <pageMargins left="0.7" right="0.7" top="0.75" bottom="0.75" header="0.3" footer="0.3"/>
      <pageSetup orientation="portrait" r:id="rId59"/>
    </customSheetView>
    <customSheetView guid="{0458C18D-9EF5-4516-9145-CA54D8EB1865}" scale="120" showGridLines="0">
      <selection activeCell="H8" sqref="H8:I9"/>
      <pageMargins left="0.7" right="0.7" top="0.75" bottom="0.75" header="0.3" footer="0.3"/>
      <pageSetup orientation="portrait" r:id="rId60"/>
    </customSheetView>
    <customSheetView guid="{0E02FCC8-6440-4859-9F6B-C77617EF5D89}" scale="120" showGridLines="0">
      <selection activeCell="H8" sqref="H8:I9"/>
      <pageMargins left="0.7" right="0.7" top="0.75" bottom="0.75" header="0.3" footer="0.3"/>
      <pageSetup orientation="portrait" r:id="rId61"/>
    </customSheetView>
    <customSheetView guid="{EE811897-5BF5-4321-9879-5B7EDF90A350}" scale="120" showGridLines="0">
      <selection activeCell="H8" sqref="H8:I9"/>
      <pageMargins left="0.7" right="0.7" top="0.75" bottom="0.75" header="0.3" footer="0.3"/>
      <pageSetup orientation="portrait" r:id="rId62"/>
    </customSheetView>
    <customSheetView guid="{FF03E81F-A9A8-4546-A9C3-77A6EEA02ED9}" scale="120" showGridLines="0">
      <selection activeCell="H8" sqref="H8:I9"/>
      <pageMargins left="0.7" right="0.7" top="0.75" bottom="0.75" header="0.3" footer="0.3"/>
      <pageSetup orientation="portrait" r:id="rId63"/>
    </customSheetView>
    <customSheetView guid="{D9413B31-FDB2-4AE8-80A8-7F09954E703C}" scale="120" showGridLines="0">
      <selection activeCell="H8" sqref="H8:I9"/>
      <pageMargins left="0.7" right="0.7" top="0.75" bottom="0.75" header="0.3" footer="0.3"/>
      <pageSetup orientation="portrait" r:id="rId64"/>
    </customSheetView>
    <customSheetView guid="{B19B24CB-B859-49E3-8AE0-2D671510EE4F}" scale="120" showGridLines="0">
      <selection activeCell="H8" sqref="H8:I9"/>
      <pageMargins left="0.7" right="0.7" top="0.75" bottom="0.75" header="0.3" footer="0.3"/>
      <pageSetup orientation="portrait" r:id="rId65"/>
    </customSheetView>
    <customSheetView guid="{0BF42E77-7016-4BE4-A5AB-A49974630D91}" scale="120" showGridLines="0">
      <selection activeCell="H8" sqref="H8:I9"/>
      <pageMargins left="0.7" right="0.7" top="0.75" bottom="0.75" header="0.3" footer="0.3"/>
      <pageSetup orientation="portrait" r:id="rId66"/>
    </customSheetView>
    <customSheetView guid="{C453A932-6110-4A84-A9C2-26C809391387}" scale="120" showGridLines="0">
      <selection activeCell="H8" sqref="H8:I9"/>
      <pageMargins left="0.7" right="0.7" top="0.75" bottom="0.75" header="0.3" footer="0.3"/>
      <pageSetup orientation="portrait" r:id="rId67"/>
    </customSheetView>
    <customSheetView guid="{08E755F8-82E9-4D95-862B-81F55FBDDDF6}" scale="120" showGridLines="0">
      <selection activeCell="H8" sqref="H8:I9"/>
      <pageMargins left="0.7" right="0.7" top="0.75" bottom="0.75" header="0.3" footer="0.3"/>
      <pageSetup orientation="portrait" r:id="rId68"/>
    </customSheetView>
    <customSheetView guid="{86D36E03-787A-41EB-85FF-8BB8A222055B}" scale="120" showGridLines="0">
      <selection activeCell="H8" sqref="H8:I9"/>
      <pageMargins left="0.7" right="0.7" top="0.75" bottom="0.75" header="0.3" footer="0.3"/>
      <pageSetup orientation="portrait" r:id="rId69"/>
    </customSheetView>
  </customSheetViews>
  <mergeCells count="12">
    <mergeCell ref="G72:H73"/>
    <mergeCell ref="I72:I73"/>
    <mergeCell ref="G94:H95"/>
    <mergeCell ref="I94:I95"/>
    <mergeCell ref="G115:H116"/>
    <mergeCell ref="I115:I116"/>
    <mergeCell ref="G8:H9"/>
    <mergeCell ref="I8:I9"/>
    <mergeCell ref="G29:H30"/>
    <mergeCell ref="I29:I30"/>
    <mergeCell ref="G51:H52"/>
    <mergeCell ref="I51:I52"/>
  </mergeCells>
  <conditionalFormatting sqref="I8">
    <cfRule type="expression" dxfId="52" priority="4">
      <formula>$I8=$L8</formula>
    </cfRule>
  </conditionalFormatting>
  <conditionalFormatting sqref="I29">
    <cfRule type="expression" dxfId="51" priority="5">
      <formula>$I29=$L29</formula>
    </cfRule>
  </conditionalFormatting>
  <conditionalFormatting sqref="I51">
    <cfRule type="expression" dxfId="50" priority="6">
      <formula>$I51=$L51</formula>
    </cfRule>
  </conditionalFormatting>
  <conditionalFormatting sqref="I72">
    <cfRule type="expression" dxfId="49" priority="3">
      <formula>$I72=$L72</formula>
    </cfRule>
  </conditionalFormatting>
  <conditionalFormatting sqref="I94">
    <cfRule type="expression" dxfId="48" priority="2">
      <formula>$I94=$L94</formula>
    </cfRule>
  </conditionalFormatting>
  <conditionalFormatting sqref="I115">
    <cfRule type="expression" dxfId="47" priority="1">
      <formula>$I115=$L115</formula>
    </cfRule>
  </conditionalFormatting>
  <pageMargins left="0.7" right="0.7" top="0.75" bottom="0.75" header="0.3" footer="0.3"/>
  <pageSetup orientation="portrait" r:id="rId70"/>
  <drawing r:id="rId7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214F7-6270-4AE4-94ED-E836825A74F3}">
  <sheetPr codeName="Sheet7">
    <pageSetUpPr autoPageBreaks="0"/>
  </sheetPr>
  <dimension ref="B4:M118"/>
  <sheetViews>
    <sheetView showGridLines="0" topLeftCell="B92" zoomScale="110" zoomScaleNormal="110" workbookViewId="0">
      <selection activeCell="J70" sqref="J70"/>
    </sheetView>
  </sheetViews>
  <sheetFormatPr defaultRowHeight="18.75" x14ac:dyDescent="0.3"/>
  <cols>
    <col min="1" max="1" width="8.7109375" style="7" customWidth="1"/>
    <col min="2" max="2" width="17.140625" style="7" bestFit="1" customWidth="1"/>
    <col min="3" max="3" width="8.28515625" style="7" bestFit="1" customWidth="1"/>
    <col min="4" max="4" width="13.85546875" style="7" bestFit="1" customWidth="1"/>
    <col min="5" max="5" width="19.7109375" style="7" bestFit="1" customWidth="1"/>
    <col min="6" max="6" width="9.140625" style="7"/>
    <col min="7" max="7" width="4.85546875" style="7" customWidth="1"/>
    <col min="8" max="8" width="20.28515625" style="7" customWidth="1"/>
    <col min="9" max="9" width="15.28515625" style="7" customWidth="1"/>
    <col min="10" max="10" width="27.140625" style="7" bestFit="1" customWidth="1"/>
    <col min="11" max="16384" width="9.140625" style="7"/>
  </cols>
  <sheetData>
    <row r="4" spans="2:13" x14ac:dyDescent="0.3">
      <c r="B4" s="9" t="s">
        <v>40</v>
      </c>
      <c r="C4" s="9" t="s">
        <v>39</v>
      </c>
      <c r="D4" s="9" t="s">
        <v>38</v>
      </c>
      <c r="E4" s="9" t="s">
        <v>42</v>
      </c>
    </row>
    <row r="5" spans="2:13" x14ac:dyDescent="0.3">
      <c r="B5" s="8" t="s">
        <v>37</v>
      </c>
      <c r="C5" s="8">
        <v>7.85</v>
      </c>
      <c r="D5" s="8" t="s">
        <v>36</v>
      </c>
      <c r="E5" s="8" t="s">
        <v>43</v>
      </c>
    </row>
    <row r="6" spans="2:13" ht="18.75" customHeight="1" x14ac:dyDescent="0.3">
      <c r="B6" s="8" t="s">
        <v>35</v>
      </c>
      <c r="C6" s="8">
        <v>3.25</v>
      </c>
      <c r="D6" s="8" t="s">
        <v>34</v>
      </c>
      <c r="E6" s="8" t="s">
        <v>44</v>
      </c>
    </row>
    <row r="7" spans="2:13" ht="21" customHeight="1" x14ac:dyDescent="0.3">
      <c r="B7" s="8" t="s">
        <v>33</v>
      </c>
      <c r="C7" s="8">
        <v>12.5</v>
      </c>
      <c r="D7" s="8" t="s">
        <v>32</v>
      </c>
      <c r="E7" s="8" t="s">
        <v>45</v>
      </c>
    </row>
    <row r="8" spans="2:13" x14ac:dyDescent="0.3">
      <c r="B8" s="8" t="s">
        <v>31</v>
      </c>
      <c r="C8" s="8">
        <v>6.35</v>
      </c>
      <c r="D8" s="8" t="s">
        <v>30</v>
      </c>
      <c r="E8" s="8" t="s">
        <v>43</v>
      </c>
      <c r="H8" s="31" t="s">
        <v>65</v>
      </c>
      <c r="I8" s="31"/>
      <c r="J8" s="32">
        <f>COUNTIF(E5:E16,"Mar")</f>
        <v>4</v>
      </c>
      <c r="M8" s="10">
        <f>COUNTIF(E5:E16,"Mar")</f>
        <v>4</v>
      </c>
    </row>
    <row r="9" spans="2:13" x14ac:dyDescent="0.3">
      <c r="B9" s="8" t="s">
        <v>29</v>
      </c>
      <c r="C9" s="8">
        <v>2.5</v>
      </c>
      <c r="D9" s="8" t="s">
        <v>28</v>
      </c>
      <c r="E9" s="8" t="s">
        <v>44</v>
      </c>
      <c r="H9" s="31"/>
      <c r="I9" s="31"/>
      <c r="J9" s="32"/>
    </row>
    <row r="10" spans="2:13" x14ac:dyDescent="0.3">
      <c r="B10" s="8" t="s">
        <v>27</v>
      </c>
      <c r="C10" s="8">
        <v>6.5</v>
      </c>
      <c r="D10" s="8" t="s">
        <v>26</v>
      </c>
      <c r="E10" s="8" t="s">
        <v>45</v>
      </c>
    </row>
    <row r="11" spans="2:13" x14ac:dyDescent="0.3">
      <c r="B11" s="8" t="s">
        <v>37</v>
      </c>
      <c r="C11" s="8">
        <v>8.75</v>
      </c>
      <c r="D11" s="8" t="s">
        <v>36</v>
      </c>
      <c r="E11" s="8" t="s">
        <v>43</v>
      </c>
    </row>
    <row r="12" spans="2:13" x14ac:dyDescent="0.3">
      <c r="B12" s="8" t="s">
        <v>31</v>
      </c>
      <c r="C12" s="8">
        <v>4.6500000000000004</v>
      </c>
      <c r="D12" s="8" t="s">
        <v>30</v>
      </c>
      <c r="E12" s="8" t="s">
        <v>44</v>
      </c>
    </row>
    <row r="13" spans="2:13" x14ac:dyDescent="0.3">
      <c r="B13" s="8" t="s">
        <v>37</v>
      </c>
      <c r="C13" s="8">
        <v>12.85</v>
      </c>
      <c r="D13" s="8" t="s">
        <v>36</v>
      </c>
      <c r="E13" s="8" t="s">
        <v>45</v>
      </c>
    </row>
    <row r="14" spans="2:13" ht="18.75" customHeight="1" x14ac:dyDescent="0.3">
      <c r="B14" s="8" t="s">
        <v>35</v>
      </c>
      <c r="C14" s="8">
        <v>8.25</v>
      </c>
      <c r="D14" s="8" t="s">
        <v>34</v>
      </c>
      <c r="E14" s="8" t="s">
        <v>43</v>
      </c>
    </row>
    <row r="15" spans="2:13" x14ac:dyDescent="0.3">
      <c r="B15" s="8" t="s">
        <v>33</v>
      </c>
      <c r="C15" s="8">
        <v>13.5</v>
      </c>
      <c r="D15" s="8" t="s">
        <v>32</v>
      </c>
      <c r="E15" s="8" t="s">
        <v>44</v>
      </c>
    </row>
    <row r="16" spans="2:13" x14ac:dyDescent="0.3">
      <c r="B16" s="8" t="s">
        <v>31</v>
      </c>
      <c r="C16" s="8">
        <v>9.9499999999999993</v>
      </c>
      <c r="D16" s="8" t="s">
        <v>30</v>
      </c>
      <c r="E16" s="8" t="s">
        <v>45</v>
      </c>
    </row>
    <row r="24" spans="2:13" x14ac:dyDescent="0.3">
      <c r="B24" s="9" t="s">
        <v>40</v>
      </c>
      <c r="C24" s="9" t="s">
        <v>39</v>
      </c>
      <c r="D24" s="9" t="s">
        <v>38</v>
      </c>
      <c r="E24" s="9" t="s">
        <v>42</v>
      </c>
    </row>
    <row r="25" spans="2:13" x14ac:dyDescent="0.3">
      <c r="B25" s="8" t="s">
        <v>37</v>
      </c>
      <c r="C25" s="8">
        <v>7.85</v>
      </c>
      <c r="D25" s="8" t="s">
        <v>36</v>
      </c>
      <c r="E25" s="8" t="s">
        <v>43</v>
      </c>
    </row>
    <row r="26" spans="2:13" x14ac:dyDescent="0.3">
      <c r="B26" s="8" t="s">
        <v>35</v>
      </c>
      <c r="C26" s="8">
        <v>3.25</v>
      </c>
      <c r="D26" s="8" t="s">
        <v>34</v>
      </c>
      <c r="E26" s="8" t="s">
        <v>44</v>
      </c>
    </row>
    <row r="27" spans="2:13" x14ac:dyDescent="0.3">
      <c r="B27" s="8" t="s">
        <v>33</v>
      </c>
      <c r="C27" s="8">
        <v>12.5</v>
      </c>
      <c r="D27" s="8" t="s">
        <v>32</v>
      </c>
      <c r="E27" s="8" t="s">
        <v>45</v>
      </c>
    </row>
    <row r="28" spans="2:13" x14ac:dyDescent="0.3">
      <c r="B28" s="8" t="s">
        <v>31</v>
      </c>
      <c r="C28" s="8">
        <v>6.35</v>
      </c>
      <c r="D28" s="8" t="s">
        <v>30</v>
      </c>
      <c r="E28" s="8" t="s">
        <v>43</v>
      </c>
      <c r="H28" s="31" t="s">
        <v>66</v>
      </c>
      <c r="I28" s="31"/>
      <c r="J28" s="32">
        <f>COUNTIF(D25:D36,"Amazon")</f>
        <v>3</v>
      </c>
      <c r="M28" s="10">
        <f>COUNTIF(D25:D36,"Amazon")</f>
        <v>3</v>
      </c>
    </row>
    <row r="29" spans="2:13" x14ac:dyDescent="0.3">
      <c r="B29" s="8" t="s">
        <v>29</v>
      </c>
      <c r="C29" s="8">
        <v>2.5</v>
      </c>
      <c r="D29" s="8" t="s">
        <v>28</v>
      </c>
      <c r="E29" s="8" t="s">
        <v>44</v>
      </c>
      <c r="H29" s="31"/>
      <c r="I29" s="31"/>
      <c r="J29" s="32"/>
    </row>
    <row r="30" spans="2:13" x14ac:dyDescent="0.3">
      <c r="B30" s="8" t="s">
        <v>27</v>
      </c>
      <c r="C30" s="8">
        <v>6.5</v>
      </c>
      <c r="D30" s="8" t="s">
        <v>26</v>
      </c>
      <c r="E30" s="8" t="s">
        <v>45</v>
      </c>
    </row>
    <row r="31" spans="2:13" x14ac:dyDescent="0.3">
      <c r="B31" s="8" t="s">
        <v>37</v>
      </c>
      <c r="C31" s="8">
        <v>8.75</v>
      </c>
      <c r="D31" s="8" t="s">
        <v>36</v>
      </c>
      <c r="E31" s="8" t="s">
        <v>43</v>
      </c>
    </row>
    <row r="32" spans="2:13" x14ac:dyDescent="0.3">
      <c r="B32" s="8" t="s">
        <v>31</v>
      </c>
      <c r="C32" s="8">
        <v>4.6500000000000004</v>
      </c>
      <c r="D32" s="8" t="s">
        <v>30</v>
      </c>
      <c r="E32" s="8" t="s">
        <v>44</v>
      </c>
    </row>
    <row r="33" spans="2:10" x14ac:dyDescent="0.3">
      <c r="B33" s="8" t="s">
        <v>37</v>
      </c>
      <c r="C33" s="8">
        <v>12.85</v>
      </c>
      <c r="D33" s="8" t="s">
        <v>36</v>
      </c>
      <c r="E33" s="8" t="s">
        <v>45</v>
      </c>
    </row>
    <row r="34" spans="2:10" x14ac:dyDescent="0.3">
      <c r="B34" s="8" t="s">
        <v>35</v>
      </c>
      <c r="C34" s="8">
        <v>8.25</v>
      </c>
      <c r="D34" s="8" t="s">
        <v>34</v>
      </c>
      <c r="E34" s="8" t="s">
        <v>43</v>
      </c>
    </row>
    <row r="35" spans="2:10" x14ac:dyDescent="0.3">
      <c r="B35" s="8" t="s">
        <v>33</v>
      </c>
      <c r="C35" s="8">
        <v>13.5</v>
      </c>
      <c r="D35" s="8" t="s">
        <v>32</v>
      </c>
      <c r="E35" s="8" t="s">
        <v>44</v>
      </c>
    </row>
    <row r="36" spans="2:10" x14ac:dyDescent="0.3">
      <c r="B36" s="8" t="s">
        <v>31</v>
      </c>
      <c r="C36" s="8">
        <v>9.9499999999999993</v>
      </c>
      <c r="D36" s="8" t="s">
        <v>30</v>
      </c>
      <c r="E36" s="8" t="s">
        <v>45</v>
      </c>
    </row>
    <row r="45" spans="2:10" x14ac:dyDescent="0.3">
      <c r="B45" s="9" t="s">
        <v>40</v>
      </c>
      <c r="C45" s="9" t="s">
        <v>39</v>
      </c>
      <c r="D45" s="9" t="s">
        <v>38</v>
      </c>
      <c r="E45" s="9" t="s">
        <v>42</v>
      </c>
    </row>
    <row r="46" spans="2:10" x14ac:dyDescent="0.3">
      <c r="B46" s="8" t="s">
        <v>37</v>
      </c>
      <c r="C46" s="8">
        <v>7.85</v>
      </c>
      <c r="D46" s="8" t="s">
        <v>36</v>
      </c>
      <c r="E46" s="8" t="s">
        <v>43</v>
      </c>
    </row>
    <row r="47" spans="2:10" x14ac:dyDescent="0.3">
      <c r="B47" s="8" t="s">
        <v>35</v>
      </c>
      <c r="C47" s="8">
        <v>3.25</v>
      </c>
      <c r="D47" s="8" t="s">
        <v>34</v>
      </c>
      <c r="E47" s="8" t="s">
        <v>44</v>
      </c>
    </row>
    <row r="48" spans="2:10" x14ac:dyDescent="0.3">
      <c r="B48" s="8" t="s">
        <v>33</v>
      </c>
      <c r="C48" s="8">
        <v>12.5</v>
      </c>
      <c r="D48" s="8" t="s">
        <v>32</v>
      </c>
      <c r="E48" s="8" t="s">
        <v>45</v>
      </c>
      <c r="I48" s="11" t="s">
        <v>48</v>
      </c>
      <c r="J48" s="11" t="s">
        <v>33</v>
      </c>
    </row>
    <row r="49" spans="2:13" x14ac:dyDescent="0.3">
      <c r="B49" s="8" t="s">
        <v>31</v>
      </c>
      <c r="C49" s="8">
        <v>6.35</v>
      </c>
      <c r="D49" s="8" t="s">
        <v>30</v>
      </c>
      <c r="E49" s="8" t="s">
        <v>43</v>
      </c>
      <c r="H49" s="31" t="s">
        <v>67</v>
      </c>
      <c r="I49" s="31"/>
      <c r="J49" s="32">
        <f>COUNTIF(B46:B57,"Kiwi")</f>
        <v>2</v>
      </c>
      <c r="M49" s="10">
        <f>COUNTIF(B46:B57,J48)</f>
        <v>2</v>
      </c>
    </row>
    <row r="50" spans="2:13" x14ac:dyDescent="0.3">
      <c r="B50" s="8" t="s">
        <v>29</v>
      </c>
      <c r="C50" s="8">
        <v>2.5</v>
      </c>
      <c r="D50" s="8" t="s">
        <v>28</v>
      </c>
      <c r="E50" s="8" t="s">
        <v>44</v>
      </c>
      <c r="H50" s="31"/>
      <c r="I50" s="31"/>
      <c r="J50" s="32"/>
    </row>
    <row r="51" spans="2:13" x14ac:dyDescent="0.3">
      <c r="B51" s="8" t="s">
        <v>27</v>
      </c>
      <c r="C51" s="8">
        <v>6.5</v>
      </c>
      <c r="D51" s="8" t="s">
        <v>26</v>
      </c>
      <c r="E51" s="8" t="s">
        <v>45</v>
      </c>
    </row>
    <row r="52" spans="2:13" x14ac:dyDescent="0.3">
      <c r="B52" s="8" t="s">
        <v>37</v>
      </c>
      <c r="C52" s="8">
        <v>8.75</v>
      </c>
      <c r="D52" s="8" t="s">
        <v>36</v>
      </c>
      <c r="E52" s="8" t="s">
        <v>43</v>
      </c>
    </row>
    <row r="53" spans="2:13" x14ac:dyDescent="0.3">
      <c r="B53" s="8" t="s">
        <v>31</v>
      </c>
      <c r="C53" s="8">
        <v>4.6500000000000004</v>
      </c>
      <c r="D53" s="8" t="s">
        <v>30</v>
      </c>
      <c r="E53" s="8" t="s">
        <v>44</v>
      </c>
    </row>
    <row r="54" spans="2:13" x14ac:dyDescent="0.3">
      <c r="B54" s="8" t="s">
        <v>37</v>
      </c>
      <c r="C54" s="8">
        <v>12.85</v>
      </c>
      <c r="D54" s="8" t="s">
        <v>36</v>
      </c>
      <c r="E54" s="8" t="s">
        <v>45</v>
      </c>
    </row>
    <row r="55" spans="2:13" x14ac:dyDescent="0.3">
      <c r="B55" s="8" t="s">
        <v>35</v>
      </c>
      <c r="C55" s="8">
        <v>8.25</v>
      </c>
      <c r="D55" s="8" t="s">
        <v>34</v>
      </c>
      <c r="E55" s="8" t="s">
        <v>43</v>
      </c>
    </row>
    <row r="56" spans="2:13" x14ac:dyDescent="0.3">
      <c r="B56" s="8" t="s">
        <v>33</v>
      </c>
      <c r="C56" s="8">
        <v>13.5</v>
      </c>
      <c r="D56" s="8" t="s">
        <v>32</v>
      </c>
      <c r="E56" s="8" t="s">
        <v>44</v>
      </c>
    </row>
    <row r="57" spans="2:13" x14ac:dyDescent="0.3">
      <c r="B57" s="8" t="s">
        <v>31</v>
      </c>
      <c r="C57" s="8">
        <v>9.9499999999999993</v>
      </c>
      <c r="D57" s="8" t="s">
        <v>30</v>
      </c>
      <c r="E57" s="8" t="s">
        <v>45</v>
      </c>
    </row>
    <row r="64" spans="2:13" x14ac:dyDescent="0.3">
      <c r="B64" s="9" t="s">
        <v>40</v>
      </c>
      <c r="C64" s="9" t="s">
        <v>39</v>
      </c>
      <c r="D64" s="9" t="s">
        <v>38</v>
      </c>
      <c r="E64" s="9" t="s">
        <v>42</v>
      </c>
    </row>
    <row r="65" spans="2:13" x14ac:dyDescent="0.3">
      <c r="B65" s="8" t="s">
        <v>37</v>
      </c>
      <c r="C65" s="8">
        <v>7.85</v>
      </c>
      <c r="D65" s="8" t="s">
        <v>36</v>
      </c>
      <c r="E65" s="8" t="s">
        <v>43</v>
      </c>
    </row>
    <row r="66" spans="2:13" x14ac:dyDescent="0.3">
      <c r="B66" s="8" t="s">
        <v>35</v>
      </c>
      <c r="C66" s="8">
        <v>3.25</v>
      </c>
      <c r="D66" s="8" t="s">
        <v>34</v>
      </c>
      <c r="E66" s="8" t="s">
        <v>44</v>
      </c>
    </row>
    <row r="67" spans="2:13" x14ac:dyDescent="0.3">
      <c r="B67" s="8" t="s">
        <v>33</v>
      </c>
      <c r="C67" s="8">
        <v>12.5</v>
      </c>
      <c r="D67" s="8" t="s">
        <v>32</v>
      </c>
      <c r="E67" s="8" t="s">
        <v>56</v>
      </c>
      <c r="I67" s="11"/>
      <c r="J67" s="11"/>
    </row>
    <row r="68" spans="2:13" x14ac:dyDescent="0.3">
      <c r="B68" s="8" t="s">
        <v>31</v>
      </c>
      <c r="C68" s="8">
        <v>6.35</v>
      </c>
      <c r="D68" s="8" t="s">
        <v>30</v>
      </c>
      <c r="E68" s="8" t="s">
        <v>43</v>
      </c>
      <c r="H68" s="36" t="s">
        <v>68</v>
      </c>
      <c r="I68" s="36"/>
      <c r="J68" s="32">
        <f>COUNTIF(B65:B76,"*apple*")</f>
        <v>5</v>
      </c>
      <c r="M68" s="10">
        <f>COUNTIF(B65:B76,"*apple*")</f>
        <v>5</v>
      </c>
    </row>
    <row r="69" spans="2:13" x14ac:dyDescent="0.3">
      <c r="B69" s="8" t="s">
        <v>29</v>
      </c>
      <c r="C69" s="8">
        <v>2.5</v>
      </c>
      <c r="D69" s="8" t="s">
        <v>28</v>
      </c>
      <c r="E69" s="8" t="s">
        <v>55</v>
      </c>
      <c r="H69" s="36"/>
      <c r="I69" s="36"/>
      <c r="J69" s="32"/>
    </row>
    <row r="70" spans="2:13" x14ac:dyDescent="0.3">
      <c r="B70" s="8" t="s">
        <v>27</v>
      </c>
      <c r="C70" s="8">
        <v>6.5</v>
      </c>
      <c r="D70" s="8" t="s">
        <v>26</v>
      </c>
      <c r="E70" s="8" t="s">
        <v>45</v>
      </c>
    </row>
    <row r="71" spans="2:13" ht="18.75" customHeight="1" x14ac:dyDescent="0.3">
      <c r="B71" s="8" t="s">
        <v>37</v>
      </c>
      <c r="C71" s="8">
        <v>8.75</v>
      </c>
      <c r="D71" s="8" t="s">
        <v>36</v>
      </c>
      <c r="E71" s="8" t="s">
        <v>43</v>
      </c>
    </row>
    <row r="72" spans="2:13" x14ac:dyDescent="0.3">
      <c r="B72" s="8" t="s">
        <v>31</v>
      </c>
      <c r="C72" s="8">
        <v>4.6500000000000004</v>
      </c>
      <c r="D72" s="8" t="s">
        <v>30</v>
      </c>
      <c r="E72" s="8" t="s">
        <v>44</v>
      </c>
    </row>
    <row r="73" spans="2:13" x14ac:dyDescent="0.3">
      <c r="B73" s="8" t="s">
        <v>37</v>
      </c>
      <c r="C73" s="8">
        <v>12.85</v>
      </c>
      <c r="D73" s="8" t="s">
        <v>36</v>
      </c>
      <c r="E73" s="8" t="s">
        <v>53</v>
      </c>
    </row>
    <row r="74" spans="2:13" ht="18.75" customHeight="1" x14ac:dyDescent="0.3">
      <c r="B74" s="8" t="s">
        <v>50</v>
      </c>
      <c r="C74" s="8">
        <v>8.25</v>
      </c>
      <c r="D74" s="8" t="s">
        <v>34</v>
      </c>
      <c r="E74" s="8" t="s">
        <v>43</v>
      </c>
    </row>
    <row r="75" spans="2:13" x14ac:dyDescent="0.3">
      <c r="B75" s="8" t="s">
        <v>33</v>
      </c>
      <c r="C75" s="8">
        <v>13.5</v>
      </c>
      <c r="D75" s="8" t="s">
        <v>32</v>
      </c>
      <c r="E75" s="8" t="s">
        <v>44</v>
      </c>
    </row>
    <row r="76" spans="2:13" x14ac:dyDescent="0.3">
      <c r="B76" s="8" t="s">
        <v>51</v>
      </c>
      <c r="C76" s="8">
        <v>9.9499999999999993</v>
      </c>
      <c r="D76" s="8" t="s">
        <v>30</v>
      </c>
      <c r="E76" s="8" t="s">
        <v>54</v>
      </c>
    </row>
    <row r="86" spans="2:13" x14ac:dyDescent="0.3">
      <c r="B86" s="9" t="s">
        <v>40</v>
      </c>
      <c r="C86" s="9" t="s">
        <v>39</v>
      </c>
      <c r="D86" s="9" t="s">
        <v>38</v>
      </c>
      <c r="E86" s="9" t="s">
        <v>42</v>
      </c>
    </row>
    <row r="87" spans="2:13" x14ac:dyDescent="0.3">
      <c r="B87" s="8" t="s">
        <v>37</v>
      </c>
      <c r="C87" s="8">
        <v>7.85</v>
      </c>
      <c r="D87" s="8" t="s">
        <v>36</v>
      </c>
      <c r="E87" s="8" t="s">
        <v>43</v>
      </c>
    </row>
    <row r="88" spans="2:13" x14ac:dyDescent="0.3">
      <c r="B88" s="8" t="s">
        <v>35</v>
      </c>
      <c r="C88" s="8">
        <v>3.25</v>
      </c>
      <c r="D88" s="8" t="s">
        <v>34</v>
      </c>
      <c r="E88" s="8" t="s">
        <v>44</v>
      </c>
    </row>
    <row r="89" spans="2:13" x14ac:dyDescent="0.3">
      <c r="B89" s="8" t="s">
        <v>33</v>
      </c>
      <c r="C89" s="8">
        <v>12.5</v>
      </c>
      <c r="D89" s="8" t="s">
        <v>32</v>
      </c>
      <c r="E89" s="8" t="s">
        <v>56</v>
      </c>
      <c r="I89" s="11"/>
      <c r="J89" s="11"/>
    </row>
    <row r="90" spans="2:13" x14ac:dyDescent="0.3">
      <c r="B90" s="8" t="s">
        <v>31</v>
      </c>
      <c r="C90" s="8">
        <v>6.35</v>
      </c>
      <c r="D90" s="8" t="s">
        <v>30</v>
      </c>
      <c r="E90" s="8" t="s">
        <v>43</v>
      </c>
    </row>
    <row r="91" spans="2:13" x14ac:dyDescent="0.3">
      <c r="B91" s="8" t="s">
        <v>29</v>
      </c>
      <c r="C91" s="8">
        <v>2.5</v>
      </c>
      <c r="D91" s="8" t="s">
        <v>28</v>
      </c>
      <c r="E91" s="8" t="s">
        <v>55</v>
      </c>
      <c r="H91" s="31" t="s">
        <v>69</v>
      </c>
      <c r="I91" s="31"/>
      <c r="J91" s="32">
        <f>COUNTIF(D87:D98,"*o*")</f>
        <v>5</v>
      </c>
      <c r="M91" s="10">
        <f>COUNTIF(D87:D98,"*O*")</f>
        <v>5</v>
      </c>
    </row>
    <row r="92" spans="2:13" x14ac:dyDescent="0.3">
      <c r="B92" s="8" t="s">
        <v>27</v>
      </c>
      <c r="C92" s="8">
        <v>6.5</v>
      </c>
      <c r="D92" s="8" t="s">
        <v>26</v>
      </c>
      <c r="E92" s="8" t="s">
        <v>45</v>
      </c>
      <c r="H92" s="31"/>
      <c r="I92" s="31"/>
      <c r="J92" s="32"/>
    </row>
    <row r="93" spans="2:13" x14ac:dyDescent="0.3">
      <c r="B93" s="8" t="s">
        <v>37</v>
      </c>
      <c r="C93" s="8">
        <v>8.75</v>
      </c>
      <c r="D93" s="8" t="s">
        <v>36</v>
      </c>
      <c r="E93" s="8" t="s">
        <v>43</v>
      </c>
    </row>
    <row r="94" spans="2:13" x14ac:dyDescent="0.3">
      <c r="B94" s="8" t="s">
        <v>31</v>
      </c>
      <c r="C94" s="8">
        <v>4.6500000000000004</v>
      </c>
      <c r="D94" s="8" t="s">
        <v>30</v>
      </c>
      <c r="E94" s="8" t="s">
        <v>44</v>
      </c>
    </row>
    <row r="95" spans="2:13" x14ac:dyDescent="0.3">
      <c r="B95" s="8" t="s">
        <v>37</v>
      </c>
      <c r="C95" s="8">
        <v>12.85</v>
      </c>
      <c r="D95" s="8" t="s">
        <v>36</v>
      </c>
      <c r="E95" s="8" t="s">
        <v>53</v>
      </c>
    </row>
    <row r="96" spans="2:13" x14ac:dyDescent="0.3">
      <c r="B96" s="8" t="s">
        <v>50</v>
      </c>
      <c r="C96" s="8">
        <v>8.25</v>
      </c>
      <c r="D96" s="8" t="s">
        <v>34</v>
      </c>
      <c r="E96" s="8" t="s">
        <v>43</v>
      </c>
    </row>
    <row r="97" spans="2:13" x14ac:dyDescent="0.3">
      <c r="B97" s="8" t="s">
        <v>33</v>
      </c>
      <c r="C97" s="8">
        <v>13.5</v>
      </c>
      <c r="D97" s="8" t="s">
        <v>32</v>
      </c>
      <c r="E97" s="8" t="s">
        <v>44</v>
      </c>
    </row>
    <row r="98" spans="2:13" x14ac:dyDescent="0.3">
      <c r="B98" s="8" t="s">
        <v>51</v>
      </c>
      <c r="C98" s="8">
        <v>9.9499999999999993</v>
      </c>
      <c r="D98" s="8" t="s">
        <v>30</v>
      </c>
      <c r="E98" s="8" t="s">
        <v>54</v>
      </c>
    </row>
    <row r="106" spans="2:13" x14ac:dyDescent="0.3">
      <c r="B106" s="9" t="s">
        <v>40</v>
      </c>
      <c r="C106" s="9" t="s">
        <v>39</v>
      </c>
      <c r="D106" s="9" t="s">
        <v>38</v>
      </c>
      <c r="E106" s="9" t="s">
        <v>42</v>
      </c>
    </row>
    <row r="107" spans="2:13" x14ac:dyDescent="0.3">
      <c r="B107" s="8" t="s">
        <v>37</v>
      </c>
      <c r="C107" s="8">
        <v>7.85</v>
      </c>
      <c r="D107" s="8" t="s">
        <v>36</v>
      </c>
      <c r="E107" s="8" t="s">
        <v>43</v>
      </c>
    </row>
    <row r="108" spans="2:13" x14ac:dyDescent="0.3">
      <c r="B108" s="8" t="s">
        <v>35</v>
      </c>
      <c r="C108" s="8">
        <v>3.25</v>
      </c>
      <c r="D108" s="8" t="s">
        <v>34</v>
      </c>
      <c r="E108" s="8" t="s">
        <v>44</v>
      </c>
    </row>
    <row r="109" spans="2:13" x14ac:dyDescent="0.3">
      <c r="B109" s="8" t="s">
        <v>33</v>
      </c>
      <c r="C109" s="8">
        <v>12.5</v>
      </c>
      <c r="D109" s="8" t="s">
        <v>32</v>
      </c>
      <c r="E109" s="8" t="s">
        <v>56</v>
      </c>
      <c r="I109" s="11"/>
      <c r="J109" s="11"/>
    </row>
    <row r="110" spans="2:13" x14ac:dyDescent="0.3">
      <c r="B110" s="8" t="s">
        <v>31</v>
      </c>
      <c r="C110" s="8">
        <v>6.35</v>
      </c>
      <c r="D110" s="8" t="s">
        <v>30</v>
      </c>
      <c r="E110" s="8" t="s">
        <v>43</v>
      </c>
    </row>
    <row r="111" spans="2:13" x14ac:dyDescent="0.3">
      <c r="B111" s="8" t="s">
        <v>29</v>
      </c>
      <c r="C111" s="8">
        <v>2.5</v>
      </c>
      <c r="D111" s="8" t="s">
        <v>28</v>
      </c>
      <c r="E111" s="8" t="s">
        <v>55</v>
      </c>
      <c r="H111" s="31" t="s">
        <v>70</v>
      </c>
      <c r="I111" s="31"/>
      <c r="J111" s="32">
        <f>COUNTIF(E107:E118,"j*")</f>
        <v>6</v>
      </c>
      <c r="M111" s="10">
        <f>COUNTIF(E107:E118,"J*")</f>
        <v>6</v>
      </c>
    </row>
    <row r="112" spans="2:13" x14ac:dyDescent="0.3">
      <c r="B112" s="8" t="s">
        <v>27</v>
      </c>
      <c r="C112" s="8">
        <v>6.5</v>
      </c>
      <c r="D112" s="8" t="s">
        <v>26</v>
      </c>
      <c r="E112" s="8" t="s">
        <v>45</v>
      </c>
      <c r="H112" s="31"/>
      <c r="I112" s="31"/>
      <c r="J112" s="32"/>
    </row>
    <row r="113" spans="2:5" x14ac:dyDescent="0.3">
      <c r="B113" s="8" t="s">
        <v>37</v>
      </c>
      <c r="C113" s="8">
        <v>8.75</v>
      </c>
      <c r="D113" s="8" t="s">
        <v>36</v>
      </c>
      <c r="E113" s="8" t="s">
        <v>43</v>
      </c>
    </row>
    <row r="114" spans="2:5" x14ac:dyDescent="0.3">
      <c r="B114" s="8" t="s">
        <v>31</v>
      </c>
      <c r="C114" s="8">
        <v>4.6500000000000004</v>
      </c>
      <c r="D114" s="8" t="s">
        <v>30</v>
      </c>
      <c r="E114" s="8" t="s">
        <v>44</v>
      </c>
    </row>
    <row r="115" spans="2:5" x14ac:dyDescent="0.3">
      <c r="B115" s="8" t="s">
        <v>37</v>
      </c>
      <c r="C115" s="8">
        <v>12.85</v>
      </c>
      <c r="D115" s="8" t="s">
        <v>36</v>
      </c>
      <c r="E115" s="8" t="s">
        <v>53</v>
      </c>
    </row>
    <row r="116" spans="2:5" x14ac:dyDescent="0.3">
      <c r="B116" s="8" t="s">
        <v>50</v>
      </c>
      <c r="C116" s="8">
        <v>8.25</v>
      </c>
      <c r="D116" s="8" t="s">
        <v>34</v>
      </c>
      <c r="E116" s="8" t="s">
        <v>43</v>
      </c>
    </row>
    <row r="117" spans="2:5" x14ac:dyDescent="0.3">
      <c r="B117" s="8" t="s">
        <v>33</v>
      </c>
      <c r="C117" s="8">
        <v>13.5</v>
      </c>
      <c r="D117" s="8" t="s">
        <v>32</v>
      </c>
      <c r="E117" s="8" t="s">
        <v>44</v>
      </c>
    </row>
    <row r="118" spans="2:5" x14ac:dyDescent="0.3">
      <c r="B118" s="8" t="s">
        <v>51</v>
      </c>
      <c r="C118" s="8">
        <v>9.9499999999999993</v>
      </c>
      <c r="D118" s="8" t="s">
        <v>30</v>
      </c>
      <c r="E118" s="8" t="s">
        <v>54</v>
      </c>
    </row>
  </sheetData>
  <customSheetViews>
    <customSheetView guid="{576A445C-3D9A-438D-AC68-B679E3D65634}" scale="120" showGridLines="0" topLeftCell="A105">
      <selection activeCell="E9" sqref="E9"/>
      <pageMargins left="0.7" right="0.7" top="0.75" bottom="0.75" header="0.3" footer="0.3"/>
      <pageSetup orientation="portrait" r:id="rId1"/>
    </customSheetView>
    <customSheetView guid="{C1FEC2CE-0AE0-4F12-8438-BD3D230D3830}" scale="120" showGridLines="0" topLeftCell="A89">
      <selection activeCell="E9" sqref="E9"/>
      <pageMargins left="0.7" right="0.7" top="0.75" bottom="0.75" header="0.3" footer="0.3"/>
      <pageSetup orientation="portrait" r:id="rId2"/>
    </customSheetView>
    <customSheetView guid="{A3C7F73E-8288-4122-801A-9A426BB0DFB8}" scale="120" showGridLines="0" topLeftCell="A73">
      <selection activeCell="E9" sqref="E9"/>
      <pageMargins left="0.7" right="0.7" top="0.75" bottom="0.75" header="0.3" footer="0.3"/>
      <pageSetup orientation="portrait" r:id="rId3"/>
    </customSheetView>
    <customSheetView guid="{F102CDDA-1DB7-4BD5-8A8F-CD5640485596}" scale="120" showGridLines="0" topLeftCell="A35">
      <selection activeCell="E9" sqref="E9"/>
      <pageMargins left="0.7" right="0.7" top="0.75" bottom="0.75" header="0.3" footer="0.3"/>
      <pageSetup orientation="portrait" r:id="rId4"/>
    </customSheetView>
    <customSheetView guid="{E18774DE-EF27-4708-91D7-FE2A7EE4C992}" scale="120" showGridLines="0" topLeftCell="A19">
      <selection activeCell="E9" sqref="E9"/>
      <pageMargins left="0.7" right="0.7" top="0.75" bottom="0.75" header="0.3" footer="0.3"/>
      <pageSetup orientation="portrait" r:id="rId5"/>
    </customSheetView>
    <customSheetView guid="{E3977DAC-58A9-43A5-A2CD-037AE84A3934}" scale="120" showGridLines="0" topLeftCell="A3">
      <selection activeCell="H8" sqref="H8:I9"/>
      <pageMargins left="0.7" right="0.7" top="0.75" bottom="0.75" header="0.3" footer="0.3"/>
      <pageSetup orientation="portrait" r:id="rId6"/>
    </customSheetView>
    <customSheetView guid="{0BFB30CE-F6D9-44B3-99BA-62858BF46600}" scale="120" showGridLines="0">
      <selection activeCell="B5" sqref="B5"/>
      <pageMargins left="0.7" right="0.7" top="0.75" bottom="0.75" header="0.3" footer="0.3"/>
      <pageSetup orientation="portrait" r:id="rId7"/>
    </customSheetView>
    <customSheetView guid="{EF2006E2-DE9B-4938-AD6F-8255BE7D529F}" scale="120" showGridLines="0">
      <selection activeCell="B5" sqref="B5"/>
      <pageMargins left="0.7" right="0.7" top="0.75" bottom="0.75" header="0.3" footer="0.3"/>
      <pageSetup orientation="portrait" r:id="rId8"/>
    </customSheetView>
    <customSheetView guid="{5B4753E1-B7DC-40C2-A28F-B07A6CB075FE}" scale="120" showGridLines="0">
      <selection activeCell="B5" sqref="B5"/>
      <pageMargins left="0.7" right="0.7" top="0.75" bottom="0.75" header="0.3" footer="0.3"/>
      <pageSetup orientation="portrait" r:id="rId9"/>
    </customSheetView>
    <customSheetView guid="{672B3D91-11D6-418C-A856-9FF74CE5E6FB}" scale="120" showGridLines="0">
      <selection activeCell="B5" sqref="B5"/>
      <pageMargins left="0.7" right="0.7" top="0.75" bottom="0.75" header="0.3" footer="0.3"/>
      <pageSetup orientation="portrait" r:id="rId10"/>
    </customSheetView>
    <customSheetView guid="{E712F22D-DF79-4936-B86B-186E637372BF}" scale="120" showGridLines="0">
      <selection activeCell="B5" sqref="B5"/>
      <pageMargins left="0.7" right="0.7" top="0.75" bottom="0.75" header="0.3" footer="0.3"/>
      <pageSetup orientation="portrait" r:id="rId11"/>
    </customSheetView>
    <customSheetView guid="{F716839F-5448-40FC-95BC-286199FD6764}" scale="120" showGridLines="0">
      <selection activeCell="B5" sqref="B5"/>
      <pageMargins left="0.7" right="0.7" top="0.75" bottom="0.75" header="0.3" footer="0.3"/>
      <pageSetup orientation="portrait" r:id="rId12"/>
    </customSheetView>
    <customSheetView guid="{A5292A6B-6F92-4AB3-B051-EF87F39FC489}" scale="120" showGridLines="0" topLeftCell="A3">
      <selection activeCell="H8" sqref="H8:I9"/>
      <pageMargins left="0.7" right="0.7" top="0.75" bottom="0.75" header="0.3" footer="0.3"/>
      <pageSetup orientation="portrait" r:id="rId13"/>
    </customSheetView>
    <customSheetView guid="{6194C141-D0A1-4D58-BA55-90A184525AC3}" scale="120" showGridLines="0" topLeftCell="A3">
      <selection activeCell="H8" sqref="H8:I9"/>
      <pageMargins left="0.7" right="0.7" top="0.75" bottom="0.75" header="0.3" footer="0.3"/>
      <pageSetup orientation="portrait" r:id="rId14"/>
    </customSheetView>
    <customSheetView guid="{7A7FC9A5-F2B5-4894-82BC-4528575F10D4}" scale="120" showGridLines="0" topLeftCell="A3">
      <selection activeCell="H8" sqref="H8:I9"/>
      <pageMargins left="0.7" right="0.7" top="0.75" bottom="0.75" header="0.3" footer="0.3"/>
      <pageSetup orientation="portrait" r:id="rId15"/>
    </customSheetView>
    <customSheetView guid="{EBA5E9C4-A2DB-4DF0-BF75-1243E968318E}" scale="120" showGridLines="0" topLeftCell="A3">
      <selection activeCell="H8" sqref="H8:I9"/>
      <pageMargins left="0.7" right="0.7" top="0.75" bottom="0.75" header="0.3" footer="0.3"/>
      <pageSetup orientation="portrait" r:id="rId16"/>
    </customSheetView>
    <customSheetView guid="{C7330417-67A9-44CF-917F-5F5E2F191AD4}" scale="120" showGridLines="0" topLeftCell="A3">
      <selection activeCell="H8" sqref="H8:I9"/>
      <pageMargins left="0.7" right="0.7" top="0.75" bottom="0.75" header="0.3" footer="0.3"/>
      <pageSetup orientation="portrait" r:id="rId17"/>
    </customSheetView>
    <customSheetView guid="{47C01131-7443-4080-A2BB-6B6AA35C6913}" scale="120" showGridLines="0" topLeftCell="A3">
      <selection activeCell="H8" sqref="H8:I9"/>
      <pageMargins left="0.7" right="0.7" top="0.75" bottom="0.75" header="0.3" footer="0.3"/>
      <pageSetup orientation="portrait" r:id="rId18"/>
    </customSheetView>
    <customSheetView guid="{19DA6E7F-8950-4769-9BBE-2798EFA465A3}" scale="120" showGridLines="0" topLeftCell="A3">
      <selection activeCell="H8" sqref="H8:I9"/>
      <pageMargins left="0.7" right="0.7" top="0.75" bottom="0.75" header="0.3" footer="0.3"/>
      <pageSetup orientation="portrait" r:id="rId19"/>
    </customSheetView>
    <customSheetView guid="{F3CB97AD-592C-4B6E-8AE3-1CD47479060C}" scale="120" showGridLines="0" topLeftCell="A3">
      <selection activeCell="H8" sqref="H8:I9"/>
      <pageMargins left="0.7" right="0.7" top="0.75" bottom="0.75" header="0.3" footer="0.3"/>
      <pageSetup orientation="portrait" r:id="rId20"/>
    </customSheetView>
    <customSheetView guid="{422703F6-63C4-435C-AFE7-1030286678F6}" scale="120" showGridLines="0" topLeftCell="A3">
      <selection activeCell="H8" sqref="H8:I9"/>
      <pageMargins left="0.7" right="0.7" top="0.75" bottom="0.75" header="0.3" footer="0.3"/>
      <pageSetup orientation="portrait" r:id="rId21"/>
    </customSheetView>
    <customSheetView guid="{02D27969-4CD1-473E-A0E8-856AB0664DE8}" scale="120" showGridLines="0" topLeftCell="A3">
      <selection activeCell="H8" sqref="H8:I9"/>
      <pageMargins left="0.7" right="0.7" top="0.75" bottom="0.75" header="0.3" footer="0.3"/>
      <pageSetup orientation="portrait" r:id="rId22"/>
    </customSheetView>
    <customSheetView guid="{1920E7A3-1C9F-4320-81BB-D11544051025}" scale="120" showGridLines="0" topLeftCell="A3">
      <selection activeCell="H8" sqref="H8:I9"/>
      <pageMargins left="0.7" right="0.7" top="0.75" bottom="0.75" header="0.3" footer="0.3"/>
      <pageSetup orientation="portrait" r:id="rId23"/>
    </customSheetView>
    <customSheetView guid="{EC7537C6-1678-41C1-B788-EF4AFFECF769}" scale="120" showGridLines="0" topLeftCell="A3">
      <selection activeCell="H8" sqref="H8:I9"/>
      <pageMargins left="0.7" right="0.7" top="0.75" bottom="0.75" header="0.3" footer="0.3"/>
      <pageSetup orientation="portrait" r:id="rId24"/>
    </customSheetView>
    <customSheetView guid="{E4FF7DB9-14DF-49DB-9F59-1898DDED4DCE}" scale="120" showGridLines="0" topLeftCell="A3">
      <selection activeCell="H8" sqref="H8:I9"/>
      <pageMargins left="0.7" right="0.7" top="0.75" bottom="0.75" header="0.3" footer="0.3"/>
      <pageSetup orientation="portrait" r:id="rId25"/>
    </customSheetView>
    <customSheetView guid="{9AFCAA87-4888-4976-A7C9-C06A34CB6C97}" scale="120" showGridLines="0" topLeftCell="A3">
      <selection activeCell="H8" sqref="H8:I9"/>
      <pageMargins left="0.7" right="0.7" top="0.75" bottom="0.75" header="0.3" footer="0.3"/>
      <pageSetup orientation="portrait" r:id="rId26"/>
    </customSheetView>
    <customSheetView guid="{15D7A002-B247-4A6B-A16B-61BDD9B0066A}" scale="120" showGridLines="0" topLeftCell="A3">
      <selection activeCell="H8" sqref="H8:I9"/>
      <pageMargins left="0.7" right="0.7" top="0.75" bottom="0.75" header="0.3" footer="0.3"/>
      <pageSetup orientation="portrait" r:id="rId27"/>
    </customSheetView>
    <customSheetView guid="{F789A6E6-3D06-4D93-BF02-46FA1A2548B2}" scale="120" showGridLines="0" topLeftCell="A3">
      <selection activeCell="H8" sqref="H8:I9"/>
      <pageMargins left="0.7" right="0.7" top="0.75" bottom="0.75" header="0.3" footer="0.3"/>
      <pageSetup orientation="portrait" r:id="rId28"/>
    </customSheetView>
    <customSheetView guid="{629A478C-29B1-4F25-A016-63CE32A1627F}" scale="120" showGridLines="0">
      <selection activeCell="H8" sqref="H8:I9"/>
      <pageMargins left="0.7" right="0.7" top="0.75" bottom="0.75" header="0.3" footer="0.3"/>
      <pageSetup orientation="portrait" r:id="rId29"/>
    </customSheetView>
    <customSheetView guid="{51BA8A3D-4711-49ED-89E2-EBC09DF2AEDC}" scale="120" showGridLines="0">
      <selection activeCell="H8" sqref="H8:I9"/>
      <pageMargins left="0.7" right="0.7" top="0.75" bottom="0.75" header="0.3" footer="0.3"/>
      <pageSetup orientation="portrait" r:id="rId30"/>
    </customSheetView>
    <customSheetView guid="{25A4A7C0-9593-456C-861C-76D101D3FE93}" scale="120" showGridLines="0">
      <selection activeCell="H8" sqref="H8:I9"/>
      <pageMargins left="0.7" right="0.7" top="0.75" bottom="0.75" header="0.3" footer="0.3"/>
      <pageSetup orientation="portrait" r:id="rId31"/>
    </customSheetView>
    <customSheetView guid="{95D39BA8-2B16-4954-ABAC-09AD33A86339}" scale="120" showGridLines="0">
      <selection activeCell="H8" sqref="H8:I9"/>
      <pageMargins left="0.7" right="0.7" top="0.75" bottom="0.75" header="0.3" footer="0.3"/>
      <pageSetup orientation="portrait" r:id="rId32"/>
    </customSheetView>
    <customSheetView guid="{C65059E8-30E8-488B-A0E9-1B7961920C81}" scale="120" showGridLines="0" topLeftCell="A16">
      <selection activeCell="H8" sqref="H8:I9"/>
      <pageMargins left="0.7" right="0.7" top="0.75" bottom="0.75" header="0.3" footer="0.3"/>
      <pageSetup orientation="portrait" r:id="rId33"/>
    </customSheetView>
    <customSheetView guid="{644A6A80-0D34-48F6-A071-17016DCD2D6E}" scale="120" showGridLines="0" topLeftCell="A16">
      <selection activeCell="H8" sqref="H8:I9"/>
      <pageMargins left="0.7" right="0.7" top="0.75" bottom="0.75" header="0.3" footer="0.3"/>
      <pageSetup orientation="portrait" r:id="rId34"/>
    </customSheetView>
    <customSheetView guid="{CC562453-1E6B-4010-9E1B-775397A26EFA}" scale="120" showGridLines="0" topLeftCell="A16">
      <selection activeCell="H8" sqref="H8:I9"/>
      <pageMargins left="0.7" right="0.7" top="0.75" bottom="0.75" header="0.3" footer="0.3"/>
      <pageSetup orientation="portrait" r:id="rId35"/>
    </customSheetView>
    <customSheetView guid="{E1A67331-473F-4161-806C-BE35870C93B5}" scale="120" showGridLines="0" topLeftCell="A16">
      <selection activeCell="H8" sqref="H8:I9"/>
      <pageMargins left="0.7" right="0.7" top="0.75" bottom="0.75" header="0.3" footer="0.3"/>
      <pageSetup orientation="portrait" r:id="rId36"/>
    </customSheetView>
    <customSheetView guid="{BCAB4838-A37A-4BCF-A9C9-CC50C95F58C7}" scale="120" showGridLines="0" topLeftCell="A16">
      <selection activeCell="H8" sqref="H8:I9"/>
      <pageMargins left="0.7" right="0.7" top="0.75" bottom="0.75" header="0.3" footer="0.3"/>
      <pageSetup orientation="portrait" r:id="rId37"/>
    </customSheetView>
    <customSheetView guid="{F518ECB9-5D92-41E0-BFD2-C5175A02444D}" scale="120" showGridLines="0" topLeftCell="A16">
      <selection activeCell="H8" sqref="H8:I9"/>
      <pageMargins left="0.7" right="0.7" top="0.75" bottom="0.75" header="0.3" footer="0.3"/>
      <pageSetup orientation="portrait" r:id="rId38"/>
    </customSheetView>
    <customSheetView guid="{FEB5A49F-F7F7-412A-BE72-F90F7A4799C8}" scale="120" showGridLines="0" topLeftCell="A16">
      <selection activeCell="H8" sqref="H8:I9"/>
      <pageMargins left="0.7" right="0.7" top="0.75" bottom="0.75" header="0.3" footer="0.3"/>
      <pageSetup orientation="portrait" r:id="rId39"/>
    </customSheetView>
    <customSheetView guid="{F9A03991-7A83-41AE-B603-3D22265CDA22}" scale="120" showGridLines="0" topLeftCell="A16">
      <selection activeCell="H8" sqref="H8:I9"/>
      <pageMargins left="0.7" right="0.7" top="0.75" bottom="0.75" header="0.3" footer="0.3"/>
      <pageSetup orientation="portrait" r:id="rId40"/>
    </customSheetView>
    <customSheetView guid="{8A25BF65-C908-4B2F-9805-3CD39BD4330E}" scale="120" showGridLines="0" topLeftCell="A16">
      <selection activeCell="H8" sqref="H8:I9"/>
      <pageMargins left="0.7" right="0.7" top="0.75" bottom="0.75" header="0.3" footer="0.3"/>
      <pageSetup orientation="portrait" r:id="rId41"/>
    </customSheetView>
    <customSheetView guid="{5C8F4C13-387F-42D2-8CB5-92C4886D7919}" scale="120" showGridLines="0" topLeftCell="A16">
      <selection activeCell="H8" sqref="H8:I9"/>
      <pageMargins left="0.7" right="0.7" top="0.75" bottom="0.75" header="0.3" footer="0.3"/>
      <pageSetup orientation="portrait" r:id="rId42"/>
    </customSheetView>
    <customSheetView guid="{395DC3D6-3299-4A43-88E2-62703FCC0349}" scale="120" showGridLines="0" topLeftCell="A16">
      <selection activeCell="H8" sqref="H8:I9"/>
      <pageMargins left="0.7" right="0.7" top="0.75" bottom="0.75" header="0.3" footer="0.3"/>
      <pageSetup orientation="portrait" r:id="rId43"/>
    </customSheetView>
    <customSheetView guid="{FC8D231F-57F9-45EE-9DEF-D7ED111600EB}" scale="120" showGridLines="0" topLeftCell="A16">
      <selection activeCell="H8" sqref="H8:I9"/>
      <pageMargins left="0.7" right="0.7" top="0.75" bottom="0.75" header="0.3" footer="0.3"/>
      <pageSetup orientation="portrait" r:id="rId44"/>
    </customSheetView>
    <customSheetView guid="{7A9AB605-DB82-470C-B86B-95E2AB3523F6}" scale="120" showGridLines="0" topLeftCell="A16">
      <selection activeCell="H8" sqref="H8:I9"/>
      <pageMargins left="0.7" right="0.7" top="0.75" bottom="0.75" header="0.3" footer="0.3"/>
      <pageSetup orientation="portrait" r:id="rId45"/>
    </customSheetView>
    <customSheetView guid="{0125BE01-BBC8-4E5A-9A9A-3D1257916B8C}" scale="120" showGridLines="0" topLeftCell="A16">
      <selection activeCell="H8" sqref="H8:I9"/>
      <pageMargins left="0.7" right="0.7" top="0.75" bottom="0.75" header="0.3" footer="0.3"/>
      <pageSetup orientation="portrait" r:id="rId46"/>
    </customSheetView>
    <customSheetView guid="{8BEA0E04-8B9A-4A2D-9B80-4E7685E22D5E}" scale="120" showGridLines="0" topLeftCell="A16">
      <selection activeCell="H8" sqref="H8:I9"/>
      <pageMargins left="0.7" right="0.7" top="0.75" bottom="0.75" header="0.3" footer="0.3"/>
      <pageSetup orientation="portrait" r:id="rId47"/>
    </customSheetView>
    <customSheetView guid="{EE4A95A5-BF42-4BAA-B9EB-84A9230A28F9}" scale="120" showGridLines="0" topLeftCell="A16">
      <selection activeCell="H8" sqref="H8:I9"/>
      <pageMargins left="0.7" right="0.7" top="0.75" bottom="0.75" header="0.3" footer="0.3"/>
      <pageSetup orientation="portrait" r:id="rId48"/>
    </customSheetView>
    <customSheetView guid="{2032DE14-E33D-44B5-9022-A2B48F059704}" scale="120" showGridLines="0" topLeftCell="A16">
      <selection activeCell="H8" sqref="H8:I9"/>
      <pageMargins left="0.7" right="0.7" top="0.75" bottom="0.75" header="0.3" footer="0.3"/>
      <pageSetup orientation="portrait" r:id="rId49"/>
    </customSheetView>
    <customSheetView guid="{DF16608F-40E8-490E-B08D-ED6EEAB8B9EC}" scale="120" showGridLines="0" topLeftCell="A16">
      <selection activeCell="H8" sqref="H8:I9"/>
      <pageMargins left="0.7" right="0.7" top="0.75" bottom="0.75" header="0.3" footer="0.3"/>
      <pageSetup orientation="portrait" r:id="rId50"/>
    </customSheetView>
    <customSheetView guid="{2CEDB1FB-2942-4B51-BF30-285DCDB05292}" scale="120" showGridLines="0" topLeftCell="A16">
      <selection activeCell="H8" sqref="H8:I9"/>
      <pageMargins left="0.7" right="0.7" top="0.75" bottom="0.75" header="0.3" footer="0.3"/>
      <pageSetup orientation="portrait" r:id="rId51"/>
    </customSheetView>
    <customSheetView guid="{E4375DB4-4B74-46BC-A9F2-C5C5055B366F}" scale="120" showGridLines="0" topLeftCell="A16">
      <selection activeCell="H8" sqref="H8:I9"/>
      <pageMargins left="0.7" right="0.7" top="0.75" bottom="0.75" header="0.3" footer="0.3"/>
      <pageSetup orientation="portrait" r:id="rId52"/>
    </customSheetView>
    <customSheetView guid="{58306194-C83B-413E-AC5F-AD717216CB21}" scale="120" showGridLines="0" topLeftCell="A16">
      <selection activeCell="H8" sqref="H8:I9"/>
      <pageMargins left="0.7" right="0.7" top="0.75" bottom="0.75" header="0.3" footer="0.3"/>
      <pageSetup orientation="portrait" r:id="rId53"/>
    </customSheetView>
    <customSheetView guid="{81DEBAD0-6E86-4DFB-8642-C52E8C976BDA}" scale="120" showGridLines="0" topLeftCell="A16">
      <selection activeCell="H8" sqref="H8:I9"/>
      <pageMargins left="0.7" right="0.7" top="0.75" bottom="0.75" header="0.3" footer="0.3"/>
      <pageSetup orientation="portrait" r:id="rId54"/>
    </customSheetView>
    <customSheetView guid="{C575B46A-1D4C-489C-97AE-5DAB6560E171}" scale="120" showGridLines="0" topLeftCell="A16">
      <selection activeCell="H8" sqref="H8:I9"/>
      <pageMargins left="0.7" right="0.7" top="0.75" bottom="0.75" header="0.3" footer="0.3"/>
      <pageSetup orientation="portrait" r:id="rId55"/>
    </customSheetView>
    <customSheetView guid="{C908A6D6-4C77-416B-BC46-6F501B5F842F}" scale="120" showGridLines="0" topLeftCell="A16">
      <selection activeCell="H8" sqref="H8:I9"/>
      <pageMargins left="0.7" right="0.7" top="0.75" bottom="0.75" header="0.3" footer="0.3"/>
      <pageSetup orientation="portrait" r:id="rId56"/>
    </customSheetView>
    <customSheetView guid="{CE50DC7E-3038-4337-BAC8-5B16EE1D95B0}" scale="120" showGridLines="0" topLeftCell="A16">
      <selection activeCell="H8" sqref="H8:I9"/>
      <pageMargins left="0.7" right="0.7" top="0.75" bottom="0.75" header="0.3" footer="0.3"/>
      <pageSetup orientation="portrait" r:id="rId57"/>
    </customSheetView>
    <customSheetView guid="{3511E245-32F9-4CFF-8540-6B03C6FAE218}" scale="120" showGridLines="0" topLeftCell="A16">
      <selection activeCell="H8" sqref="H8:I9"/>
      <pageMargins left="0.7" right="0.7" top="0.75" bottom="0.75" header="0.3" footer="0.3"/>
      <pageSetup orientation="portrait" r:id="rId58"/>
    </customSheetView>
    <customSheetView guid="{DFE0B66A-2DCB-4802-A91B-F836707AD43C}" scale="120" showGridLines="0" topLeftCell="A16">
      <selection activeCell="H8" sqref="H8:I9"/>
      <pageMargins left="0.7" right="0.7" top="0.75" bottom="0.75" header="0.3" footer="0.3"/>
      <pageSetup orientation="portrait" r:id="rId59"/>
    </customSheetView>
    <customSheetView guid="{0458C18D-9EF5-4516-9145-CA54D8EB1865}" scale="120" showGridLines="0" topLeftCell="A16">
      <selection activeCell="H8" sqref="H8:I9"/>
      <pageMargins left="0.7" right="0.7" top="0.75" bottom="0.75" header="0.3" footer="0.3"/>
      <pageSetup orientation="portrait" r:id="rId60"/>
    </customSheetView>
    <customSheetView guid="{0E02FCC8-6440-4859-9F6B-C77617EF5D89}" scale="120" showGridLines="0" topLeftCell="A16">
      <selection activeCell="H8" sqref="H8:I9"/>
      <pageMargins left="0.7" right="0.7" top="0.75" bottom="0.75" header="0.3" footer="0.3"/>
      <pageSetup orientation="portrait" r:id="rId61"/>
    </customSheetView>
    <customSheetView guid="{EE811897-5BF5-4321-9879-5B7EDF90A350}" scale="120" showGridLines="0" topLeftCell="A16">
      <selection activeCell="H8" sqref="H8:I9"/>
      <pageMargins left="0.7" right="0.7" top="0.75" bottom="0.75" header="0.3" footer="0.3"/>
      <pageSetup orientation="portrait" r:id="rId62"/>
    </customSheetView>
    <customSheetView guid="{FF03E81F-A9A8-4546-A9C3-77A6EEA02ED9}" scale="120" showGridLines="0" topLeftCell="A16">
      <selection activeCell="H8" sqref="H8:I9"/>
      <pageMargins left="0.7" right="0.7" top="0.75" bottom="0.75" header="0.3" footer="0.3"/>
      <pageSetup orientation="portrait" r:id="rId63"/>
    </customSheetView>
    <customSheetView guid="{D9413B31-FDB2-4AE8-80A8-7F09954E703C}" scale="120" showGridLines="0" topLeftCell="A16">
      <selection activeCell="H8" sqref="H8:I9"/>
      <pageMargins left="0.7" right="0.7" top="0.75" bottom="0.75" header="0.3" footer="0.3"/>
      <pageSetup orientation="portrait" r:id="rId64"/>
    </customSheetView>
    <customSheetView guid="{B19B24CB-B859-49E3-8AE0-2D671510EE4F}" scale="120" showGridLines="0" topLeftCell="A16">
      <selection activeCell="H8" sqref="H8:I9"/>
      <pageMargins left="0.7" right="0.7" top="0.75" bottom="0.75" header="0.3" footer="0.3"/>
      <pageSetup orientation="portrait" r:id="rId65"/>
    </customSheetView>
    <customSheetView guid="{0BF42E77-7016-4BE4-A5AB-A49974630D91}" scale="120" showGridLines="0" topLeftCell="A16">
      <selection activeCell="H8" sqref="H8:I9"/>
      <pageMargins left="0.7" right="0.7" top="0.75" bottom="0.75" header="0.3" footer="0.3"/>
      <pageSetup orientation="portrait" r:id="rId66"/>
    </customSheetView>
    <customSheetView guid="{C453A932-6110-4A84-A9C2-26C809391387}" scale="120" showGridLines="0" topLeftCell="A16">
      <selection activeCell="H8" sqref="H8:I9"/>
      <pageMargins left="0.7" right="0.7" top="0.75" bottom="0.75" header="0.3" footer="0.3"/>
      <pageSetup orientation="portrait" r:id="rId67"/>
    </customSheetView>
    <customSheetView guid="{08E755F8-82E9-4D95-862B-81F55FBDDDF6}" scale="120" showGridLines="0" topLeftCell="A16">
      <selection activeCell="H8" sqref="H8:I9"/>
      <pageMargins left="0.7" right="0.7" top="0.75" bottom="0.75" header="0.3" footer="0.3"/>
      <pageSetup orientation="portrait" r:id="rId68"/>
    </customSheetView>
    <customSheetView guid="{86D36E03-787A-41EB-85FF-8BB8A222055B}" scale="120" showGridLines="0" topLeftCell="A16">
      <selection activeCell="H8" sqref="H8:I9"/>
      <pageMargins left="0.7" right="0.7" top="0.75" bottom="0.75" header="0.3" footer="0.3"/>
      <pageSetup orientation="portrait" r:id="rId69"/>
    </customSheetView>
  </customSheetViews>
  <mergeCells count="12">
    <mergeCell ref="H68:I69"/>
    <mergeCell ref="J68:J69"/>
    <mergeCell ref="H91:I92"/>
    <mergeCell ref="J91:J92"/>
    <mergeCell ref="H111:I112"/>
    <mergeCell ref="J111:J112"/>
    <mergeCell ref="H8:I9"/>
    <mergeCell ref="J8:J9"/>
    <mergeCell ref="H28:I29"/>
    <mergeCell ref="J28:J29"/>
    <mergeCell ref="H49:I50"/>
    <mergeCell ref="J49:J50"/>
  </mergeCells>
  <conditionalFormatting sqref="J8">
    <cfRule type="expression" dxfId="46" priority="4">
      <formula>$J8=$M8</formula>
    </cfRule>
  </conditionalFormatting>
  <conditionalFormatting sqref="J28">
    <cfRule type="expression" dxfId="45" priority="5">
      <formula>$J28=$M28</formula>
    </cfRule>
  </conditionalFormatting>
  <conditionalFormatting sqref="J49">
    <cfRule type="expression" dxfId="44" priority="6">
      <formula>$J49=$M49</formula>
    </cfRule>
  </conditionalFormatting>
  <conditionalFormatting sqref="J68">
    <cfRule type="expression" dxfId="43" priority="3">
      <formula>$J68=$M68</formula>
    </cfRule>
  </conditionalFormatting>
  <conditionalFormatting sqref="J91">
    <cfRule type="expression" dxfId="42" priority="2">
      <formula>$J91=$M91</formula>
    </cfRule>
  </conditionalFormatting>
  <conditionalFormatting sqref="J111">
    <cfRule type="expression" dxfId="41" priority="1">
      <formula>$J111=$M111</formula>
    </cfRule>
  </conditionalFormatting>
  <pageMargins left="0.7" right="0.7" top="0.75" bottom="0.75" header="0.3" footer="0.3"/>
  <pageSetup orientation="portrait" r:id="rId70"/>
  <drawing r:id="rId7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0EC9F-FB50-44B5-A228-56BF945C200E}">
  <sheetPr codeName="Sheet13">
    <pageSetUpPr autoPageBreaks="0"/>
  </sheetPr>
  <dimension ref="B3:M158"/>
  <sheetViews>
    <sheetView showGridLines="0" topLeftCell="C83" zoomScale="152" zoomScaleNormal="110" workbookViewId="0">
      <selection activeCell="J94" sqref="J94"/>
    </sheetView>
  </sheetViews>
  <sheetFormatPr defaultRowHeight="18.75" x14ac:dyDescent="0.3"/>
  <cols>
    <col min="1" max="1" width="8.7109375" style="7" customWidth="1"/>
    <col min="2" max="2" width="17.140625" style="7" bestFit="1" customWidth="1"/>
    <col min="3" max="3" width="12.42578125" style="7" bestFit="1" customWidth="1"/>
    <col min="4" max="4" width="13.85546875" style="7" bestFit="1" customWidth="1"/>
    <col min="5" max="5" width="19.7109375" style="7" bestFit="1" customWidth="1"/>
    <col min="6" max="6" width="7.42578125" style="7" customWidth="1"/>
    <col min="7" max="7" width="8.140625" style="7" customWidth="1"/>
    <col min="8" max="8" width="20.28515625" style="7" customWidth="1"/>
    <col min="9" max="9" width="15.28515625" style="7" customWidth="1"/>
    <col min="10" max="10" width="27.140625" style="7" bestFit="1" customWidth="1"/>
    <col min="11" max="16384" width="9.140625" style="7"/>
  </cols>
  <sheetData>
    <row r="3" spans="2:13" x14ac:dyDescent="0.3">
      <c r="B3" s="9" t="s">
        <v>40</v>
      </c>
      <c r="C3" s="9" t="s">
        <v>39</v>
      </c>
      <c r="D3" s="9" t="s">
        <v>38</v>
      </c>
      <c r="E3" s="9" t="s">
        <v>42</v>
      </c>
    </row>
    <row r="4" spans="2:13" x14ac:dyDescent="0.3">
      <c r="B4" s="8" t="s">
        <v>37</v>
      </c>
      <c r="C4" s="8">
        <v>7.85</v>
      </c>
      <c r="D4" s="8" t="s">
        <v>36</v>
      </c>
      <c r="E4" s="8" t="s">
        <v>54</v>
      </c>
      <c r="F4" s="18"/>
    </row>
    <row r="5" spans="2:13" ht="18.75" customHeight="1" x14ac:dyDescent="0.3">
      <c r="B5" s="8" t="s">
        <v>35</v>
      </c>
      <c r="C5" s="8">
        <v>3.25</v>
      </c>
      <c r="D5" s="8" t="s">
        <v>28</v>
      </c>
      <c r="E5" s="8" t="s">
        <v>44</v>
      </c>
      <c r="F5" s="18"/>
      <c r="G5" s="18"/>
    </row>
    <row r="6" spans="2:13" ht="21" customHeight="1" x14ac:dyDescent="0.3">
      <c r="B6" s="8" t="s">
        <v>33</v>
      </c>
      <c r="C6" s="8">
        <v>12.5</v>
      </c>
      <c r="D6" s="8" t="s">
        <v>32</v>
      </c>
      <c r="E6" s="8" t="s">
        <v>45</v>
      </c>
      <c r="F6" s="18"/>
    </row>
    <row r="7" spans="2:13" x14ac:dyDescent="0.3">
      <c r="B7" s="8" t="s">
        <v>31</v>
      </c>
      <c r="C7" s="8">
        <v>6.35</v>
      </c>
      <c r="D7" s="8" t="s">
        <v>30</v>
      </c>
      <c r="E7" s="8" t="s">
        <v>43</v>
      </c>
      <c r="F7" s="18"/>
      <c r="H7" s="34" t="s">
        <v>72</v>
      </c>
      <c r="I7" s="34"/>
      <c r="J7" s="32">
        <f>SUMIFS(C4:C15,E4:E15,"Mar",D4:D15,"DoorDash")</f>
        <v>35.35</v>
      </c>
      <c r="M7" s="10">
        <f>SUMIFS(C3:C15,E3:E15,"Mar",D3:D15,"Doordash")</f>
        <v>35.35</v>
      </c>
    </row>
    <row r="8" spans="2:13" x14ac:dyDescent="0.3">
      <c r="B8" s="8" t="s">
        <v>29</v>
      </c>
      <c r="C8" s="8">
        <v>2.5</v>
      </c>
      <c r="D8" s="8" t="s">
        <v>28</v>
      </c>
      <c r="E8" s="8" t="s">
        <v>45</v>
      </c>
      <c r="F8" s="18"/>
      <c r="H8" s="34"/>
      <c r="I8" s="34"/>
      <c r="J8" s="32"/>
    </row>
    <row r="9" spans="2:13" x14ac:dyDescent="0.3">
      <c r="B9" s="8" t="s">
        <v>27</v>
      </c>
      <c r="C9" s="8">
        <v>6.5</v>
      </c>
      <c r="D9" s="8" t="s">
        <v>28</v>
      </c>
      <c r="E9" s="8" t="s">
        <v>45</v>
      </c>
      <c r="F9" s="18"/>
    </row>
    <row r="10" spans="2:13" x14ac:dyDescent="0.3">
      <c r="B10" s="8" t="s">
        <v>37</v>
      </c>
      <c r="C10" s="8">
        <v>8.75</v>
      </c>
      <c r="D10" s="8" t="s">
        <v>28</v>
      </c>
      <c r="E10" s="8" t="s">
        <v>55</v>
      </c>
      <c r="F10" s="18"/>
    </row>
    <row r="11" spans="2:13" x14ac:dyDescent="0.3">
      <c r="B11" s="8" t="s">
        <v>31</v>
      </c>
      <c r="C11" s="8">
        <v>4.6500000000000004</v>
      </c>
      <c r="D11" s="8" t="s">
        <v>36</v>
      </c>
      <c r="E11" s="8" t="s">
        <v>45</v>
      </c>
      <c r="F11" s="18"/>
    </row>
    <row r="12" spans="2:13" x14ac:dyDescent="0.3">
      <c r="B12" s="8" t="s">
        <v>37</v>
      </c>
      <c r="C12" s="8">
        <v>12.85</v>
      </c>
      <c r="D12" s="8" t="s">
        <v>28</v>
      </c>
      <c r="E12" s="8" t="s">
        <v>45</v>
      </c>
      <c r="F12" s="18"/>
    </row>
    <row r="13" spans="2:13" ht="18.75" customHeight="1" x14ac:dyDescent="0.3">
      <c r="B13" s="8" t="s">
        <v>35</v>
      </c>
      <c r="C13" s="8">
        <v>8.25</v>
      </c>
      <c r="D13" s="8" t="s">
        <v>34</v>
      </c>
      <c r="E13" s="8" t="s">
        <v>71</v>
      </c>
      <c r="F13" s="18"/>
    </row>
    <row r="14" spans="2:13" x14ac:dyDescent="0.3">
      <c r="B14" s="8" t="s">
        <v>33</v>
      </c>
      <c r="C14" s="8">
        <v>13.5</v>
      </c>
      <c r="D14" s="8" t="s">
        <v>28</v>
      </c>
      <c r="E14" s="8" t="s">
        <v>45</v>
      </c>
      <c r="F14" s="18"/>
    </row>
    <row r="15" spans="2:13" x14ac:dyDescent="0.3">
      <c r="B15" s="8" t="s">
        <v>31</v>
      </c>
      <c r="C15" s="8">
        <v>9.9499999999999993</v>
      </c>
      <c r="D15" s="8" t="s">
        <v>30</v>
      </c>
      <c r="E15" s="8" t="s">
        <v>45</v>
      </c>
      <c r="F15" s="18"/>
    </row>
    <row r="16" spans="2:13" x14ac:dyDescent="0.3">
      <c r="C16" s="8"/>
    </row>
    <row r="17" spans="2:13" x14ac:dyDescent="0.3">
      <c r="C17" s="8"/>
    </row>
    <row r="18" spans="2:13" x14ac:dyDescent="0.3">
      <c r="C18" s="16"/>
    </row>
    <row r="19" spans="2:13" x14ac:dyDescent="0.3">
      <c r="C19" s="16"/>
    </row>
    <row r="20" spans="2:13" x14ac:dyDescent="0.3">
      <c r="C20" s="16"/>
    </row>
    <row r="21" spans="2:13" x14ac:dyDescent="0.3">
      <c r="C21" s="16"/>
    </row>
    <row r="23" spans="2:13" x14ac:dyDescent="0.3">
      <c r="B23" s="9" t="s">
        <v>40</v>
      </c>
      <c r="C23" s="9" t="s">
        <v>38</v>
      </c>
      <c r="D23" s="9" t="s">
        <v>39</v>
      </c>
      <c r="E23" s="9" t="s">
        <v>42</v>
      </c>
    </row>
    <row r="24" spans="2:13" x14ac:dyDescent="0.3">
      <c r="B24" s="8" t="s">
        <v>37</v>
      </c>
      <c r="C24" s="8" t="s">
        <v>36</v>
      </c>
      <c r="D24" s="8">
        <v>7.85</v>
      </c>
      <c r="E24" s="8" t="s">
        <v>53</v>
      </c>
    </row>
    <row r="25" spans="2:13" x14ac:dyDescent="0.3">
      <c r="B25" s="8" t="s">
        <v>35</v>
      </c>
      <c r="C25" s="8" t="s">
        <v>34</v>
      </c>
      <c r="D25" s="8">
        <v>3.25</v>
      </c>
      <c r="E25" s="8" t="s">
        <v>54</v>
      </c>
    </row>
    <row r="26" spans="2:13" x14ac:dyDescent="0.3">
      <c r="B26" s="8" t="s">
        <v>33</v>
      </c>
      <c r="C26" s="8" t="s">
        <v>36</v>
      </c>
      <c r="D26" s="8">
        <v>12.5</v>
      </c>
      <c r="E26" s="8" t="s">
        <v>56</v>
      </c>
    </row>
    <row r="27" spans="2:13" x14ac:dyDescent="0.3">
      <c r="B27" s="8" t="s">
        <v>31</v>
      </c>
      <c r="C27" s="8" t="s">
        <v>30</v>
      </c>
      <c r="D27" s="8">
        <v>6.35</v>
      </c>
      <c r="E27" s="8" t="s">
        <v>43</v>
      </c>
      <c r="H27" s="34" t="s">
        <v>73</v>
      </c>
      <c r="I27" s="34"/>
      <c r="J27" s="32">
        <f>SUMIFS(D24:D35,C24:C35,"Amazon",B24:B35,"Apple")</f>
        <v>29.450000000000003</v>
      </c>
      <c r="M27" s="10">
        <f>SUMIFS(D23:D35,B23:B35,"apple",C23:C35,"Amazon")</f>
        <v>29.450000000000003</v>
      </c>
    </row>
    <row r="28" spans="2:13" x14ac:dyDescent="0.3">
      <c r="B28" s="8" t="s">
        <v>29</v>
      </c>
      <c r="C28" s="8" t="s">
        <v>36</v>
      </c>
      <c r="D28" s="8">
        <v>2.5</v>
      </c>
      <c r="E28" s="8" t="s">
        <v>44</v>
      </c>
      <c r="H28" s="34"/>
      <c r="I28" s="34"/>
      <c r="J28" s="32"/>
    </row>
    <row r="29" spans="2:13" x14ac:dyDescent="0.3">
      <c r="B29" s="8" t="s">
        <v>27</v>
      </c>
      <c r="C29" s="8" t="s">
        <v>26</v>
      </c>
      <c r="D29" s="8">
        <v>6.5</v>
      </c>
      <c r="E29" s="8" t="s">
        <v>53</v>
      </c>
    </row>
    <row r="30" spans="2:13" x14ac:dyDescent="0.3">
      <c r="B30" s="8" t="s">
        <v>37</v>
      </c>
      <c r="C30" s="8" t="s">
        <v>36</v>
      </c>
      <c r="D30" s="8">
        <v>8.75</v>
      </c>
      <c r="E30" s="8" t="s">
        <v>43</v>
      </c>
    </row>
    <row r="31" spans="2:13" x14ac:dyDescent="0.3">
      <c r="B31" s="8" t="s">
        <v>31</v>
      </c>
      <c r="C31" s="8" t="s">
        <v>30</v>
      </c>
      <c r="D31" s="8">
        <v>4.6500000000000004</v>
      </c>
      <c r="E31" s="8" t="s">
        <v>53</v>
      </c>
    </row>
    <row r="32" spans="2:13" x14ac:dyDescent="0.3">
      <c r="B32" s="8" t="s">
        <v>37</v>
      </c>
      <c r="C32" s="8" t="s">
        <v>36</v>
      </c>
      <c r="D32" s="8">
        <v>12.85</v>
      </c>
      <c r="E32" s="8" t="s">
        <v>45</v>
      </c>
    </row>
    <row r="33" spans="2:13" x14ac:dyDescent="0.3">
      <c r="B33" s="8" t="s">
        <v>35</v>
      </c>
      <c r="C33" s="8" t="s">
        <v>34</v>
      </c>
      <c r="D33" s="8">
        <v>8.25</v>
      </c>
      <c r="E33" s="8" t="s">
        <v>43</v>
      </c>
    </row>
    <row r="34" spans="2:13" x14ac:dyDescent="0.3">
      <c r="B34" s="8" t="s">
        <v>33</v>
      </c>
      <c r="C34" s="8" t="s">
        <v>32</v>
      </c>
      <c r="D34" s="8">
        <v>13.5</v>
      </c>
      <c r="E34" s="8" t="s">
        <v>53</v>
      </c>
    </row>
    <row r="35" spans="2:13" x14ac:dyDescent="0.3">
      <c r="B35" s="8" t="s">
        <v>31</v>
      </c>
      <c r="C35" s="8" t="s">
        <v>36</v>
      </c>
      <c r="D35" s="8">
        <v>9.9499999999999993</v>
      </c>
      <c r="E35" s="8" t="s">
        <v>45</v>
      </c>
    </row>
    <row r="44" spans="2:13" x14ac:dyDescent="0.3">
      <c r="B44" s="9" t="s">
        <v>40</v>
      </c>
      <c r="C44" s="9" t="s">
        <v>39</v>
      </c>
      <c r="D44" s="9" t="s">
        <v>38</v>
      </c>
      <c r="E44" s="9" t="s">
        <v>42</v>
      </c>
    </row>
    <row r="45" spans="2:13" x14ac:dyDescent="0.3">
      <c r="B45" s="8" t="s">
        <v>37</v>
      </c>
      <c r="C45" s="8">
        <v>7.85</v>
      </c>
      <c r="D45" s="8" t="s">
        <v>36</v>
      </c>
      <c r="E45" s="8" t="s">
        <v>53</v>
      </c>
    </row>
    <row r="46" spans="2:13" x14ac:dyDescent="0.3">
      <c r="B46" s="8" t="s">
        <v>35</v>
      </c>
      <c r="C46" s="8">
        <v>3.25</v>
      </c>
      <c r="D46" s="8" t="s">
        <v>34</v>
      </c>
      <c r="E46" s="8" t="s">
        <v>54</v>
      </c>
    </row>
    <row r="47" spans="2:13" x14ac:dyDescent="0.3">
      <c r="B47" s="8" t="s">
        <v>33</v>
      </c>
      <c r="C47" s="8">
        <v>12.5</v>
      </c>
      <c r="D47" s="8" t="s">
        <v>32</v>
      </c>
      <c r="E47" s="8" t="s">
        <v>56</v>
      </c>
      <c r="I47" s="11" t="s">
        <v>48</v>
      </c>
      <c r="J47" s="11" t="s">
        <v>37</v>
      </c>
    </row>
    <row r="48" spans="2:13" x14ac:dyDescent="0.3">
      <c r="B48" s="8" t="s">
        <v>31</v>
      </c>
      <c r="C48" s="8">
        <v>6.35</v>
      </c>
      <c r="D48" s="8" t="s">
        <v>30</v>
      </c>
      <c r="E48" s="8" t="s">
        <v>43</v>
      </c>
      <c r="H48" s="34" t="s">
        <v>74</v>
      </c>
      <c r="I48" s="34"/>
      <c r="J48" s="32">
        <f>SUMIFS(C45:C56,B45:B56,"Kiwi",E45:E56,"jun")</f>
        <v>18.149999999999999</v>
      </c>
      <c r="M48" s="10">
        <f>SUMIFS(C44:C56,B44:B56,"kiwi",E44:E56,"jun")</f>
        <v>18.149999999999999</v>
      </c>
    </row>
    <row r="49" spans="2:10" x14ac:dyDescent="0.3">
      <c r="B49" s="8" t="s">
        <v>33</v>
      </c>
      <c r="C49" s="8">
        <v>2.5</v>
      </c>
      <c r="D49" s="8" t="s">
        <v>28</v>
      </c>
      <c r="E49" s="8" t="s">
        <v>44</v>
      </c>
      <c r="H49" s="34"/>
      <c r="I49" s="34"/>
      <c r="J49" s="32"/>
    </row>
    <row r="50" spans="2:10" x14ac:dyDescent="0.3">
      <c r="B50" s="8" t="s">
        <v>27</v>
      </c>
      <c r="C50" s="8">
        <v>6.5</v>
      </c>
      <c r="D50" s="8" t="s">
        <v>26</v>
      </c>
      <c r="E50" s="8" t="s">
        <v>53</v>
      </c>
    </row>
    <row r="51" spans="2:10" x14ac:dyDescent="0.3">
      <c r="B51" s="8" t="s">
        <v>37</v>
      </c>
      <c r="C51" s="8">
        <v>8.75</v>
      </c>
      <c r="D51" s="8" t="s">
        <v>36</v>
      </c>
      <c r="E51" s="8" t="s">
        <v>43</v>
      </c>
    </row>
    <row r="52" spans="2:10" x14ac:dyDescent="0.3">
      <c r="B52" s="8" t="s">
        <v>33</v>
      </c>
      <c r="C52" s="8">
        <v>4.6500000000000004</v>
      </c>
      <c r="D52" s="8" t="s">
        <v>30</v>
      </c>
      <c r="E52" s="8" t="s">
        <v>53</v>
      </c>
    </row>
    <row r="53" spans="2:10" x14ac:dyDescent="0.3">
      <c r="B53" s="8" t="s">
        <v>37</v>
      </c>
      <c r="C53" s="8">
        <v>12.85</v>
      </c>
      <c r="D53" s="8" t="s">
        <v>36</v>
      </c>
      <c r="E53" s="8" t="s">
        <v>45</v>
      </c>
    </row>
    <row r="54" spans="2:10" x14ac:dyDescent="0.3">
      <c r="B54" s="8" t="s">
        <v>33</v>
      </c>
      <c r="C54" s="8">
        <v>8.25</v>
      </c>
      <c r="D54" s="8" t="s">
        <v>34</v>
      </c>
      <c r="E54" s="8" t="s">
        <v>43</v>
      </c>
    </row>
    <row r="55" spans="2:10" x14ac:dyDescent="0.3">
      <c r="B55" s="8" t="s">
        <v>33</v>
      </c>
      <c r="C55" s="8">
        <v>13.5</v>
      </c>
      <c r="D55" s="8" t="s">
        <v>32</v>
      </c>
      <c r="E55" s="8" t="s">
        <v>53</v>
      </c>
    </row>
    <row r="56" spans="2:10" x14ac:dyDescent="0.3">
      <c r="B56" s="8" t="s">
        <v>31</v>
      </c>
      <c r="C56" s="8">
        <v>9.9499999999999993</v>
      </c>
      <c r="D56" s="8" t="s">
        <v>30</v>
      </c>
      <c r="E56" s="8" t="s">
        <v>45</v>
      </c>
    </row>
    <row r="64" spans="2:10" x14ac:dyDescent="0.3">
      <c r="B64" s="9" t="s">
        <v>40</v>
      </c>
      <c r="C64" s="9" t="s">
        <v>39</v>
      </c>
      <c r="D64" s="9" t="s">
        <v>38</v>
      </c>
      <c r="E64" s="9" t="s">
        <v>76</v>
      </c>
    </row>
    <row r="65" spans="2:13" x14ac:dyDescent="0.3">
      <c r="B65" s="8" t="s">
        <v>33</v>
      </c>
      <c r="C65" s="8">
        <v>7.85</v>
      </c>
      <c r="D65" s="8" t="s">
        <v>36</v>
      </c>
      <c r="E65" s="12">
        <v>44743</v>
      </c>
    </row>
    <row r="66" spans="2:13" x14ac:dyDescent="0.3">
      <c r="B66" s="8" t="s">
        <v>33</v>
      </c>
      <c r="C66" s="8">
        <v>3.25</v>
      </c>
      <c r="D66" s="8" t="s">
        <v>34</v>
      </c>
      <c r="E66" s="12">
        <f>E65+3</f>
        <v>44746</v>
      </c>
    </row>
    <row r="67" spans="2:13" x14ac:dyDescent="0.3">
      <c r="B67" s="8" t="s">
        <v>33</v>
      </c>
      <c r="C67" s="8">
        <v>12.5</v>
      </c>
      <c r="D67" s="8" t="s">
        <v>32</v>
      </c>
      <c r="E67" s="12">
        <f t="shared" ref="E67:E76" si="0">E66+3</f>
        <v>44749</v>
      </c>
      <c r="I67" s="11" t="s">
        <v>75</v>
      </c>
      <c r="J67" s="11">
        <v>5</v>
      </c>
    </row>
    <row r="68" spans="2:13" x14ac:dyDescent="0.3">
      <c r="B68" s="8" t="s">
        <v>33</v>
      </c>
      <c r="C68" s="8">
        <v>6.35</v>
      </c>
      <c r="D68" s="8" t="s">
        <v>30</v>
      </c>
      <c r="E68" s="12">
        <f t="shared" si="0"/>
        <v>44752</v>
      </c>
      <c r="H68" s="33" t="s">
        <v>78</v>
      </c>
      <c r="I68" s="33"/>
      <c r="J68" s="32">
        <f>SUMIFS(C65:C76,B65:B76,"Kiwi",C65:C76,"&gt;5")</f>
        <v>80.000000000000014</v>
      </c>
      <c r="M68" s="10">
        <f>SUMIFS(C64:C76,B64:B76,"kiwi",C64:C76,"&gt;5")</f>
        <v>80.000000000000014</v>
      </c>
    </row>
    <row r="69" spans="2:13" x14ac:dyDescent="0.3">
      <c r="B69" s="8" t="s">
        <v>33</v>
      </c>
      <c r="C69" s="8">
        <v>2.5</v>
      </c>
      <c r="D69" s="8" t="s">
        <v>28</v>
      </c>
      <c r="E69" s="12">
        <f t="shared" si="0"/>
        <v>44755</v>
      </c>
      <c r="H69" s="33"/>
      <c r="I69" s="33"/>
      <c r="J69" s="32"/>
    </row>
    <row r="70" spans="2:13" x14ac:dyDescent="0.3">
      <c r="B70" s="8" t="s">
        <v>37</v>
      </c>
      <c r="C70" s="8">
        <v>6.5</v>
      </c>
      <c r="D70" s="8" t="s">
        <v>26</v>
      </c>
      <c r="E70" s="12">
        <f t="shared" si="0"/>
        <v>44758</v>
      </c>
    </row>
    <row r="71" spans="2:13" x14ac:dyDescent="0.3">
      <c r="B71" s="8" t="s">
        <v>33</v>
      </c>
      <c r="C71" s="8">
        <v>8.75</v>
      </c>
      <c r="D71" s="8" t="s">
        <v>36</v>
      </c>
      <c r="E71" s="12">
        <f t="shared" si="0"/>
        <v>44761</v>
      </c>
    </row>
    <row r="72" spans="2:13" x14ac:dyDescent="0.3">
      <c r="B72" s="8" t="s">
        <v>33</v>
      </c>
      <c r="C72" s="8">
        <v>4.6500000000000004</v>
      </c>
      <c r="D72" s="8" t="s">
        <v>30</v>
      </c>
      <c r="E72" s="12">
        <f t="shared" si="0"/>
        <v>44764</v>
      </c>
    </row>
    <row r="73" spans="2:13" x14ac:dyDescent="0.3">
      <c r="B73" s="8" t="s">
        <v>33</v>
      </c>
      <c r="C73" s="8">
        <v>12.85</v>
      </c>
      <c r="D73" s="8" t="s">
        <v>36</v>
      </c>
      <c r="E73" s="12">
        <f t="shared" si="0"/>
        <v>44767</v>
      </c>
    </row>
    <row r="74" spans="2:13" x14ac:dyDescent="0.3">
      <c r="B74" s="8" t="s">
        <v>33</v>
      </c>
      <c r="C74" s="8">
        <v>8.25</v>
      </c>
      <c r="D74" s="8" t="s">
        <v>34</v>
      </c>
      <c r="E74" s="12">
        <f t="shared" si="0"/>
        <v>44770</v>
      </c>
    </row>
    <row r="75" spans="2:13" x14ac:dyDescent="0.3">
      <c r="B75" s="8" t="s">
        <v>33</v>
      </c>
      <c r="C75" s="8">
        <v>13.5</v>
      </c>
      <c r="D75" s="8" t="s">
        <v>32</v>
      </c>
      <c r="E75" s="12">
        <f t="shared" si="0"/>
        <v>44773</v>
      </c>
    </row>
    <row r="76" spans="2:13" x14ac:dyDescent="0.3">
      <c r="B76" s="8" t="s">
        <v>33</v>
      </c>
      <c r="C76" s="8">
        <v>9.9499999999999993</v>
      </c>
      <c r="D76" s="8" t="s">
        <v>30</v>
      </c>
      <c r="E76" s="12">
        <f t="shared" si="0"/>
        <v>44776</v>
      </c>
    </row>
    <row r="77" spans="2:13" x14ac:dyDescent="0.3">
      <c r="B77" s="16"/>
      <c r="C77" s="16"/>
      <c r="D77" s="16"/>
      <c r="E77" s="17"/>
    </row>
    <row r="85" spans="2:13" x14ac:dyDescent="0.3">
      <c r="B85" s="9" t="s">
        <v>40</v>
      </c>
      <c r="C85" s="9" t="s">
        <v>39</v>
      </c>
      <c r="D85" s="9" t="s">
        <v>38</v>
      </c>
      <c r="E85" s="9" t="s">
        <v>76</v>
      </c>
    </row>
    <row r="86" spans="2:13" x14ac:dyDescent="0.3">
      <c r="B86" s="8" t="s">
        <v>33</v>
      </c>
      <c r="C86" s="8">
        <v>7.85</v>
      </c>
      <c r="D86" s="8" t="s">
        <v>36</v>
      </c>
      <c r="E86" s="14">
        <v>44743</v>
      </c>
    </row>
    <row r="87" spans="2:13" x14ac:dyDescent="0.3">
      <c r="B87" s="8" t="s">
        <v>33</v>
      </c>
      <c r="C87" s="8">
        <v>3.25</v>
      </c>
      <c r="D87" s="8" t="s">
        <v>34</v>
      </c>
      <c r="E87" s="14">
        <f>E86+3</f>
        <v>44746</v>
      </c>
    </row>
    <row r="88" spans="2:13" x14ac:dyDescent="0.3">
      <c r="B88" s="8" t="s">
        <v>33</v>
      </c>
      <c r="C88" s="8">
        <v>12.5</v>
      </c>
      <c r="D88" s="8" t="s">
        <v>32</v>
      </c>
      <c r="E88" s="14">
        <f t="shared" ref="E88:E97" si="1">E87+3</f>
        <v>44749</v>
      </c>
      <c r="I88" s="11" t="s">
        <v>77</v>
      </c>
      <c r="J88" s="13">
        <v>44752</v>
      </c>
    </row>
    <row r="89" spans="2:13" ht="23.25" customHeight="1" x14ac:dyDescent="0.3">
      <c r="B89" s="8" t="s">
        <v>33</v>
      </c>
      <c r="C89" s="8">
        <v>6.35</v>
      </c>
      <c r="D89" s="8" t="s">
        <v>30</v>
      </c>
      <c r="E89" s="14">
        <f t="shared" si="1"/>
        <v>44752</v>
      </c>
      <c r="H89" s="34" t="s">
        <v>176</v>
      </c>
      <c r="I89" s="34"/>
      <c r="J89" s="32">
        <f>SUMIFS(C86:C97,B86:B97,"Kiwi",E86:E97,"&gt;=10-Jul-22",E86:E97,"&lt;25-Jul-22")</f>
        <v>24.1</v>
      </c>
      <c r="M89" s="10">
        <f>SUMIFS(C85:C97,B85:B97,"Kiwi",E85:E97,"&gt;=10-Jul-2022",E85:E97,"&lt;25-Jul-2022")</f>
        <v>24.1</v>
      </c>
    </row>
    <row r="90" spans="2:13" ht="21" customHeight="1" x14ac:dyDescent="0.3">
      <c r="B90" s="8" t="s">
        <v>33</v>
      </c>
      <c r="C90" s="8">
        <v>2.5</v>
      </c>
      <c r="D90" s="8" t="s">
        <v>28</v>
      </c>
      <c r="E90" s="14">
        <f t="shared" si="1"/>
        <v>44755</v>
      </c>
      <c r="H90" s="34"/>
      <c r="I90" s="34"/>
      <c r="J90" s="32"/>
    </row>
    <row r="91" spans="2:13" x14ac:dyDescent="0.3">
      <c r="B91" s="8" t="s">
        <v>33</v>
      </c>
      <c r="C91" s="8">
        <v>6.5</v>
      </c>
      <c r="D91" s="8" t="s">
        <v>26</v>
      </c>
      <c r="E91" s="14">
        <f t="shared" si="1"/>
        <v>44758</v>
      </c>
    </row>
    <row r="92" spans="2:13" x14ac:dyDescent="0.3">
      <c r="B92" s="8" t="s">
        <v>33</v>
      </c>
      <c r="C92" s="8">
        <v>8.75</v>
      </c>
      <c r="D92" s="8" t="s">
        <v>36</v>
      </c>
      <c r="E92" s="14">
        <f t="shared" si="1"/>
        <v>44761</v>
      </c>
    </row>
    <row r="93" spans="2:13" x14ac:dyDescent="0.3">
      <c r="B93" s="8" t="s">
        <v>35</v>
      </c>
      <c r="C93" s="8">
        <v>4.6500000000000004</v>
      </c>
      <c r="D93" s="8" t="s">
        <v>30</v>
      </c>
      <c r="E93" s="14">
        <f t="shared" si="1"/>
        <v>44764</v>
      </c>
    </row>
    <row r="94" spans="2:13" x14ac:dyDescent="0.3">
      <c r="B94" s="8" t="s">
        <v>33</v>
      </c>
      <c r="C94" s="8">
        <v>12.85</v>
      </c>
      <c r="D94" s="8" t="s">
        <v>36</v>
      </c>
      <c r="E94" s="14">
        <f t="shared" si="1"/>
        <v>44767</v>
      </c>
    </row>
    <row r="95" spans="2:13" x14ac:dyDescent="0.3">
      <c r="B95" s="8" t="s">
        <v>33</v>
      </c>
      <c r="C95" s="8">
        <v>8.25</v>
      </c>
      <c r="D95" s="8" t="s">
        <v>34</v>
      </c>
      <c r="E95" s="14">
        <f t="shared" si="1"/>
        <v>44770</v>
      </c>
    </row>
    <row r="96" spans="2:13" x14ac:dyDescent="0.3">
      <c r="B96" s="8" t="s">
        <v>33</v>
      </c>
      <c r="C96" s="8">
        <v>13.5</v>
      </c>
      <c r="D96" s="8" t="s">
        <v>32</v>
      </c>
      <c r="E96" s="14">
        <f t="shared" si="1"/>
        <v>44773</v>
      </c>
    </row>
    <row r="97" spans="2:13" x14ac:dyDescent="0.3">
      <c r="B97" s="8" t="s">
        <v>33</v>
      </c>
      <c r="C97" s="8">
        <v>9.9499999999999993</v>
      </c>
      <c r="D97" s="8" t="s">
        <v>30</v>
      </c>
      <c r="E97" s="14">
        <f t="shared" si="1"/>
        <v>44776</v>
      </c>
    </row>
    <row r="104" spans="2:13" x14ac:dyDescent="0.3">
      <c r="B104" s="9" t="s">
        <v>40</v>
      </c>
      <c r="C104" s="9" t="s">
        <v>39</v>
      </c>
      <c r="D104" s="9" t="s">
        <v>38</v>
      </c>
      <c r="E104" s="9" t="s">
        <v>42</v>
      </c>
    </row>
    <row r="105" spans="2:13" x14ac:dyDescent="0.3">
      <c r="B105" s="8" t="s">
        <v>37</v>
      </c>
      <c r="C105" s="8">
        <v>7.85</v>
      </c>
      <c r="D105" s="8" t="s">
        <v>36</v>
      </c>
      <c r="E105" s="8" t="s">
        <v>43</v>
      </c>
    </row>
    <row r="106" spans="2:13" x14ac:dyDescent="0.3">
      <c r="B106" s="8" t="s">
        <v>35</v>
      </c>
      <c r="C106" s="8">
        <v>3.25</v>
      </c>
      <c r="D106" s="8" t="s">
        <v>34</v>
      </c>
      <c r="E106" s="8" t="s">
        <v>44</v>
      </c>
    </row>
    <row r="107" spans="2:13" x14ac:dyDescent="0.3">
      <c r="B107" s="8" t="s">
        <v>33</v>
      </c>
      <c r="C107" s="8">
        <v>12.5</v>
      </c>
      <c r="D107" s="8" t="s">
        <v>32</v>
      </c>
      <c r="E107" s="8" t="s">
        <v>56</v>
      </c>
      <c r="I107" s="11"/>
      <c r="J107" s="11"/>
    </row>
    <row r="108" spans="2:13" x14ac:dyDescent="0.3">
      <c r="B108" s="8" t="s">
        <v>31</v>
      </c>
      <c r="C108" s="8">
        <v>6.35</v>
      </c>
      <c r="D108" s="8" t="s">
        <v>30</v>
      </c>
      <c r="E108" s="8" t="s">
        <v>43</v>
      </c>
      <c r="H108" s="31" t="s">
        <v>52</v>
      </c>
      <c r="I108" s="31"/>
      <c r="J108" s="32">
        <f>SUMIFS(C105:C116,B105:B116,"*Apple*")</f>
        <v>40.450000000000003</v>
      </c>
      <c r="M108" s="10">
        <f>SUMIFS(C105:C116,B105:B116,"*apple*")</f>
        <v>40.450000000000003</v>
      </c>
    </row>
    <row r="109" spans="2:13" x14ac:dyDescent="0.3">
      <c r="B109" s="8" t="s">
        <v>29</v>
      </c>
      <c r="C109" s="8">
        <v>2.5</v>
      </c>
      <c r="D109" s="8" t="s">
        <v>28</v>
      </c>
      <c r="E109" s="8" t="s">
        <v>55</v>
      </c>
      <c r="H109" s="31"/>
      <c r="I109" s="31"/>
      <c r="J109" s="32"/>
    </row>
    <row r="110" spans="2:13" x14ac:dyDescent="0.3">
      <c r="B110" s="8" t="s">
        <v>27</v>
      </c>
      <c r="C110" s="8">
        <v>6.5</v>
      </c>
      <c r="D110" s="8" t="s">
        <v>26</v>
      </c>
      <c r="E110" s="8" t="s">
        <v>45</v>
      </c>
    </row>
    <row r="111" spans="2:13" ht="18.75" customHeight="1" x14ac:dyDescent="0.3">
      <c r="B111" s="8" t="s">
        <v>37</v>
      </c>
      <c r="C111" s="8">
        <v>8.75</v>
      </c>
      <c r="D111" s="8" t="s">
        <v>36</v>
      </c>
      <c r="E111" s="8" t="s">
        <v>43</v>
      </c>
    </row>
    <row r="112" spans="2:13" x14ac:dyDescent="0.3">
      <c r="B112" s="8" t="s">
        <v>31</v>
      </c>
      <c r="C112" s="8">
        <v>4.6500000000000004</v>
      </c>
      <c r="D112" s="8" t="s">
        <v>30</v>
      </c>
      <c r="E112" s="8" t="s">
        <v>44</v>
      </c>
    </row>
    <row r="113" spans="2:10" x14ac:dyDescent="0.3">
      <c r="B113" s="8" t="s">
        <v>37</v>
      </c>
      <c r="C113" s="8">
        <v>12.85</v>
      </c>
      <c r="D113" s="8" t="s">
        <v>36</v>
      </c>
      <c r="E113" s="8" t="s">
        <v>53</v>
      </c>
    </row>
    <row r="114" spans="2:10" ht="18.75" customHeight="1" x14ac:dyDescent="0.3">
      <c r="B114" s="8" t="s">
        <v>50</v>
      </c>
      <c r="C114" s="8">
        <v>8.25</v>
      </c>
      <c r="D114" s="8" t="s">
        <v>34</v>
      </c>
      <c r="E114" s="8" t="s">
        <v>43</v>
      </c>
    </row>
    <row r="115" spans="2:10" x14ac:dyDescent="0.3">
      <c r="B115" s="8" t="s">
        <v>33</v>
      </c>
      <c r="C115" s="8">
        <v>13.5</v>
      </c>
      <c r="D115" s="8" t="s">
        <v>32</v>
      </c>
      <c r="E115" s="8" t="s">
        <v>44</v>
      </c>
    </row>
    <row r="116" spans="2:10" x14ac:dyDescent="0.3">
      <c r="B116" s="8" t="s">
        <v>51</v>
      </c>
      <c r="C116" s="8">
        <v>9.9499999999999993</v>
      </c>
      <c r="D116" s="8" t="s">
        <v>30</v>
      </c>
      <c r="E116" s="8" t="s">
        <v>54</v>
      </c>
    </row>
    <row r="125" spans="2:10" x14ac:dyDescent="0.3">
      <c r="B125" s="9" t="s">
        <v>40</v>
      </c>
      <c r="C125" s="9" t="s">
        <v>39</v>
      </c>
      <c r="D125" s="9" t="s">
        <v>38</v>
      </c>
      <c r="E125" s="9" t="s">
        <v>42</v>
      </c>
    </row>
    <row r="126" spans="2:10" x14ac:dyDescent="0.3">
      <c r="B126" s="8" t="s">
        <v>37</v>
      </c>
      <c r="C126" s="8">
        <v>7.85</v>
      </c>
      <c r="D126" s="8" t="s">
        <v>36</v>
      </c>
      <c r="E126" s="8" t="s">
        <v>43</v>
      </c>
    </row>
    <row r="127" spans="2:10" x14ac:dyDescent="0.3">
      <c r="B127" s="8" t="s">
        <v>35</v>
      </c>
      <c r="C127" s="8">
        <v>3.25</v>
      </c>
      <c r="D127" s="8" t="s">
        <v>34</v>
      </c>
      <c r="E127" s="8" t="s">
        <v>44</v>
      </c>
    </row>
    <row r="128" spans="2:10" x14ac:dyDescent="0.3">
      <c r="B128" s="8" t="s">
        <v>33</v>
      </c>
      <c r="C128" s="8">
        <v>12.5</v>
      </c>
      <c r="D128" s="8" t="s">
        <v>32</v>
      </c>
      <c r="E128" s="8" t="s">
        <v>56</v>
      </c>
      <c r="I128" s="11"/>
      <c r="J128" s="11"/>
    </row>
    <row r="129" spans="2:13" x14ac:dyDescent="0.3">
      <c r="B129" s="8" t="s">
        <v>31</v>
      </c>
      <c r="C129" s="8">
        <v>6.35</v>
      </c>
      <c r="D129" s="8" t="s">
        <v>30</v>
      </c>
      <c r="E129" s="8" t="s">
        <v>43</v>
      </c>
    </row>
    <row r="130" spans="2:13" x14ac:dyDescent="0.3">
      <c r="B130" s="8" t="s">
        <v>29</v>
      </c>
      <c r="C130" s="8">
        <v>2.5</v>
      </c>
      <c r="D130" s="8" t="s">
        <v>28</v>
      </c>
      <c r="E130" s="8" t="s">
        <v>55</v>
      </c>
      <c r="H130" s="31" t="s">
        <v>57</v>
      </c>
      <c r="I130" s="31"/>
      <c r="J130" s="32">
        <f>SUMIFS(C126:C137,D126:D137,"*o*")</f>
        <v>38.450000000000003</v>
      </c>
      <c r="M130" s="10">
        <f>SUMIFS(C126:C137,D126:D137,"*O*")</f>
        <v>38.450000000000003</v>
      </c>
    </row>
    <row r="131" spans="2:13" x14ac:dyDescent="0.3">
      <c r="B131" s="8" t="s">
        <v>27</v>
      </c>
      <c r="C131" s="8">
        <v>6.5</v>
      </c>
      <c r="D131" s="8" t="s">
        <v>26</v>
      </c>
      <c r="E131" s="8" t="s">
        <v>45</v>
      </c>
      <c r="H131" s="31"/>
      <c r="I131" s="31"/>
      <c r="J131" s="32"/>
    </row>
    <row r="132" spans="2:13" x14ac:dyDescent="0.3">
      <c r="B132" s="8" t="s">
        <v>37</v>
      </c>
      <c r="C132" s="8">
        <v>8.75</v>
      </c>
      <c r="D132" s="8" t="s">
        <v>36</v>
      </c>
      <c r="E132" s="8" t="s">
        <v>43</v>
      </c>
    </row>
    <row r="133" spans="2:13" x14ac:dyDescent="0.3">
      <c r="B133" s="8" t="s">
        <v>31</v>
      </c>
      <c r="C133" s="8">
        <v>4.6500000000000004</v>
      </c>
      <c r="D133" s="8" t="s">
        <v>30</v>
      </c>
      <c r="E133" s="8" t="s">
        <v>44</v>
      </c>
    </row>
    <row r="134" spans="2:13" x14ac:dyDescent="0.3">
      <c r="B134" s="8" t="s">
        <v>37</v>
      </c>
      <c r="C134" s="8">
        <v>12.85</v>
      </c>
      <c r="D134" s="8" t="s">
        <v>36</v>
      </c>
      <c r="E134" s="8" t="s">
        <v>53</v>
      </c>
    </row>
    <row r="135" spans="2:13" x14ac:dyDescent="0.3">
      <c r="B135" s="8" t="s">
        <v>50</v>
      </c>
      <c r="C135" s="8">
        <v>8.25</v>
      </c>
      <c r="D135" s="8" t="s">
        <v>34</v>
      </c>
      <c r="E135" s="8" t="s">
        <v>43</v>
      </c>
    </row>
    <row r="136" spans="2:13" x14ac:dyDescent="0.3">
      <c r="B136" s="8" t="s">
        <v>33</v>
      </c>
      <c r="C136" s="8">
        <v>13.5</v>
      </c>
      <c r="D136" s="8" t="s">
        <v>32</v>
      </c>
      <c r="E136" s="8" t="s">
        <v>44</v>
      </c>
    </row>
    <row r="137" spans="2:13" x14ac:dyDescent="0.3">
      <c r="B137" s="8" t="s">
        <v>51</v>
      </c>
      <c r="C137" s="8">
        <v>9.9499999999999993</v>
      </c>
      <c r="D137" s="8" t="s">
        <v>30</v>
      </c>
      <c r="E137" s="8" t="s">
        <v>54</v>
      </c>
    </row>
    <row r="146" spans="2:13" x14ac:dyDescent="0.3">
      <c r="B146" s="9" t="s">
        <v>40</v>
      </c>
      <c r="C146" s="9" t="s">
        <v>39</v>
      </c>
      <c r="D146" s="9" t="s">
        <v>38</v>
      </c>
      <c r="E146" s="9" t="s">
        <v>42</v>
      </c>
    </row>
    <row r="147" spans="2:13" x14ac:dyDescent="0.3">
      <c r="B147" s="8" t="s">
        <v>37</v>
      </c>
      <c r="C147" s="8">
        <v>7.85</v>
      </c>
      <c r="D147" s="8" t="s">
        <v>36</v>
      </c>
      <c r="E147" s="8" t="s">
        <v>43</v>
      </c>
    </row>
    <row r="148" spans="2:13" x14ac:dyDescent="0.3">
      <c r="B148" s="8" t="s">
        <v>35</v>
      </c>
      <c r="C148" s="8">
        <v>3.25</v>
      </c>
      <c r="D148" s="8" t="s">
        <v>34</v>
      </c>
      <c r="E148" s="8" t="s">
        <v>44</v>
      </c>
    </row>
    <row r="149" spans="2:13" x14ac:dyDescent="0.3">
      <c r="B149" s="8" t="s">
        <v>33</v>
      </c>
      <c r="C149" s="8">
        <v>12.5</v>
      </c>
      <c r="D149" s="8" t="s">
        <v>32</v>
      </c>
      <c r="E149" s="8" t="s">
        <v>56</v>
      </c>
      <c r="I149" s="11"/>
      <c r="J149" s="11"/>
    </row>
    <row r="150" spans="2:13" x14ac:dyDescent="0.3">
      <c r="B150" s="8" t="s">
        <v>31</v>
      </c>
      <c r="C150" s="8">
        <v>6.35</v>
      </c>
      <c r="D150" s="8" t="s">
        <v>30</v>
      </c>
      <c r="E150" s="8" t="s">
        <v>43</v>
      </c>
    </row>
    <row r="151" spans="2:13" x14ac:dyDescent="0.3">
      <c r="B151" s="8" t="s">
        <v>29</v>
      </c>
      <c r="C151" s="8">
        <v>2.5</v>
      </c>
      <c r="D151" s="8" t="s">
        <v>28</v>
      </c>
      <c r="E151" s="8" t="s">
        <v>55</v>
      </c>
      <c r="H151" s="31" t="s">
        <v>58</v>
      </c>
      <c r="I151" s="31"/>
      <c r="J151" s="32">
        <f>SUMIFS(C147:C158,E147:E158,"j*")</f>
        <v>54</v>
      </c>
      <c r="M151" s="10">
        <f>SUMIFS(C147:C158,E147:E158,"J*")</f>
        <v>54</v>
      </c>
    </row>
    <row r="152" spans="2:13" x14ac:dyDescent="0.3">
      <c r="B152" s="8" t="s">
        <v>27</v>
      </c>
      <c r="C152" s="8">
        <v>6.5</v>
      </c>
      <c r="D152" s="8" t="s">
        <v>26</v>
      </c>
      <c r="E152" s="8" t="s">
        <v>45</v>
      </c>
      <c r="H152" s="31"/>
      <c r="I152" s="31"/>
      <c r="J152" s="32"/>
    </row>
    <row r="153" spans="2:13" x14ac:dyDescent="0.3">
      <c r="B153" s="8" t="s">
        <v>37</v>
      </c>
      <c r="C153" s="8">
        <v>8.75</v>
      </c>
      <c r="D153" s="8" t="s">
        <v>36</v>
      </c>
      <c r="E153" s="8" t="s">
        <v>43</v>
      </c>
    </row>
    <row r="154" spans="2:13" x14ac:dyDescent="0.3">
      <c r="B154" s="8" t="s">
        <v>31</v>
      </c>
      <c r="C154" s="8">
        <v>4.6500000000000004</v>
      </c>
      <c r="D154" s="8" t="s">
        <v>30</v>
      </c>
      <c r="E154" s="8" t="s">
        <v>44</v>
      </c>
    </row>
    <row r="155" spans="2:13" x14ac:dyDescent="0.3">
      <c r="B155" s="8" t="s">
        <v>37</v>
      </c>
      <c r="C155" s="8">
        <v>12.85</v>
      </c>
      <c r="D155" s="8" t="s">
        <v>36</v>
      </c>
      <c r="E155" s="8" t="s">
        <v>53</v>
      </c>
    </row>
    <row r="156" spans="2:13" x14ac:dyDescent="0.3">
      <c r="B156" s="8" t="s">
        <v>50</v>
      </c>
      <c r="C156" s="8">
        <v>8.25</v>
      </c>
      <c r="D156" s="8" t="s">
        <v>34</v>
      </c>
      <c r="E156" s="8" t="s">
        <v>43</v>
      </c>
    </row>
    <row r="157" spans="2:13" x14ac:dyDescent="0.3">
      <c r="B157" s="8" t="s">
        <v>33</v>
      </c>
      <c r="C157" s="8">
        <v>13.5</v>
      </c>
      <c r="D157" s="8" t="s">
        <v>32</v>
      </c>
      <c r="E157" s="8" t="s">
        <v>44</v>
      </c>
    </row>
    <row r="158" spans="2:13" x14ac:dyDescent="0.3">
      <c r="B158" s="8" t="s">
        <v>51</v>
      </c>
      <c r="C158" s="8">
        <v>9.9499999999999993</v>
      </c>
      <c r="D158" s="8" t="s">
        <v>30</v>
      </c>
      <c r="E158" s="8" t="s">
        <v>54</v>
      </c>
    </row>
  </sheetData>
  <customSheetViews>
    <customSheetView guid="{A5292A6B-6F92-4AB3-B051-EF87F39FC489}" scale="120" showGridLines="0" topLeftCell="A3">
      <selection activeCell="J8" sqref="J8:J9"/>
      <pageMargins left="0.7" right="0.7" top="0.75" bottom="0.75" header="0.3" footer="0.3"/>
      <pageSetup orientation="portrait" r:id="rId1"/>
    </customSheetView>
    <customSheetView guid="{6194C141-D0A1-4D58-BA55-90A184525AC3}" scale="120" showGridLines="0" topLeftCell="A19">
      <selection activeCell="J24" sqref="J24:J25"/>
      <pageMargins left="0.7" right="0.7" top="0.75" bottom="0.75" header="0.3" footer="0.3"/>
      <pageSetup orientation="portrait" r:id="rId2"/>
    </customSheetView>
    <customSheetView guid="{7A7FC9A5-F2B5-4894-82BC-4528575F10D4}" scale="120" showGridLines="0" topLeftCell="A35">
      <selection activeCell="J40" sqref="J40:J41"/>
      <pageMargins left="0.7" right="0.7" top="0.75" bottom="0.75" header="0.3" footer="0.3"/>
      <pageSetup orientation="portrait" r:id="rId3"/>
    </customSheetView>
    <customSheetView guid="{EBA5E9C4-A2DB-4DF0-BF75-1243E968318E}" scale="120" showGridLines="0" topLeftCell="A50">
      <selection activeCell="J40" sqref="J40:J41"/>
      <pageMargins left="0.7" right="0.7" top="0.75" bottom="0.75" header="0.3" footer="0.3"/>
      <pageSetup orientation="portrait" r:id="rId4"/>
    </customSheetView>
    <customSheetView guid="{C7330417-67A9-44CF-917F-5F5E2F191AD4}" scale="120" showGridLines="0" topLeftCell="A65">
      <selection activeCell="J70" sqref="J70:J71"/>
      <pageMargins left="0.7" right="0.7" top="0.75" bottom="0.75" header="0.3" footer="0.3"/>
      <pageSetup orientation="portrait" r:id="rId5"/>
    </customSheetView>
    <customSheetView guid="{47C01131-7443-4080-A2BB-6B6AA35C6913}" scale="120" showGridLines="0" topLeftCell="A92">
      <selection activeCell="A71" sqref="A71"/>
      <pageMargins left="0.7" right="0.7" top="0.75" bottom="0.75" header="0.3" footer="0.3"/>
      <pageSetup orientation="portrait" r:id="rId6"/>
    </customSheetView>
    <customSheetView guid="{19DA6E7F-8950-4769-9BBE-2798EFA465A3}" scale="120" showGridLines="0" topLeftCell="A107">
      <selection activeCell="A71" sqref="A71"/>
      <pageMargins left="0.7" right="0.7" top="0.75" bottom="0.75" header="0.3" footer="0.3"/>
      <pageSetup orientation="portrait" r:id="rId7"/>
    </customSheetView>
    <customSheetView guid="{F3CB97AD-592C-4B6E-8AE3-1CD47479060C}" scale="120" showGridLines="0" topLeftCell="A124">
      <selection activeCell="A71" sqref="A71"/>
      <pageMargins left="0.7" right="0.7" top="0.75" bottom="0.75" header="0.3" footer="0.3"/>
      <pageSetup orientation="portrait" r:id="rId8"/>
    </customSheetView>
    <customSheetView guid="{422703F6-63C4-435C-AFE7-1030286678F6}" scale="120" showGridLines="0" topLeftCell="A3">
      <selection activeCell="J8" sqref="J8:J9"/>
      <pageMargins left="0.7" right="0.7" top="0.75" bottom="0.75" header="0.3" footer="0.3"/>
      <pageSetup orientation="portrait" r:id="rId9"/>
    </customSheetView>
    <customSheetView guid="{02D27969-4CD1-473E-A0E8-856AB0664DE8}" scale="120" showGridLines="0" topLeftCell="A3">
      <selection activeCell="J8" sqref="J8:J9"/>
      <pageMargins left="0.7" right="0.7" top="0.75" bottom="0.75" header="0.3" footer="0.3"/>
      <pageSetup orientation="portrait" r:id="rId10"/>
    </customSheetView>
    <customSheetView guid="{1920E7A3-1C9F-4320-81BB-D11544051025}" scale="120" showGridLines="0" topLeftCell="A3">
      <selection activeCell="J8" sqref="J8:J9"/>
      <pageMargins left="0.7" right="0.7" top="0.75" bottom="0.75" header="0.3" footer="0.3"/>
      <pageSetup orientation="portrait" r:id="rId11"/>
    </customSheetView>
    <customSheetView guid="{EC7537C6-1678-41C1-B788-EF4AFFECF769}" scale="120" showGridLines="0" topLeftCell="A3">
      <selection activeCell="J8" sqref="J8:J9"/>
      <pageMargins left="0.7" right="0.7" top="0.75" bottom="0.75" header="0.3" footer="0.3"/>
      <pageSetup orientation="portrait" r:id="rId12"/>
    </customSheetView>
    <customSheetView guid="{E4FF7DB9-14DF-49DB-9F59-1898DDED4DCE}" scale="120" showGridLines="0" topLeftCell="A3">
      <selection activeCell="J8" sqref="J8:J9"/>
      <pageMargins left="0.7" right="0.7" top="0.75" bottom="0.75" header="0.3" footer="0.3"/>
      <pageSetup orientation="portrait" r:id="rId13"/>
    </customSheetView>
    <customSheetView guid="{9AFCAA87-4888-4976-A7C9-C06A34CB6C97}" scale="120" showGridLines="0" topLeftCell="A3">
      <selection activeCell="J8" sqref="J8:J9"/>
      <pageMargins left="0.7" right="0.7" top="0.75" bottom="0.75" header="0.3" footer="0.3"/>
      <pageSetup orientation="portrait" r:id="rId14"/>
    </customSheetView>
    <customSheetView guid="{15D7A002-B247-4A6B-A16B-61BDD9B0066A}" scale="120" showGridLines="0" topLeftCell="A3">
      <selection activeCell="J8" sqref="J8:J9"/>
      <pageMargins left="0.7" right="0.7" top="0.75" bottom="0.75" header="0.3" footer="0.3"/>
      <pageSetup orientation="portrait" r:id="rId15"/>
    </customSheetView>
    <customSheetView guid="{F789A6E6-3D06-4D93-BF02-46FA1A2548B2}" scale="120" showGridLines="0" topLeftCell="A3">
      <selection activeCell="J8" sqref="J8:J9"/>
      <pageMargins left="0.7" right="0.7" top="0.75" bottom="0.75" header="0.3" footer="0.3"/>
      <pageSetup orientation="portrait" r:id="rId16"/>
    </customSheetView>
    <customSheetView guid="{629A478C-29B1-4F25-A016-63CE32A1627F}" scale="120" showGridLines="0">
      <selection activeCell="F12" sqref="F12"/>
      <pageMargins left="0.7" right="0.7" top="0.75" bottom="0.75" header="0.3" footer="0.3"/>
      <pageSetup orientation="portrait" r:id="rId17"/>
    </customSheetView>
    <customSheetView guid="{51BA8A3D-4711-49ED-89E2-EBC09DF2AEDC}" scale="120" showGridLines="0">
      <selection activeCell="F12" sqref="F12"/>
      <pageMargins left="0.7" right="0.7" top="0.75" bottom="0.75" header="0.3" footer="0.3"/>
      <pageSetup orientation="portrait" r:id="rId18"/>
    </customSheetView>
    <customSheetView guid="{25A4A7C0-9593-456C-861C-76D101D3FE93}" scale="120" showGridLines="0">
      <selection activeCell="F12" sqref="F12"/>
      <pageMargins left="0.7" right="0.7" top="0.75" bottom="0.75" header="0.3" footer="0.3"/>
      <pageSetup orientation="portrait" r:id="rId19"/>
    </customSheetView>
    <customSheetView guid="{95D39BA8-2B16-4954-ABAC-09AD33A86339}" scale="120" showGridLines="0">
      <selection activeCell="F12" sqref="F12"/>
      <pageMargins left="0.7" right="0.7" top="0.75" bottom="0.75" header="0.3" footer="0.3"/>
      <pageSetup orientation="portrait" r:id="rId20"/>
    </customSheetView>
    <customSheetView guid="{C65059E8-30E8-488B-A0E9-1B7961920C81}" scale="120" showGridLines="0">
      <selection activeCell="F12" sqref="F12"/>
      <pageMargins left="0.7" right="0.7" top="0.75" bottom="0.75" header="0.3" footer="0.3"/>
      <pageSetup orientation="portrait" r:id="rId21"/>
    </customSheetView>
    <customSheetView guid="{644A6A80-0D34-48F6-A071-17016DCD2D6E}" scale="120" showGridLines="0">
      <selection activeCell="F12" sqref="F12"/>
      <pageMargins left="0.7" right="0.7" top="0.75" bottom="0.75" header="0.3" footer="0.3"/>
      <pageSetup orientation="portrait" r:id="rId22"/>
    </customSheetView>
    <customSheetView guid="{CC562453-1E6B-4010-9E1B-775397A26EFA}" scale="120" showGridLines="0">
      <selection activeCell="F12" sqref="F12"/>
      <pageMargins left="0.7" right="0.7" top="0.75" bottom="0.75" header="0.3" footer="0.3"/>
      <pageSetup orientation="portrait" r:id="rId23"/>
    </customSheetView>
    <customSheetView guid="{E1A67331-473F-4161-806C-BE35870C93B5}" scale="120" showGridLines="0">
      <selection activeCell="F12" sqref="F12"/>
      <pageMargins left="0.7" right="0.7" top="0.75" bottom="0.75" header="0.3" footer="0.3"/>
      <pageSetup orientation="portrait" r:id="rId24"/>
    </customSheetView>
    <customSheetView guid="{BCAB4838-A37A-4BCF-A9C9-CC50C95F58C7}" scale="120" showGridLines="0">
      <selection activeCell="F12" sqref="F12"/>
      <pageMargins left="0.7" right="0.7" top="0.75" bottom="0.75" header="0.3" footer="0.3"/>
      <pageSetup orientation="portrait" r:id="rId25"/>
    </customSheetView>
    <customSheetView guid="{F518ECB9-5D92-41E0-BFD2-C5175A02444D}" scale="120" showGridLines="0">
      <selection activeCell="F12" sqref="F12"/>
      <pageMargins left="0.7" right="0.7" top="0.75" bottom="0.75" header="0.3" footer="0.3"/>
      <pageSetup orientation="portrait" r:id="rId26"/>
    </customSheetView>
    <customSheetView guid="{FEB5A49F-F7F7-412A-BE72-F90F7A4799C8}" scale="120" showGridLines="0">
      <selection activeCell="F12" sqref="F12"/>
      <pageMargins left="0.7" right="0.7" top="0.75" bottom="0.75" header="0.3" footer="0.3"/>
      <pageSetup orientation="portrait" r:id="rId27"/>
    </customSheetView>
    <customSheetView guid="{F9A03991-7A83-41AE-B603-3D22265CDA22}" scale="120" showGridLines="0">
      <selection activeCell="F12" sqref="F12"/>
      <pageMargins left="0.7" right="0.7" top="0.75" bottom="0.75" header="0.3" footer="0.3"/>
      <pageSetup orientation="portrait" r:id="rId28"/>
    </customSheetView>
    <customSheetView guid="{8A25BF65-C908-4B2F-9805-3CD39BD4330E}" scale="120" showGridLines="0">
      <selection activeCell="F12" sqref="F12"/>
      <pageMargins left="0.7" right="0.7" top="0.75" bottom="0.75" header="0.3" footer="0.3"/>
      <pageSetup orientation="portrait" r:id="rId29"/>
    </customSheetView>
    <customSheetView guid="{5C8F4C13-387F-42D2-8CB5-92C4886D7919}" scale="120" showGridLines="0">
      <selection activeCell="F12" sqref="F12"/>
      <pageMargins left="0.7" right="0.7" top="0.75" bottom="0.75" header="0.3" footer="0.3"/>
      <pageSetup orientation="portrait" r:id="rId30"/>
    </customSheetView>
    <customSheetView guid="{395DC3D6-3299-4A43-88E2-62703FCC0349}" scale="120" showGridLines="0">
      <selection activeCell="F12" sqref="F12"/>
      <pageMargins left="0.7" right="0.7" top="0.75" bottom="0.75" header="0.3" footer="0.3"/>
      <pageSetup orientation="portrait" r:id="rId31"/>
    </customSheetView>
    <customSheetView guid="{FC8D231F-57F9-45EE-9DEF-D7ED111600EB}" scale="120" showGridLines="0">
      <selection activeCell="F12" sqref="F12"/>
      <pageMargins left="0.7" right="0.7" top="0.75" bottom="0.75" header="0.3" footer="0.3"/>
      <pageSetup orientation="portrait" r:id="rId32"/>
    </customSheetView>
    <customSheetView guid="{7A9AB605-DB82-470C-B86B-95E2AB3523F6}" scale="120" showGridLines="0">
      <selection activeCell="F12" sqref="F12"/>
      <pageMargins left="0.7" right="0.7" top="0.75" bottom="0.75" header="0.3" footer="0.3"/>
      <pageSetup orientation="portrait" r:id="rId33"/>
    </customSheetView>
    <customSheetView guid="{0125BE01-BBC8-4E5A-9A9A-3D1257916B8C}" scale="120" showGridLines="0">
      <selection activeCell="F12" sqref="F12"/>
      <pageMargins left="0.7" right="0.7" top="0.75" bottom="0.75" header="0.3" footer="0.3"/>
      <pageSetup orientation="portrait" r:id="rId34"/>
    </customSheetView>
    <customSheetView guid="{8BEA0E04-8B9A-4A2D-9B80-4E7685E22D5E}" scale="120" showGridLines="0">
      <selection activeCell="F12" sqref="F12"/>
      <pageMargins left="0.7" right="0.7" top="0.75" bottom="0.75" header="0.3" footer="0.3"/>
      <pageSetup orientation="portrait" r:id="rId35"/>
    </customSheetView>
    <customSheetView guid="{EE4A95A5-BF42-4BAA-B9EB-84A9230A28F9}" scale="120" showGridLines="0">
      <selection activeCell="F12" sqref="F12"/>
      <pageMargins left="0.7" right="0.7" top="0.75" bottom="0.75" header="0.3" footer="0.3"/>
      <pageSetup orientation="portrait" r:id="rId36"/>
    </customSheetView>
    <customSheetView guid="{2032DE14-E33D-44B5-9022-A2B48F059704}" scale="120" showGridLines="0">
      <selection activeCell="F12" sqref="F12"/>
      <pageMargins left="0.7" right="0.7" top="0.75" bottom="0.75" header="0.3" footer="0.3"/>
      <pageSetup orientation="portrait" r:id="rId37"/>
    </customSheetView>
    <customSheetView guid="{DF16608F-40E8-490E-B08D-ED6EEAB8B9EC}" scale="120" showGridLines="0">
      <selection activeCell="F12" sqref="F12"/>
      <pageMargins left="0.7" right="0.7" top="0.75" bottom="0.75" header="0.3" footer="0.3"/>
      <pageSetup orientation="portrait" r:id="rId38"/>
    </customSheetView>
    <customSheetView guid="{2CEDB1FB-2942-4B51-BF30-285DCDB05292}" scale="120" showGridLines="0">
      <selection activeCell="F12" sqref="F12"/>
      <pageMargins left="0.7" right="0.7" top="0.75" bottom="0.75" header="0.3" footer="0.3"/>
      <pageSetup orientation="portrait" r:id="rId39"/>
    </customSheetView>
    <customSheetView guid="{E4375DB4-4B74-46BC-A9F2-C5C5055B366F}" scale="120" showGridLines="0">
      <selection activeCell="F12" sqref="F12"/>
      <pageMargins left="0.7" right="0.7" top="0.75" bottom="0.75" header="0.3" footer="0.3"/>
      <pageSetup orientation="portrait" r:id="rId40"/>
    </customSheetView>
    <customSheetView guid="{58306194-C83B-413E-AC5F-AD717216CB21}" scale="120" showGridLines="0">
      <selection activeCell="F12" sqref="F12"/>
      <pageMargins left="0.7" right="0.7" top="0.75" bottom="0.75" header="0.3" footer="0.3"/>
      <pageSetup orientation="portrait" r:id="rId41"/>
    </customSheetView>
    <customSheetView guid="{81DEBAD0-6E86-4DFB-8642-C52E8C976BDA}" scale="120" showGridLines="0">
      <selection activeCell="F12" sqref="F12"/>
      <pageMargins left="0.7" right="0.7" top="0.75" bottom="0.75" header="0.3" footer="0.3"/>
      <pageSetup orientation="portrait" r:id="rId42"/>
    </customSheetView>
    <customSheetView guid="{C575B46A-1D4C-489C-97AE-5DAB6560E171}" scale="120" showGridLines="0">
      <selection activeCell="F12" sqref="F12"/>
      <pageMargins left="0.7" right="0.7" top="0.75" bottom="0.75" header="0.3" footer="0.3"/>
      <pageSetup orientation="portrait" r:id="rId43"/>
    </customSheetView>
    <customSheetView guid="{C908A6D6-4C77-416B-BC46-6F501B5F842F}" scale="120" showGridLines="0">
      <selection activeCell="F12" sqref="F12"/>
      <pageMargins left="0.7" right="0.7" top="0.75" bottom="0.75" header="0.3" footer="0.3"/>
      <pageSetup orientation="portrait" r:id="rId44"/>
    </customSheetView>
    <customSheetView guid="{CE50DC7E-3038-4337-BAC8-5B16EE1D95B0}" scale="120" showGridLines="0">
      <selection activeCell="F12" sqref="F12"/>
      <pageMargins left="0.7" right="0.7" top="0.75" bottom="0.75" header="0.3" footer="0.3"/>
      <pageSetup orientation="portrait" r:id="rId45"/>
    </customSheetView>
    <customSheetView guid="{3511E245-32F9-4CFF-8540-6B03C6FAE218}" scale="120" showGridLines="0">
      <selection activeCell="F12" sqref="F12"/>
      <pageMargins left="0.7" right="0.7" top="0.75" bottom="0.75" header="0.3" footer="0.3"/>
      <pageSetup orientation="portrait" r:id="rId46"/>
    </customSheetView>
    <customSheetView guid="{DFE0B66A-2DCB-4802-A91B-F836707AD43C}" scale="120" showGridLines="0">
      <selection activeCell="F12" sqref="F12"/>
      <pageMargins left="0.7" right="0.7" top="0.75" bottom="0.75" header="0.3" footer="0.3"/>
      <pageSetup orientation="portrait" r:id="rId47"/>
    </customSheetView>
    <customSheetView guid="{0458C18D-9EF5-4516-9145-CA54D8EB1865}" scale="120" showGridLines="0">
      <selection activeCell="F12" sqref="F12"/>
      <pageMargins left="0.7" right="0.7" top="0.75" bottom="0.75" header="0.3" footer="0.3"/>
      <pageSetup orientation="portrait" r:id="rId48"/>
    </customSheetView>
    <customSheetView guid="{0E02FCC8-6440-4859-9F6B-C77617EF5D89}" scale="120" showGridLines="0">
      <selection activeCell="F12" sqref="F12"/>
      <pageMargins left="0.7" right="0.7" top="0.75" bottom="0.75" header="0.3" footer="0.3"/>
      <pageSetup orientation="portrait" r:id="rId49"/>
    </customSheetView>
    <customSheetView guid="{EE811897-5BF5-4321-9879-5B7EDF90A350}" scale="120" showGridLines="0">
      <selection activeCell="F12" sqref="F12"/>
      <pageMargins left="0.7" right="0.7" top="0.75" bottom="0.75" header="0.3" footer="0.3"/>
      <pageSetup orientation="portrait" r:id="rId50"/>
    </customSheetView>
    <customSheetView guid="{FF03E81F-A9A8-4546-A9C3-77A6EEA02ED9}" scale="120" showGridLines="0">
      <selection activeCell="F12" sqref="F12"/>
      <pageMargins left="0.7" right="0.7" top="0.75" bottom="0.75" header="0.3" footer="0.3"/>
      <pageSetup orientation="portrait" r:id="rId51"/>
    </customSheetView>
    <customSheetView guid="{D9413B31-FDB2-4AE8-80A8-7F09954E703C}" scale="120" showGridLines="0">
      <selection activeCell="F12" sqref="F12"/>
      <pageMargins left="0.7" right="0.7" top="0.75" bottom="0.75" header="0.3" footer="0.3"/>
      <pageSetup orientation="portrait" r:id="rId52"/>
    </customSheetView>
    <customSheetView guid="{B19B24CB-B859-49E3-8AE0-2D671510EE4F}" scale="120" showGridLines="0">
      <selection activeCell="F12" sqref="F12"/>
      <pageMargins left="0.7" right="0.7" top="0.75" bottom="0.75" header="0.3" footer="0.3"/>
      <pageSetup orientation="portrait" r:id="rId53"/>
    </customSheetView>
    <customSheetView guid="{0BF42E77-7016-4BE4-A5AB-A49974630D91}" scale="120" showGridLines="0">
      <selection activeCell="F12" sqref="F12"/>
      <pageMargins left="0.7" right="0.7" top="0.75" bottom="0.75" header="0.3" footer="0.3"/>
      <pageSetup orientation="portrait" r:id="rId54"/>
    </customSheetView>
    <customSheetView guid="{C453A932-6110-4A84-A9C2-26C809391387}" scale="120" showGridLines="0">
      <selection activeCell="F12" sqref="F12"/>
      <pageMargins left="0.7" right="0.7" top="0.75" bottom="0.75" header="0.3" footer="0.3"/>
      <pageSetup orientation="portrait" r:id="rId55"/>
    </customSheetView>
    <customSheetView guid="{08E755F8-82E9-4D95-862B-81F55FBDDDF6}" scale="120" showGridLines="0">
      <selection activeCell="F12" sqref="F12"/>
      <pageMargins left="0.7" right="0.7" top="0.75" bottom="0.75" header="0.3" footer="0.3"/>
      <pageSetup orientation="portrait" r:id="rId56"/>
    </customSheetView>
    <customSheetView guid="{86D36E03-787A-41EB-85FF-8BB8A222055B}" scale="120" showGridLines="0">
      <selection activeCell="F12" sqref="F12"/>
      <pageMargins left="0.7" right="0.7" top="0.75" bottom="0.75" header="0.3" footer="0.3"/>
      <pageSetup orientation="portrait" r:id="rId57"/>
    </customSheetView>
  </customSheetViews>
  <mergeCells count="16">
    <mergeCell ref="H130:I131"/>
    <mergeCell ref="J130:J131"/>
    <mergeCell ref="H151:I152"/>
    <mergeCell ref="J151:J152"/>
    <mergeCell ref="H7:I8"/>
    <mergeCell ref="J7:J8"/>
    <mergeCell ref="H27:I28"/>
    <mergeCell ref="J27:J28"/>
    <mergeCell ref="H48:I49"/>
    <mergeCell ref="J48:J49"/>
    <mergeCell ref="H68:I69"/>
    <mergeCell ref="J68:J69"/>
    <mergeCell ref="H89:I90"/>
    <mergeCell ref="J89:J90"/>
    <mergeCell ref="H108:I109"/>
    <mergeCell ref="J108:J109"/>
  </mergeCells>
  <conditionalFormatting sqref="J7">
    <cfRule type="expression" dxfId="40" priority="6">
      <formula>$J7=$M7</formula>
    </cfRule>
  </conditionalFormatting>
  <conditionalFormatting sqref="J27">
    <cfRule type="expression" dxfId="39" priority="7">
      <formula>$J27=$M27</formula>
    </cfRule>
  </conditionalFormatting>
  <conditionalFormatting sqref="J48">
    <cfRule type="expression" dxfId="38" priority="8">
      <formula>$J48=$M48</formula>
    </cfRule>
  </conditionalFormatting>
  <conditionalFormatting sqref="J68">
    <cfRule type="expression" dxfId="37" priority="2">
      <formula>$J68=$M68</formula>
    </cfRule>
  </conditionalFormatting>
  <conditionalFormatting sqref="J89">
    <cfRule type="expression" dxfId="36" priority="1">
      <formula>$J89=$M89</formula>
    </cfRule>
  </conditionalFormatting>
  <conditionalFormatting sqref="J108">
    <cfRule type="expression" dxfId="35" priority="5">
      <formula>$J108=$M108</formula>
    </cfRule>
  </conditionalFormatting>
  <conditionalFormatting sqref="J130">
    <cfRule type="expression" dxfId="34" priority="4">
      <formula>$J130=$M130</formula>
    </cfRule>
  </conditionalFormatting>
  <conditionalFormatting sqref="J151">
    <cfRule type="expression" dxfId="33" priority="3">
      <formula>$J151=$M151</formula>
    </cfRule>
  </conditionalFormatting>
  <pageMargins left="0.7" right="0.7" top="0.75" bottom="0.75" header="0.3" footer="0.3"/>
  <pageSetup orientation="portrait" r:id="rId58"/>
  <drawing r:id="rId59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F109C-A139-4292-BBAD-C637C01DE135}">
  <sheetPr codeName="Sheet16">
    <pageSetUpPr autoPageBreaks="0"/>
  </sheetPr>
  <dimension ref="B3:M164"/>
  <sheetViews>
    <sheetView showGridLines="0" topLeftCell="A84" zoomScale="109" zoomScaleNormal="110" workbookViewId="0">
      <selection activeCell="J93" sqref="J93:J94"/>
    </sheetView>
  </sheetViews>
  <sheetFormatPr defaultRowHeight="18.75" x14ac:dyDescent="0.3"/>
  <cols>
    <col min="1" max="1" width="6.5703125" style="7" customWidth="1"/>
    <col min="2" max="2" width="17.140625" style="7" bestFit="1" customWidth="1"/>
    <col min="3" max="3" width="12.42578125" style="7" bestFit="1" customWidth="1"/>
    <col min="4" max="4" width="13.85546875" style="7" bestFit="1" customWidth="1"/>
    <col min="5" max="5" width="19.7109375" style="7" bestFit="1" customWidth="1"/>
    <col min="6" max="7" width="9.140625" style="7"/>
    <col min="8" max="8" width="20.28515625" style="7" customWidth="1"/>
    <col min="9" max="9" width="15.28515625" style="7" customWidth="1"/>
    <col min="10" max="10" width="29.85546875" style="7" customWidth="1"/>
    <col min="11" max="12" width="9.140625" style="7"/>
    <col min="13" max="13" width="35.5703125" style="7" bestFit="1" customWidth="1"/>
    <col min="14" max="16384" width="9.140625" style="7"/>
  </cols>
  <sheetData>
    <row r="3" spans="2:13" x14ac:dyDescent="0.3">
      <c r="B3" s="9" t="s">
        <v>40</v>
      </c>
      <c r="C3" s="9" t="s">
        <v>39</v>
      </c>
      <c r="D3" s="9" t="s">
        <v>38</v>
      </c>
      <c r="E3" s="9" t="s">
        <v>42</v>
      </c>
    </row>
    <row r="4" spans="2:13" x14ac:dyDescent="0.3">
      <c r="B4" s="8" t="s">
        <v>37</v>
      </c>
      <c r="C4" s="8">
        <v>7.85</v>
      </c>
      <c r="D4" s="8" t="s">
        <v>36</v>
      </c>
      <c r="E4" s="8" t="s">
        <v>54</v>
      </c>
    </row>
    <row r="5" spans="2:13" ht="18.75" customHeight="1" x14ac:dyDescent="0.3">
      <c r="B5" s="8" t="s">
        <v>35</v>
      </c>
      <c r="C5" s="8">
        <v>3.25</v>
      </c>
      <c r="D5" s="8" t="s">
        <v>28</v>
      </c>
      <c r="E5" s="8" t="s">
        <v>44</v>
      </c>
    </row>
    <row r="6" spans="2:13" ht="21" customHeight="1" x14ac:dyDescent="0.3">
      <c r="B6" s="8" t="s">
        <v>33</v>
      </c>
      <c r="C6" s="8">
        <v>12.5</v>
      </c>
      <c r="D6" s="8" t="s">
        <v>32</v>
      </c>
      <c r="E6" s="8" t="s">
        <v>45</v>
      </c>
    </row>
    <row r="7" spans="2:13" x14ac:dyDescent="0.3">
      <c r="B7" s="8" t="s">
        <v>31</v>
      </c>
      <c r="C7" s="8">
        <v>6.35</v>
      </c>
      <c r="D7" s="8" t="s">
        <v>30</v>
      </c>
      <c r="E7" s="8" t="s">
        <v>43</v>
      </c>
      <c r="H7" s="34" t="s">
        <v>79</v>
      </c>
      <c r="I7" s="34"/>
      <c r="J7" s="32">
        <f>AVERAGEIFS(C4:C15,E4:E15,"Mar",D4:D15,"DoorDash")</f>
        <v>8.8375000000000004</v>
      </c>
      <c r="M7" s="10">
        <f>AVERAGEIFS(C3:C15,E3:E15,"mar",D3:D15,"doordash")</f>
        <v>8.8375000000000004</v>
      </c>
    </row>
    <row r="8" spans="2:13" x14ac:dyDescent="0.3">
      <c r="B8" s="8" t="s">
        <v>29</v>
      </c>
      <c r="C8" s="8">
        <v>2.5</v>
      </c>
      <c r="D8" s="8" t="s">
        <v>28</v>
      </c>
      <c r="E8" s="8" t="s">
        <v>45</v>
      </c>
      <c r="H8" s="34"/>
      <c r="I8" s="34"/>
      <c r="J8" s="32"/>
    </row>
    <row r="9" spans="2:13" x14ac:dyDescent="0.3">
      <c r="B9" s="8" t="s">
        <v>27</v>
      </c>
      <c r="C9" s="8">
        <v>6.5</v>
      </c>
      <c r="D9" s="8" t="s">
        <v>28</v>
      </c>
      <c r="E9" s="8" t="s">
        <v>45</v>
      </c>
    </row>
    <row r="10" spans="2:13" x14ac:dyDescent="0.3">
      <c r="B10" s="8" t="s">
        <v>37</v>
      </c>
      <c r="C10" s="8">
        <v>8.75</v>
      </c>
      <c r="D10" s="8" t="s">
        <v>28</v>
      </c>
      <c r="E10" s="8" t="s">
        <v>55</v>
      </c>
    </row>
    <row r="11" spans="2:13" x14ac:dyDescent="0.3">
      <c r="B11" s="8" t="s">
        <v>31</v>
      </c>
      <c r="C11" s="8">
        <v>4.6500000000000004</v>
      </c>
      <c r="D11" s="8" t="s">
        <v>36</v>
      </c>
      <c r="E11" s="8" t="s">
        <v>45</v>
      </c>
    </row>
    <row r="12" spans="2:13" x14ac:dyDescent="0.3">
      <c r="B12" s="8" t="s">
        <v>37</v>
      </c>
      <c r="C12" s="8">
        <v>12.85</v>
      </c>
      <c r="D12" s="8" t="s">
        <v>28</v>
      </c>
      <c r="E12" s="8" t="s">
        <v>45</v>
      </c>
    </row>
    <row r="13" spans="2:13" ht="18.75" customHeight="1" x14ac:dyDescent="0.3">
      <c r="B13" s="8" t="s">
        <v>35</v>
      </c>
      <c r="C13" s="8">
        <v>8.25</v>
      </c>
      <c r="D13" s="8" t="s">
        <v>34</v>
      </c>
      <c r="E13" s="8" t="s">
        <v>71</v>
      </c>
    </row>
    <row r="14" spans="2:13" x14ac:dyDescent="0.3">
      <c r="B14" s="8" t="s">
        <v>33</v>
      </c>
      <c r="C14" s="8">
        <v>13.5</v>
      </c>
      <c r="D14" s="8" t="s">
        <v>28</v>
      </c>
      <c r="E14" s="8" t="s">
        <v>45</v>
      </c>
    </row>
    <row r="15" spans="2:13" x14ac:dyDescent="0.3">
      <c r="B15" s="8" t="s">
        <v>31</v>
      </c>
      <c r="C15" s="8">
        <v>9.9499999999999993</v>
      </c>
      <c r="D15" s="8" t="s">
        <v>30</v>
      </c>
      <c r="E15" s="8" t="s">
        <v>45</v>
      </c>
    </row>
    <row r="23" spans="2:13" x14ac:dyDescent="0.3">
      <c r="B23" s="9" t="s">
        <v>40</v>
      </c>
      <c r="C23" s="9" t="s">
        <v>38</v>
      </c>
      <c r="D23" s="9" t="s">
        <v>39</v>
      </c>
      <c r="E23" s="9" t="s">
        <v>42</v>
      </c>
    </row>
    <row r="24" spans="2:13" x14ac:dyDescent="0.3">
      <c r="B24" s="8" t="s">
        <v>37</v>
      </c>
      <c r="C24" s="8" t="s">
        <v>36</v>
      </c>
      <c r="D24" s="8">
        <v>7.85</v>
      </c>
      <c r="E24" s="8" t="s">
        <v>53</v>
      </c>
    </row>
    <row r="25" spans="2:13" x14ac:dyDescent="0.3">
      <c r="B25" s="8" t="s">
        <v>35</v>
      </c>
      <c r="C25" s="8" t="s">
        <v>34</v>
      </c>
      <c r="D25" s="8">
        <v>3.25</v>
      </c>
      <c r="E25" s="8" t="s">
        <v>54</v>
      </c>
    </row>
    <row r="26" spans="2:13" x14ac:dyDescent="0.3">
      <c r="B26" s="8" t="s">
        <v>33</v>
      </c>
      <c r="C26" s="8" t="s">
        <v>36</v>
      </c>
      <c r="D26" s="8">
        <v>12.5</v>
      </c>
      <c r="E26" s="8" t="s">
        <v>56</v>
      </c>
    </row>
    <row r="27" spans="2:13" x14ac:dyDescent="0.3">
      <c r="B27" s="8" t="s">
        <v>31</v>
      </c>
      <c r="C27" s="8" t="s">
        <v>30</v>
      </c>
      <c r="D27" s="8">
        <v>6.35</v>
      </c>
      <c r="E27" s="8" t="s">
        <v>43</v>
      </c>
      <c r="H27" s="34" t="s">
        <v>80</v>
      </c>
      <c r="I27" s="34"/>
      <c r="J27" s="32">
        <f>AVERAGEIFS(D24:D35,C24:C35,"Amazon",B24:B35,"Apple")</f>
        <v>9.8166666666666682</v>
      </c>
      <c r="M27" s="10">
        <f>AVERAGEIFS(D23:D35,B23:B35,"apple",C23:C35,"Amazon")</f>
        <v>9.8166666666666682</v>
      </c>
    </row>
    <row r="28" spans="2:13" x14ac:dyDescent="0.3">
      <c r="B28" s="8" t="s">
        <v>29</v>
      </c>
      <c r="C28" s="8" t="s">
        <v>36</v>
      </c>
      <c r="D28" s="8">
        <v>2.5</v>
      </c>
      <c r="E28" s="8" t="s">
        <v>44</v>
      </c>
      <c r="H28" s="34"/>
      <c r="I28" s="34"/>
      <c r="J28" s="32"/>
    </row>
    <row r="29" spans="2:13" x14ac:dyDescent="0.3">
      <c r="B29" s="8" t="s">
        <v>27</v>
      </c>
      <c r="C29" s="8" t="s">
        <v>26</v>
      </c>
      <c r="D29" s="8">
        <v>6.5</v>
      </c>
      <c r="E29" s="8" t="s">
        <v>53</v>
      </c>
    </row>
    <row r="30" spans="2:13" x14ac:dyDescent="0.3">
      <c r="B30" s="8" t="s">
        <v>37</v>
      </c>
      <c r="C30" s="8" t="s">
        <v>36</v>
      </c>
      <c r="D30" s="8">
        <v>8.75</v>
      </c>
      <c r="E30" s="8" t="s">
        <v>43</v>
      </c>
    </row>
    <row r="31" spans="2:13" x14ac:dyDescent="0.3">
      <c r="B31" s="8" t="s">
        <v>31</v>
      </c>
      <c r="C31" s="8" t="s">
        <v>30</v>
      </c>
      <c r="D31" s="8">
        <v>4.6500000000000004</v>
      </c>
      <c r="E31" s="8" t="s">
        <v>53</v>
      </c>
    </row>
    <row r="32" spans="2:13" x14ac:dyDescent="0.3">
      <c r="B32" s="8" t="s">
        <v>37</v>
      </c>
      <c r="C32" s="8" t="s">
        <v>36</v>
      </c>
      <c r="D32" s="8">
        <v>12.85</v>
      </c>
      <c r="E32" s="8" t="s">
        <v>45</v>
      </c>
    </row>
    <row r="33" spans="2:10" x14ac:dyDescent="0.3">
      <c r="B33" s="8" t="s">
        <v>35</v>
      </c>
      <c r="C33" s="8" t="s">
        <v>34</v>
      </c>
      <c r="D33" s="8">
        <v>8.25</v>
      </c>
      <c r="E33" s="8" t="s">
        <v>43</v>
      </c>
    </row>
    <row r="34" spans="2:10" x14ac:dyDescent="0.3">
      <c r="B34" s="8" t="s">
        <v>33</v>
      </c>
      <c r="C34" s="8" t="s">
        <v>32</v>
      </c>
      <c r="D34" s="8">
        <v>13.5</v>
      </c>
      <c r="E34" s="8" t="s">
        <v>53</v>
      </c>
    </row>
    <row r="35" spans="2:10" x14ac:dyDescent="0.3">
      <c r="B35" s="8" t="s">
        <v>31</v>
      </c>
      <c r="C35" s="8" t="s">
        <v>36</v>
      </c>
      <c r="D35" s="8">
        <v>9.9499999999999993</v>
      </c>
      <c r="E35" s="8" t="s">
        <v>45</v>
      </c>
    </row>
    <row r="44" spans="2:10" ht="18" customHeight="1" x14ac:dyDescent="0.3"/>
    <row r="45" spans="2:10" x14ac:dyDescent="0.3">
      <c r="B45" s="9" t="s">
        <v>40</v>
      </c>
      <c r="C45" s="9" t="s">
        <v>39</v>
      </c>
      <c r="D45" s="9" t="s">
        <v>38</v>
      </c>
      <c r="E45" s="9" t="s">
        <v>42</v>
      </c>
    </row>
    <row r="46" spans="2:10" x14ac:dyDescent="0.3">
      <c r="B46" s="8" t="s">
        <v>37</v>
      </c>
      <c r="C46" s="8">
        <v>7.85</v>
      </c>
      <c r="D46" s="8" t="s">
        <v>36</v>
      </c>
      <c r="E46" s="8" t="s">
        <v>53</v>
      </c>
    </row>
    <row r="47" spans="2:10" x14ac:dyDescent="0.3">
      <c r="B47" s="8" t="s">
        <v>35</v>
      </c>
      <c r="C47" s="8">
        <v>3.25</v>
      </c>
      <c r="D47" s="8" t="s">
        <v>34</v>
      </c>
      <c r="E47" s="8" t="s">
        <v>54</v>
      </c>
    </row>
    <row r="48" spans="2:10" x14ac:dyDescent="0.3">
      <c r="B48" s="8" t="s">
        <v>33</v>
      </c>
      <c r="C48" s="8">
        <v>12.5</v>
      </c>
      <c r="D48" s="8" t="s">
        <v>32</v>
      </c>
      <c r="E48" s="8" t="s">
        <v>56</v>
      </c>
      <c r="I48" s="11" t="s">
        <v>48</v>
      </c>
      <c r="J48" s="11" t="s">
        <v>33</v>
      </c>
    </row>
    <row r="49" spans="2:13" x14ac:dyDescent="0.3">
      <c r="B49" s="8" t="s">
        <v>31</v>
      </c>
      <c r="C49" s="8">
        <v>6.35</v>
      </c>
      <c r="D49" s="8" t="s">
        <v>30</v>
      </c>
      <c r="E49" s="8" t="s">
        <v>43</v>
      </c>
      <c r="H49" s="34" t="s">
        <v>81</v>
      </c>
      <c r="I49" s="34"/>
      <c r="J49" s="32">
        <f>AVERAGEIFS(C46:C57,B46:B57,"Kiwi",E46:E57,"Jun")</f>
        <v>9.0749999999999993</v>
      </c>
      <c r="M49" s="10">
        <f>AVERAGEIFS(C45:C57,B45:B57,"kiwi",E45:E57,"jun")</f>
        <v>9.0749999999999993</v>
      </c>
    </row>
    <row r="50" spans="2:13" x14ac:dyDescent="0.3">
      <c r="B50" s="8" t="s">
        <v>33</v>
      </c>
      <c r="C50" s="8">
        <v>2.5</v>
      </c>
      <c r="D50" s="8" t="s">
        <v>28</v>
      </c>
      <c r="E50" s="8" t="s">
        <v>44</v>
      </c>
      <c r="H50" s="34"/>
      <c r="I50" s="34"/>
      <c r="J50" s="32"/>
    </row>
    <row r="51" spans="2:13" x14ac:dyDescent="0.3">
      <c r="B51" s="8" t="s">
        <v>27</v>
      </c>
      <c r="C51" s="8">
        <v>6.5</v>
      </c>
      <c r="D51" s="8" t="s">
        <v>26</v>
      </c>
      <c r="E51" s="8" t="s">
        <v>53</v>
      </c>
    </row>
    <row r="52" spans="2:13" x14ac:dyDescent="0.3">
      <c r="B52" s="8" t="s">
        <v>37</v>
      </c>
      <c r="C52" s="8">
        <v>8.75</v>
      </c>
      <c r="D52" s="8" t="s">
        <v>36</v>
      </c>
      <c r="E52" s="8" t="s">
        <v>43</v>
      </c>
    </row>
    <row r="53" spans="2:13" x14ac:dyDescent="0.3">
      <c r="B53" s="8" t="s">
        <v>33</v>
      </c>
      <c r="C53" s="8">
        <v>4.6500000000000004</v>
      </c>
      <c r="D53" s="8" t="s">
        <v>30</v>
      </c>
      <c r="E53" s="8" t="s">
        <v>53</v>
      </c>
    </row>
    <row r="54" spans="2:13" x14ac:dyDescent="0.3">
      <c r="B54" s="8" t="s">
        <v>37</v>
      </c>
      <c r="C54" s="8">
        <v>12.85</v>
      </c>
      <c r="D54" s="8" t="s">
        <v>36</v>
      </c>
      <c r="E54" s="8" t="s">
        <v>45</v>
      </c>
    </row>
    <row r="55" spans="2:13" x14ac:dyDescent="0.3">
      <c r="B55" s="8" t="s">
        <v>33</v>
      </c>
      <c r="C55" s="8">
        <v>8.25</v>
      </c>
      <c r="D55" s="8" t="s">
        <v>34</v>
      </c>
      <c r="E55" s="8" t="s">
        <v>43</v>
      </c>
    </row>
    <row r="56" spans="2:13" x14ac:dyDescent="0.3">
      <c r="B56" s="8" t="s">
        <v>33</v>
      </c>
      <c r="C56" s="8">
        <v>13.5</v>
      </c>
      <c r="D56" s="8" t="s">
        <v>32</v>
      </c>
      <c r="E56" s="8" t="s">
        <v>53</v>
      </c>
    </row>
    <row r="57" spans="2:13" x14ac:dyDescent="0.3">
      <c r="B57" s="8" t="s">
        <v>31</v>
      </c>
      <c r="C57" s="8">
        <v>9.9499999999999993</v>
      </c>
      <c r="D57" s="8" t="s">
        <v>30</v>
      </c>
      <c r="E57" s="8" t="s">
        <v>45</v>
      </c>
    </row>
    <row r="67" spans="2:13" x14ac:dyDescent="0.3">
      <c r="B67" s="9" t="s">
        <v>40</v>
      </c>
      <c r="C67" s="9" t="s">
        <v>39</v>
      </c>
      <c r="D67" s="9" t="s">
        <v>38</v>
      </c>
      <c r="E67" s="9" t="s">
        <v>76</v>
      </c>
    </row>
    <row r="68" spans="2:13" x14ac:dyDescent="0.3">
      <c r="B68" s="8" t="s">
        <v>33</v>
      </c>
      <c r="C68" s="8">
        <v>7.85</v>
      </c>
      <c r="D68" s="8" t="s">
        <v>36</v>
      </c>
      <c r="E68" s="12">
        <v>44743</v>
      </c>
    </row>
    <row r="69" spans="2:13" x14ac:dyDescent="0.3">
      <c r="B69" s="8" t="s">
        <v>33</v>
      </c>
      <c r="C69" s="8">
        <v>3.25</v>
      </c>
      <c r="D69" s="8" t="s">
        <v>34</v>
      </c>
      <c r="E69" s="12">
        <f>E68+3</f>
        <v>44746</v>
      </c>
    </row>
    <row r="70" spans="2:13" x14ac:dyDescent="0.3">
      <c r="B70" s="8" t="s">
        <v>33</v>
      </c>
      <c r="C70" s="8">
        <v>12.5</v>
      </c>
      <c r="D70" s="8" t="s">
        <v>32</v>
      </c>
      <c r="E70" s="12">
        <f t="shared" ref="E70:E79" si="0">E69+3</f>
        <v>44749</v>
      </c>
      <c r="I70" s="11" t="s">
        <v>75</v>
      </c>
      <c r="J70" s="11">
        <v>5</v>
      </c>
    </row>
    <row r="71" spans="2:13" x14ac:dyDescent="0.3">
      <c r="B71" s="8" t="s">
        <v>33</v>
      </c>
      <c r="C71" s="8">
        <v>6.35</v>
      </c>
      <c r="D71" s="8" t="s">
        <v>30</v>
      </c>
      <c r="E71" s="12">
        <f t="shared" si="0"/>
        <v>44752</v>
      </c>
      <c r="H71" s="33" t="s">
        <v>82</v>
      </c>
      <c r="I71" s="33"/>
      <c r="J71" s="37">
        <f>AVERAGEIFS(C68:C79,B68:B79,"Kiwi",C68:C79,"&gt;5")</f>
        <v>10.000000000000002</v>
      </c>
      <c r="M71" s="10">
        <f>AVERAGEIFS(C67:C79,B67:B79,"kiwi",C67:C79,"&gt;5")</f>
        <v>10.000000000000002</v>
      </c>
    </row>
    <row r="72" spans="2:13" x14ac:dyDescent="0.3">
      <c r="B72" s="8" t="s">
        <v>33</v>
      </c>
      <c r="C72" s="8">
        <v>2.5</v>
      </c>
      <c r="D72" s="8" t="s">
        <v>28</v>
      </c>
      <c r="E72" s="12">
        <f t="shared" si="0"/>
        <v>44755</v>
      </c>
      <c r="H72" s="33"/>
      <c r="I72" s="33"/>
      <c r="J72" s="37"/>
    </row>
    <row r="73" spans="2:13" x14ac:dyDescent="0.3">
      <c r="B73" s="8" t="s">
        <v>37</v>
      </c>
      <c r="C73" s="8">
        <v>6.5</v>
      </c>
      <c r="D73" s="8" t="s">
        <v>26</v>
      </c>
      <c r="E73" s="12">
        <f t="shared" si="0"/>
        <v>44758</v>
      </c>
    </row>
    <row r="74" spans="2:13" x14ac:dyDescent="0.3">
      <c r="B74" s="8" t="s">
        <v>33</v>
      </c>
      <c r="C74" s="8">
        <v>8.75</v>
      </c>
      <c r="D74" s="8" t="s">
        <v>36</v>
      </c>
      <c r="E74" s="12">
        <f t="shared" si="0"/>
        <v>44761</v>
      </c>
    </row>
    <row r="75" spans="2:13" x14ac:dyDescent="0.3">
      <c r="B75" s="8" t="s">
        <v>33</v>
      </c>
      <c r="C75" s="8">
        <v>4.6500000000000004</v>
      </c>
      <c r="D75" s="8" t="s">
        <v>30</v>
      </c>
      <c r="E75" s="12">
        <f t="shared" si="0"/>
        <v>44764</v>
      </c>
    </row>
    <row r="76" spans="2:13" x14ac:dyDescent="0.3">
      <c r="B76" s="8" t="s">
        <v>33</v>
      </c>
      <c r="C76" s="8">
        <v>12.85</v>
      </c>
      <c r="D76" s="8" t="s">
        <v>36</v>
      </c>
      <c r="E76" s="12">
        <f t="shared" si="0"/>
        <v>44767</v>
      </c>
    </row>
    <row r="77" spans="2:13" x14ac:dyDescent="0.3">
      <c r="B77" s="8" t="s">
        <v>33</v>
      </c>
      <c r="C77" s="8">
        <v>8.25</v>
      </c>
      <c r="D77" s="8" t="s">
        <v>34</v>
      </c>
      <c r="E77" s="12">
        <f t="shared" si="0"/>
        <v>44770</v>
      </c>
    </row>
    <row r="78" spans="2:13" x14ac:dyDescent="0.3">
      <c r="B78" s="8" t="s">
        <v>33</v>
      </c>
      <c r="C78" s="8">
        <v>13.5</v>
      </c>
      <c r="D78" s="8" t="s">
        <v>32</v>
      </c>
      <c r="E78" s="12">
        <f t="shared" si="0"/>
        <v>44773</v>
      </c>
    </row>
    <row r="79" spans="2:13" x14ac:dyDescent="0.3">
      <c r="B79" s="8" t="s">
        <v>33</v>
      </c>
      <c r="C79" s="8">
        <v>9.9499999999999993</v>
      </c>
      <c r="D79" s="8" t="s">
        <v>30</v>
      </c>
      <c r="E79" s="12">
        <f t="shared" si="0"/>
        <v>44776</v>
      </c>
    </row>
    <row r="80" spans="2:13" x14ac:dyDescent="0.3">
      <c r="B80" s="16"/>
      <c r="C80" s="16"/>
      <c r="D80" s="16"/>
      <c r="E80" s="17"/>
    </row>
    <row r="81" spans="2:13" x14ac:dyDescent="0.3">
      <c r="B81" s="16"/>
      <c r="C81" s="16"/>
      <c r="D81" s="16"/>
      <c r="E81" s="17"/>
    </row>
    <row r="82" spans="2:13" x14ac:dyDescent="0.3">
      <c r="B82" s="16"/>
      <c r="C82" s="16"/>
      <c r="D82" s="16"/>
      <c r="E82" s="17"/>
    </row>
    <row r="83" spans="2:13" x14ac:dyDescent="0.3">
      <c r="B83" s="16"/>
      <c r="C83" s="16"/>
      <c r="D83" s="16"/>
      <c r="E83" s="17"/>
    </row>
    <row r="84" spans="2:13" x14ac:dyDescent="0.3">
      <c r="B84" s="16"/>
      <c r="C84" s="16"/>
      <c r="D84" s="16"/>
      <c r="E84" s="17"/>
    </row>
    <row r="85" spans="2:13" x14ac:dyDescent="0.3">
      <c r="B85" s="16"/>
      <c r="C85" s="16"/>
      <c r="D85" s="16"/>
      <c r="E85" s="17"/>
    </row>
    <row r="86" spans="2:13" x14ac:dyDescent="0.3">
      <c r="B86" s="16"/>
      <c r="C86" s="16"/>
      <c r="D86" s="16"/>
      <c r="E86" s="17"/>
    </row>
    <row r="87" spans="2:13" x14ac:dyDescent="0.3">
      <c r="B87" s="16"/>
      <c r="C87" s="16"/>
      <c r="D87" s="16"/>
      <c r="E87" s="17"/>
    </row>
    <row r="89" spans="2:13" x14ac:dyDescent="0.3">
      <c r="B89" s="9" t="s">
        <v>40</v>
      </c>
      <c r="C89" s="9" t="s">
        <v>39</v>
      </c>
      <c r="D89" s="9" t="s">
        <v>38</v>
      </c>
      <c r="E89" s="9" t="s">
        <v>76</v>
      </c>
    </row>
    <row r="90" spans="2:13" x14ac:dyDescent="0.3">
      <c r="B90" s="8" t="s">
        <v>33</v>
      </c>
      <c r="C90" s="8">
        <v>7.85</v>
      </c>
      <c r="D90" s="8" t="s">
        <v>36</v>
      </c>
      <c r="E90" s="14">
        <v>44743</v>
      </c>
    </row>
    <row r="91" spans="2:13" x14ac:dyDescent="0.3">
      <c r="B91" s="8" t="s">
        <v>33</v>
      </c>
      <c r="C91" s="8">
        <v>3.25</v>
      </c>
      <c r="D91" s="8" t="s">
        <v>34</v>
      </c>
      <c r="E91" s="14">
        <f>E90+3</f>
        <v>44746</v>
      </c>
    </row>
    <row r="92" spans="2:13" x14ac:dyDescent="0.3">
      <c r="B92" s="8" t="s">
        <v>33</v>
      </c>
      <c r="C92" s="8">
        <v>12.5</v>
      </c>
      <c r="D92" s="8" t="s">
        <v>32</v>
      </c>
      <c r="E92" s="14">
        <f t="shared" ref="E92:E101" si="1">E91+3</f>
        <v>44749</v>
      </c>
      <c r="I92" s="11" t="s">
        <v>77</v>
      </c>
      <c r="J92" s="13">
        <v>44752</v>
      </c>
    </row>
    <row r="93" spans="2:13" ht="23.25" customHeight="1" x14ac:dyDescent="0.3">
      <c r="B93" s="8" t="s">
        <v>33</v>
      </c>
      <c r="C93" s="8">
        <v>6.35</v>
      </c>
      <c r="D93" s="8" t="s">
        <v>30</v>
      </c>
      <c r="E93" s="14">
        <f t="shared" si="1"/>
        <v>44752</v>
      </c>
      <c r="H93" s="34" t="s">
        <v>177</v>
      </c>
      <c r="I93" s="34"/>
      <c r="J93" s="32">
        <f>AVERAGEIFS(C90:C101,B90:B101,"Kiwi",E90:E101,"&gt;=10-Jul-22",E90:E101,"&lt;25-Jul-22")</f>
        <v>6.0250000000000004</v>
      </c>
      <c r="M93" s="10"/>
    </row>
    <row r="94" spans="2:13" ht="21" customHeight="1" x14ac:dyDescent="0.3">
      <c r="B94" s="8" t="s">
        <v>33</v>
      </c>
      <c r="C94" s="8">
        <v>2.5</v>
      </c>
      <c r="D94" s="8" t="s">
        <v>28</v>
      </c>
      <c r="E94" s="14">
        <f t="shared" si="1"/>
        <v>44755</v>
      </c>
      <c r="H94" s="34"/>
      <c r="I94" s="34"/>
      <c r="J94" s="32"/>
    </row>
    <row r="95" spans="2:13" x14ac:dyDescent="0.3">
      <c r="B95" s="8" t="s">
        <v>33</v>
      </c>
      <c r="C95" s="8">
        <v>6.5</v>
      </c>
      <c r="D95" s="8" t="s">
        <v>26</v>
      </c>
      <c r="E95" s="14">
        <f t="shared" si="1"/>
        <v>44758</v>
      </c>
    </row>
    <row r="96" spans="2:13" x14ac:dyDescent="0.3">
      <c r="B96" s="8" t="s">
        <v>33</v>
      </c>
      <c r="C96" s="8">
        <v>8.75</v>
      </c>
      <c r="D96" s="8" t="s">
        <v>36</v>
      </c>
      <c r="E96" s="14">
        <f t="shared" si="1"/>
        <v>44761</v>
      </c>
    </row>
    <row r="97" spans="2:10" x14ac:dyDescent="0.3">
      <c r="B97" s="8" t="s">
        <v>35</v>
      </c>
      <c r="C97" s="8">
        <v>4.6500000000000004</v>
      </c>
      <c r="D97" s="8" t="s">
        <v>30</v>
      </c>
      <c r="E97" s="14">
        <f t="shared" si="1"/>
        <v>44764</v>
      </c>
    </row>
    <row r="98" spans="2:10" x14ac:dyDescent="0.3">
      <c r="B98" s="8" t="s">
        <v>33</v>
      </c>
      <c r="C98" s="8">
        <v>12.85</v>
      </c>
      <c r="D98" s="8" t="s">
        <v>36</v>
      </c>
      <c r="E98" s="14">
        <f t="shared" si="1"/>
        <v>44767</v>
      </c>
    </row>
    <row r="99" spans="2:10" x14ac:dyDescent="0.3">
      <c r="B99" s="8" t="s">
        <v>33</v>
      </c>
      <c r="C99" s="8">
        <v>8.25</v>
      </c>
      <c r="D99" s="8" t="s">
        <v>34</v>
      </c>
      <c r="E99" s="14">
        <f t="shared" si="1"/>
        <v>44770</v>
      </c>
    </row>
    <row r="100" spans="2:10" x14ac:dyDescent="0.3">
      <c r="B100" s="8" t="s">
        <v>33</v>
      </c>
      <c r="C100" s="8">
        <v>13.5</v>
      </c>
      <c r="D100" s="8" t="s">
        <v>32</v>
      </c>
      <c r="E100" s="14">
        <f t="shared" si="1"/>
        <v>44773</v>
      </c>
    </row>
    <row r="101" spans="2:10" x14ac:dyDescent="0.3">
      <c r="B101" s="8" t="s">
        <v>33</v>
      </c>
      <c r="C101" s="8">
        <v>9.9499999999999993</v>
      </c>
      <c r="D101" s="8" t="s">
        <v>30</v>
      </c>
      <c r="E101" s="14">
        <f t="shared" si="1"/>
        <v>44776</v>
      </c>
    </row>
    <row r="109" spans="2:10" x14ac:dyDescent="0.3">
      <c r="B109" s="9" t="s">
        <v>40</v>
      </c>
      <c r="C109" s="9" t="s">
        <v>39</v>
      </c>
      <c r="D109" s="9" t="s">
        <v>38</v>
      </c>
      <c r="E109" s="9" t="s">
        <v>42</v>
      </c>
    </row>
    <row r="110" spans="2:10" x14ac:dyDescent="0.3">
      <c r="B110" s="8" t="s">
        <v>37</v>
      </c>
      <c r="C110" s="8">
        <v>7.85</v>
      </c>
      <c r="D110" s="8" t="s">
        <v>36</v>
      </c>
      <c r="E110" s="8" t="s">
        <v>43</v>
      </c>
    </row>
    <row r="111" spans="2:10" x14ac:dyDescent="0.3">
      <c r="B111" s="8" t="s">
        <v>35</v>
      </c>
      <c r="C111" s="8">
        <v>3.25</v>
      </c>
      <c r="D111" s="8" t="s">
        <v>34</v>
      </c>
      <c r="E111" s="8" t="s">
        <v>44</v>
      </c>
    </row>
    <row r="112" spans="2:10" x14ac:dyDescent="0.3">
      <c r="B112" s="8" t="s">
        <v>33</v>
      </c>
      <c r="C112" s="8">
        <v>12.5</v>
      </c>
      <c r="D112" s="8" t="s">
        <v>32</v>
      </c>
      <c r="E112" s="8" t="s">
        <v>56</v>
      </c>
      <c r="I112" s="11"/>
      <c r="J112" s="11"/>
    </row>
    <row r="113" spans="2:13" x14ac:dyDescent="0.3">
      <c r="B113" s="8" t="s">
        <v>31</v>
      </c>
      <c r="C113" s="8">
        <v>6.35</v>
      </c>
      <c r="D113" s="8" t="s">
        <v>30</v>
      </c>
      <c r="E113" s="8" t="s">
        <v>43</v>
      </c>
      <c r="H113" s="31" t="s">
        <v>83</v>
      </c>
      <c r="I113" s="31"/>
      <c r="J113" s="32">
        <f>AVERAGEIFS(C110:C121,B110:B121,"*apple*")</f>
        <v>8.09</v>
      </c>
      <c r="M113" s="10">
        <f>AVERAGEIFS(C110:C121,B110:B121,"*apple*")</f>
        <v>8.09</v>
      </c>
    </row>
    <row r="114" spans="2:13" x14ac:dyDescent="0.3">
      <c r="B114" s="8" t="s">
        <v>29</v>
      </c>
      <c r="C114" s="8">
        <v>2.5</v>
      </c>
      <c r="D114" s="8" t="s">
        <v>28</v>
      </c>
      <c r="E114" s="8" t="s">
        <v>55</v>
      </c>
      <c r="H114" s="31"/>
      <c r="I114" s="31"/>
      <c r="J114" s="32"/>
    </row>
    <row r="115" spans="2:13" x14ac:dyDescent="0.3">
      <c r="B115" s="8" t="s">
        <v>27</v>
      </c>
      <c r="C115" s="8">
        <v>6.5</v>
      </c>
      <c r="D115" s="8" t="s">
        <v>26</v>
      </c>
      <c r="E115" s="8" t="s">
        <v>45</v>
      </c>
    </row>
    <row r="116" spans="2:13" ht="18.75" customHeight="1" x14ac:dyDescent="0.3">
      <c r="B116" s="8" t="s">
        <v>37</v>
      </c>
      <c r="C116" s="8">
        <v>8.75</v>
      </c>
      <c r="D116" s="8" t="s">
        <v>36</v>
      </c>
      <c r="E116" s="8" t="s">
        <v>43</v>
      </c>
    </row>
    <row r="117" spans="2:13" x14ac:dyDescent="0.3">
      <c r="B117" s="8" t="s">
        <v>31</v>
      </c>
      <c r="C117" s="8">
        <v>4.6500000000000004</v>
      </c>
      <c r="D117" s="8" t="s">
        <v>30</v>
      </c>
      <c r="E117" s="8" t="s">
        <v>44</v>
      </c>
    </row>
    <row r="118" spans="2:13" x14ac:dyDescent="0.3">
      <c r="B118" s="8" t="s">
        <v>37</v>
      </c>
      <c r="C118" s="8">
        <v>12.85</v>
      </c>
      <c r="D118" s="8" t="s">
        <v>36</v>
      </c>
      <c r="E118" s="8" t="s">
        <v>53</v>
      </c>
    </row>
    <row r="119" spans="2:13" ht="18.75" customHeight="1" x14ac:dyDescent="0.3">
      <c r="B119" s="8" t="s">
        <v>50</v>
      </c>
      <c r="C119" s="8">
        <v>8.25</v>
      </c>
      <c r="D119" s="8" t="s">
        <v>34</v>
      </c>
      <c r="E119" s="8" t="s">
        <v>43</v>
      </c>
    </row>
    <row r="120" spans="2:13" x14ac:dyDescent="0.3">
      <c r="B120" s="8" t="s">
        <v>33</v>
      </c>
      <c r="C120" s="8">
        <v>13.5</v>
      </c>
      <c r="D120" s="8" t="s">
        <v>32</v>
      </c>
      <c r="E120" s="8" t="s">
        <v>44</v>
      </c>
    </row>
    <row r="121" spans="2:13" x14ac:dyDescent="0.3">
      <c r="B121" s="8" t="s">
        <v>51</v>
      </c>
      <c r="C121" s="8">
        <v>9.9499999999999993</v>
      </c>
      <c r="D121" s="8" t="s">
        <v>30</v>
      </c>
      <c r="E121" s="8" t="s">
        <v>54</v>
      </c>
    </row>
    <row r="130" spans="2:13" x14ac:dyDescent="0.3">
      <c r="B130" s="9" t="s">
        <v>40</v>
      </c>
      <c r="C130" s="9" t="s">
        <v>39</v>
      </c>
      <c r="D130" s="9" t="s">
        <v>38</v>
      </c>
      <c r="E130" s="9" t="s">
        <v>42</v>
      </c>
    </row>
    <row r="131" spans="2:13" x14ac:dyDescent="0.3">
      <c r="B131" s="8" t="s">
        <v>37</v>
      </c>
      <c r="C131" s="8">
        <v>7.85</v>
      </c>
      <c r="D131" s="8" t="s">
        <v>36</v>
      </c>
      <c r="E131" s="8" t="s">
        <v>43</v>
      </c>
    </row>
    <row r="132" spans="2:13" x14ac:dyDescent="0.3">
      <c r="B132" s="8" t="s">
        <v>35</v>
      </c>
      <c r="C132" s="8">
        <v>3.25</v>
      </c>
      <c r="D132" s="8" t="s">
        <v>34</v>
      </c>
      <c r="E132" s="8" t="s">
        <v>44</v>
      </c>
    </row>
    <row r="133" spans="2:13" x14ac:dyDescent="0.3">
      <c r="B133" s="8" t="s">
        <v>33</v>
      </c>
      <c r="C133" s="8">
        <v>12.5</v>
      </c>
      <c r="D133" s="8" t="s">
        <v>32</v>
      </c>
      <c r="E133" s="8" t="s">
        <v>56</v>
      </c>
      <c r="I133" s="11"/>
      <c r="J133" s="11"/>
    </row>
    <row r="134" spans="2:13" x14ac:dyDescent="0.3">
      <c r="B134" s="8" t="s">
        <v>31</v>
      </c>
      <c r="C134" s="8">
        <v>6.35</v>
      </c>
      <c r="D134" s="8" t="s">
        <v>30</v>
      </c>
      <c r="E134" s="8" t="s">
        <v>43</v>
      </c>
    </row>
    <row r="135" spans="2:13" x14ac:dyDescent="0.3">
      <c r="B135" s="8" t="s">
        <v>29</v>
      </c>
      <c r="C135" s="8">
        <v>2.5</v>
      </c>
      <c r="D135" s="8" t="s">
        <v>28</v>
      </c>
      <c r="E135" s="8" t="s">
        <v>55</v>
      </c>
      <c r="H135" s="31" t="s">
        <v>84</v>
      </c>
      <c r="I135" s="31"/>
      <c r="J135" s="32">
        <f>AVERAGEIFS(C131:C142,D131:D142,"*o*")</f>
        <v>7.69</v>
      </c>
      <c r="M135" s="10">
        <f>AVERAGEIFS(C131:C142,D131:D142,"*O*")</f>
        <v>7.69</v>
      </c>
    </row>
    <row r="136" spans="2:13" x14ac:dyDescent="0.3">
      <c r="B136" s="8" t="s">
        <v>27</v>
      </c>
      <c r="C136" s="8">
        <v>6.5</v>
      </c>
      <c r="D136" s="8" t="s">
        <v>26</v>
      </c>
      <c r="E136" s="8" t="s">
        <v>45</v>
      </c>
      <c r="H136" s="31"/>
      <c r="I136" s="31"/>
      <c r="J136" s="32"/>
    </row>
    <row r="137" spans="2:13" x14ac:dyDescent="0.3">
      <c r="B137" s="8" t="s">
        <v>37</v>
      </c>
      <c r="C137" s="8">
        <v>8.75</v>
      </c>
      <c r="D137" s="8" t="s">
        <v>36</v>
      </c>
      <c r="E137" s="8" t="s">
        <v>43</v>
      </c>
    </row>
    <row r="138" spans="2:13" x14ac:dyDescent="0.3">
      <c r="B138" s="8" t="s">
        <v>31</v>
      </c>
      <c r="C138" s="8">
        <v>4.6500000000000004</v>
      </c>
      <c r="D138" s="8" t="s">
        <v>30</v>
      </c>
      <c r="E138" s="8" t="s">
        <v>44</v>
      </c>
    </row>
    <row r="139" spans="2:13" x14ac:dyDescent="0.3">
      <c r="B139" s="8" t="s">
        <v>37</v>
      </c>
      <c r="C139" s="8">
        <v>12.85</v>
      </c>
      <c r="D139" s="8" t="s">
        <v>36</v>
      </c>
      <c r="E139" s="8" t="s">
        <v>53</v>
      </c>
    </row>
    <row r="140" spans="2:13" x14ac:dyDescent="0.3">
      <c r="B140" s="8" t="s">
        <v>50</v>
      </c>
      <c r="C140" s="8">
        <v>8.25</v>
      </c>
      <c r="D140" s="8" t="s">
        <v>34</v>
      </c>
      <c r="E140" s="8" t="s">
        <v>43</v>
      </c>
    </row>
    <row r="141" spans="2:13" x14ac:dyDescent="0.3">
      <c r="B141" s="8" t="s">
        <v>33</v>
      </c>
      <c r="C141" s="8">
        <v>13.5</v>
      </c>
      <c r="D141" s="8" t="s">
        <v>32</v>
      </c>
      <c r="E141" s="8" t="s">
        <v>44</v>
      </c>
    </row>
    <row r="142" spans="2:13" x14ac:dyDescent="0.3">
      <c r="B142" s="8" t="s">
        <v>51</v>
      </c>
      <c r="C142" s="8">
        <v>9.9499999999999993</v>
      </c>
      <c r="D142" s="8" t="s">
        <v>30</v>
      </c>
      <c r="E142" s="8" t="s">
        <v>54</v>
      </c>
    </row>
    <row r="152" spans="2:13" x14ac:dyDescent="0.3">
      <c r="B152" s="9" t="s">
        <v>40</v>
      </c>
      <c r="C152" s="9" t="s">
        <v>39</v>
      </c>
      <c r="D152" s="9" t="s">
        <v>38</v>
      </c>
      <c r="E152" s="9" t="s">
        <v>42</v>
      </c>
    </row>
    <row r="153" spans="2:13" x14ac:dyDescent="0.3">
      <c r="B153" s="8" t="s">
        <v>37</v>
      </c>
      <c r="C153" s="8">
        <v>7.85</v>
      </c>
      <c r="D153" s="8" t="s">
        <v>36</v>
      </c>
      <c r="E153" s="8" t="s">
        <v>43</v>
      </c>
    </row>
    <row r="154" spans="2:13" x14ac:dyDescent="0.3">
      <c r="B154" s="8" t="s">
        <v>35</v>
      </c>
      <c r="C154" s="8">
        <v>3.25</v>
      </c>
      <c r="D154" s="8" t="s">
        <v>34</v>
      </c>
      <c r="E154" s="8" t="s">
        <v>44</v>
      </c>
    </row>
    <row r="155" spans="2:13" x14ac:dyDescent="0.3">
      <c r="B155" s="8" t="s">
        <v>33</v>
      </c>
      <c r="C155" s="8">
        <v>12.5</v>
      </c>
      <c r="D155" s="8" t="s">
        <v>32</v>
      </c>
      <c r="E155" s="8" t="s">
        <v>56</v>
      </c>
      <c r="I155" s="11"/>
      <c r="J155" s="11"/>
    </row>
    <row r="156" spans="2:13" x14ac:dyDescent="0.3">
      <c r="B156" s="8" t="s">
        <v>31</v>
      </c>
      <c r="C156" s="8">
        <v>6.35</v>
      </c>
      <c r="D156" s="8" t="s">
        <v>30</v>
      </c>
      <c r="E156" s="8" t="s">
        <v>43</v>
      </c>
    </row>
    <row r="157" spans="2:13" x14ac:dyDescent="0.3">
      <c r="B157" s="8" t="s">
        <v>29</v>
      </c>
      <c r="C157" s="8">
        <v>2.5</v>
      </c>
      <c r="D157" s="8" t="s">
        <v>28</v>
      </c>
      <c r="E157" s="8" t="s">
        <v>55</v>
      </c>
      <c r="H157" s="31" t="s">
        <v>85</v>
      </c>
      <c r="I157" s="31"/>
      <c r="J157" s="32">
        <f>AVERAGEIFS(C153:C164,E153:E164,"j*")</f>
        <v>9</v>
      </c>
      <c r="M157" s="10">
        <f>AVERAGEIFS(C153:C164,E153:E164,"J*")</f>
        <v>9</v>
      </c>
    </row>
    <row r="158" spans="2:13" x14ac:dyDescent="0.3">
      <c r="B158" s="8" t="s">
        <v>27</v>
      </c>
      <c r="C158" s="8">
        <v>6.5</v>
      </c>
      <c r="D158" s="8" t="s">
        <v>26</v>
      </c>
      <c r="E158" s="8" t="s">
        <v>45</v>
      </c>
      <c r="H158" s="31"/>
      <c r="I158" s="31"/>
      <c r="J158" s="32"/>
    </row>
    <row r="159" spans="2:13" x14ac:dyDescent="0.3">
      <c r="B159" s="8" t="s">
        <v>37</v>
      </c>
      <c r="C159" s="8">
        <v>8.75</v>
      </c>
      <c r="D159" s="8" t="s">
        <v>36</v>
      </c>
      <c r="E159" s="8" t="s">
        <v>43</v>
      </c>
    </row>
    <row r="160" spans="2:13" x14ac:dyDescent="0.3">
      <c r="B160" s="8" t="s">
        <v>31</v>
      </c>
      <c r="C160" s="8">
        <v>4.6500000000000004</v>
      </c>
      <c r="D160" s="8" t="s">
        <v>30</v>
      </c>
      <c r="E160" s="8" t="s">
        <v>44</v>
      </c>
    </row>
    <row r="161" spans="2:5" x14ac:dyDescent="0.3">
      <c r="B161" s="8" t="s">
        <v>37</v>
      </c>
      <c r="C161" s="8">
        <v>12.85</v>
      </c>
      <c r="D161" s="8" t="s">
        <v>36</v>
      </c>
      <c r="E161" s="8" t="s">
        <v>53</v>
      </c>
    </row>
    <row r="162" spans="2:5" x14ac:dyDescent="0.3">
      <c r="B162" s="8" t="s">
        <v>50</v>
      </c>
      <c r="C162" s="8">
        <v>8.25</v>
      </c>
      <c r="D162" s="8" t="s">
        <v>34</v>
      </c>
      <c r="E162" s="8" t="s">
        <v>43</v>
      </c>
    </row>
    <row r="163" spans="2:5" x14ac:dyDescent="0.3">
      <c r="B163" s="8" t="s">
        <v>33</v>
      </c>
      <c r="C163" s="8">
        <v>13.5</v>
      </c>
      <c r="D163" s="8" t="s">
        <v>32</v>
      </c>
      <c r="E163" s="8" t="s">
        <v>44</v>
      </c>
    </row>
    <row r="164" spans="2:5" x14ac:dyDescent="0.3">
      <c r="B164" s="8" t="s">
        <v>51</v>
      </c>
      <c r="C164" s="8">
        <v>9.9499999999999993</v>
      </c>
      <c r="D164" s="8" t="s">
        <v>30</v>
      </c>
      <c r="E164" s="8" t="s">
        <v>54</v>
      </c>
    </row>
  </sheetData>
  <customSheetViews>
    <customSheetView guid="{A5292A6B-6F92-4AB3-B051-EF87F39FC489}" scale="120" showGridLines="0" topLeftCell="A19">
      <selection activeCell="J24" sqref="J24:J25"/>
      <pageMargins left="0.7" right="0.7" top="0.75" bottom="0.75" header="0.3" footer="0.3"/>
      <pageSetup orientation="portrait" r:id="rId1"/>
    </customSheetView>
    <customSheetView guid="{6194C141-D0A1-4D58-BA55-90A184525AC3}" scale="120" showGridLines="0" topLeftCell="A19">
      <selection activeCell="J24" sqref="J24:J25"/>
      <pageMargins left="0.7" right="0.7" top="0.75" bottom="0.75" header="0.3" footer="0.3"/>
      <pageSetup orientation="portrait" r:id="rId2"/>
    </customSheetView>
    <customSheetView guid="{7A7FC9A5-F2B5-4894-82BC-4528575F10D4}" scale="120" showGridLines="0" topLeftCell="A19">
      <selection activeCell="J24" sqref="J24:J25"/>
      <pageMargins left="0.7" right="0.7" top="0.75" bottom="0.75" header="0.3" footer="0.3"/>
      <pageSetup orientation="portrait" r:id="rId3"/>
    </customSheetView>
    <customSheetView guid="{EBA5E9C4-A2DB-4DF0-BF75-1243E968318E}" scale="120" showGridLines="0" topLeftCell="A19">
      <selection activeCell="J24" sqref="J24:J25"/>
      <pageMargins left="0.7" right="0.7" top="0.75" bottom="0.75" header="0.3" footer="0.3"/>
      <pageSetup orientation="portrait" r:id="rId4"/>
    </customSheetView>
    <customSheetView guid="{C7330417-67A9-44CF-917F-5F5E2F191AD4}" scale="120" showGridLines="0" topLeftCell="A19">
      <selection activeCell="J24" sqref="J24:J25"/>
      <pageMargins left="0.7" right="0.7" top="0.75" bottom="0.75" header="0.3" footer="0.3"/>
      <pageSetup orientation="portrait" r:id="rId5"/>
    </customSheetView>
    <customSheetView guid="{47C01131-7443-4080-A2BB-6B6AA35C6913}" scale="120" showGridLines="0" topLeftCell="A19">
      <selection activeCell="J24" sqref="J24:J25"/>
      <pageMargins left="0.7" right="0.7" top="0.75" bottom="0.75" header="0.3" footer="0.3"/>
      <pageSetup orientation="portrait" r:id="rId6"/>
    </customSheetView>
    <customSheetView guid="{19DA6E7F-8950-4769-9BBE-2798EFA465A3}" scale="120" showGridLines="0" topLeftCell="A19">
      <selection activeCell="J24" sqref="J24:J25"/>
      <pageMargins left="0.7" right="0.7" top="0.75" bottom="0.75" header="0.3" footer="0.3"/>
      <pageSetup orientation="portrait" r:id="rId7"/>
    </customSheetView>
    <customSheetView guid="{F3CB97AD-592C-4B6E-8AE3-1CD47479060C}" scale="120" showGridLines="0" topLeftCell="A19">
      <selection activeCell="J24" sqref="J24:J25"/>
      <pageMargins left="0.7" right="0.7" top="0.75" bottom="0.75" header="0.3" footer="0.3"/>
      <pageSetup orientation="portrait" r:id="rId8"/>
    </customSheetView>
    <customSheetView guid="{422703F6-63C4-435C-AFE7-1030286678F6}" scale="120" showGridLines="0" topLeftCell="A3">
      <selection activeCell="J8" sqref="J8:J9"/>
      <pageMargins left="0.7" right="0.7" top="0.75" bottom="0.75" header="0.3" footer="0.3"/>
      <pageSetup orientation="portrait" r:id="rId9"/>
    </customSheetView>
    <customSheetView guid="{02D27969-4CD1-473E-A0E8-856AB0664DE8}" scale="120" showGridLines="0" topLeftCell="A19">
      <selection activeCell="J24" sqref="J24:J25"/>
      <pageMargins left="0.7" right="0.7" top="0.75" bottom="0.75" header="0.3" footer="0.3"/>
      <pageSetup orientation="portrait" r:id="rId10"/>
    </customSheetView>
    <customSheetView guid="{1920E7A3-1C9F-4320-81BB-D11544051025}" scale="120" showGridLines="0" topLeftCell="A34">
      <selection activeCell="J40" sqref="J40:J41"/>
      <pageMargins left="0.7" right="0.7" top="0.75" bottom="0.75" header="0.3" footer="0.3"/>
      <pageSetup orientation="portrait" r:id="rId11"/>
    </customSheetView>
    <customSheetView guid="{EC7537C6-1678-41C1-B788-EF4AFFECF769}" scale="120" showGridLines="0" topLeftCell="A51">
      <selection activeCell="J56" sqref="J56:J57"/>
      <pageMargins left="0.7" right="0.7" top="0.75" bottom="0.75" header="0.3" footer="0.3"/>
      <pageSetup orientation="portrait" r:id="rId12"/>
    </customSheetView>
    <customSheetView guid="{E4FF7DB9-14DF-49DB-9F59-1898DDED4DCE}" scale="120" showGridLines="0" topLeftCell="A66">
      <selection activeCell="J72" sqref="J72:J73"/>
      <pageMargins left="0.7" right="0.7" top="0.75" bottom="0.75" header="0.3" footer="0.3"/>
      <pageSetup orientation="portrait" r:id="rId13"/>
    </customSheetView>
    <customSheetView guid="{9AFCAA87-4888-4976-A7C9-C06A34CB6C97}" scale="120" showGridLines="0" topLeftCell="A93">
      <selection activeCell="J99" sqref="J99:J100"/>
      <pageMargins left="0.7" right="0.7" top="0.75" bottom="0.75" header="0.3" footer="0.3"/>
      <pageSetup orientation="portrait" r:id="rId14"/>
    </customSheetView>
    <customSheetView guid="{15D7A002-B247-4A6B-A16B-61BDD9B0066A}" scale="120" showGridLines="0" topLeftCell="A110">
      <selection activeCell="J116" sqref="J116:J117"/>
      <pageMargins left="0.7" right="0.7" top="0.75" bottom="0.75" header="0.3" footer="0.3"/>
      <pageSetup orientation="portrait" r:id="rId15"/>
    </customSheetView>
    <customSheetView guid="{F789A6E6-3D06-4D93-BF02-46FA1A2548B2}" scale="120" showGridLines="0" topLeftCell="A125">
      <selection activeCell="J132" sqref="J132:J133"/>
      <pageMargins left="0.7" right="0.7" top="0.75" bottom="0.75" header="0.3" footer="0.3"/>
      <pageSetup orientation="portrait" r:id="rId16"/>
    </customSheetView>
    <customSheetView guid="{629A478C-29B1-4F25-A016-63CE32A1627F}" scale="120" showGridLines="0">
      <selection activeCell="E13" sqref="E13"/>
      <pageMargins left="0.7" right="0.7" top="0.75" bottom="0.75" header="0.3" footer="0.3"/>
      <pageSetup orientation="portrait" r:id="rId17"/>
    </customSheetView>
    <customSheetView guid="{51BA8A3D-4711-49ED-89E2-EBC09DF2AEDC}" scale="120" showGridLines="0">
      <selection activeCell="E13" sqref="E13"/>
      <pageMargins left="0.7" right="0.7" top="0.75" bottom="0.75" header="0.3" footer="0.3"/>
      <pageSetup orientation="portrait" r:id="rId18"/>
    </customSheetView>
    <customSheetView guid="{25A4A7C0-9593-456C-861C-76D101D3FE93}" scale="120" showGridLines="0">
      <selection activeCell="E13" sqref="E13"/>
      <pageMargins left="0.7" right="0.7" top="0.75" bottom="0.75" header="0.3" footer="0.3"/>
      <pageSetup orientation="portrait" r:id="rId19"/>
    </customSheetView>
    <customSheetView guid="{95D39BA8-2B16-4954-ABAC-09AD33A86339}" scale="120" showGridLines="0">
      <selection activeCell="E13" sqref="E13"/>
      <pageMargins left="0.7" right="0.7" top="0.75" bottom="0.75" header="0.3" footer="0.3"/>
      <pageSetup orientation="portrait" r:id="rId20"/>
    </customSheetView>
    <customSheetView guid="{C65059E8-30E8-488B-A0E9-1B7961920C81}" scale="120" showGridLines="0">
      <selection activeCell="E13" sqref="E13"/>
      <pageMargins left="0.7" right="0.7" top="0.75" bottom="0.75" header="0.3" footer="0.3"/>
      <pageSetup orientation="portrait" r:id="rId21"/>
    </customSheetView>
    <customSheetView guid="{644A6A80-0D34-48F6-A071-17016DCD2D6E}" scale="120" showGridLines="0">
      <selection activeCell="E13" sqref="E13"/>
      <pageMargins left="0.7" right="0.7" top="0.75" bottom="0.75" header="0.3" footer="0.3"/>
      <pageSetup orientation="portrait" r:id="rId22"/>
    </customSheetView>
    <customSheetView guid="{CC562453-1E6B-4010-9E1B-775397A26EFA}" scale="120" showGridLines="0">
      <selection activeCell="E13" sqref="E13"/>
      <pageMargins left="0.7" right="0.7" top="0.75" bottom="0.75" header="0.3" footer="0.3"/>
      <pageSetup orientation="portrait" r:id="rId23"/>
    </customSheetView>
    <customSheetView guid="{E1A67331-473F-4161-806C-BE35870C93B5}" scale="120" showGridLines="0">
      <selection activeCell="E13" sqref="E13"/>
      <pageMargins left="0.7" right="0.7" top="0.75" bottom="0.75" header="0.3" footer="0.3"/>
      <pageSetup orientation="portrait" r:id="rId24"/>
    </customSheetView>
    <customSheetView guid="{BCAB4838-A37A-4BCF-A9C9-CC50C95F58C7}" scale="120" showGridLines="0">
      <selection activeCell="E13" sqref="E13"/>
      <pageMargins left="0.7" right="0.7" top="0.75" bottom="0.75" header="0.3" footer="0.3"/>
      <pageSetup orientation="portrait" r:id="rId25"/>
    </customSheetView>
    <customSheetView guid="{F518ECB9-5D92-41E0-BFD2-C5175A02444D}" scale="120" showGridLines="0">
      <selection activeCell="E13" sqref="E13"/>
      <pageMargins left="0.7" right="0.7" top="0.75" bottom="0.75" header="0.3" footer="0.3"/>
      <pageSetup orientation="portrait" r:id="rId26"/>
    </customSheetView>
    <customSheetView guid="{FEB5A49F-F7F7-412A-BE72-F90F7A4799C8}" scale="120" showGridLines="0">
      <selection activeCell="E13" sqref="E13"/>
      <pageMargins left="0.7" right="0.7" top="0.75" bottom="0.75" header="0.3" footer="0.3"/>
      <pageSetup orientation="portrait" r:id="rId27"/>
    </customSheetView>
    <customSheetView guid="{F9A03991-7A83-41AE-B603-3D22265CDA22}" scale="120" showGridLines="0">
      <selection activeCell="E13" sqref="E13"/>
      <pageMargins left="0.7" right="0.7" top="0.75" bottom="0.75" header="0.3" footer="0.3"/>
      <pageSetup orientation="portrait" r:id="rId28"/>
    </customSheetView>
    <customSheetView guid="{8A25BF65-C908-4B2F-9805-3CD39BD4330E}" scale="120" showGridLines="0">
      <selection activeCell="E13" sqref="E13"/>
      <pageMargins left="0.7" right="0.7" top="0.75" bottom="0.75" header="0.3" footer="0.3"/>
      <pageSetup orientation="portrait" r:id="rId29"/>
    </customSheetView>
    <customSheetView guid="{5C8F4C13-387F-42D2-8CB5-92C4886D7919}" scale="120" showGridLines="0">
      <selection activeCell="E13" sqref="E13"/>
      <pageMargins left="0.7" right="0.7" top="0.75" bottom="0.75" header="0.3" footer="0.3"/>
      <pageSetup orientation="portrait" r:id="rId30"/>
    </customSheetView>
    <customSheetView guid="{395DC3D6-3299-4A43-88E2-62703FCC0349}" scale="120" showGridLines="0">
      <selection activeCell="E13" sqref="E13"/>
      <pageMargins left="0.7" right="0.7" top="0.75" bottom="0.75" header="0.3" footer="0.3"/>
      <pageSetup orientation="portrait" r:id="rId31"/>
    </customSheetView>
    <customSheetView guid="{FC8D231F-57F9-45EE-9DEF-D7ED111600EB}" scale="120" showGridLines="0">
      <selection activeCell="E13" sqref="E13"/>
      <pageMargins left="0.7" right="0.7" top="0.75" bottom="0.75" header="0.3" footer="0.3"/>
      <pageSetup orientation="portrait" r:id="rId32"/>
    </customSheetView>
    <customSheetView guid="{7A9AB605-DB82-470C-B86B-95E2AB3523F6}" scale="120" showGridLines="0">
      <selection activeCell="E13" sqref="E13"/>
      <pageMargins left="0.7" right="0.7" top="0.75" bottom="0.75" header="0.3" footer="0.3"/>
      <pageSetup orientation="portrait" r:id="rId33"/>
    </customSheetView>
    <customSheetView guid="{0125BE01-BBC8-4E5A-9A9A-3D1257916B8C}" scale="120" showGridLines="0">
      <selection activeCell="E13" sqref="E13"/>
      <pageMargins left="0.7" right="0.7" top="0.75" bottom="0.75" header="0.3" footer="0.3"/>
      <pageSetup orientation="portrait" r:id="rId34"/>
    </customSheetView>
    <customSheetView guid="{8BEA0E04-8B9A-4A2D-9B80-4E7685E22D5E}" scale="120" showGridLines="0">
      <selection activeCell="E13" sqref="E13"/>
      <pageMargins left="0.7" right="0.7" top="0.75" bottom="0.75" header="0.3" footer="0.3"/>
      <pageSetup orientation="portrait" r:id="rId35"/>
    </customSheetView>
    <customSheetView guid="{EE4A95A5-BF42-4BAA-B9EB-84A9230A28F9}" scale="120" showGridLines="0">
      <selection activeCell="E13" sqref="E13"/>
      <pageMargins left="0.7" right="0.7" top="0.75" bottom="0.75" header="0.3" footer="0.3"/>
      <pageSetup orientation="portrait" r:id="rId36"/>
    </customSheetView>
    <customSheetView guid="{2032DE14-E33D-44B5-9022-A2B48F059704}" scale="120" showGridLines="0">
      <selection activeCell="E13" sqref="E13"/>
      <pageMargins left="0.7" right="0.7" top="0.75" bottom="0.75" header="0.3" footer="0.3"/>
      <pageSetup orientation="portrait" r:id="rId37"/>
    </customSheetView>
    <customSheetView guid="{DF16608F-40E8-490E-B08D-ED6EEAB8B9EC}" scale="120" showGridLines="0">
      <selection activeCell="E13" sqref="E13"/>
      <pageMargins left="0.7" right="0.7" top="0.75" bottom="0.75" header="0.3" footer="0.3"/>
      <pageSetup orientation="portrait" r:id="rId38"/>
    </customSheetView>
    <customSheetView guid="{2CEDB1FB-2942-4B51-BF30-285DCDB05292}" scale="120" showGridLines="0">
      <selection activeCell="E13" sqref="E13"/>
      <pageMargins left="0.7" right="0.7" top="0.75" bottom="0.75" header="0.3" footer="0.3"/>
      <pageSetup orientation="portrait" r:id="rId39"/>
    </customSheetView>
    <customSheetView guid="{E4375DB4-4B74-46BC-A9F2-C5C5055B366F}" scale="120" showGridLines="0">
      <selection activeCell="E13" sqref="E13"/>
      <pageMargins left="0.7" right="0.7" top="0.75" bottom="0.75" header="0.3" footer="0.3"/>
      <pageSetup orientation="portrait" r:id="rId40"/>
    </customSheetView>
    <customSheetView guid="{58306194-C83B-413E-AC5F-AD717216CB21}" scale="120" showGridLines="0">
      <selection activeCell="E13" sqref="E13"/>
      <pageMargins left="0.7" right="0.7" top="0.75" bottom="0.75" header="0.3" footer="0.3"/>
      <pageSetup orientation="portrait" r:id="rId41"/>
    </customSheetView>
    <customSheetView guid="{81DEBAD0-6E86-4DFB-8642-C52E8C976BDA}" scale="120" showGridLines="0">
      <selection activeCell="E13" sqref="E13"/>
      <pageMargins left="0.7" right="0.7" top="0.75" bottom="0.75" header="0.3" footer="0.3"/>
      <pageSetup orientation="portrait" r:id="rId42"/>
    </customSheetView>
    <customSheetView guid="{C575B46A-1D4C-489C-97AE-5DAB6560E171}" scale="120" showGridLines="0">
      <selection activeCell="E13" sqref="E13"/>
      <pageMargins left="0.7" right="0.7" top="0.75" bottom="0.75" header="0.3" footer="0.3"/>
      <pageSetup orientation="portrait" r:id="rId43"/>
    </customSheetView>
    <customSheetView guid="{C908A6D6-4C77-416B-BC46-6F501B5F842F}" scale="120" showGridLines="0">
      <selection activeCell="E13" sqref="E13"/>
      <pageMargins left="0.7" right="0.7" top="0.75" bottom="0.75" header="0.3" footer="0.3"/>
      <pageSetup orientation="portrait" r:id="rId44"/>
    </customSheetView>
    <customSheetView guid="{CE50DC7E-3038-4337-BAC8-5B16EE1D95B0}" scale="120" showGridLines="0">
      <selection activeCell="E13" sqref="E13"/>
      <pageMargins left="0.7" right="0.7" top="0.75" bottom="0.75" header="0.3" footer="0.3"/>
      <pageSetup orientation="portrait" r:id="rId45"/>
    </customSheetView>
    <customSheetView guid="{3511E245-32F9-4CFF-8540-6B03C6FAE218}" scale="120" showGridLines="0">
      <selection activeCell="E13" sqref="E13"/>
      <pageMargins left="0.7" right="0.7" top="0.75" bottom="0.75" header="0.3" footer="0.3"/>
      <pageSetup orientation="portrait" r:id="rId46"/>
    </customSheetView>
    <customSheetView guid="{DFE0B66A-2DCB-4802-A91B-F836707AD43C}" scale="120" showGridLines="0">
      <selection activeCell="E13" sqref="E13"/>
      <pageMargins left="0.7" right="0.7" top="0.75" bottom="0.75" header="0.3" footer="0.3"/>
      <pageSetup orientation="portrait" r:id="rId47"/>
    </customSheetView>
    <customSheetView guid="{0458C18D-9EF5-4516-9145-CA54D8EB1865}" scale="120" showGridLines="0">
      <selection activeCell="E13" sqref="E13"/>
      <pageMargins left="0.7" right="0.7" top="0.75" bottom="0.75" header="0.3" footer="0.3"/>
      <pageSetup orientation="portrait" r:id="rId48"/>
    </customSheetView>
    <customSheetView guid="{0E02FCC8-6440-4859-9F6B-C77617EF5D89}" scale="120" showGridLines="0">
      <selection activeCell="E13" sqref="E13"/>
      <pageMargins left="0.7" right="0.7" top="0.75" bottom="0.75" header="0.3" footer="0.3"/>
      <pageSetup orientation="portrait" r:id="rId49"/>
    </customSheetView>
    <customSheetView guid="{EE811897-5BF5-4321-9879-5B7EDF90A350}" scale="120" showGridLines="0">
      <selection activeCell="E13" sqref="E13"/>
      <pageMargins left="0.7" right="0.7" top="0.75" bottom="0.75" header="0.3" footer="0.3"/>
      <pageSetup orientation="portrait" r:id="rId50"/>
    </customSheetView>
    <customSheetView guid="{FF03E81F-A9A8-4546-A9C3-77A6EEA02ED9}" scale="120" showGridLines="0">
      <selection activeCell="E13" sqref="E13"/>
      <pageMargins left="0.7" right="0.7" top="0.75" bottom="0.75" header="0.3" footer="0.3"/>
      <pageSetup orientation="portrait" r:id="rId51"/>
    </customSheetView>
    <customSheetView guid="{D9413B31-FDB2-4AE8-80A8-7F09954E703C}" scale="120" showGridLines="0">
      <selection activeCell="E13" sqref="E13"/>
      <pageMargins left="0.7" right="0.7" top="0.75" bottom="0.75" header="0.3" footer="0.3"/>
      <pageSetup orientation="portrait" r:id="rId52"/>
    </customSheetView>
    <customSheetView guid="{B19B24CB-B859-49E3-8AE0-2D671510EE4F}" scale="120" showGridLines="0">
      <selection activeCell="E13" sqref="E13"/>
      <pageMargins left="0.7" right="0.7" top="0.75" bottom="0.75" header="0.3" footer="0.3"/>
      <pageSetup orientation="portrait" r:id="rId53"/>
    </customSheetView>
    <customSheetView guid="{0BF42E77-7016-4BE4-A5AB-A49974630D91}" scale="120" showGridLines="0">
      <selection activeCell="E13" sqref="E13"/>
      <pageMargins left="0.7" right="0.7" top="0.75" bottom="0.75" header="0.3" footer="0.3"/>
      <pageSetup orientation="portrait" r:id="rId54"/>
    </customSheetView>
    <customSheetView guid="{C453A932-6110-4A84-A9C2-26C809391387}" scale="120" showGridLines="0">
      <selection activeCell="E13" sqref="E13"/>
      <pageMargins left="0.7" right="0.7" top="0.75" bottom="0.75" header="0.3" footer="0.3"/>
      <pageSetup orientation="portrait" r:id="rId55"/>
    </customSheetView>
    <customSheetView guid="{08E755F8-82E9-4D95-862B-81F55FBDDDF6}" scale="120" showGridLines="0">
      <selection activeCell="E13" sqref="E13"/>
      <pageMargins left="0.7" right="0.7" top="0.75" bottom="0.75" header="0.3" footer="0.3"/>
      <pageSetup orientation="portrait" r:id="rId56"/>
    </customSheetView>
    <customSheetView guid="{86D36E03-787A-41EB-85FF-8BB8A222055B}" scale="120" showGridLines="0">
      <selection activeCell="E13" sqref="E13"/>
      <pageMargins left="0.7" right="0.7" top="0.75" bottom="0.75" header="0.3" footer="0.3"/>
      <pageSetup orientation="portrait" r:id="rId57"/>
    </customSheetView>
  </customSheetViews>
  <mergeCells count="16">
    <mergeCell ref="H7:I8"/>
    <mergeCell ref="J7:J8"/>
    <mergeCell ref="H27:I28"/>
    <mergeCell ref="J27:J28"/>
    <mergeCell ref="H49:I50"/>
    <mergeCell ref="J49:J50"/>
    <mergeCell ref="H135:I136"/>
    <mergeCell ref="J135:J136"/>
    <mergeCell ref="H157:I158"/>
    <mergeCell ref="J157:J158"/>
    <mergeCell ref="H71:I72"/>
    <mergeCell ref="J71:J72"/>
    <mergeCell ref="H93:I94"/>
    <mergeCell ref="J93:J94"/>
    <mergeCell ref="H113:I114"/>
    <mergeCell ref="J113:J114"/>
  </mergeCells>
  <conditionalFormatting sqref="J7">
    <cfRule type="expression" dxfId="32" priority="6">
      <formula>$J7=$M7</formula>
    </cfRule>
  </conditionalFormatting>
  <conditionalFormatting sqref="J27">
    <cfRule type="expression" dxfId="31" priority="7">
      <formula>$J27=$M27</formula>
    </cfRule>
  </conditionalFormatting>
  <conditionalFormatting sqref="J49">
    <cfRule type="expression" dxfId="30" priority="8">
      <formula>$J49=$M49</formula>
    </cfRule>
  </conditionalFormatting>
  <conditionalFormatting sqref="J71">
    <cfRule type="expression" dxfId="29" priority="2">
      <formula>$J71=$M71</formula>
    </cfRule>
  </conditionalFormatting>
  <conditionalFormatting sqref="J93">
    <cfRule type="expression" dxfId="28" priority="1">
      <formula>$J93=$M93</formula>
    </cfRule>
  </conditionalFormatting>
  <conditionalFormatting sqref="J113">
    <cfRule type="expression" dxfId="27" priority="5">
      <formula>$J113=$M113</formula>
    </cfRule>
  </conditionalFormatting>
  <conditionalFormatting sqref="J135">
    <cfRule type="expression" dxfId="26" priority="4">
      <formula>$J135=$M135</formula>
    </cfRule>
  </conditionalFormatting>
  <conditionalFormatting sqref="J157">
    <cfRule type="expression" dxfId="25" priority="3">
      <formula>$J157=$M157</formula>
    </cfRule>
  </conditionalFormatting>
  <pageMargins left="0.7" right="0.7" top="0.75" bottom="0.75" header="0.3" footer="0.3"/>
  <pageSetup orientation="portrait" r:id="rId58"/>
  <drawing r:id="rId59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C9249-A3BA-444E-96C7-C19F454D2C91}">
  <sheetPr codeName="Sheet15">
    <pageSetUpPr autoPageBreaks="0"/>
  </sheetPr>
  <dimension ref="B4:M170"/>
  <sheetViews>
    <sheetView showGridLines="0" topLeftCell="A147" zoomScale="110" zoomScaleNormal="110" workbookViewId="0">
      <selection activeCell="I168" sqref="I168"/>
    </sheetView>
  </sheetViews>
  <sheetFormatPr defaultRowHeight="18.75" x14ac:dyDescent="0.3"/>
  <cols>
    <col min="1" max="1" width="8.7109375" style="7" customWidth="1"/>
    <col min="2" max="2" width="17.140625" style="7" bestFit="1" customWidth="1"/>
    <col min="3" max="3" width="12.42578125" style="7" bestFit="1" customWidth="1"/>
    <col min="4" max="4" width="13.85546875" style="7" bestFit="1" customWidth="1"/>
    <col min="5" max="5" width="19.7109375" style="7" bestFit="1" customWidth="1"/>
    <col min="6" max="7" width="9.140625" style="7"/>
    <col min="8" max="8" width="20.28515625" style="7" customWidth="1"/>
    <col min="9" max="9" width="44.5703125" style="7" customWidth="1"/>
    <col min="10" max="10" width="27.140625" style="7" bestFit="1" customWidth="1"/>
    <col min="11" max="16384" width="9.140625" style="7"/>
  </cols>
  <sheetData>
    <row r="4" spans="2:13" x14ac:dyDescent="0.3">
      <c r="B4" s="9" t="s">
        <v>40</v>
      </c>
      <c r="C4" s="9" t="s">
        <v>39</v>
      </c>
      <c r="D4" s="9" t="s">
        <v>38</v>
      </c>
      <c r="E4" s="9" t="s">
        <v>42</v>
      </c>
    </row>
    <row r="5" spans="2:13" x14ac:dyDescent="0.3">
      <c r="B5" s="8" t="s">
        <v>37</v>
      </c>
      <c r="C5" s="8">
        <v>7.85</v>
      </c>
      <c r="D5" s="8" t="s">
        <v>36</v>
      </c>
      <c r="E5" s="8" t="s">
        <v>54</v>
      </c>
    </row>
    <row r="6" spans="2:13" ht="18.75" customHeight="1" x14ac:dyDescent="0.3">
      <c r="B6" s="8" t="s">
        <v>35</v>
      </c>
      <c r="C6" s="8">
        <v>3.25</v>
      </c>
      <c r="D6" s="8" t="s">
        <v>28</v>
      </c>
      <c r="E6" s="8" t="s">
        <v>44</v>
      </c>
    </row>
    <row r="7" spans="2:13" ht="21" customHeight="1" x14ac:dyDescent="0.3">
      <c r="B7" s="8" t="s">
        <v>33</v>
      </c>
      <c r="C7" s="8">
        <v>12.5</v>
      </c>
      <c r="D7" s="8" t="s">
        <v>32</v>
      </c>
      <c r="E7" s="8" t="s">
        <v>45</v>
      </c>
    </row>
    <row r="8" spans="2:13" x14ac:dyDescent="0.3">
      <c r="B8" s="8" t="s">
        <v>31</v>
      </c>
      <c r="C8" s="8">
        <v>6.35</v>
      </c>
      <c r="D8" s="8" t="s">
        <v>30</v>
      </c>
      <c r="E8" s="8" t="s">
        <v>43</v>
      </c>
      <c r="H8" s="34" t="s">
        <v>143</v>
      </c>
      <c r="I8" s="34"/>
      <c r="J8" s="32">
        <f>COUNTIFS(E5:E16,"Mar",D5:D16,"Doordash")</f>
        <v>4</v>
      </c>
      <c r="M8" s="10">
        <f>COUNTIFS(E5:E16,"mar",D5:D16,"doordash")</f>
        <v>4</v>
      </c>
    </row>
    <row r="9" spans="2:13" x14ac:dyDescent="0.3">
      <c r="B9" s="8" t="s">
        <v>29</v>
      </c>
      <c r="C9" s="8">
        <v>2.5</v>
      </c>
      <c r="D9" s="8" t="s">
        <v>28</v>
      </c>
      <c r="E9" s="8" t="s">
        <v>45</v>
      </c>
      <c r="H9" s="34"/>
      <c r="I9" s="34"/>
      <c r="J9" s="32"/>
    </row>
    <row r="10" spans="2:13" x14ac:dyDescent="0.3">
      <c r="B10" s="8" t="s">
        <v>27</v>
      </c>
      <c r="C10" s="8">
        <v>6.5</v>
      </c>
      <c r="D10" s="8" t="s">
        <v>28</v>
      </c>
      <c r="E10" s="8" t="s">
        <v>45</v>
      </c>
    </row>
    <row r="11" spans="2:13" x14ac:dyDescent="0.3">
      <c r="B11" s="8" t="s">
        <v>37</v>
      </c>
      <c r="C11" s="8">
        <v>8.75</v>
      </c>
      <c r="D11" s="8" t="s">
        <v>28</v>
      </c>
      <c r="E11" s="8" t="s">
        <v>55</v>
      </c>
    </row>
    <row r="12" spans="2:13" x14ac:dyDescent="0.3">
      <c r="B12" s="8" t="s">
        <v>31</v>
      </c>
      <c r="C12" s="8">
        <v>4.6500000000000004</v>
      </c>
      <c r="D12" s="8" t="s">
        <v>36</v>
      </c>
      <c r="E12" s="8" t="s">
        <v>45</v>
      </c>
    </row>
    <row r="13" spans="2:13" x14ac:dyDescent="0.3">
      <c r="B13" s="8" t="s">
        <v>37</v>
      </c>
      <c r="C13" s="8">
        <v>12.85</v>
      </c>
      <c r="D13" s="8" t="s">
        <v>28</v>
      </c>
      <c r="E13" s="8" t="s">
        <v>45</v>
      </c>
    </row>
    <row r="14" spans="2:13" ht="18.75" customHeight="1" x14ac:dyDescent="0.3">
      <c r="B14" s="8" t="s">
        <v>35</v>
      </c>
      <c r="C14" s="8">
        <v>8.25</v>
      </c>
      <c r="D14" s="8" t="s">
        <v>34</v>
      </c>
      <c r="E14" s="8" t="s">
        <v>71</v>
      </c>
    </row>
    <row r="15" spans="2:13" x14ac:dyDescent="0.3">
      <c r="B15" s="8" t="s">
        <v>33</v>
      </c>
      <c r="C15" s="8">
        <v>13.5</v>
      </c>
      <c r="D15" s="8" t="s">
        <v>28</v>
      </c>
      <c r="E15" s="8" t="s">
        <v>45</v>
      </c>
    </row>
    <row r="16" spans="2:13" x14ac:dyDescent="0.3">
      <c r="B16" s="8" t="s">
        <v>31</v>
      </c>
      <c r="C16" s="8">
        <v>9.9499999999999993</v>
      </c>
      <c r="D16" s="8" t="s">
        <v>30</v>
      </c>
      <c r="E16" s="8" t="s">
        <v>45</v>
      </c>
    </row>
    <row r="24" spans="2:13" x14ac:dyDescent="0.3">
      <c r="B24" s="9" t="s">
        <v>40</v>
      </c>
      <c r="C24" s="9" t="s">
        <v>38</v>
      </c>
      <c r="D24" s="9" t="s">
        <v>39</v>
      </c>
      <c r="E24" s="9" t="s">
        <v>42</v>
      </c>
    </row>
    <row r="25" spans="2:13" x14ac:dyDescent="0.3">
      <c r="B25" s="8" t="s">
        <v>37</v>
      </c>
      <c r="C25" s="8" t="s">
        <v>36</v>
      </c>
      <c r="D25" s="8">
        <v>7.85</v>
      </c>
      <c r="E25" s="8" t="s">
        <v>53</v>
      </c>
    </row>
    <row r="26" spans="2:13" x14ac:dyDescent="0.3">
      <c r="B26" s="8" t="s">
        <v>35</v>
      </c>
      <c r="C26" s="8" t="s">
        <v>34</v>
      </c>
      <c r="D26" s="8">
        <v>3.25</v>
      </c>
      <c r="E26" s="8" t="s">
        <v>54</v>
      </c>
    </row>
    <row r="27" spans="2:13" x14ac:dyDescent="0.3">
      <c r="B27" s="8" t="s">
        <v>33</v>
      </c>
      <c r="C27" s="8" t="s">
        <v>36</v>
      </c>
      <c r="D27" s="8">
        <v>12.5</v>
      </c>
      <c r="E27" s="8" t="s">
        <v>56</v>
      </c>
    </row>
    <row r="28" spans="2:13" x14ac:dyDescent="0.3">
      <c r="B28" s="8" t="s">
        <v>31</v>
      </c>
      <c r="C28" s="8" t="s">
        <v>30</v>
      </c>
      <c r="D28" s="8">
        <v>6.35</v>
      </c>
      <c r="E28" s="8" t="s">
        <v>43</v>
      </c>
      <c r="H28" s="35" t="s">
        <v>142</v>
      </c>
      <c r="I28" s="35"/>
      <c r="J28" s="32">
        <f>COUNTIFS(C25:C36,"Amazon",B25:B36,"Apple")</f>
        <v>3</v>
      </c>
      <c r="M28" s="10">
        <f>COUNTIFS(C25:C36,C25,B25:B36,B25)</f>
        <v>3</v>
      </c>
    </row>
    <row r="29" spans="2:13" x14ac:dyDescent="0.3">
      <c r="B29" s="8" t="s">
        <v>29</v>
      </c>
      <c r="C29" s="8" t="s">
        <v>36</v>
      </c>
      <c r="D29" s="8">
        <v>2.5</v>
      </c>
      <c r="E29" s="8" t="s">
        <v>44</v>
      </c>
      <c r="H29" s="35"/>
      <c r="I29" s="35"/>
      <c r="J29" s="32"/>
    </row>
    <row r="30" spans="2:13" x14ac:dyDescent="0.3">
      <c r="B30" s="8" t="s">
        <v>27</v>
      </c>
      <c r="C30" s="8" t="s">
        <v>26</v>
      </c>
      <c r="D30" s="8">
        <v>6.5</v>
      </c>
      <c r="E30" s="8" t="s">
        <v>53</v>
      </c>
    </row>
    <row r="31" spans="2:13" x14ac:dyDescent="0.3">
      <c r="B31" s="8" t="s">
        <v>37</v>
      </c>
      <c r="C31" s="8" t="s">
        <v>36</v>
      </c>
      <c r="D31" s="8">
        <v>8.75</v>
      </c>
      <c r="E31" s="8" t="s">
        <v>43</v>
      </c>
    </row>
    <row r="32" spans="2:13" x14ac:dyDescent="0.3">
      <c r="B32" s="8" t="s">
        <v>31</v>
      </c>
      <c r="C32" s="8" t="s">
        <v>30</v>
      </c>
      <c r="D32" s="8">
        <v>4.6500000000000004</v>
      </c>
      <c r="E32" s="8" t="s">
        <v>53</v>
      </c>
    </row>
    <row r="33" spans="2:5" x14ac:dyDescent="0.3">
      <c r="B33" s="8" t="s">
        <v>37</v>
      </c>
      <c r="C33" s="8" t="s">
        <v>36</v>
      </c>
      <c r="D33" s="8">
        <v>12.85</v>
      </c>
      <c r="E33" s="8" t="s">
        <v>45</v>
      </c>
    </row>
    <row r="34" spans="2:5" x14ac:dyDescent="0.3">
      <c r="B34" s="8" t="s">
        <v>35</v>
      </c>
      <c r="C34" s="8" t="s">
        <v>34</v>
      </c>
      <c r="D34" s="8">
        <v>8.25</v>
      </c>
      <c r="E34" s="8" t="s">
        <v>43</v>
      </c>
    </row>
    <row r="35" spans="2:5" x14ac:dyDescent="0.3">
      <c r="B35" s="8" t="s">
        <v>33</v>
      </c>
      <c r="C35" s="8" t="s">
        <v>32</v>
      </c>
      <c r="D35" s="8">
        <v>13.5</v>
      </c>
      <c r="E35" s="8" t="s">
        <v>53</v>
      </c>
    </row>
    <row r="36" spans="2:5" x14ac:dyDescent="0.3">
      <c r="B36" s="8" t="s">
        <v>31</v>
      </c>
      <c r="C36" s="8" t="s">
        <v>36</v>
      </c>
      <c r="D36" s="8">
        <v>9.9499999999999993</v>
      </c>
      <c r="E36" s="8" t="s">
        <v>45</v>
      </c>
    </row>
    <row r="37" spans="2:5" x14ac:dyDescent="0.3">
      <c r="E37" s="8"/>
    </row>
    <row r="47" spans="2:5" x14ac:dyDescent="0.3">
      <c r="B47" s="9" t="s">
        <v>40</v>
      </c>
      <c r="C47" s="9" t="s">
        <v>39</v>
      </c>
      <c r="D47" s="9" t="s">
        <v>38</v>
      </c>
      <c r="E47" s="9" t="s">
        <v>42</v>
      </c>
    </row>
    <row r="48" spans="2:5" x14ac:dyDescent="0.3">
      <c r="B48" s="8" t="s">
        <v>37</v>
      </c>
      <c r="C48" s="8">
        <v>7.85</v>
      </c>
      <c r="D48" s="8" t="s">
        <v>36</v>
      </c>
      <c r="E48" s="8" t="s">
        <v>53</v>
      </c>
    </row>
    <row r="49" spans="2:13" x14ac:dyDescent="0.3">
      <c r="B49" s="8" t="s">
        <v>35</v>
      </c>
      <c r="C49" s="8">
        <v>3.25</v>
      </c>
      <c r="D49" s="8" t="s">
        <v>34</v>
      </c>
      <c r="E49" s="8" t="s">
        <v>54</v>
      </c>
    </row>
    <row r="50" spans="2:13" x14ac:dyDescent="0.3">
      <c r="B50" s="8" t="s">
        <v>33</v>
      </c>
      <c r="C50" s="8">
        <v>12.5</v>
      </c>
      <c r="D50" s="8" t="s">
        <v>32</v>
      </c>
      <c r="E50" s="8" t="s">
        <v>56</v>
      </c>
      <c r="I50" s="11" t="s">
        <v>48</v>
      </c>
      <c r="J50" s="11" t="s">
        <v>33</v>
      </c>
    </row>
    <row r="51" spans="2:13" x14ac:dyDescent="0.3">
      <c r="B51" s="8" t="s">
        <v>31</v>
      </c>
      <c r="C51" s="8">
        <v>6.35</v>
      </c>
      <c r="D51" s="8" t="s">
        <v>30</v>
      </c>
      <c r="E51" s="8" t="s">
        <v>43</v>
      </c>
      <c r="H51" s="34" t="s">
        <v>86</v>
      </c>
      <c r="I51" s="34"/>
      <c r="J51" s="32">
        <f>COUNTIFS(B48:B59,"Kiwi",E48:E59,"Jun")</f>
        <v>2</v>
      </c>
      <c r="M51" s="10">
        <f>COUNTIFS(E48:E59,E48,B48:B59,B50)</f>
        <v>2</v>
      </c>
    </row>
    <row r="52" spans="2:13" x14ac:dyDescent="0.3">
      <c r="B52" s="8" t="s">
        <v>33</v>
      </c>
      <c r="C52" s="8">
        <v>2.5</v>
      </c>
      <c r="D52" s="8" t="s">
        <v>28</v>
      </c>
      <c r="E52" s="8" t="s">
        <v>44</v>
      </c>
      <c r="H52" s="34"/>
      <c r="I52" s="34"/>
      <c r="J52" s="32"/>
    </row>
    <row r="53" spans="2:13" x14ac:dyDescent="0.3">
      <c r="B53" s="8" t="s">
        <v>27</v>
      </c>
      <c r="C53" s="8">
        <v>6.5</v>
      </c>
      <c r="D53" s="8" t="s">
        <v>26</v>
      </c>
      <c r="E53" s="8" t="s">
        <v>53</v>
      </c>
    </row>
    <row r="54" spans="2:13" x14ac:dyDescent="0.3">
      <c r="B54" s="8" t="s">
        <v>37</v>
      </c>
      <c r="C54" s="8">
        <v>8.75</v>
      </c>
      <c r="D54" s="8" t="s">
        <v>36</v>
      </c>
      <c r="E54" s="8" t="s">
        <v>43</v>
      </c>
    </row>
    <row r="55" spans="2:13" x14ac:dyDescent="0.3">
      <c r="B55" s="8" t="s">
        <v>33</v>
      </c>
      <c r="C55" s="8">
        <v>4.6500000000000004</v>
      </c>
      <c r="D55" s="8" t="s">
        <v>30</v>
      </c>
      <c r="E55" s="8" t="s">
        <v>53</v>
      </c>
    </row>
    <row r="56" spans="2:13" x14ac:dyDescent="0.3">
      <c r="B56" s="8" t="s">
        <v>37</v>
      </c>
      <c r="C56" s="8">
        <v>12.85</v>
      </c>
      <c r="D56" s="8" t="s">
        <v>36</v>
      </c>
      <c r="E56" s="8" t="s">
        <v>45</v>
      </c>
    </row>
    <row r="57" spans="2:13" x14ac:dyDescent="0.3">
      <c r="B57" s="8" t="s">
        <v>33</v>
      </c>
      <c r="C57" s="8">
        <v>8.25</v>
      </c>
      <c r="D57" s="8" t="s">
        <v>34</v>
      </c>
      <c r="E57" s="8" t="s">
        <v>43</v>
      </c>
    </row>
    <row r="58" spans="2:13" x14ac:dyDescent="0.3">
      <c r="B58" s="8" t="s">
        <v>33</v>
      </c>
      <c r="C58" s="8">
        <v>13.5</v>
      </c>
      <c r="D58" s="8" t="s">
        <v>32</v>
      </c>
      <c r="E58" s="8" t="s">
        <v>53</v>
      </c>
    </row>
    <row r="59" spans="2:13" x14ac:dyDescent="0.3">
      <c r="B59" s="8" t="s">
        <v>31</v>
      </c>
      <c r="C59" s="8">
        <v>9.9499999999999993</v>
      </c>
      <c r="D59" s="8" t="s">
        <v>30</v>
      </c>
      <c r="E59" s="8" t="s">
        <v>45</v>
      </c>
    </row>
    <row r="70" spans="2:13" x14ac:dyDescent="0.3">
      <c r="B70" s="9" t="s">
        <v>40</v>
      </c>
      <c r="C70" s="9" t="s">
        <v>39</v>
      </c>
      <c r="D70" s="9" t="s">
        <v>38</v>
      </c>
      <c r="E70" s="9" t="s">
        <v>76</v>
      </c>
    </row>
    <row r="71" spans="2:13" x14ac:dyDescent="0.3">
      <c r="B71" s="8" t="s">
        <v>33</v>
      </c>
      <c r="C71" s="8">
        <v>7.85</v>
      </c>
      <c r="D71" s="8" t="s">
        <v>36</v>
      </c>
      <c r="E71" s="12">
        <v>44743</v>
      </c>
    </row>
    <row r="72" spans="2:13" x14ac:dyDescent="0.3">
      <c r="B72" s="8" t="s">
        <v>33</v>
      </c>
      <c r="C72" s="8">
        <v>3.25</v>
      </c>
      <c r="D72" s="8" t="s">
        <v>34</v>
      </c>
      <c r="E72" s="12">
        <f>E71+3</f>
        <v>44746</v>
      </c>
    </row>
    <row r="73" spans="2:13" x14ac:dyDescent="0.3">
      <c r="B73" s="8" t="s">
        <v>33</v>
      </c>
      <c r="C73" s="8">
        <v>12.5</v>
      </c>
      <c r="D73" s="8" t="s">
        <v>32</v>
      </c>
      <c r="E73" s="12">
        <f t="shared" ref="E73:E82" si="0">E72+3</f>
        <v>44749</v>
      </c>
      <c r="I73" s="11" t="s">
        <v>75</v>
      </c>
      <c r="J73" s="11">
        <v>5</v>
      </c>
    </row>
    <row r="74" spans="2:13" x14ac:dyDescent="0.3">
      <c r="B74" s="8" t="s">
        <v>33</v>
      </c>
      <c r="C74" s="8">
        <v>6.35</v>
      </c>
      <c r="D74" s="8" t="s">
        <v>30</v>
      </c>
      <c r="E74" s="12">
        <f t="shared" si="0"/>
        <v>44752</v>
      </c>
      <c r="H74" s="33" t="s">
        <v>87</v>
      </c>
      <c r="I74" s="33"/>
      <c r="J74" s="32">
        <f>COUNTIFS(B71:B82,"Kiwi",C71:C82,"&gt;5")</f>
        <v>8</v>
      </c>
      <c r="M74" s="10">
        <f>COUNTIFS(B70:B82,"kiwi",C70:C82,"&gt;5")</f>
        <v>8</v>
      </c>
    </row>
    <row r="75" spans="2:13" x14ac:dyDescent="0.3">
      <c r="B75" s="8" t="s">
        <v>33</v>
      </c>
      <c r="C75" s="8">
        <v>2.5</v>
      </c>
      <c r="D75" s="8" t="s">
        <v>28</v>
      </c>
      <c r="E75" s="12">
        <f t="shared" si="0"/>
        <v>44755</v>
      </c>
      <c r="H75" s="33"/>
      <c r="I75" s="33"/>
      <c r="J75" s="32"/>
    </row>
    <row r="76" spans="2:13" x14ac:dyDescent="0.3">
      <c r="B76" s="8" t="s">
        <v>37</v>
      </c>
      <c r="C76" s="8">
        <v>6.5</v>
      </c>
      <c r="D76" s="8" t="s">
        <v>26</v>
      </c>
      <c r="E76" s="12">
        <f t="shared" si="0"/>
        <v>44758</v>
      </c>
    </row>
    <row r="77" spans="2:13" x14ac:dyDescent="0.3">
      <c r="B77" s="8" t="s">
        <v>33</v>
      </c>
      <c r="C77" s="8">
        <v>8.75</v>
      </c>
      <c r="D77" s="8" t="s">
        <v>36</v>
      </c>
      <c r="E77" s="12">
        <f t="shared" si="0"/>
        <v>44761</v>
      </c>
    </row>
    <row r="78" spans="2:13" x14ac:dyDescent="0.3">
      <c r="B78" s="8" t="s">
        <v>33</v>
      </c>
      <c r="C78" s="8">
        <v>4.6500000000000004</v>
      </c>
      <c r="D78" s="8" t="s">
        <v>30</v>
      </c>
      <c r="E78" s="12">
        <f t="shared" si="0"/>
        <v>44764</v>
      </c>
    </row>
    <row r="79" spans="2:13" x14ac:dyDescent="0.3">
      <c r="B79" s="8" t="s">
        <v>33</v>
      </c>
      <c r="C79" s="8">
        <v>12.85</v>
      </c>
      <c r="D79" s="8" t="s">
        <v>36</v>
      </c>
      <c r="E79" s="12">
        <f t="shared" si="0"/>
        <v>44767</v>
      </c>
    </row>
    <row r="80" spans="2:13" x14ac:dyDescent="0.3">
      <c r="B80" s="8" t="s">
        <v>33</v>
      </c>
      <c r="C80" s="8">
        <v>8.25</v>
      </c>
      <c r="D80" s="8" t="s">
        <v>34</v>
      </c>
      <c r="E80" s="12">
        <f t="shared" si="0"/>
        <v>44770</v>
      </c>
    </row>
    <row r="81" spans="2:10" x14ac:dyDescent="0.3">
      <c r="B81" s="8" t="s">
        <v>33</v>
      </c>
      <c r="C81" s="8">
        <v>13.5</v>
      </c>
      <c r="D81" s="8" t="s">
        <v>32</v>
      </c>
      <c r="E81" s="12">
        <f t="shared" si="0"/>
        <v>44773</v>
      </c>
    </row>
    <row r="82" spans="2:10" x14ac:dyDescent="0.3">
      <c r="B82" s="8" t="s">
        <v>33</v>
      </c>
      <c r="C82" s="8">
        <v>9.9499999999999993</v>
      </c>
      <c r="D82" s="8" t="s">
        <v>30</v>
      </c>
      <c r="E82" s="12">
        <f t="shared" si="0"/>
        <v>44776</v>
      </c>
    </row>
    <row r="93" spans="2:10" ht="16.5" customHeight="1" x14ac:dyDescent="0.3">
      <c r="B93" s="9" t="s">
        <v>40</v>
      </c>
      <c r="C93" s="9" t="s">
        <v>39</v>
      </c>
      <c r="D93" s="9" t="s">
        <v>38</v>
      </c>
      <c r="E93" s="9" t="s">
        <v>76</v>
      </c>
    </row>
    <row r="94" spans="2:10" x14ac:dyDescent="0.3">
      <c r="B94" s="8" t="s">
        <v>33</v>
      </c>
      <c r="C94" s="8">
        <v>7.85</v>
      </c>
      <c r="D94" s="8" t="s">
        <v>36</v>
      </c>
      <c r="E94" s="14">
        <v>44743</v>
      </c>
    </row>
    <row r="95" spans="2:10" x14ac:dyDescent="0.3">
      <c r="B95" s="8" t="s">
        <v>33</v>
      </c>
      <c r="C95" s="8">
        <v>3.25</v>
      </c>
      <c r="D95" s="8" t="s">
        <v>34</v>
      </c>
      <c r="E95" s="14">
        <f>E94+3</f>
        <v>44746</v>
      </c>
    </row>
    <row r="96" spans="2:10" x14ac:dyDescent="0.3">
      <c r="B96" s="8" t="s">
        <v>33</v>
      </c>
      <c r="C96" s="8">
        <v>12.5</v>
      </c>
      <c r="D96" s="8" t="s">
        <v>32</v>
      </c>
      <c r="E96" s="14">
        <f t="shared" ref="E96:E105" si="1">E95+3</f>
        <v>44749</v>
      </c>
      <c r="I96" s="11" t="s">
        <v>77</v>
      </c>
      <c r="J96" s="13">
        <v>44752</v>
      </c>
    </row>
    <row r="97" spans="2:13" ht="23.25" customHeight="1" x14ac:dyDescent="0.3">
      <c r="B97" s="8" t="s">
        <v>33</v>
      </c>
      <c r="C97" s="8">
        <v>6.35</v>
      </c>
      <c r="D97" s="8" t="s">
        <v>30</v>
      </c>
      <c r="E97" s="14">
        <f t="shared" si="1"/>
        <v>44752</v>
      </c>
      <c r="H97" s="34" t="s">
        <v>179</v>
      </c>
      <c r="I97" s="34"/>
      <c r="J97" s="32">
        <f>COUNTIFS(B94:B105,"Kiwi",E94:E105,"&gt;10-Jul-22",E94:E105,"&lt;25-Jul-22")</f>
        <v>3</v>
      </c>
      <c r="M97" s="10">
        <f>COUNTIFS(B94:B105,"Kiwi",E94:E105,"&gt;07-10-2022",E94:E105,"&lt;07-25-2022")</f>
        <v>3</v>
      </c>
    </row>
    <row r="98" spans="2:13" ht="21" customHeight="1" x14ac:dyDescent="0.3">
      <c r="B98" s="8" t="s">
        <v>33</v>
      </c>
      <c r="C98" s="8">
        <v>2.5</v>
      </c>
      <c r="D98" s="8" t="s">
        <v>28</v>
      </c>
      <c r="E98" s="14">
        <f t="shared" si="1"/>
        <v>44755</v>
      </c>
      <c r="H98" s="34"/>
      <c r="I98" s="34"/>
      <c r="J98" s="32"/>
    </row>
    <row r="99" spans="2:13" x14ac:dyDescent="0.3">
      <c r="B99" s="8" t="s">
        <v>33</v>
      </c>
      <c r="C99" s="8">
        <v>6.5</v>
      </c>
      <c r="D99" s="8" t="s">
        <v>26</v>
      </c>
      <c r="E99" s="14">
        <f t="shared" si="1"/>
        <v>44758</v>
      </c>
    </row>
    <row r="100" spans="2:13" x14ac:dyDescent="0.3">
      <c r="B100" s="8" t="s">
        <v>33</v>
      </c>
      <c r="C100" s="8">
        <v>8.75</v>
      </c>
      <c r="D100" s="8" t="s">
        <v>36</v>
      </c>
      <c r="E100" s="14">
        <f t="shared" si="1"/>
        <v>44761</v>
      </c>
    </row>
    <row r="101" spans="2:13" x14ac:dyDescent="0.3">
      <c r="B101" s="8" t="s">
        <v>35</v>
      </c>
      <c r="C101" s="8">
        <v>4.6500000000000004</v>
      </c>
      <c r="D101" s="8" t="s">
        <v>30</v>
      </c>
      <c r="E101" s="14">
        <f t="shared" si="1"/>
        <v>44764</v>
      </c>
    </row>
    <row r="102" spans="2:13" x14ac:dyDescent="0.3">
      <c r="B102" s="8" t="s">
        <v>33</v>
      </c>
      <c r="C102" s="8">
        <v>12.85</v>
      </c>
      <c r="D102" s="8" t="s">
        <v>36</v>
      </c>
      <c r="E102" s="14">
        <f t="shared" si="1"/>
        <v>44767</v>
      </c>
    </row>
    <row r="103" spans="2:13" x14ac:dyDescent="0.3">
      <c r="B103" s="8" t="s">
        <v>33</v>
      </c>
      <c r="C103" s="8">
        <v>8.25</v>
      </c>
      <c r="D103" s="8" t="s">
        <v>34</v>
      </c>
      <c r="E103" s="14">
        <f t="shared" si="1"/>
        <v>44770</v>
      </c>
    </row>
    <row r="104" spans="2:13" x14ac:dyDescent="0.3">
      <c r="B104" s="8" t="s">
        <v>33</v>
      </c>
      <c r="C104" s="8">
        <v>13.5</v>
      </c>
      <c r="D104" s="8" t="s">
        <v>32</v>
      </c>
      <c r="E104" s="14">
        <f t="shared" si="1"/>
        <v>44773</v>
      </c>
    </row>
    <row r="105" spans="2:13" x14ac:dyDescent="0.3">
      <c r="B105" s="8" t="s">
        <v>33</v>
      </c>
      <c r="C105" s="8">
        <v>9.9499999999999993</v>
      </c>
      <c r="D105" s="8" t="s">
        <v>30</v>
      </c>
      <c r="E105" s="14">
        <f t="shared" si="1"/>
        <v>44776</v>
      </c>
    </row>
    <row r="113" spans="2:13" x14ac:dyDescent="0.3">
      <c r="B113" s="9" t="s">
        <v>40</v>
      </c>
      <c r="C113" s="9" t="s">
        <v>39</v>
      </c>
      <c r="D113" s="9" t="s">
        <v>38</v>
      </c>
      <c r="E113" s="9" t="s">
        <v>42</v>
      </c>
    </row>
    <row r="114" spans="2:13" x14ac:dyDescent="0.3">
      <c r="B114" s="8" t="s">
        <v>37</v>
      </c>
      <c r="C114" s="8">
        <v>7.85</v>
      </c>
      <c r="D114" s="8" t="s">
        <v>36</v>
      </c>
      <c r="E114" s="8" t="s">
        <v>43</v>
      </c>
    </row>
    <row r="115" spans="2:13" x14ac:dyDescent="0.3">
      <c r="B115" s="8" t="s">
        <v>35</v>
      </c>
      <c r="C115" s="8">
        <v>3.25</v>
      </c>
      <c r="D115" s="8" t="s">
        <v>34</v>
      </c>
      <c r="E115" s="8" t="s">
        <v>44</v>
      </c>
    </row>
    <row r="116" spans="2:13" x14ac:dyDescent="0.3">
      <c r="B116" s="8" t="s">
        <v>33</v>
      </c>
      <c r="C116" s="8">
        <v>12.5</v>
      </c>
      <c r="D116" s="8" t="s">
        <v>32</v>
      </c>
      <c r="E116" s="8" t="s">
        <v>56</v>
      </c>
      <c r="I116" s="11"/>
      <c r="J116" s="11"/>
    </row>
    <row r="117" spans="2:13" x14ac:dyDescent="0.3">
      <c r="B117" s="8" t="s">
        <v>31</v>
      </c>
      <c r="C117" s="8">
        <v>6.35</v>
      </c>
      <c r="D117" s="8" t="s">
        <v>30</v>
      </c>
      <c r="E117" s="8" t="s">
        <v>43</v>
      </c>
      <c r="H117" s="31" t="s">
        <v>88</v>
      </c>
      <c r="I117" s="31"/>
      <c r="J117" s="32">
        <f>COUNTIFS(B114:B125,"*apple*")</f>
        <v>5</v>
      </c>
      <c r="M117" s="10">
        <f>COUNTIFS(B114:B125,"*apple*")</f>
        <v>5</v>
      </c>
    </row>
    <row r="118" spans="2:13" x14ac:dyDescent="0.3">
      <c r="B118" s="8" t="s">
        <v>29</v>
      </c>
      <c r="C118" s="8">
        <v>2.5</v>
      </c>
      <c r="D118" s="8" t="s">
        <v>28</v>
      </c>
      <c r="E118" s="8" t="s">
        <v>55</v>
      </c>
      <c r="H118" s="31"/>
      <c r="I118" s="31"/>
      <c r="J118" s="32"/>
    </row>
    <row r="119" spans="2:13" x14ac:dyDescent="0.3">
      <c r="B119" s="8" t="s">
        <v>27</v>
      </c>
      <c r="C119" s="8">
        <v>6.5</v>
      </c>
      <c r="D119" s="8" t="s">
        <v>26</v>
      </c>
      <c r="E119" s="8" t="s">
        <v>45</v>
      </c>
    </row>
    <row r="120" spans="2:13" ht="18.75" customHeight="1" x14ac:dyDescent="0.3">
      <c r="B120" s="8" t="s">
        <v>37</v>
      </c>
      <c r="C120" s="8">
        <v>8.75</v>
      </c>
      <c r="D120" s="8" t="s">
        <v>36</v>
      </c>
      <c r="E120" s="8" t="s">
        <v>43</v>
      </c>
    </row>
    <row r="121" spans="2:13" x14ac:dyDescent="0.3">
      <c r="B121" s="8" t="s">
        <v>31</v>
      </c>
      <c r="C121" s="8">
        <v>4.6500000000000004</v>
      </c>
      <c r="D121" s="8" t="s">
        <v>30</v>
      </c>
      <c r="E121" s="8" t="s">
        <v>44</v>
      </c>
    </row>
    <row r="122" spans="2:13" x14ac:dyDescent="0.3">
      <c r="B122" s="8" t="s">
        <v>37</v>
      </c>
      <c r="C122" s="8">
        <v>12.85</v>
      </c>
      <c r="D122" s="8" t="s">
        <v>36</v>
      </c>
      <c r="E122" s="8" t="s">
        <v>53</v>
      </c>
    </row>
    <row r="123" spans="2:13" ht="18.75" customHeight="1" x14ac:dyDescent="0.3">
      <c r="B123" s="8" t="s">
        <v>50</v>
      </c>
      <c r="C123" s="8">
        <v>8.25</v>
      </c>
      <c r="D123" s="8" t="s">
        <v>34</v>
      </c>
      <c r="E123" s="8" t="s">
        <v>43</v>
      </c>
    </row>
    <row r="124" spans="2:13" x14ac:dyDescent="0.3">
      <c r="B124" s="8" t="s">
        <v>33</v>
      </c>
      <c r="C124" s="8">
        <v>13.5</v>
      </c>
      <c r="D124" s="8" t="s">
        <v>32</v>
      </c>
      <c r="E124" s="8" t="s">
        <v>44</v>
      </c>
    </row>
    <row r="125" spans="2:13" x14ac:dyDescent="0.3">
      <c r="B125" s="8" t="s">
        <v>51</v>
      </c>
      <c r="C125" s="8">
        <v>9.9499999999999993</v>
      </c>
      <c r="D125" s="8" t="s">
        <v>30</v>
      </c>
      <c r="E125" s="8" t="s">
        <v>54</v>
      </c>
    </row>
    <row r="135" spans="2:13" x14ac:dyDescent="0.3">
      <c r="B135" s="9" t="s">
        <v>40</v>
      </c>
      <c r="C135" s="9" t="s">
        <v>39</v>
      </c>
      <c r="D135" s="9" t="s">
        <v>38</v>
      </c>
      <c r="E135" s="9" t="s">
        <v>42</v>
      </c>
    </row>
    <row r="136" spans="2:13" x14ac:dyDescent="0.3">
      <c r="B136" s="8" t="s">
        <v>37</v>
      </c>
      <c r="C136" s="8">
        <v>7.85</v>
      </c>
      <c r="D136" s="8" t="s">
        <v>36</v>
      </c>
      <c r="E136" s="8" t="s">
        <v>43</v>
      </c>
    </row>
    <row r="137" spans="2:13" x14ac:dyDescent="0.3">
      <c r="B137" s="8" t="s">
        <v>35</v>
      </c>
      <c r="C137" s="8">
        <v>3.25</v>
      </c>
      <c r="D137" s="8" t="s">
        <v>34</v>
      </c>
      <c r="E137" s="8" t="s">
        <v>44</v>
      </c>
    </row>
    <row r="138" spans="2:13" x14ac:dyDescent="0.3">
      <c r="B138" s="8" t="s">
        <v>33</v>
      </c>
      <c r="C138" s="8">
        <v>12.5</v>
      </c>
      <c r="D138" s="8" t="s">
        <v>32</v>
      </c>
      <c r="E138" s="8" t="s">
        <v>56</v>
      </c>
      <c r="I138" s="11"/>
      <c r="J138" s="11"/>
    </row>
    <row r="139" spans="2:13" x14ac:dyDescent="0.3">
      <c r="B139" s="8" t="s">
        <v>31</v>
      </c>
      <c r="C139" s="8">
        <v>6.35</v>
      </c>
      <c r="D139" s="8" t="s">
        <v>30</v>
      </c>
      <c r="E139" s="8" t="s">
        <v>43</v>
      </c>
    </row>
    <row r="140" spans="2:13" x14ac:dyDescent="0.3">
      <c r="B140" s="8" t="s">
        <v>29</v>
      </c>
      <c r="C140" s="8">
        <v>2.5</v>
      </c>
      <c r="D140" s="8" t="s">
        <v>28</v>
      </c>
      <c r="E140" s="8" t="s">
        <v>55</v>
      </c>
      <c r="H140" s="31" t="s">
        <v>89</v>
      </c>
      <c r="I140" s="31"/>
      <c r="J140" s="32">
        <f>COUNTIFS(D136:D147,"*o*")</f>
        <v>5</v>
      </c>
      <c r="M140" s="10">
        <f>COUNTIFS(D136:D147,"*O*")</f>
        <v>5</v>
      </c>
    </row>
    <row r="141" spans="2:13" x14ac:dyDescent="0.3">
      <c r="B141" s="8" t="s">
        <v>27</v>
      </c>
      <c r="C141" s="8">
        <v>6.5</v>
      </c>
      <c r="D141" s="8" t="s">
        <v>26</v>
      </c>
      <c r="E141" s="8" t="s">
        <v>45</v>
      </c>
      <c r="H141" s="31"/>
      <c r="I141" s="31"/>
      <c r="J141" s="32"/>
    </row>
    <row r="142" spans="2:13" x14ac:dyDescent="0.3">
      <c r="B142" s="8" t="s">
        <v>37</v>
      </c>
      <c r="C142" s="8">
        <v>8.75</v>
      </c>
      <c r="D142" s="8" t="s">
        <v>36</v>
      </c>
      <c r="E142" s="8" t="s">
        <v>43</v>
      </c>
    </row>
    <row r="143" spans="2:13" x14ac:dyDescent="0.3">
      <c r="B143" s="8" t="s">
        <v>31</v>
      </c>
      <c r="C143" s="8">
        <v>4.6500000000000004</v>
      </c>
      <c r="D143" s="8" t="s">
        <v>30</v>
      </c>
      <c r="E143" s="8" t="s">
        <v>44</v>
      </c>
    </row>
    <row r="144" spans="2:13" x14ac:dyDescent="0.3">
      <c r="B144" s="8" t="s">
        <v>37</v>
      </c>
      <c r="C144" s="8">
        <v>12.85</v>
      </c>
      <c r="D144" s="8" t="s">
        <v>36</v>
      </c>
      <c r="E144" s="8" t="s">
        <v>53</v>
      </c>
    </row>
    <row r="145" spans="2:5" x14ac:dyDescent="0.3">
      <c r="B145" s="8" t="s">
        <v>50</v>
      </c>
      <c r="C145" s="8">
        <v>8.25</v>
      </c>
      <c r="D145" s="8" t="s">
        <v>34</v>
      </c>
      <c r="E145" s="8" t="s">
        <v>43</v>
      </c>
    </row>
    <row r="146" spans="2:5" x14ac:dyDescent="0.3">
      <c r="B146" s="8" t="s">
        <v>33</v>
      </c>
      <c r="C146" s="8">
        <v>13.5</v>
      </c>
      <c r="D146" s="8" t="s">
        <v>32</v>
      </c>
      <c r="E146" s="8" t="s">
        <v>44</v>
      </c>
    </row>
    <row r="147" spans="2:5" x14ac:dyDescent="0.3">
      <c r="B147" s="8" t="s">
        <v>51</v>
      </c>
      <c r="C147" s="8">
        <v>9.9499999999999993</v>
      </c>
      <c r="D147" s="8" t="s">
        <v>30</v>
      </c>
      <c r="E147" s="8" t="s">
        <v>54</v>
      </c>
    </row>
    <row r="150" spans="2:5" ht="18" customHeight="1" x14ac:dyDescent="0.3"/>
    <row r="151" spans="2:5" ht="18" customHeight="1" x14ac:dyDescent="0.3"/>
    <row r="152" spans="2:5" ht="18" customHeight="1" x14ac:dyDescent="0.3"/>
    <row r="153" spans="2:5" ht="18" customHeight="1" x14ac:dyDescent="0.3"/>
    <row r="154" spans="2:5" ht="18" customHeight="1" x14ac:dyDescent="0.3"/>
    <row r="155" spans="2:5" ht="18" customHeight="1" x14ac:dyDescent="0.3"/>
    <row r="156" spans="2:5" ht="18" customHeight="1" x14ac:dyDescent="0.3"/>
    <row r="157" spans="2:5" ht="18" customHeight="1" x14ac:dyDescent="0.3"/>
    <row r="158" spans="2:5" x14ac:dyDescent="0.3">
      <c r="B158" s="9" t="s">
        <v>40</v>
      </c>
      <c r="C158" s="9" t="s">
        <v>39</v>
      </c>
      <c r="D158" s="9" t="s">
        <v>38</v>
      </c>
      <c r="E158" s="9" t="s">
        <v>42</v>
      </c>
    </row>
    <row r="159" spans="2:5" x14ac:dyDescent="0.3">
      <c r="B159" s="8" t="s">
        <v>37</v>
      </c>
      <c r="C159" s="8">
        <v>7.85</v>
      </c>
      <c r="D159" s="8" t="s">
        <v>36</v>
      </c>
      <c r="E159" s="8" t="s">
        <v>43</v>
      </c>
    </row>
    <row r="160" spans="2:5" x14ac:dyDescent="0.3">
      <c r="B160" s="8" t="s">
        <v>35</v>
      </c>
      <c r="C160" s="8">
        <v>3.25</v>
      </c>
      <c r="D160" s="8" t="s">
        <v>34</v>
      </c>
      <c r="E160" s="8" t="s">
        <v>44</v>
      </c>
    </row>
    <row r="161" spans="2:13" x14ac:dyDescent="0.3">
      <c r="B161" s="8" t="s">
        <v>33</v>
      </c>
      <c r="C161" s="8">
        <v>12.5</v>
      </c>
      <c r="D161" s="8" t="s">
        <v>32</v>
      </c>
      <c r="E161" s="8" t="s">
        <v>56</v>
      </c>
      <c r="I161" s="11"/>
      <c r="J161" s="11"/>
    </row>
    <row r="162" spans="2:13" x14ac:dyDescent="0.3">
      <c r="B162" s="8" t="s">
        <v>31</v>
      </c>
      <c r="C162" s="8">
        <v>6.35</v>
      </c>
      <c r="D162" s="8" t="s">
        <v>30</v>
      </c>
      <c r="E162" s="8" t="s">
        <v>43</v>
      </c>
    </row>
    <row r="163" spans="2:13" x14ac:dyDescent="0.3">
      <c r="B163" s="8" t="s">
        <v>29</v>
      </c>
      <c r="C163" s="8">
        <v>2.5</v>
      </c>
      <c r="D163" s="8" t="s">
        <v>28</v>
      </c>
      <c r="E163" s="8" t="s">
        <v>55</v>
      </c>
      <c r="H163" s="31" t="s">
        <v>90</v>
      </c>
      <c r="I163" s="31"/>
      <c r="J163" s="32">
        <f>COUNTIFS(E159:E170,"j*")</f>
        <v>6</v>
      </c>
      <c r="M163" s="10">
        <f>COUNTIFS(E159:E170,"J*")</f>
        <v>6</v>
      </c>
    </row>
    <row r="164" spans="2:13" x14ac:dyDescent="0.3">
      <c r="B164" s="8" t="s">
        <v>27</v>
      </c>
      <c r="C164" s="8">
        <v>6.5</v>
      </c>
      <c r="D164" s="8" t="s">
        <v>26</v>
      </c>
      <c r="E164" s="8" t="s">
        <v>45</v>
      </c>
      <c r="H164" s="31"/>
      <c r="I164" s="31"/>
      <c r="J164" s="32"/>
    </row>
    <row r="165" spans="2:13" x14ac:dyDescent="0.3">
      <c r="B165" s="8" t="s">
        <v>37</v>
      </c>
      <c r="C165" s="8">
        <v>8.75</v>
      </c>
      <c r="D165" s="8" t="s">
        <v>36</v>
      </c>
      <c r="E165" s="8" t="s">
        <v>43</v>
      </c>
    </row>
    <row r="166" spans="2:13" x14ac:dyDescent="0.3">
      <c r="B166" s="8" t="s">
        <v>31</v>
      </c>
      <c r="C166" s="8">
        <v>4.6500000000000004</v>
      </c>
      <c r="D166" s="8" t="s">
        <v>30</v>
      </c>
      <c r="E166" s="8" t="s">
        <v>44</v>
      </c>
    </row>
    <row r="167" spans="2:13" x14ac:dyDescent="0.3">
      <c r="B167" s="8" t="s">
        <v>37</v>
      </c>
      <c r="C167" s="8">
        <v>12.85</v>
      </c>
      <c r="D167" s="8" t="s">
        <v>36</v>
      </c>
      <c r="E167" s="8" t="s">
        <v>53</v>
      </c>
    </row>
    <row r="168" spans="2:13" x14ac:dyDescent="0.3">
      <c r="B168" s="8" t="s">
        <v>50</v>
      </c>
      <c r="C168" s="8">
        <v>8.25</v>
      </c>
      <c r="D168" s="8" t="s">
        <v>34</v>
      </c>
      <c r="E168" s="8" t="s">
        <v>43</v>
      </c>
    </row>
    <row r="169" spans="2:13" x14ac:dyDescent="0.3">
      <c r="B169" s="8" t="s">
        <v>33</v>
      </c>
      <c r="C169" s="8">
        <v>13.5</v>
      </c>
      <c r="D169" s="8" t="s">
        <v>32</v>
      </c>
      <c r="E169" s="8" t="s">
        <v>44</v>
      </c>
    </row>
    <row r="170" spans="2:13" x14ac:dyDescent="0.3">
      <c r="B170" s="8" t="s">
        <v>51</v>
      </c>
      <c r="C170" s="8">
        <v>9.9499999999999993</v>
      </c>
      <c r="D170" s="8" t="s">
        <v>30</v>
      </c>
      <c r="E170" s="8" t="s">
        <v>54</v>
      </c>
    </row>
  </sheetData>
  <customSheetViews>
    <customSheetView guid="{A5292A6B-6F92-4AB3-B051-EF87F39FC489}" scale="120" showGridLines="0" topLeftCell="A19">
      <selection activeCell="E21" sqref="E21"/>
      <pageMargins left="0.7" right="0.7" top="0.75" bottom="0.75" header="0.3" footer="0.3"/>
      <pageSetup orientation="portrait" r:id="rId1"/>
    </customSheetView>
    <customSheetView guid="{6194C141-D0A1-4D58-BA55-90A184525AC3}" scale="120" showGridLines="0" topLeftCell="A19">
      <selection activeCell="E21" sqref="E21"/>
      <pageMargins left="0.7" right="0.7" top="0.75" bottom="0.75" header="0.3" footer="0.3"/>
      <pageSetup orientation="portrait" r:id="rId2"/>
    </customSheetView>
    <customSheetView guid="{7A7FC9A5-F2B5-4894-82BC-4528575F10D4}" scale="120" showGridLines="0" topLeftCell="A19">
      <selection activeCell="E21" sqref="E21"/>
      <pageMargins left="0.7" right="0.7" top="0.75" bottom="0.75" header="0.3" footer="0.3"/>
      <pageSetup orientation="portrait" r:id="rId3"/>
    </customSheetView>
    <customSheetView guid="{EBA5E9C4-A2DB-4DF0-BF75-1243E968318E}" scale="120" showGridLines="0" topLeftCell="A19">
      <selection activeCell="E21" sqref="E21"/>
      <pageMargins left="0.7" right="0.7" top="0.75" bottom="0.75" header="0.3" footer="0.3"/>
      <pageSetup orientation="portrait" r:id="rId4"/>
    </customSheetView>
    <customSheetView guid="{C7330417-67A9-44CF-917F-5F5E2F191AD4}" scale="120" showGridLines="0" topLeftCell="A19">
      <selection activeCell="E21" sqref="E21"/>
      <pageMargins left="0.7" right="0.7" top="0.75" bottom="0.75" header="0.3" footer="0.3"/>
      <pageSetup orientation="portrait" r:id="rId5"/>
    </customSheetView>
    <customSheetView guid="{47C01131-7443-4080-A2BB-6B6AA35C6913}" scale="120" showGridLines="0" topLeftCell="A19">
      <selection activeCell="E21" sqref="E21"/>
      <pageMargins left="0.7" right="0.7" top="0.75" bottom="0.75" header="0.3" footer="0.3"/>
      <pageSetup orientation="portrait" r:id="rId6"/>
    </customSheetView>
    <customSheetView guid="{19DA6E7F-8950-4769-9BBE-2798EFA465A3}" scale="120" showGridLines="0" topLeftCell="A19">
      <selection activeCell="E21" sqref="E21"/>
      <pageMargins left="0.7" right="0.7" top="0.75" bottom="0.75" header="0.3" footer="0.3"/>
      <pageSetup orientation="portrait" r:id="rId7"/>
    </customSheetView>
    <customSheetView guid="{F3CB97AD-592C-4B6E-8AE3-1CD47479060C}" scale="120" showGridLines="0" topLeftCell="A19">
      <selection activeCell="E21" sqref="E21"/>
      <pageMargins left="0.7" right="0.7" top="0.75" bottom="0.75" header="0.3" footer="0.3"/>
      <pageSetup orientation="portrait" r:id="rId8"/>
    </customSheetView>
    <customSheetView guid="{422703F6-63C4-435C-AFE7-1030286678F6}" scale="120" showGridLines="0" topLeftCell="A19">
      <selection activeCell="E21" sqref="E21"/>
      <pageMargins left="0.7" right="0.7" top="0.75" bottom="0.75" header="0.3" footer="0.3"/>
      <pageSetup orientation="portrait" r:id="rId9"/>
    </customSheetView>
    <customSheetView guid="{02D27969-4CD1-473E-A0E8-856AB0664DE8}" scale="120" showGridLines="0" topLeftCell="A19">
      <selection activeCell="E21" sqref="E21"/>
      <pageMargins left="0.7" right="0.7" top="0.75" bottom="0.75" header="0.3" footer="0.3"/>
      <pageSetup orientation="portrait" r:id="rId10"/>
    </customSheetView>
    <customSheetView guid="{1920E7A3-1C9F-4320-81BB-D11544051025}" scale="120" showGridLines="0" topLeftCell="A19">
      <selection activeCell="E21" sqref="E21"/>
      <pageMargins left="0.7" right="0.7" top="0.75" bottom="0.75" header="0.3" footer="0.3"/>
      <pageSetup orientation="portrait" r:id="rId11"/>
    </customSheetView>
    <customSheetView guid="{EC7537C6-1678-41C1-B788-EF4AFFECF769}" scale="120" showGridLines="0" topLeftCell="A19">
      <selection activeCell="E21" sqref="E21"/>
      <pageMargins left="0.7" right="0.7" top="0.75" bottom="0.75" header="0.3" footer="0.3"/>
      <pageSetup orientation="portrait" r:id="rId12"/>
    </customSheetView>
    <customSheetView guid="{E4FF7DB9-14DF-49DB-9F59-1898DDED4DCE}" scale="120" showGridLines="0" topLeftCell="A19">
      <selection activeCell="E21" sqref="E21"/>
      <pageMargins left="0.7" right="0.7" top="0.75" bottom="0.75" header="0.3" footer="0.3"/>
      <pageSetup orientation="portrait" r:id="rId13"/>
    </customSheetView>
    <customSheetView guid="{9AFCAA87-4888-4976-A7C9-C06A34CB6C97}" scale="120" showGridLines="0" topLeftCell="A19">
      <selection activeCell="E21" sqref="E21"/>
      <pageMargins left="0.7" right="0.7" top="0.75" bottom="0.75" header="0.3" footer="0.3"/>
      <pageSetup orientation="portrait" r:id="rId14"/>
    </customSheetView>
    <customSheetView guid="{15D7A002-B247-4A6B-A16B-61BDD9B0066A}" scale="120" showGridLines="0" topLeftCell="A19">
      <selection activeCell="E21" sqref="E21"/>
      <pageMargins left="0.7" right="0.7" top="0.75" bottom="0.75" header="0.3" footer="0.3"/>
      <pageSetup orientation="portrait" r:id="rId15"/>
    </customSheetView>
    <customSheetView guid="{F789A6E6-3D06-4D93-BF02-46FA1A2548B2}" scale="120" showGridLines="0" topLeftCell="A19">
      <selection activeCell="E21" sqref="E21"/>
      <pageMargins left="0.7" right="0.7" top="0.75" bottom="0.75" header="0.3" footer="0.3"/>
      <pageSetup orientation="portrait" r:id="rId16"/>
    </customSheetView>
    <customSheetView guid="{629A478C-29B1-4F25-A016-63CE32A1627F}" scale="120" showGridLines="0" topLeftCell="A3">
      <selection activeCell="J8" sqref="J8:J9"/>
      <pageMargins left="0.7" right="0.7" top="0.75" bottom="0.75" header="0.3" footer="0.3"/>
      <pageSetup orientation="portrait" r:id="rId17"/>
    </customSheetView>
    <customSheetView guid="{51BA8A3D-4711-49ED-89E2-EBC09DF2AEDC}" scale="120" showGridLines="0" topLeftCell="A18">
      <selection activeCell="J24" sqref="J24:J25"/>
      <pageMargins left="0.7" right="0.7" top="0.75" bottom="0.75" header="0.3" footer="0.3"/>
      <pageSetup orientation="portrait" r:id="rId18"/>
    </customSheetView>
    <customSheetView guid="{25A4A7C0-9593-456C-861C-76D101D3FE93}" scale="120" showGridLines="0" topLeftCell="A34">
      <selection activeCell="J40" sqref="J40:J41"/>
      <pageMargins left="0.7" right="0.7" top="0.75" bottom="0.75" header="0.3" footer="0.3"/>
      <pageSetup orientation="portrait" r:id="rId19"/>
    </customSheetView>
    <customSheetView guid="{95D39BA8-2B16-4954-ABAC-09AD33A86339}" scale="120" showGridLines="0" topLeftCell="A50">
      <selection activeCell="J56" sqref="J56:J57"/>
      <pageMargins left="0.7" right="0.7" top="0.75" bottom="0.75" header="0.3" footer="0.3"/>
      <pageSetup orientation="portrait" r:id="rId20"/>
    </customSheetView>
    <customSheetView guid="{C65059E8-30E8-488B-A0E9-1B7961920C81}" scale="120" showGridLines="0" topLeftCell="A65">
      <selection activeCell="J70" sqref="J70:J71"/>
      <pageMargins left="0.7" right="0.7" top="0.75" bottom="0.75" header="0.3" footer="0.3"/>
      <pageSetup orientation="portrait" r:id="rId21"/>
    </customSheetView>
    <customSheetView guid="{644A6A80-0D34-48F6-A071-17016DCD2D6E}" scale="120" showGridLines="0" topLeftCell="A92">
      <selection activeCell="J70" sqref="J70:J71"/>
      <pageMargins left="0.7" right="0.7" top="0.75" bottom="0.75" header="0.3" footer="0.3"/>
      <pageSetup orientation="portrait" r:id="rId22"/>
    </customSheetView>
    <customSheetView guid="{CC562453-1E6B-4010-9E1B-775397A26EFA}" scale="120" showGridLines="0" topLeftCell="A107">
      <selection activeCell="J70" sqref="J70:J71"/>
      <pageMargins left="0.7" right="0.7" top="0.75" bottom="0.75" header="0.3" footer="0.3"/>
      <pageSetup orientation="portrait" r:id="rId23"/>
    </customSheetView>
    <customSheetView guid="{E1A67331-473F-4161-806C-BE35870C93B5}" scale="120" showGridLines="0" topLeftCell="A124">
      <selection activeCell="J70" sqref="J70:J71"/>
      <pageMargins left="0.7" right="0.7" top="0.75" bottom="0.75" header="0.3" footer="0.3"/>
      <pageSetup orientation="portrait" r:id="rId24"/>
    </customSheetView>
    <customSheetView guid="{BCAB4838-A37A-4BCF-A9C9-CC50C95F58C7}" scale="120" showGridLines="0">
      <selection activeCell="J70" sqref="J70:J71"/>
      <pageMargins left="0.7" right="0.7" top="0.75" bottom="0.75" header="0.3" footer="0.3"/>
      <pageSetup orientation="portrait" r:id="rId25"/>
    </customSheetView>
    <customSheetView guid="{F518ECB9-5D92-41E0-BFD2-C5175A02444D}" scale="120" showGridLines="0">
      <selection activeCell="J70" sqref="J70:J71"/>
      <pageMargins left="0.7" right="0.7" top="0.75" bottom="0.75" header="0.3" footer="0.3"/>
      <pageSetup orientation="portrait" r:id="rId26"/>
    </customSheetView>
    <customSheetView guid="{FEB5A49F-F7F7-412A-BE72-F90F7A4799C8}" scale="120" showGridLines="0">
      <selection activeCell="J70" sqref="J70:J71"/>
      <pageMargins left="0.7" right="0.7" top="0.75" bottom="0.75" header="0.3" footer="0.3"/>
      <pageSetup orientation="portrait" r:id="rId27"/>
    </customSheetView>
    <customSheetView guid="{F9A03991-7A83-41AE-B603-3D22265CDA22}" scale="120" showGridLines="0">
      <selection activeCell="J70" sqref="J70:J71"/>
      <pageMargins left="0.7" right="0.7" top="0.75" bottom="0.75" header="0.3" footer="0.3"/>
      <pageSetup orientation="portrait" r:id="rId28"/>
    </customSheetView>
    <customSheetView guid="{8A25BF65-C908-4B2F-9805-3CD39BD4330E}" scale="120" showGridLines="0">
      <selection activeCell="J70" sqref="J70:J71"/>
      <pageMargins left="0.7" right="0.7" top="0.75" bottom="0.75" header="0.3" footer="0.3"/>
      <pageSetup orientation="portrait" r:id="rId29"/>
    </customSheetView>
    <customSheetView guid="{5C8F4C13-387F-42D2-8CB5-92C4886D7919}" scale="120" showGridLines="0">
      <selection activeCell="J70" sqref="J70:J71"/>
      <pageMargins left="0.7" right="0.7" top="0.75" bottom="0.75" header="0.3" footer="0.3"/>
      <pageSetup orientation="portrait" r:id="rId30"/>
    </customSheetView>
    <customSheetView guid="{395DC3D6-3299-4A43-88E2-62703FCC0349}" scale="120" showGridLines="0">
      <selection activeCell="J70" sqref="J70:J71"/>
      <pageMargins left="0.7" right="0.7" top="0.75" bottom="0.75" header="0.3" footer="0.3"/>
      <pageSetup orientation="portrait" r:id="rId31"/>
    </customSheetView>
    <customSheetView guid="{FC8D231F-57F9-45EE-9DEF-D7ED111600EB}" scale="120" showGridLines="0">
      <selection activeCell="J70" sqref="J70:J71"/>
      <pageMargins left="0.7" right="0.7" top="0.75" bottom="0.75" header="0.3" footer="0.3"/>
      <pageSetup orientation="portrait" r:id="rId32"/>
    </customSheetView>
    <customSheetView guid="{7A9AB605-DB82-470C-B86B-95E2AB3523F6}" scale="120" showGridLines="0">
      <selection activeCell="J70" sqref="J70:J71"/>
      <pageMargins left="0.7" right="0.7" top="0.75" bottom="0.75" header="0.3" footer="0.3"/>
      <pageSetup orientation="portrait" r:id="rId33"/>
    </customSheetView>
    <customSheetView guid="{0125BE01-BBC8-4E5A-9A9A-3D1257916B8C}" scale="120" showGridLines="0">
      <selection activeCell="J70" sqref="J70:J71"/>
      <pageMargins left="0.7" right="0.7" top="0.75" bottom="0.75" header="0.3" footer="0.3"/>
      <pageSetup orientation="portrait" r:id="rId34"/>
    </customSheetView>
    <customSheetView guid="{8BEA0E04-8B9A-4A2D-9B80-4E7685E22D5E}" scale="120" showGridLines="0">
      <selection activeCell="J70" sqref="J70:J71"/>
      <pageMargins left="0.7" right="0.7" top="0.75" bottom="0.75" header="0.3" footer="0.3"/>
      <pageSetup orientation="portrait" r:id="rId35"/>
    </customSheetView>
    <customSheetView guid="{EE4A95A5-BF42-4BAA-B9EB-84A9230A28F9}" scale="120" showGridLines="0">
      <selection activeCell="J70" sqref="J70:J71"/>
      <pageMargins left="0.7" right="0.7" top="0.75" bottom="0.75" header="0.3" footer="0.3"/>
      <pageSetup orientation="portrait" r:id="rId36"/>
    </customSheetView>
    <customSheetView guid="{2032DE14-E33D-44B5-9022-A2B48F059704}" scale="120" showGridLines="0">
      <selection activeCell="J70" sqref="J70:J71"/>
      <pageMargins left="0.7" right="0.7" top="0.75" bottom="0.75" header="0.3" footer="0.3"/>
      <pageSetup orientation="portrait" r:id="rId37"/>
    </customSheetView>
    <customSheetView guid="{DF16608F-40E8-490E-B08D-ED6EEAB8B9EC}" scale="120" showGridLines="0">
      <selection activeCell="J70" sqref="J70:J71"/>
      <pageMargins left="0.7" right="0.7" top="0.75" bottom="0.75" header="0.3" footer="0.3"/>
      <pageSetup orientation="portrait" r:id="rId38"/>
    </customSheetView>
    <customSheetView guid="{2CEDB1FB-2942-4B51-BF30-285DCDB05292}" scale="120" showGridLines="0">
      <selection activeCell="J70" sqref="J70:J71"/>
      <pageMargins left="0.7" right="0.7" top="0.75" bottom="0.75" header="0.3" footer="0.3"/>
      <pageSetup orientation="portrait" r:id="rId39"/>
    </customSheetView>
    <customSheetView guid="{E4375DB4-4B74-46BC-A9F2-C5C5055B366F}" scale="120" showGridLines="0">
      <selection activeCell="J70" sqref="J70:J71"/>
      <pageMargins left="0.7" right="0.7" top="0.75" bottom="0.75" header="0.3" footer="0.3"/>
      <pageSetup orientation="portrait" r:id="rId40"/>
    </customSheetView>
    <customSheetView guid="{58306194-C83B-413E-AC5F-AD717216CB21}" scale="120" showGridLines="0">
      <selection activeCell="J70" sqref="J70:J71"/>
      <pageMargins left="0.7" right="0.7" top="0.75" bottom="0.75" header="0.3" footer="0.3"/>
      <pageSetup orientation="portrait" r:id="rId41"/>
    </customSheetView>
    <customSheetView guid="{81DEBAD0-6E86-4DFB-8642-C52E8C976BDA}" scale="120" showGridLines="0">
      <selection activeCell="J70" sqref="J70:J71"/>
      <pageMargins left="0.7" right="0.7" top="0.75" bottom="0.75" header="0.3" footer="0.3"/>
      <pageSetup orientation="portrait" r:id="rId42"/>
    </customSheetView>
    <customSheetView guid="{C575B46A-1D4C-489C-97AE-5DAB6560E171}" scale="120" showGridLines="0">
      <selection activeCell="J70" sqref="J70:J71"/>
      <pageMargins left="0.7" right="0.7" top="0.75" bottom="0.75" header="0.3" footer="0.3"/>
      <pageSetup orientation="portrait" r:id="rId43"/>
    </customSheetView>
    <customSheetView guid="{C908A6D6-4C77-416B-BC46-6F501B5F842F}" scale="120" showGridLines="0">
      <selection activeCell="J70" sqref="J70:J71"/>
      <pageMargins left="0.7" right="0.7" top="0.75" bottom="0.75" header="0.3" footer="0.3"/>
      <pageSetup orientation="portrait" r:id="rId44"/>
    </customSheetView>
    <customSheetView guid="{CE50DC7E-3038-4337-BAC8-5B16EE1D95B0}" scale="120" showGridLines="0">
      <selection activeCell="J70" sqref="J70:J71"/>
      <pageMargins left="0.7" right="0.7" top="0.75" bottom="0.75" header="0.3" footer="0.3"/>
      <pageSetup orientation="portrait" r:id="rId45"/>
    </customSheetView>
    <customSheetView guid="{3511E245-32F9-4CFF-8540-6B03C6FAE218}" scale="120" showGridLines="0">
      <selection activeCell="J70" sqref="J70:J71"/>
      <pageMargins left="0.7" right="0.7" top="0.75" bottom="0.75" header="0.3" footer="0.3"/>
      <pageSetup orientation="portrait" r:id="rId46"/>
    </customSheetView>
    <customSheetView guid="{DFE0B66A-2DCB-4802-A91B-F836707AD43C}" scale="120" showGridLines="0">
      <selection activeCell="J70" sqref="J70:J71"/>
      <pageMargins left="0.7" right="0.7" top="0.75" bottom="0.75" header="0.3" footer="0.3"/>
      <pageSetup orientation="portrait" r:id="rId47"/>
    </customSheetView>
    <customSheetView guid="{0458C18D-9EF5-4516-9145-CA54D8EB1865}" scale="120" showGridLines="0">
      <selection activeCell="J70" sqref="J70:J71"/>
      <pageMargins left="0.7" right="0.7" top="0.75" bottom="0.75" header="0.3" footer="0.3"/>
      <pageSetup orientation="portrait" r:id="rId48"/>
    </customSheetView>
    <customSheetView guid="{0E02FCC8-6440-4859-9F6B-C77617EF5D89}" scale="120" showGridLines="0">
      <selection activeCell="J70" sqref="J70:J71"/>
      <pageMargins left="0.7" right="0.7" top="0.75" bottom="0.75" header="0.3" footer="0.3"/>
      <pageSetup orientation="portrait" r:id="rId49"/>
    </customSheetView>
    <customSheetView guid="{EE811897-5BF5-4321-9879-5B7EDF90A350}" scale="120" showGridLines="0">
      <selection activeCell="J70" sqref="J70:J71"/>
      <pageMargins left="0.7" right="0.7" top="0.75" bottom="0.75" header="0.3" footer="0.3"/>
      <pageSetup orientation="portrait" r:id="rId50"/>
    </customSheetView>
    <customSheetView guid="{FF03E81F-A9A8-4546-A9C3-77A6EEA02ED9}" scale="120" showGridLines="0">
      <selection activeCell="J70" sqref="J70:J71"/>
      <pageMargins left="0.7" right="0.7" top="0.75" bottom="0.75" header="0.3" footer="0.3"/>
      <pageSetup orientation="portrait" r:id="rId51"/>
    </customSheetView>
    <customSheetView guid="{D9413B31-FDB2-4AE8-80A8-7F09954E703C}" scale="120" showGridLines="0">
      <selection activeCell="J70" sqref="J70:J71"/>
      <pageMargins left="0.7" right="0.7" top="0.75" bottom="0.75" header="0.3" footer="0.3"/>
      <pageSetup orientation="portrait" r:id="rId52"/>
    </customSheetView>
    <customSheetView guid="{B19B24CB-B859-49E3-8AE0-2D671510EE4F}" scale="120" showGridLines="0">
      <selection activeCell="J70" sqref="J70:J71"/>
      <pageMargins left="0.7" right="0.7" top="0.75" bottom="0.75" header="0.3" footer="0.3"/>
      <pageSetup orientation="portrait" r:id="rId53"/>
    </customSheetView>
    <customSheetView guid="{0BF42E77-7016-4BE4-A5AB-A49974630D91}" scale="120" showGridLines="0">
      <selection activeCell="J70" sqref="J70:J71"/>
      <pageMargins left="0.7" right="0.7" top="0.75" bottom="0.75" header="0.3" footer="0.3"/>
      <pageSetup orientation="portrait" r:id="rId54"/>
    </customSheetView>
    <customSheetView guid="{C453A932-6110-4A84-A9C2-26C809391387}" scale="120" showGridLines="0">
      <selection activeCell="J70" sqref="J70:J71"/>
      <pageMargins left="0.7" right="0.7" top="0.75" bottom="0.75" header="0.3" footer="0.3"/>
      <pageSetup orientation="portrait" r:id="rId55"/>
    </customSheetView>
    <customSheetView guid="{08E755F8-82E9-4D95-862B-81F55FBDDDF6}" scale="120" showGridLines="0">
      <selection activeCell="J70" sqref="J70:J71"/>
      <pageMargins left="0.7" right="0.7" top="0.75" bottom="0.75" header="0.3" footer="0.3"/>
      <pageSetup orientation="portrait" r:id="rId56"/>
    </customSheetView>
    <customSheetView guid="{86D36E03-787A-41EB-85FF-8BB8A222055B}" scale="120" showGridLines="0">
      <selection activeCell="J70" sqref="J70:J71"/>
      <pageMargins left="0.7" right="0.7" top="0.75" bottom="0.75" header="0.3" footer="0.3"/>
      <pageSetup orientation="portrait" r:id="rId57"/>
    </customSheetView>
  </customSheetViews>
  <mergeCells count="16">
    <mergeCell ref="H8:I9"/>
    <mergeCell ref="J8:J9"/>
    <mergeCell ref="H28:I29"/>
    <mergeCell ref="J28:J29"/>
    <mergeCell ref="H51:I52"/>
    <mergeCell ref="J51:J52"/>
    <mergeCell ref="H140:I141"/>
    <mergeCell ref="J140:J141"/>
    <mergeCell ref="H163:I164"/>
    <mergeCell ref="J163:J164"/>
    <mergeCell ref="H74:I75"/>
    <mergeCell ref="J74:J75"/>
    <mergeCell ref="H97:I98"/>
    <mergeCell ref="J97:J98"/>
    <mergeCell ref="H117:I118"/>
    <mergeCell ref="J117:J118"/>
  </mergeCells>
  <conditionalFormatting sqref="J8">
    <cfRule type="expression" dxfId="24" priority="6">
      <formula>$J8=$M8</formula>
    </cfRule>
  </conditionalFormatting>
  <conditionalFormatting sqref="J28">
    <cfRule type="expression" dxfId="23" priority="7">
      <formula>$J28=$M28</formula>
    </cfRule>
  </conditionalFormatting>
  <conditionalFormatting sqref="J51">
    <cfRule type="expression" dxfId="22" priority="8">
      <formula>$J51=$M51</formula>
    </cfRule>
  </conditionalFormatting>
  <conditionalFormatting sqref="J74">
    <cfRule type="expression" dxfId="21" priority="2">
      <formula>$J74=$M74</formula>
    </cfRule>
  </conditionalFormatting>
  <conditionalFormatting sqref="J97">
    <cfRule type="expression" dxfId="20" priority="1">
      <formula>$J97=$M97</formula>
    </cfRule>
  </conditionalFormatting>
  <conditionalFormatting sqref="J117">
    <cfRule type="expression" dxfId="19" priority="5">
      <formula>$J117=$M117</formula>
    </cfRule>
  </conditionalFormatting>
  <conditionalFormatting sqref="J140">
    <cfRule type="expression" dxfId="18" priority="4">
      <formula>$J140=$M140</formula>
    </cfRule>
  </conditionalFormatting>
  <conditionalFormatting sqref="J163">
    <cfRule type="expression" dxfId="17" priority="3">
      <formula>$J163=$M163</formula>
    </cfRule>
  </conditionalFormatting>
  <pageMargins left="0.7" right="0.7" top="0.75" bottom="0.75" header="0.3" footer="0.3"/>
  <pageSetup orientation="portrait" r:id="rId58"/>
  <drawing r:id="rId59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62360-D4C3-4CEB-8818-48CCA3301523}">
  <sheetPr codeName="Sheet17">
    <pageSetUpPr autoPageBreaks="0"/>
  </sheetPr>
  <dimension ref="B4:L165"/>
  <sheetViews>
    <sheetView showGridLines="0" topLeftCell="A86" zoomScale="78" zoomScaleNormal="110" workbookViewId="0">
      <selection activeCell="I96" sqref="I96"/>
    </sheetView>
  </sheetViews>
  <sheetFormatPr defaultRowHeight="18.75" x14ac:dyDescent="0.3"/>
  <cols>
    <col min="1" max="1" width="8.7109375" style="7" customWidth="1"/>
    <col min="2" max="2" width="27.140625" style="7" customWidth="1"/>
    <col min="3" max="3" width="12.42578125" style="7" bestFit="1" customWidth="1"/>
    <col min="4" max="4" width="13.85546875" style="7" bestFit="1" customWidth="1"/>
    <col min="5" max="5" width="19.7109375" style="7" bestFit="1" customWidth="1"/>
    <col min="6" max="6" width="9.140625" style="7"/>
    <col min="7" max="7" width="16.85546875" style="7" customWidth="1"/>
    <col min="8" max="8" width="16.28515625" style="7" customWidth="1"/>
    <col min="9" max="9" width="25.5703125" style="7" customWidth="1"/>
    <col min="10" max="16384" width="9.140625" style="7"/>
  </cols>
  <sheetData>
    <row r="4" spans="2:12" x14ac:dyDescent="0.3">
      <c r="B4" s="9" t="s">
        <v>40</v>
      </c>
      <c r="C4" s="9" t="s">
        <v>39</v>
      </c>
      <c r="D4" s="9" t="s">
        <v>38</v>
      </c>
      <c r="E4" s="9" t="s">
        <v>42</v>
      </c>
    </row>
    <row r="5" spans="2:12" x14ac:dyDescent="0.3">
      <c r="B5" s="8" t="s">
        <v>37</v>
      </c>
      <c r="C5" s="8">
        <v>7.85</v>
      </c>
      <c r="D5" s="8" t="s">
        <v>36</v>
      </c>
      <c r="E5" s="8" t="s">
        <v>54</v>
      </c>
    </row>
    <row r="6" spans="2:12" ht="18.75" customHeight="1" x14ac:dyDescent="0.3">
      <c r="B6" s="8" t="s">
        <v>35</v>
      </c>
      <c r="C6" s="8">
        <v>3.25</v>
      </c>
      <c r="D6" s="8" t="s">
        <v>28</v>
      </c>
      <c r="E6" s="8" t="s">
        <v>44</v>
      </c>
    </row>
    <row r="7" spans="2:12" ht="21" customHeight="1" x14ac:dyDescent="0.3">
      <c r="B7" s="8" t="s">
        <v>33</v>
      </c>
      <c r="C7" s="8">
        <v>12.5</v>
      </c>
      <c r="D7" s="8" t="s">
        <v>32</v>
      </c>
      <c r="E7" s="8" t="s">
        <v>45</v>
      </c>
    </row>
    <row r="8" spans="2:12" x14ac:dyDescent="0.3">
      <c r="B8" s="8" t="s">
        <v>31</v>
      </c>
      <c r="C8" s="8">
        <v>6.35</v>
      </c>
      <c r="D8" s="8" t="s">
        <v>30</v>
      </c>
      <c r="E8" s="8" t="s">
        <v>43</v>
      </c>
      <c r="G8" s="38" t="s">
        <v>91</v>
      </c>
      <c r="H8" s="38"/>
      <c r="I8" s="32">
        <f>_xlfn.MAXIFS(C5:C16,E5:E16,"Mar",D5:D16,"DoorDash")</f>
        <v>13.5</v>
      </c>
      <c r="L8" s="10">
        <f>_xlfn.MAXIFS(C4:C16,E4:E16,"Mar",D4:D16,"Doordash")</f>
        <v>13.5</v>
      </c>
    </row>
    <row r="9" spans="2:12" x14ac:dyDescent="0.3">
      <c r="B9" s="8" t="s">
        <v>29</v>
      </c>
      <c r="C9" s="8">
        <v>2.5</v>
      </c>
      <c r="D9" s="8" t="s">
        <v>28</v>
      </c>
      <c r="E9" s="8" t="s">
        <v>45</v>
      </c>
      <c r="G9" s="38"/>
      <c r="H9" s="38"/>
      <c r="I9" s="32"/>
    </row>
    <row r="10" spans="2:12" x14ac:dyDescent="0.3">
      <c r="B10" s="8" t="s">
        <v>27</v>
      </c>
      <c r="C10" s="8">
        <v>6.5</v>
      </c>
      <c r="D10" s="8" t="s">
        <v>28</v>
      </c>
      <c r="E10" s="8" t="s">
        <v>45</v>
      </c>
    </row>
    <row r="11" spans="2:12" x14ac:dyDescent="0.3">
      <c r="B11" s="8" t="s">
        <v>37</v>
      </c>
      <c r="C11" s="8">
        <v>8.75</v>
      </c>
      <c r="D11" s="8" t="s">
        <v>28</v>
      </c>
      <c r="E11" s="8" t="s">
        <v>55</v>
      </c>
    </row>
    <row r="12" spans="2:12" x14ac:dyDescent="0.3">
      <c r="B12" s="8" t="s">
        <v>31</v>
      </c>
      <c r="C12" s="8">
        <v>4.6500000000000004</v>
      </c>
      <c r="D12" s="8" t="s">
        <v>36</v>
      </c>
      <c r="E12" s="8" t="s">
        <v>45</v>
      </c>
    </row>
    <row r="13" spans="2:12" x14ac:dyDescent="0.3">
      <c r="B13" s="8" t="s">
        <v>37</v>
      </c>
      <c r="C13" s="8">
        <v>12.85</v>
      </c>
      <c r="D13" s="8" t="s">
        <v>28</v>
      </c>
      <c r="E13" s="8" t="s">
        <v>45</v>
      </c>
    </row>
    <row r="14" spans="2:12" ht="18.75" customHeight="1" x14ac:dyDescent="0.3">
      <c r="B14" s="8" t="s">
        <v>35</v>
      </c>
      <c r="C14" s="8">
        <v>8.25</v>
      </c>
      <c r="D14" s="8" t="s">
        <v>34</v>
      </c>
      <c r="E14" s="8" t="s">
        <v>71</v>
      </c>
    </row>
    <row r="15" spans="2:12" x14ac:dyDescent="0.3">
      <c r="B15" s="8" t="s">
        <v>33</v>
      </c>
      <c r="C15" s="8">
        <v>13.5</v>
      </c>
      <c r="D15" s="8" t="s">
        <v>28</v>
      </c>
      <c r="E15" s="8" t="s">
        <v>45</v>
      </c>
    </row>
    <row r="16" spans="2:12" x14ac:dyDescent="0.3">
      <c r="B16" s="8" t="s">
        <v>31</v>
      </c>
      <c r="C16" s="8">
        <v>9.9499999999999993</v>
      </c>
      <c r="D16" s="8" t="s">
        <v>30</v>
      </c>
      <c r="E16" s="8" t="s">
        <v>45</v>
      </c>
    </row>
    <row r="24" spans="2:12" x14ac:dyDescent="0.3">
      <c r="B24" s="9" t="s">
        <v>40</v>
      </c>
      <c r="C24" s="9" t="s">
        <v>38</v>
      </c>
      <c r="D24" s="9" t="s">
        <v>39</v>
      </c>
      <c r="E24" s="9" t="s">
        <v>42</v>
      </c>
    </row>
    <row r="25" spans="2:12" x14ac:dyDescent="0.3">
      <c r="B25" s="8" t="s">
        <v>37</v>
      </c>
      <c r="C25" s="8" t="s">
        <v>36</v>
      </c>
      <c r="D25" s="8">
        <v>7.85</v>
      </c>
      <c r="E25" s="8" t="s">
        <v>53</v>
      </c>
    </row>
    <row r="26" spans="2:12" x14ac:dyDescent="0.3">
      <c r="B26" s="8" t="s">
        <v>35</v>
      </c>
      <c r="C26" s="8" t="s">
        <v>34</v>
      </c>
      <c r="D26" s="8">
        <v>3.25</v>
      </c>
      <c r="E26" s="8" t="s">
        <v>54</v>
      </c>
    </row>
    <row r="27" spans="2:12" x14ac:dyDescent="0.3">
      <c r="B27" s="8" t="s">
        <v>33</v>
      </c>
      <c r="C27" s="8" t="s">
        <v>36</v>
      </c>
      <c r="D27" s="8">
        <v>12.5</v>
      </c>
      <c r="E27" s="8" t="s">
        <v>56</v>
      </c>
    </row>
    <row r="28" spans="2:12" x14ac:dyDescent="0.3">
      <c r="B28" s="8" t="s">
        <v>31</v>
      </c>
      <c r="C28" s="8" t="s">
        <v>30</v>
      </c>
      <c r="D28" s="8">
        <v>6.35</v>
      </c>
      <c r="E28" s="8" t="s">
        <v>43</v>
      </c>
      <c r="G28" s="38" t="s">
        <v>92</v>
      </c>
      <c r="H28" s="38"/>
      <c r="I28" s="32">
        <f>_xlfn.MAXIFS(D25:D36,C25:C36,"Amazon",B25:B36,"Apple")</f>
        <v>12.85</v>
      </c>
      <c r="L28" s="10">
        <f>_xlfn.MAXIFS(D24:D36,B24:B36,"apple",C24:C36,"Amazon")</f>
        <v>12.85</v>
      </c>
    </row>
    <row r="29" spans="2:12" x14ac:dyDescent="0.3">
      <c r="B29" s="8" t="s">
        <v>29</v>
      </c>
      <c r="C29" s="8" t="s">
        <v>36</v>
      </c>
      <c r="D29" s="8">
        <v>2.5</v>
      </c>
      <c r="E29" s="8" t="s">
        <v>44</v>
      </c>
      <c r="G29" s="38"/>
      <c r="H29" s="38"/>
      <c r="I29" s="32"/>
    </row>
    <row r="30" spans="2:12" x14ac:dyDescent="0.3">
      <c r="B30" s="8" t="s">
        <v>27</v>
      </c>
      <c r="C30" s="8" t="s">
        <v>26</v>
      </c>
      <c r="D30" s="8">
        <v>6.5</v>
      </c>
      <c r="E30" s="8" t="s">
        <v>53</v>
      </c>
    </row>
    <row r="31" spans="2:12" x14ac:dyDescent="0.3">
      <c r="B31" s="8" t="s">
        <v>37</v>
      </c>
      <c r="C31" s="8" t="s">
        <v>36</v>
      </c>
      <c r="D31" s="8">
        <v>8.75</v>
      </c>
      <c r="E31" s="8" t="s">
        <v>43</v>
      </c>
    </row>
    <row r="32" spans="2:12" x14ac:dyDescent="0.3">
      <c r="B32" s="8" t="s">
        <v>31</v>
      </c>
      <c r="C32" s="8" t="s">
        <v>30</v>
      </c>
      <c r="D32" s="8">
        <v>4.6500000000000004</v>
      </c>
      <c r="E32" s="8" t="s">
        <v>53</v>
      </c>
    </row>
    <row r="33" spans="2:5" x14ac:dyDescent="0.3">
      <c r="B33" s="8" t="s">
        <v>37</v>
      </c>
      <c r="C33" s="8" t="s">
        <v>36</v>
      </c>
      <c r="D33" s="8">
        <v>12.85</v>
      </c>
      <c r="E33" s="8" t="s">
        <v>45</v>
      </c>
    </row>
    <row r="34" spans="2:5" x14ac:dyDescent="0.3">
      <c r="B34" s="8" t="s">
        <v>35</v>
      </c>
      <c r="C34" s="8" t="s">
        <v>34</v>
      </c>
      <c r="D34" s="8">
        <v>8.25</v>
      </c>
      <c r="E34" s="8" t="s">
        <v>43</v>
      </c>
    </row>
    <row r="35" spans="2:5" x14ac:dyDescent="0.3">
      <c r="B35" s="8" t="s">
        <v>33</v>
      </c>
      <c r="C35" s="8" t="s">
        <v>32</v>
      </c>
      <c r="D35" s="8">
        <v>13.5</v>
      </c>
      <c r="E35" s="8" t="s">
        <v>53</v>
      </c>
    </row>
    <row r="36" spans="2:5" x14ac:dyDescent="0.3">
      <c r="B36" s="8" t="s">
        <v>31</v>
      </c>
      <c r="C36" s="8" t="s">
        <v>36</v>
      </c>
      <c r="D36" s="8">
        <v>9.9499999999999993</v>
      </c>
      <c r="E36" s="8" t="s">
        <v>45</v>
      </c>
    </row>
    <row r="38" spans="2:5" ht="17.25" customHeight="1" x14ac:dyDescent="0.3"/>
    <row r="39" spans="2:5" ht="17.25" customHeight="1" x14ac:dyDescent="0.3"/>
    <row r="40" spans="2:5" ht="17.25" customHeight="1" x14ac:dyDescent="0.3"/>
    <row r="41" spans="2:5" ht="17.25" customHeight="1" x14ac:dyDescent="0.3"/>
    <row r="42" spans="2:5" ht="17.25" customHeight="1" x14ac:dyDescent="0.3"/>
    <row r="43" spans="2:5" ht="17.25" customHeight="1" x14ac:dyDescent="0.3"/>
    <row r="44" spans="2:5" ht="17.25" customHeight="1" x14ac:dyDescent="0.3"/>
    <row r="46" spans="2:5" x14ac:dyDescent="0.3">
      <c r="B46" s="9" t="s">
        <v>40</v>
      </c>
      <c r="C46" s="9" t="s">
        <v>39</v>
      </c>
      <c r="D46" s="9" t="s">
        <v>38</v>
      </c>
      <c r="E46" s="9" t="s">
        <v>42</v>
      </c>
    </row>
    <row r="47" spans="2:5" x14ac:dyDescent="0.3">
      <c r="B47" s="8" t="s">
        <v>37</v>
      </c>
      <c r="C47" s="8">
        <v>7.85</v>
      </c>
      <c r="D47" s="8" t="s">
        <v>36</v>
      </c>
      <c r="E47" s="8" t="s">
        <v>53</v>
      </c>
    </row>
    <row r="48" spans="2:5" x14ac:dyDescent="0.3">
      <c r="B48" s="8" t="s">
        <v>35</v>
      </c>
      <c r="C48" s="8">
        <v>3.25</v>
      </c>
      <c r="D48" s="8" t="s">
        <v>34</v>
      </c>
      <c r="E48" s="8" t="s">
        <v>54</v>
      </c>
    </row>
    <row r="49" spans="2:12" x14ac:dyDescent="0.3">
      <c r="B49" s="8" t="s">
        <v>33</v>
      </c>
      <c r="C49" s="8">
        <v>12.5</v>
      </c>
      <c r="D49" s="8" t="s">
        <v>32</v>
      </c>
      <c r="E49" s="8" t="s">
        <v>56</v>
      </c>
      <c r="H49" s="11" t="s">
        <v>48</v>
      </c>
      <c r="I49" s="11" t="s">
        <v>33</v>
      </c>
    </row>
    <row r="50" spans="2:12" x14ac:dyDescent="0.3">
      <c r="B50" s="8" t="s">
        <v>31</v>
      </c>
      <c r="C50" s="8">
        <v>6.35</v>
      </c>
      <c r="D50" s="8" t="s">
        <v>30</v>
      </c>
      <c r="E50" s="8" t="s">
        <v>43</v>
      </c>
      <c r="G50" s="38" t="s">
        <v>93</v>
      </c>
      <c r="H50" s="38"/>
      <c r="I50" s="32">
        <f>_xlfn.MAXIFS(C47:C58,B47:B58,"Kiwi",E47:E58,"Jun")</f>
        <v>13.5</v>
      </c>
      <c r="L50" s="10">
        <f>_xlfn.MAXIFS(C46:C58,B46:B58,"kiwi",E46:E58,"jun")</f>
        <v>13.5</v>
      </c>
    </row>
    <row r="51" spans="2:12" x14ac:dyDescent="0.3">
      <c r="B51" s="8" t="s">
        <v>33</v>
      </c>
      <c r="C51" s="8">
        <v>2.5</v>
      </c>
      <c r="D51" s="8" t="s">
        <v>28</v>
      </c>
      <c r="E51" s="8" t="s">
        <v>44</v>
      </c>
      <c r="G51" s="38"/>
      <c r="H51" s="38"/>
      <c r="I51" s="32"/>
    </row>
    <row r="52" spans="2:12" x14ac:dyDescent="0.3">
      <c r="B52" s="8" t="s">
        <v>27</v>
      </c>
      <c r="C52" s="8">
        <v>6.5</v>
      </c>
      <c r="D52" s="8" t="s">
        <v>26</v>
      </c>
      <c r="E52" s="8" t="s">
        <v>53</v>
      </c>
    </row>
    <row r="53" spans="2:12" x14ac:dyDescent="0.3">
      <c r="B53" s="8" t="s">
        <v>37</v>
      </c>
      <c r="C53" s="8">
        <v>8.75</v>
      </c>
      <c r="D53" s="8" t="s">
        <v>36</v>
      </c>
      <c r="E53" s="8" t="s">
        <v>43</v>
      </c>
    </row>
    <row r="54" spans="2:12" x14ac:dyDescent="0.3">
      <c r="B54" s="8" t="s">
        <v>33</v>
      </c>
      <c r="C54" s="8">
        <v>4.6500000000000004</v>
      </c>
      <c r="D54" s="8" t="s">
        <v>30</v>
      </c>
      <c r="E54" s="8" t="s">
        <v>53</v>
      </c>
    </row>
    <row r="55" spans="2:12" x14ac:dyDescent="0.3">
      <c r="B55" s="8" t="s">
        <v>37</v>
      </c>
      <c r="C55" s="8">
        <v>12.85</v>
      </c>
      <c r="D55" s="8" t="s">
        <v>36</v>
      </c>
      <c r="E55" s="8" t="s">
        <v>45</v>
      </c>
    </row>
    <row r="56" spans="2:12" x14ac:dyDescent="0.3">
      <c r="B56" s="8" t="s">
        <v>33</v>
      </c>
      <c r="C56" s="8">
        <v>8.25</v>
      </c>
      <c r="D56" s="8" t="s">
        <v>34</v>
      </c>
      <c r="E56" s="8" t="s">
        <v>43</v>
      </c>
    </row>
    <row r="57" spans="2:12" x14ac:dyDescent="0.3">
      <c r="B57" s="8" t="s">
        <v>33</v>
      </c>
      <c r="C57" s="8">
        <v>13.5</v>
      </c>
      <c r="D57" s="8" t="s">
        <v>32</v>
      </c>
      <c r="E57" s="8" t="s">
        <v>53</v>
      </c>
    </row>
    <row r="58" spans="2:12" x14ac:dyDescent="0.3">
      <c r="B58" s="8" t="s">
        <v>31</v>
      </c>
      <c r="C58" s="8">
        <v>9.9499999999999993</v>
      </c>
      <c r="D58" s="8" t="s">
        <v>30</v>
      </c>
      <c r="E58" s="8" t="s">
        <v>45</v>
      </c>
    </row>
    <row r="68" spans="2:12" x14ac:dyDescent="0.3">
      <c r="B68" s="9" t="s">
        <v>40</v>
      </c>
      <c r="C68" s="9" t="s">
        <v>39</v>
      </c>
      <c r="D68" s="9" t="s">
        <v>38</v>
      </c>
      <c r="E68" s="9" t="s">
        <v>76</v>
      </c>
    </row>
    <row r="69" spans="2:12" x14ac:dyDescent="0.3">
      <c r="B69" s="8" t="s">
        <v>33</v>
      </c>
      <c r="C69" s="8">
        <v>7.85</v>
      </c>
      <c r="D69" s="8" t="s">
        <v>36</v>
      </c>
      <c r="E69" s="12">
        <v>44743</v>
      </c>
    </row>
    <row r="70" spans="2:12" x14ac:dyDescent="0.3">
      <c r="B70" s="8" t="s">
        <v>33</v>
      </c>
      <c r="C70" s="8">
        <v>3.25</v>
      </c>
      <c r="D70" s="8" t="s">
        <v>34</v>
      </c>
      <c r="E70" s="12">
        <f>E69+3</f>
        <v>44746</v>
      </c>
    </row>
    <row r="71" spans="2:12" x14ac:dyDescent="0.3">
      <c r="B71" s="8" t="s">
        <v>33</v>
      </c>
      <c r="C71" s="8">
        <v>12.5</v>
      </c>
      <c r="D71" s="8" t="s">
        <v>32</v>
      </c>
      <c r="E71" s="12">
        <f t="shared" ref="E71:E80" si="0">E70+3</f>
        <v>44749</v>
      </c>
      <c r="H71" s="11" t="s">
        <v>75</v>
      </c>
      <c r="I71" s="11">
        <v>5</v>
      </c>
    </row>
    <row r="72" spans="2:12" x14ac:dyDescent="0.3">
      <c r="B72" s="8" t="s">
        <v>33</v>
      </c>
      <c r="C72" s="8">
        <v>6.35</v>
      </c>
      <c r="D72" s="8" t="s">
        <v>30</v>
      </c>
      <c r="E72" s="12">
        <f t="shared" si="0"/>
        <v>44752</v>
      </c>
      <c r="G72" s="33" t="s">
        <v>94</v>
      </c>
      <c r="H72" s="33"/>
      <c r="I72" s="32">
        <f>_xlfn.MAXIFS(C69:C80,B69:B80,"Kiwi",C69:C80,"&gt;5")</f>
        <v>13.5</v>
      </c>
      <c r="L72" s="10">
        <f>_xlfn.MAXIFS(C68:C80,B68:B80,"kiwi",C68:C80,"&gt;5")</f>
        <v>13.5</v>
      </c>
    </row>
    <row r="73" spans="2:12" x14ac:dyDescent="0.3">
      <c r="B73" s="8" t="s">
        <v>33</v>
      </c>
      <c r="C73" s="8">
        <v>2.5</v>
      </c>
      <c r="D73" s="8" t="s">
        <v>28</v>
      </c>
      <c r="E73" s="12">
        <f t="shared" si="0"/>
        <v>44755</v>
      </c>
      <c r="G73" s="33"/>
      <c r="H73" s="33"/>
      <c r="I73" s="32"/>
    </row>
    <row r="74" spans="2:12" x14ac:dyDescent="0.3">
      <c r="B74" s="8" t="s">
        <v>37</v>
      </c>
      <c r="C74" s="8">
        <v>6.5</v>
      </c>
      <c r="D74" s="8" t="s">
        <v>26</v>
      </c>
      <c r="E74" s="12">
        <f t="shared" si="0"/>
        <v>44758</v>
      </c>
    </row>
    <row r="75" spans="2:12" x14ac:dyDescent="0.3">
      <c r="B75" s="8" t="s">
        <v>33</v>
      </c>
      <c r="C75" s="8">
        <v>8.75</v>
      </c>
      <c r="D75" s="8" t="s">
        <v>36</v>
      </c>
      <c r="E75" s="12">
        <f t="shared" si="0"/>
        <v>44761</v>
      </c>
    </row>
    <row r="76" spans="2:12" x14ac:dyDescent="0.3">
      <c r="B76" s="8" t="s">
        <v>33</v>
      </c>
      <c r="C76" s="8">
        <v>4.6500000000000004</v>
      </c>
      <c r="D76" s="8" t="s">
        <v>30</v>
      </c>
      <c r="E76" s="12">
        <f t="shared" si="0"/>
        <v>44764</v>
      </c>
    </row>
    <row r="77" spans="2:12" x14ac:dyDescent="0.3">
      <c r="B77" s="8" t="s">
        <v>33</v>
      </c>
      <c r="C77" s="8">
        <v>12.85</v>
      </c>
      <c r="D77" s="8" t="s">
        <v>36</v>
      </c>
      <c r="E77" s="12">
        <f t="shared" si="0"/>
        <v>44767</v>
      </c>
    </row>
    <row r="78" spans="2:12" x14ac:dyDescent="0.3">
      <c r="B78" s="8" t="s">
        <v>33</v>
      </c>
      <c r="C78" s="8">
        <v>8.25</v>
      </c>
      <c r="D78" s="8" t="s">
        <v>34</v>
      </c>
      <c r="E78" s="12">
        <f t="shared" si="0"/>
        <v>44770</v>
      </c>
    </row>
    <row r="79" spans="2:12" x14ac:dyDescent="0.3">
      <c r="B79" s="8" t="s">
        <v>33</v>
      </c>
      <c r="C79" s="8">
        <v>13.5</v>
      </c>
      <c r="D79" s="8" t="s">
        <v>32</v>
      </c>
      <c r="E79" s="12">
        <f t="shared" si="0"/>
        <v>44773</v>
      </c>
    </row>
    <row r="80" spans="2:12" x14ac:dyDescent="0.3">
      <c r="B80" s="8" t="s">
        <v>33</v>
      </c>
      <c r="C80" s="8">
        <v>9.9499999999999993</v>
      </c>
      <c r="D80" s="8" t="s">
        <v>30</v>
      </c>
      <c r="E80" s="12">
        <f t="shared" si="0"/>
        <v>44776</v>
      </c>
    </row>
    <row r="90" spans="2:12" x14ac:dyDescent="0.3">
      <c r="B90" s="9" t="s">
        <v>40</v>
      </c>
      <c r="C90" s="9" t="s">
        <v>39</v>
      </c>
      <c r="D90" s="9" t="s">
        <v>38</v>
      </c>
      <c r="E90" s="9" t="s">
        <v>76</v>
      </c>
    </row>
    <row r="91" spans="2:12" x14ac:dyDescent="0.3">
      <c r="B91" s="8" t="s">
        <v>33</v>
      </c>
      <c r="C91" s="8">
        <v>7.85</v>
      </c>
      <c r="D91" s="8" t="s">
        <v>36</v>
      </c>
      <c r="E91" s="14">
        <v>44743</v>
      </c>
    </row>
    <row r="92" spans="2:12" x14ac:dyDescent="0.3">
      <c r="B92" s="8" t="s">
        <v>33</v>
      </c>
      <c r="C92" s="8">
        <v>3.25</v>
      </c>
      <c r="D92" s="8" t="s">
        <v>34</v>
      </c>
      <c r="E92" s="14">
        <f>E91+3</f>
        <v>44746</v>
      </c>
    </row>
    <row r="93" spans="2:12" x14ac:dyDescent="0.3">
      <c r="B93" s="8" t="s">
        <v>33</v>
      </c>
      <c r="C93" s="8">
        <v>12.5</v>
      </c>
      <c r="D93" s="8" t="s">
        <v>32</v>
      </c>
      <c r="E93" s="14">
        <f t="shared" ref="E93:E102" si="1">E92+3</f>
        <v>44749</v>
      </c>
      <c r="H93" s="11" t="s">
        <v>77</v>
      </c>
      <c r="I93" s="13">
        <v>44752</v>
      </c>
    </row>
    <row r="94" spans="2:12" ht="23.25" customHeight="1" x14ac:dyDescent="0.3">
      <c r="B94" s="8" t="s">
        <v>33</v>
      </c>
      <c r="C94" s="8">
        <v>6.35</v>
      </c>
      <c r="D94" s="8" t="s">
        <v>30</v>
      </c>
      <c r="E94" s="14">
        <f t="shared" si="1"/>
        <v>44752</v>
      </c>
      <c r="G94" s="38" t="s">
        <v>95</v>
      </c>
      <c r="H94" s="38"/>
      <c r="I94" s="32">
        <f>_xlfn.MAXIFS(C91:C102,B91:B102,"Kiwi",E91:E102,"&gt;=10-Jul-22",E91:E102,"&lt;25-Jul-22")</f>
        <v>8.75</v>
      </c>
      <c r="L94" s="10">
        <f>_xlfn.MAXIFS(C91:C102,B91:B102,"Kiwi",E91:E102,"&gt;=07-10-2022",E91:E102,"&lt;07-25-2022")</f>
        <v>8.75</v>
      </c>
    </row>
    <row r="95" spans="2:12" ht="21" customHeight="1" x14ac:dyDescent="0.3">
      <c r="B95" s="8" t="s">
        <v>33</v>
      </c>
      <c r="C95" s="8">
        <v>2.5</v>
      </c>
      <c r="D95" s="8" t="s">
        <v>28</v>
      </c>
      <c r="E95" s="14">
        <f t="shared" si="1"/>
        <v>44755</v>
      </c>
      <c r="G95" s="38"/>
      <c r="H95" s="38"/>
      <c r="I95" s="32"/>
    </row>
    <row r="96" spans="2:12" x14ac:dyDescent="0.3">
      <c r="B96" s="8" t="s">
        <v>33</v>
      </c>
      <c r="C96" s="8">
        <v>6.5</v>
      </c>
      <c r="D96" s="8" t="s">
        <v>26</v>
      </c>
      <c r="E96" s="14">
        <f t="shared" si="1"/>
        <v>44758</v>
      </c>
    </row>
    <row r="97" spans="2:9" x14ac:dyDescent="0.3">
      <c r="B97" s="8" t="s">
        <v>33</v>
      </c>
      <c r="C97" s="8">
        <v>8.75</v>
      </c>
      <c r="D97" s="8" t="s">
        <v>36</v>
      </c>
      <c r="E97" s="14">
        <f t="shared" si="1"/>
        <v>44761</v>
      </c>
    </row>
    <row r="98" spans="2:9" x14ac:dyDescent="0.3">
      <c r="B98" s="8" t="s">
        <v>35</v>
      </c>
      <c r="C98" s="8">
        <v>4.6500000000000004</v>
      </c>
      <c r="D98" s="8" t="s">
        <v>30</v>
      </c>
      <c r="E98" s="14">
        <f t="shared" si="1"/>
        <v>44764</v>
      </c>
    </row>
    <row r="99" spans="2:9" x14ac:dyDescent="0.3">
      <c r="B99" s="8" t="s">
        <v>33</v>
      </c>
      <c r="C99" s="8">
        <v>12.85</v>
      </c>
      <c r="D99" s="8" t="s">
        <v>36</v>
      </c>
      <c r="E99" s="14">
        <f t="shared" si="1"/>
        <v>44767</v>
      </c>
    </row>
    <row r="100" spans="2:9" x14ac:dyDescent="0.3">
      <c r="B100" s="8" t="s">
        <v>33</v>
      </c>
      <c r="C100" s="8">
        <v>8.25</v>
      </c>
      <c r="D100" s="8" t="s">
        <v>34</v>
      </c>
      <c r="E100" s="14">
        <f t="shared" si="1"/>
        <v>44770</v>
      </c>
    </row>
    <row r="101" spans="2:9" x14ac:dyDescent="0.3">
      <c r="B101" s="8" t="s">
        <v>33</v>
      </c>
      <c r="C101" s="8">
        <v>13.5</v>
      </c>
      <c r="D101" s="8" t="s">
        <v>32</v>
      </c>
      <c r="E101" s="14">
        <f t="shared" si="1"/>
        <v>44773</v>
      </c>
    </row>
    <row r="102" spans="2:9" x14ac:dyDescent="0.3">
      <c r="B102" s="8" t="s">
        <v>33</v>
      </c>
      <c r="C102" s="8">
        <v>9.9499999999999993</v>
      </c>
      <c r="D102" s="8" t="s">
        <v>30</v>
      </c>
      <c r="E102" s="14">
        <f t="shared" si="1"/>
        <v>44776</v>
      </c>
    </row>
    <row r="109" spans="2:9" x14ac:dyDescent="0.3">
      <c r="B109" s="9" t="s">
        <v>40</v>
      </c>
      <c r="C109" s="9" t="s">
        <v>39</v>
      </c>
      <c r="D109" s="9" t="s">
        <v>38</v>
      </c>
      <c r="E109" s="9" t="s">
        <v>42</v>
      </c>
    </row>
    <row r="110" spans="2:9" x14ac:dyDescent="0.3">
      <c r="B110" s="8" t="s">
        <v>37</v>
      </c>
      <c r="C110" s="8">
        <v>7.85</v>
      </c>
      <c r="D110" s="8" t="s">
        <v>36</v>
      </c>
      <c r="E110" s="8" t="s">
        <v>43</v>
      </c>
    </row>
    <row r="111" spans="2:9" x14ac:dyDescent="0.3">
      <c r="B111" s="8" t="s">
        <v>35</v>
      </c>
      <c r="C111" s="8">
        <v>3.25</v>
      </c>
      <c r="D111" s="8" t="s">
        <v>34</v>
      </c>
      <c r="E111" s="8" t="s">
        <v>44</v>
      </c>
    </row>
    <row r="112" spans="2:9" x14ac:dyDescent="0.3">
      <c r="B112" s="8" t="s">
        <v>33</v>
      </c>
      <c r="C112" s="8">
        <v>12.5</v>
      </c>
      <c r="D112" s="8" t="s">
        <v>32</v>
      </c>
      <c r="E112" s="8" t="s">
        <v>56</v>
      </c>
      <c r="H112" s="11"/>
      <c r="I112" s="11"/>
    </row>
    <row r="113" spans="2:12" x14ac:dyDescent="0.3">
      <c r="B113" s="8" t="s">
        <v>134</v>
      </c>
      <c r="C113" s="8">
        <v>16.350000000000001</v>
      </c>
      <c r="D113" s="8" t="s">
        <v>30</v>
      </c>
      <c r="E113" s="8" t="s">
        <v>43</v>
      </c>
      <c r="G113" s="38" t="s">
        <v>96</v>
      </c>
      <c r="H113" s="38"/>
      <c r="I113" s="32">
        <f>_xlfn.MAXIFS(C110:C121,B110:B121,"*apple*")</f>
        <v>16.350000000000001</v>
      </c>
      <c r="L113" s="10">
        <f>_xlfn.MAXIFS(C110:C121,B110:B121,"*apple*")</f>
        <v>16.350000000000001</v>
      </c>
    </row>
    <row r="114" spans="2:12" x14ac:dyDescent="0.3">
      <c r="B114" s="8" t="s">
        <v>29</v>
      </c>
      <c r="C114" s="8">
        <v>2.5</v>
      </c>
      <c r="D114" s="8" t="s">
        <v>28</v>
      </c>
      <c r="E114" s="8" t="s">
        <v>55</v>
      </c>
      <c r="G114" s="38"/>
      <c r="H114" s="38"/>
      <c r="I114" s="32"/>
    </row>
    <row r="115" spans="2:12" x14ac:dyDescent="0.3">
      <c r="B115" s="8" t="s">
        <v>27</v>
      </c>
      <c r="C115" s="8">
        <v>6.5</v>
      </c>
      <c r="D115" s="8" t="s">
        <v>26</v>
      </c>
      <c r="E115" s="8" t="s">
        <v>45</v>
      </c>
    </row>
    <row r="116" spans="2:12" ht="18.75" customHeight="1" x14ac:dyDescent="0.3">
      <c r="B116" s="8" t="s">
        <v>37</v>
      </c>
      <c r="C116" s="8">
        <v>8.75</v>
      </c>
      <c r="D116" s="8" t="s">
        <v>36</v>
      </c>
      <c r="E116" s="8" t="s">
        <v>43</v>
      </c>
    </row>
    <row r="117" spans="2:12" x14ac:dyDescent="0.3">
      <c r="B117" s="8" t="s">
        <v>31</v>
      </c>
      <c r="C117" s="8">
        <v>4.6500000000000004</v>
      </c>
      <c r="D117" s="8" t="s">
        <v>30</v>
      </c>
      <c r="E117" s="8" t="s">
        <v>44</v>
      </c>
    </row>
    <row r="118" spans="2:12" x14ac:dyDescent="0.3">
      <c r="B118" s="8" t="s">
        <v>37</v>
      </c>
      <c r="C118" s="8">
        <v>12.85</v>
      </c>
      <c r="D118" s="8" t="s">
        <v>36</v>
      </c>
      <c r="E118" s="8" t="s">
        <v>53</v>
      </c>
    </row>
    <row r="119" spans="2:12" ht="18.75" customHeight="1" x14ac:dyDescent="0.3">
      <c r="B119" s="8" t="s">
        <v>50</v>
      </c>
      <c r="C119" s="8">
        <v>8.25</v>
      </c>
      <c r="D119" s="8" t="s">
        <v>34</v>
      </c>
      <c r="E119" s="8" t="s">
        <v>43</v>
      </c>
    </row>
    <row r="120" spans="2:12" x14ac:dyDescent="0.3">
      <c r="B120" s="8" t="s">
        <v>33</v>
      </c>
      <c r="C120" s="8">
        <v>13.5</v>
      </c>
      <c r="D120" s="8" t="s">
        <v>32</v>
      </c>
      <c r="E120" s="8" t="s">
        <v>44</v>
      </c>
    </row>
    <row r="121" spans="2:12" x14ac:dyDescent="0.3">
      <c r="B121" s="8" t="s">
        <v>51</v>
      </c>
      <c r="C121" s="8">
        <v>9.9499999999999993</v>
      </c>
      <c r="D121" s="8" t="s">
        <v>30</v>
      </c>
      <c r="E121" s="8" t="s">
        <v>54</v>
      </c>
    </row>
    <row r="131" spans="2:12" x14ac:dyDescent="0.3">
      <c r="B131" s="9" t="s">
        <v>40</v>
      </c>
      <c r="C131" s="9" t="s">
        <v>39</v>
      </c>
      <c r="D131" s="9" t="s">
        <v>38</v>
      </c>
      <c r="E131" s="9" t="s">
        <v>42</v>
      </c>
    </row>
    <row r="132" spans="2:12" x14ac:dyDescent="0.3">
      <c r="B132" s="19" t="s">
        <v>135</v>
      </c>
      <c r="C132" s="8">
        <v>7.85</v>
      </c>
      <c r="D132" s="8" t="s">
        <v>36</v>
      </c>
      <c r="E132" s="8" t="s">
        <v>43</v>
      </c>
    </row>
    <row r="133" spans="2:12" ht="37.5" x14ac:dyDescent="0.3">
      <c r="B133" s="19" t="s">
        <v>136</v>
      </c>
      <c r="C133" s="8">
        <v>3.25</v>
      </c>
      <c r="D133" s="8" t="s">
        <v>34</v>
      </c>
      <c r="E133" s="8" t="s">
        <v>44</v>
      </c>
    </row>
    <row r="134" spans="2:12" x14ac:dyDescent="0.3">
      <c r="B134" s="19" t="s">
        <v>137</v>
      </c>
      <c r="C134" s="8">
        <v>12.5</v>
      </c>
      <c r="D134" s="8" t="s">
        <v>32</v>
      </c>
      <c r="E134" s="8" t="s">
        <v>56</v>
      </c>
      <c r="H134" s="11"/>
      <c r="I134" s="11"/>
    </row>
    <row r="135" spans="2:12" ht="37.5" x14ac:dyDescent="0.3">
      <c r="B135" s="19" t="s">
        <v>138</v>
      </c>
      <c r="C135" s="8">
        <v>6.35</v>
      </c>
      <c r="D135" s="8" t="s">
        <v>30</v>
      </c>
      <c r="E135" s="8" t="s">
        <v>43</v>
      </c>
    </row>
    <row r="136" spans="2:12" x14ac:dyDescent="0.3">
      <c r="B136" s="19" t="s">
        <v>139</v>
      </c>
      <c r="C136" s="8">
        <v>2.5</v>
      </c>
      <c r="D136" s="8" t="s">
        <v>28</v>
      </c>
      <c r="E136" s="8" t="s">
        <v>55</v>
      </c>
      <c r="G136" s="38" t="s">
        <v>141</v>
      </c>
      <c r="H136" s="38"/>
      <c r="I136" s="32">
        <f>_xlfn.MAXIFS(C132:C143,D132:D143,"*o*")</f>
        <v>12.85</v>
      </c>
      <c r="L136" s="10">
        <f>_xlfn.MAXIFS(C132:C143,D132:D143,"*O*")</f>
        <v>12.85</v>
      </c>
    </row>
    <row r="137" spans="2:12" x14ac:dyDescent="0.3">
      <c r="B137" s="19" t="s">
        <v>140</v>
      </c>
      <c r="C137" s="8">
        <v>6.5</v>
      </c>
      <c r="D137" s="8" t="s">
        <v>26</v>
      </c>
      <c r="E137" s="8" t="s">
        <v>45</v>
      </c>
      <c r="G137" s="38"/>
      <c r="H137" s="38"/>
      <c r="I137" s="32"/>
    </row>
    <row r="138" spans="2:12" x14ac:dyDescent="0.3">
      <c r="B138" s="19" t="s">
        <v>135</v>
      </c>
      <c r="C138" s="8">
        <v>8.75</v>
      </c>
      <c r="D138" s="8" t="s">
        <v>36</v>
      </c>
      <c r="E138" s="8" t="s">
        <v>43</v>
      </c>
    </row>
    <row r="139" spans="2:12" x14ac:dyDescent="0.3">
      <c r="B139" s="19" t="s">
        <v>31</v>
      </c>
      <c r="C139" s="8">
        <v>4.6500000000000004</v>
      </c>
      <c r="D139" s="8" t="s">
        <v>30</v>
      </c>
      <c r="E139" s="8" t="s">
        <v>44</v>
      </c>
    </row>
    <row r="140" spans="2:12" x14ac:dyDescent="0.3">
      <c r="B140" s="19" t="s">
        <v>37</v>
      </c>
      <c r="C140" s="8">
        <v>12.85</v>
      </c>
      <c r="D140" s="8" t="s">
        <v>36</v>
      </c>
      <c r="E140" s="8" t="s">
        <v>53</v>
      </c>
    </row>
    <row r="141" spans="2:12" x14ac:dyDescent="0.3">
      <c r="B141" s="19" t="s">
        <v>50</v>
      </c>
      <c r="C141" s="8">
        <v>8.25</v>
      </c>
      <c r="D141" s="8" t="s">
        <v>34</v>
      </c>
      <c r="E141" s="8" t="s">
        <v>43</v>
      </c>
    </row>
    <row r="142" spans="2:12" x14ac:dyDescent="0.3">
      <c r="B142" s="19" t="s">
        <v>33</v>
      </c>
      <c r="C142" s="8">
        <v>13.5</v>
      </c>
      <c r="D142" s="8" t="s">
        <v>32</v>
      </c>
      <c r="E142" s="8" t="s">
        <v>44</v>
      </c>
    </row>
    <row r="143" spans="2:12" x14ac:dyDescent="0.3">
      <c r="B143" s="19" t="s">
        <v>51</v>
      </c>
      <c r="C143" s="8">
        <v>9.9499999999999993</v>
      </c>
      <c r="D143" s="8" t="s">
        <v>30</v>
      </c>
      <c r="E143" s="8" t="s">
        <v>54</v>
      </c>
    </row>
    <row r="153" spans="2:12" x14ac:dyDescent="0.3">
      <c r="B153" s="9" t="s">
        <v>40</v>
      </c>
      <c r="C153" s="9" t="s">
        <v>39</v>
      </c>
      <c r="D153" s="9" t="s">
        <v>38</v>
      </c>
      <c r="E153" s="9" t="s">
        <v>42</v>
      </c>
    </row>
    <row r="154" spans="2:12" x14ac:dyDescent="0.3">
      <c r="B154" s="8" t="s">
        <v>37</v>
      </c>
      <c r="C154" s="8">
        <v>7.85</v>
      </c>
      <c r="D154" s="8" t="s">
        <v>36</v>
      </c>
      <c r="E154" s="8" t="s">
        <v>43</v>
      </c>
    </row>
    <row r="155" spans="2:12" x14ac:dyDescent="0.3">
      <c r="B155" s="8" t="s">
        <v>35</v>
      </c>
      <c r="C155" s="8">
        <v>3.25</v>
      </c>
      <c r="D155" s="8" t="s">
        <v>34</v>
      </c>
      <c r="E155" s="8" t="s">
        <v>44</v>
      </c>
    </row>
    <row r="156" spans="2:12" x14ac:dyDescent="0.3">
      <c r="B156" s="8" t="s">
        <v>33</v>
      </c>
      <c r="C156" s="8">
        <v>12.5</v>
      </c>
      <c r="D156" s="8" t="s">
        <v>32</v>
      </c>
      <c r="E156" s="8" t="s">
        <v>56</v>
      </c>
      <c r="H156" s="11"/>
      <c r="I156" s="11"/>
    </row>
    <row r="157" spans="2:12" x14ac:dyDescent="0.3">
      <c r="B157" s="8" t="s">
        <v>31</v>
      </c>
      <c r="C157" s="8">
        <v>6.35</v>
      </c>
      <c r="D157" s="8" t="s">
        <v>30</v>
      </c>
      <c r="E157" s="8" t="s">
        <v>43</v>
      </c>
    </row>
    <row r="158" spans="2:12" x14ac:dyDescent="0.3">
      <c r="B158" s="8" t="s">
        <v>29</v>
      </c>
      <c r="C158" s="8">
        <v>2.5</v>
      </c>
      <c r="D158" s="8" t="s">
        <v>28</v>
      </c>
      <c r="E158" s="8" t="s">
        <v>55</v>
      </c>
      <c r="G158" s="38" t="s">
        <v>97</v>
      </c>
      <c r="H158" s="38"/>
      <c r="I158" s="32">
        <f>_xlfn.MAXIFS(C154:C165,E154:E165,"j*")</f>
        <v>12.85</v>
      </c>
      <c r="L158" s="10">
        <f>_xlfn.MAXIFS(C154:C165,E154:E165,"J*")</f>
        <v>12.85</v>
      </c>
    </row>
    <row r="159" spans="2:12" x14ac:dyDescent="0.3">
      <c r="B159" s="8" t="s">
        <v>27</v>
      </c>
      <c r="C159" s="8">
        <v>6.5</v>
      </c>
      <c r="D159" s="8" t="s">
        <v>26</v>
      </c>
      <c r="E159" s="8" t="s">
        <v>45</v>
      </c>
      <c r="G159" s="38"/>
      <c r="H159" s="38"/>
      <c r="I159" s="32"/>
    </row>
    <row r="160" spans="2:12" x14ac:dyDescent="0.3">
      <c r="B160" s="8" t="s">
        <v>37</v>
      </c>
      <c r="C160" s="8">
        <v>8.75</v>
      </c>
      <c r="D160" s="8" t="s">
        <v>36</v>
      </c>
      <c r="E160" s="8" t="s">
        <v>43</v>
      </c>
    </row>
    <row r="161" spans="2:5" x14ac:dyDescent="0.3">
      <c r="B161" s="8" t="s">
        <v>31</v>
      </c>
      <c r="C161" s="8">
        <v>4.6500000000000004</v>
      </c>
      <c r="D161" s="8" t="s">
        <v>30</v>
      </c>
      <c r="E161" s="8" t="s">
        <v>44</v>
      </c>
    </row>
    <row r="162" spans="2:5" x14ac:dyDescent="0.3">
      <c r="B162" s="8" t="s">
        <v>37</v>
      </c>
      <c r="C162" s="8">
        <v>12.85</v>
      </c>
      <c r="D162" s="8" t="s">
        <v>36</v>
      </c>
      <c r="E162" s="8" t="s">
        <v>53</v>
      </c>
    </row>
    <row r="163" spans="2:5" x14ac:dyDescent="0.3">
      <c r="B163" s="8" t="s">
        <v>50</v>
      </c>
      <c r="C163" s="8">
        <v>8.25</v>
      </c>
      <c r="D163" s="8" t="s">
        <v>34</v>
      </c>
      <c r="E163" s="8" t="s">
        <v>43</v>
      </c>
    </row>
    <row r="164" spans="2:5" x14ac:dyDescent="0.3">
      <c r="B164" s="8" t="s">
        <v>33</v>
      </c>
      <c r="C164" s="8">
        <v>13.5</v>
      </c>
      <c r="D164" s="8" t="s">
        <v>32</v>
      </c>
      <c r="E164" s="8" t="s">
        <v>44</v>
      </c>
    </row>
    <row r="165" spans="2:5" x14ac:dyDescent="0.3">
      <c r="B165" s="8" t="s">
        <v>51</v>
      </c>
      <c r="C165" s="8">
        <v>9.9499999999999993</v>
      </c>
      <c r="D165" s="8" t="s">
        <v>30</v>
      </c>
      <c r="E165" s="8" t="s">
        <v>54</v>
      </c>
    </row>
  </sheetData>
  <customSheetViews>
    <customSheetView guid="{A5292A6B-6F92-4AB3-B051-EF87F39FC489}" scale="120" showGridLines="0">
      <selection activeCell="M70" sqref="M70"/>
      <pageMargins left="0.7" right="0.7" top="0.75" bottom="0.75" header="0.3" footer="0.3"/>
      <pageSetup orientation="portrait" r:id="rId1"/>
    </customSheetView>
    <customSheetView guid="{6194C141-D0A1-4D58-BA55-90A184525AC3}" scale="120" showGridLines="0">
      <selection activeCell="M70" sqref="M70"/>
      <pageMargins left="0.7" right="0.7" top="0.75" bottom="0.75" header="0.3" footer="0.3"/>
      <pageSetup orientation="portrait" r:id="rId2"/>
    </customSheetView>
    <customSheetView guid="{7A7FC9A5-F2B5-4894-82BC-4528575F10D4}" scale="120" showGridLines="0">
      <selection activeCell="M70" sqref="M70"/>
      <pageMargins left="0.7" right="0.7" top="0.75" bottom="0.75" header="0.3" footer="0.3"/>
      <pageSetup orientation="portrait" r:id="rId3"/>
    </customSheetView>
    <customSheetView guid="{EBA5E9C4-A2DB-4DF0-BF75-1243E968318E}" scale="120" showGridLines="0">
      <selection activeCell="M70" sqref="M70"/>
      <pageMargins left="0.7" right="0.7" top="0.75" bottom="0.75" header="0.3" footer="0.3"/>
      <pageSetup orientation="portrait" r:id="rId4"/>
    </customSheetView>
    <customSheetView guid="{C7330417-67A9-44CF-917F-5F5E2F191AD4}" scale="120" showGridLines="0">
      <selection activeCell="M70" sqref="M70"/>
      <pageMargins left="0.7" right="0.7" top="0.75" bottom="0.75" header="0.3" footer="0.3"/>
      <pageSetup orientation="portrait" r:id="rId5"/>
    </customSheetView>
    <customSheetView guid="{47C01131-7443-4080-A2BB-6B6AA35C6913}" scale="120" showGridLines="0">
      <selection activeCell="M70" sqref="M70"/>
      <pageMargins left="0.7" right="0.7" top="0.75" bottom="0.75" header="0.3" footer="0.3"/>
      <pageSetup orientation="portrait" r:id="rId6"/>
    </customSheetView>
    <customSheetView guid="{19DA6E7F-8950-4769-9BBE-2798EFA465A3}" scale="120" showGridLines="0">
      <selection activeCell="M70" sqref="M70"/>
      <pageMargins left="0.7" right="0.7" top="0.75" bottom="0.75" header="0.3" footer="0.3"/>
      <pageSetup orientation="portrait" r:id="rId7"/>
    </customSheetView>
    <customSheetView guid="{F3CB97AD-592C-4B6E-8AE3-1CD47479060C}" scale="120" showGridLines="0">
      <selection activeCell="M70" sqref="M70"/>
      <pageMargins left="0.7" right="0.7" top="0.75" bottom="0.75" header="0.3" footer="0.3"/>
      <pageSetup orientation="portrait" r:id="rId8"/>
    </customSheetView>
    <customSheetView guid="{422703F6-63C4-435C-AFE7-1030286678F6}" scale="120" showGridLines="0">
      <selection activeCell="M70" sqref="M70"/>
      <pageMargins left="0.7" right="0.7" top="0.75" bottom="0.75" header="0.3" footer="0.3"/>
      <pageSetup orientation="portrait" r:id="rId9"/>
    </customSheetView>
    <customSheetView guid="{02D27969-4CD1-473E-A0E8-856AB0664DE8}" scale="120" showGridLines="0">
      <selection activeCell="M70" sqref="M70"/>
      <pageMargins left="0.7" right="0.7" top="0.75" bottom="0.75" header="0.3" footer="0.3"/>
      <pageSetup orientation="portrait" r:id="rId10"/>
    </customSheetView>
    <customSheetView guid="{1920E7A3-1C9F-4320-81BB-D11544051025}" scale="120" showGridLines="0">
      <selection activeCell="M70" sqref="M70"/>
      <pageMargins left="0.7" right="0.7" top="0.75" bottom="0.75" header="0.3" footer="0.3"/>
      <pageSetup orientation="portrait" r:id="rId11"/>
    </customSheetView>
    <customSheetView guid="{EC7537C6-1678-41C1-B788-EF4AFFECF769}" scale="120" showGridLines="0">
      <selection activeCell="M70" sqref="M70"/>
      <pageMargins left="0.7" right="0.7" top="0.75" bottom="0.75" header="0.3" footer="0.3"/>
      <pageSetup orientation="portrait" r:id="rId12"/>
    </customSheetView>
    <customSheetView guid="{E4FF7DB9-14DF-49DB-9F59-1898DDED4DCE}" scale="120" showGridLines="0">
      <selection activeCell="M70" sqref="M70"/>
      <pageMargins left="0.7" right="0.7" top="0.75" bottom="0.75" header="0.3" footer="0.3"/>
      <pageSetup orientation="portrait" r:id="rId13"/>
    </customSheetView>
    <customSheetView guid="{9AFCAA87-4888-4976-A7C9-C06A34CB6C97}" scale="120" showGridLines="0">
      <selection activeCell="M70" sqref="M70"/>
      <pageMargins left="0.7" right="0.7" top="0.75" bottom="0.75" header="0.3" footer="0.3"/>
      <pageSetup orientation="portrait" r:id="rId14"/>
    </customSheetView>
    <customSheetView guid="{15D7A002-B247-4A6B-A16B-61BDD9B0066A}" scale="120" showGridLines="0">
      <selection activeCell="M70" sqref="M70"/>
      <pageMargins left="0.7" right="0.7" top="0.75" bottom="0.75" header="0.3" footer="0.3"/>
      <pageSetup orientation="portrait" r:id="rId15"/>
    </customSheetView>
    <customSheetView guid="{F789A6E6-3D06-4D93-BF02-46FA1A2548B2}" scale="120" showGridLines="0">
      <selection activeCell="M70" sqref="M70"/>
      <pageMargins left="0.7" right="0.7" top="0.75" bottom="0.75" header="0.3" footer="0.3"/>
      <pageSetup orientation="portrait" r:id="rId16"/>
    </customSheetView>
    <customSheetView guid="{629A478C-29B1-4F25-A016-63CE32A1627F}" scale="120" showGridLines="0">
      <selection activeCell="M70" sqref="M70"/>
      <pageMargins left="0.7" right="0.7" top="0.75" bottom="0.75" header="0.3" footer="0.3"/>
      <pageSetup orientation="portrait" r:id="rId17"/>
    </customSheetView>
    <customSheetView guid="{51BA8A3D-4711-49ED-89E2-EBC09DF2AEDC}" scale="120" showGridLines="0">
      <selection activeCell="M70" sqref="M70"/>
      <pageMargins left="0.7" right="0.7" top="0.75" bottom="0.75" header="0.3" footer="0.3"/>
      <pageSetup orientation="portrait" r:id="rId18"/>
    </customSheetView>
    <customSheetView guid="{25A4A7C0-9593-456C-861C-76D101D3FE93}" scale="120" showGridLines="0">
      <selection activeCell="M70" sqref="M70"/>
      <pageMargins left="0.7" right="0.7" top="0.75" bottom="0.75" header="0.3" footer="0.3"/>
      <pageSetup orientation="portrait" r:id="rId19"/>
    </customSheetView>
    <customSheetView guid="{95D39BA8-2B16-4954-ABAC-09AD33A86339}" scale="120" showGridLines="0">
      <selection activeCell="M70" sqref="M70"/>
      <pageMargins left="0.7" right="0.7" top="0.75" bottom="0.75" header="0.3" footer="0.3"/>
      <pageSetup orientation="portrait" r:id="rId20"/>
    </customSheetView>
    <customSheetView guid="{C65059E8-30E8-488B-A0E9-1B7961920C81}" scale="120" showGridLines="0">
      <selection activeCell="M70" sqref="M70"/>
      <pageMargins left="0.7" right="0.7" top="0.75" bottom="0.75" header="0.3" footer="0.3"/>
      <pageSetup orientation="portrait" r:id="rId21"/>
    </customSheetView>
    <customSheetView guid="{644A6A80-0D34-48F6-A071-17016DCD2D6E}" scale="120" showGridLines="0">
      <selection activeCell="M70" sqref="M70"/>
      <pageMargins left="0.7" right="0.7" top="0.75" bottom="0.75" header="0.3" footer="0.3"/>
      <pageSetup orientation="portrait" r:id="rId22"/>
    </customSheetView>
    <customSheetView guid="{CC562453-1E6B-4010-9E1B-775397A26EFA}" scale="120" showGridLines="0">
      <selection activeCell="M70" sqref="M70"/>
      <pageMargins left="0.7" right="0.7" top="0.75" bottom="0.75" header="0.3" footer="0.3"/>
      <pageSetup orientation="portrait" r:id="rId23"/>
    </customSheetView>
    <customSheetView guid="{E1A67331-473F-4161-806C-BE35870C93B5}" scale="120" showGridLines="0">
      <selection activeCell="M70" sqref="M70"/>
      <pageMargins left="0.7" right="0.7" top="0.75" bottom="0.75" header="0.3" footer="0.3"/>
      <pageSetup orientation="portrait" r:id="rId24"/>
    </customSheetView>
    <customSheetView guid="{BCAB4838-A37A-4BCF-A9C9-CC50C95F58C7}" scale="120" showGridLines="0">
      <pageMargins left="0.7" right="0.7" top="0.75" bottom="0.75" header="0.3" footer="0.3"/>
      <pageSetup orientation="portrait" r:id="rId25"/>
    </customSheetView>
    <customSheetView guid="{F518ECB9-5D92-41E0-BFD2-C5175A02444D}" scale="120" showGridLines="0">
      <pageMargins left="0.7" right="0.7" top="0.75" bottom="0.75" header="0.3" footer="0.3"/>
      <pageSetup orientation="portrait" r:id="rId26"/>
    </customSheetView>
    <customSheetView guid="{FEB5A49F-F7F7-412A-BE72-F90F7A4799C8}" scale="120" showGridLines="0">
      <pageMargins left="0.7" right="0.7" top="0.75" bottom="0.75" header="0.3" footer="0.3"/>
      <pageSetup orientation="portrait" r:id="rId27"/>
    </customSheetView>
    <customSheetView guid="{F9A03991-7A83-41AE-B603-3D22265CDA22}" scale="120" showGridLines="0">
      <pageMargins left="0.7" right="0.7" top="0.75" bottom="0.75" header="0.3" footer="0.3"/>
      <pageSetup orientation="portrait" r:id="rId28"/>
    </customSheetView>
    <customSheetView guid="{8A25BF65-C908-4B2F-9805-3CD39BD4330E}" scale="120" showGridLines="0">
      <pageMargins left="0.7" right="0.7" top="0.75" bottom="0.75" header="0.3" footer="0.3"/>
      <pageSetup orientation="portrait" r:id="rId29"/>
    </customSheetView>
    <customSheetView guid="{5C8F4C13-387F-42D2-8CB5-92C4886D7919}" scale="120" showGridLines="0">
      <pageMargins left="0.7" right="0.7" top="0.75" bottom="0.75" header="0.3" footer="0.3"/>
      <pageSetup orientation="portrait" r:id="rId30"/>
    </customSheetView>
    <customSheetView guid="{395DC3D6-3299-4A43-88E2-62703FCC0349}" scale="120" showGridLines="0">
      <pageMargins left="0.7" right="0.7" top="0.75" bottom="0.75" header="0.3" footer="0.3"/>
      <pageSetup orientation="portrait" r:id="rId31"/>
    </customSheetView>
    <customSheetView guid="{FC8D231F-57F9-45EE-9DEF-D7ED111600EB}" scale="120" showGridLines="0">
      <pageMargins left="0.7" right="0.7" top="0.75" bottom="0.75" header="0.3" footer="0.3"/>
      <pageSetup orientation="portrait" r:id="rId32"/>
    </customSheetView>
    <customSheetView guid="{7A9AB605-DB82-470C-B86B-95E2AB3523F6}" scale="120" showGridLines="0">
      <pageMargins left="0.7" right="0.7" top="0.75" bottom="0.75" header="0.3" footer="0.3"/>
      <pageSetup orientation="portrait" r:id="rId33"/>
    </customSheetView>
    <customSheetView guid="{0125BE01-BBC8-4E5A-9A9A-3D1257916B8C}" scale="120" showGridLines="0">
      <pageMargins left="0.7" right="0.7" top="0.75" bottom="0.75" header="0.3" footer="0.3"/>
      <pageSetup orientation="portrait" r:id="rId34"/>
    </customSheetView>
    <customSheetView guid="{8BEA0E04-8B9A-4A2D-9B80-4E7685E22D5E}" scale="120" showGridLines="0">
      <pageMargins left="0.7" right="0.7" top="0.75" bottom="0.75" header="0.3" footer="0.3"/>
      <pageSetup orientation="portrait" r:id="rId35"/>
    </customSheetView>
    <customSheetView guid="{EE4A95A5-BF42-4BAA-B9EB-84A9230A28F9}" scale="120" showGridLines="0">
      <pageMargins left="0.7" right="0.7" top="0.75" bottom="0.75" header="0.3" footer="0.3"/>
      <pageSetup orientation="portrait" r:id="rId36"/>
    </customSheetView>
    <customSheetView guid="{2032DE14-E33D-44B5-9022-A2B48F059704}" scale="120" showGridLines="0">
      <pageMargins left="0.7" right="0.7" top="0.75" bottom="0.75" header="0.3" footer="0.3"/>
      <pageSetup orientation="portrait" r:id="rId37"/>
    </customSheetView>
    <customSheetView guid="{DF16608F-40E8-490E-B08D-ED6EEAB8B9EC}" scale="120" showGridLines="0">
      <pageMargins left="0.7" right="0.7" top="0.75" bottom="0.75" header="0.3" footer="0.3"/>
      <pageSetup orientation="portrait" r:id="rId38"/>
    </customSheetView>
    <customSheetView guid="{2CEDB1FB-2942-4B51-BF30-285DCDB05292}" scale="120" showGridLines="0">
      <pageMargins left="0.7" right="0.7" top="0.75" bottom="0.75" header="0.3" footer="0.3"/>
      <pageSetup orientation="portrait" r:id="rId39"/>
    </customSheetView>
    <customSheetView guid="{E4375DB4-4B74-46BC-A9F2-C5C5055B366F}" scale="120" showGridLines="0">
      <pageMargins left="0.7" right="0.7" top="0.75" bottom="0.75" header="0.3" footer="0.3"/>
      <pageSetup orientation="portrait" r:id="rId40"/>
    </customSheetView>
    <customSheetView guid="{58306194-C83B-413E-AC5F-AD717216CB21}" scale="120" showGridLines="0">
      <pageMargins left="0.7" right="0.7" top="0.75" bottom="0.75" header="0.3" footer="0.3"/>
      <pageSetup orientation="portrait" r:id="rId41"/>
    </customSheetView>
    <customSheetView guid="{81DEBAD0-6E86-4DFB-8642-C52E8C976BDA}" scale="120" showGridLines="0">
      <pageMargins left="0.7" right="0.7" top="0.75" bottom="0.75" header="0.3" footer="0.3"/>
      <pageSetup orientation="portrait" r:id="rId42"/>
    </customSheetView>
    <customSheetView guid="{C575B46A-1D4C-489C-97AE-5DAB6560E171}" scale="120" showGridLines="0">
      <pageMargins left="0.7" right="0.7" top="0.75" bottom="0.75" header="0.3" footer="0.3"/>
      <pageSetup orientation="portrait" r:id="rId43"/>
    </customSheetView>
    <customSheetView guid="{C908A6D6-4C77-416B-BC46-6F501B5F842F}" scale="120" showGridLines="0">
      <pageMargins left="0.7" right="0.7" top="0.75" bottom="0.75" header="0.3" footer="0.3"/>
      <pageSetup orientation="portrait" r:id="rId44"/>
    </customSheetView>
    <customSheetView guid="{CE50DC7E-3038-4337-BAC8-5B16EE1D95B0}" scale="120" showGridLines="0">
      <pageMargins left="0.7" right="0.7" top="0.75" bottom="0.75" header="0.3" footer="0.3"/>
      <pageSetup orientation="portrait" r:id="rId45"/>
    </customSheetView>
    <customSheetView guid="{3511E245-32F9-4CFF-8540-6B03C6FAE218}" scale="120" showGridLines="0">
      <pageMargins left="0.7" right="0.7" top="0.75" bottom="0.75" header="0.3" footer="0.3"/>
      <pageSetup orientation="portrait" r:id="rId46"/>
    </customSheetView>
    <customSheetView guid="{DFE0B66A-2DCB-4802-A91B-F836707AD43C}" scale="120" showGridLines="0" topLeftCell="A2">
      <selection activeCell="I8" sqref="I8:I9"/>
      <pageMargins left="0.7" right="0.7" top="0.75" bottom="0.75" header="0.3" footer="0.3"/>
      <pageSetup orientation="portrait" r:id="rId47"/>
    </customSheetView>
    <customSheetView guid="{0458C18D-9EF5-4516-9145-CA54D8EB1865}" scale="120" showGridLines="0" topLeftCell="A19">
      <selection activeCell="I8" sqref="I8:I9"/>
      <pageMargins left="0.7" right="0.7" top="0.75" bottom="0.75" header="0.3" footer="0.3"/>
      <pageSetup orientation="portrait" r:id="rId48"/>
    </customSheetView>
    <customSheetView guid="{0E02FCC8-6440-4859-9F6B-C77617EF5D89}" scale="120" showGridLines="0" topLeftCell="A34">
      <selection activeCell="I40" sqref="I40:I41"/>
      <pageMargins left="0.7" right="0.7" top="0.75" bottom="0.75" header="0.3" footer="0.3"/>
      <pageSetup orientation="portrait" r:id="rId49"/>
    </customSheetView>
    <customSheetView guid="{EE811897-5BF5-4321-9879-5B7EDF90A350}" scale="120" showGridLines="0" topLeftCell="A50">
      <selection activeCell="B68" sqref="B68"/>
      <pageMargins left="0.7" right="0.7" top="0.75" bottom="0.75" header="0.3" footer="0.3"/>
      <pageSetup orientation="portrait" r:id="rId50"/>
    </customSheetView>
    <customSheetView guid="{FF03E81F-A9A8-4546-A9C3-77A6EEA02ED9}" scale="120" showGridLines="0" topLeftCell="A66">
      <selection activeCell="B68" sqref="B68"/>
      <pageMargins left="0.7" right="0.7" top="0.75" bottom="0.75" header="0.3" footer="0.3"/>
      <pageSetup orientation="portrait" r:id="rId51"/>
    </customSheetView>
    <customSheetView guid="{D9413B31-FDB2-4AE8-80A8-7F09954E703C}" scale="120" showGridLines="0" topLeftCell="A93">
      <selection activeCell="B68" sqref="B68"/>
      <pageMargins left="0.7" right="0.7" top="0.75" bottom="0.75" header="0.3" footer="0.3"/>
      <pageSetup orientation="portrait" r:id="rId52"/>
    </customSheetView>
    <customSheetView guid="{B19B24CB-B859-49E3-8AE0-2D671510EE4F}" scale="120" showGridLines="0" topLeftCell="A110">
      <selection activeCell="I116" sqref="I116:I117"/>
      <pageMargins left="0.7" right="0.7" top="0.75" bottom="0.75" header="0.3" footer="0.3"/>
      <pageSetup orientation="portrait" r:id="rId53"/>
    </customSheetView>
    <customSheetView guid="{0BF42E77-7016-4BE4-A5AB-A49974630D91}" scale="120" showGridLines="0" topLeftCell="A126">
      <selection activeCell="I116" sqref="I116:I117"/>
      <pageMargins left="0.7" right="0.7" top="0.75" bottom="0.75" header="0.3" footer="0.3"/>
      <pageSetup orientation="portrait" r:id="rId54"/>
    </customSheetView>
    <customSheetView guid="{C453A932-6110-4A84-A9C2-26C809391387}" scale="120" showGridLines="0">
      <selection activeCell="H136" sqref="H136"/>
      <pageMargins left="0.7" right="0.7" top="0.75" bottom="0.75" header="0.3" footer="0.3"/>
      <pageSetup orientation="portrait" r:id="rId55"/>
    </customSheetView>
    <customSheetView guid="{08E755F8-82E9-4D95-862B-81F55FBDDDF6}" scale="120" showGridLines="0">
      <selection activeCell="H136" sqref="H136"/>
      <pageMargins left="0.7" right="0.7" top="0.75" bottom="0.75" header="0.3" footer="0.3"/>
      <pageSetup orientation="portrait" r:id="rId56"/>
    </customSheetView>
    <customSheetView guid="{86D36E03-787A-41EB-85FF-8BB8A222055B}" scale="120" showGridLines="0">
      <selection activeCell="H136" sqref="H136"/>
      <pageMargins left="0.7" right="0.7" top="0.75" bottom="0.75" header="0.3" footer="0.3"/>
      <pageSetup orientation="portrait" r:id="rId57"/>
    </customSheetView>
  </customSheetViews>
  <mergeCells count="16">
    <mergeCell ref="G8:H9"/>
    <mergeCell ref="I8:I9"/>
    <mergeCell ref="G28:H29"/>
    <mergeCell ref="I28:I29"/>
    <mergeCell ref="G50:H51"/>
    <mergeCell ref="I50:I51"/>
    <mergeCell ref="G136:H137"/>
    <mergeCell ref="I136:I137"/>
    <mergeCell ref="G158:H159"/>
    <mergeCell ref="I158:I159"/>
    <mergeCell ref="G72:H73"/>
    <mergeCell ref="I72:I73"/>
    <mergeCell ref="G94:H95"/>
    <mergeCell ref="I94:I95"/>
    <mergeCell ref="G113:H114"/>
    <mergeCell ref="I113:I114"/>
  </mergeCells>
  <conditionalFormatting sqref="I8">
    <cfRule type="expression" dxfId="16" priority="6">
      <formula>$I8=$L8</formula>
    </cfRule>
  </conditionalFormatting>
  <conditionalFormatting sqref="I28">
    <cfRule type="expression" dxfId="15" priority="7">
      <formula>$I28=$L28</formula>
    </cfRule>
  </conditionalFormatting>
  <conditionalFormatting sqref="I50">
    <cfRule type="expression" dxfId="14" priority="8">
      <formula>$I50=$L50</formula>
    </cfRule>
  </conditionalFormatting>
  <conditionalFormatting sqref="I72">
    <cfRule type="expression" dxfId="13" priority="2">
      <formula>$I72=$L72</formula>
    </cfRule>
  </conditionalFormatting>
  <conditionalFormatting sqref="I94">
    <cfRule type="expression" dxfId="12" priority="1">
      <formula>$I94=$L94</formula>
    </cfRule>
  </conditionalFormatting>
  <conditionalFormatting sqref="I113">
    <cfRule type="expression" dxfId="11" priority="5">
      <formula>$I113=$L113</formula>
    </cfRule>
  </conditionalFormatting>
  <conditionalFormatting sqref="I136">
    <cfRule type="expression" dxfId="10" priority="4">
      <formula>$I136=$L136</formula>
    </cfRule>
  </conditionalFormatting>
  <conditionalFormatting sqref="I158">
    <cfRule type="expression" dxfId="9" priority="3">
      <formula>$I158=$L158</formula>
    </cfRule>
  </conditionalFormatting>
  <pageMargins left="0.7" right="0.7" top="0.75" bottom="0.75" header="0.3" footer="0.3"/>
  <pageSetup orientation="portrait" r:id="rId58"/>
  <drawing r:id="rId59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C6AC4-CB57-4873-9B7D-D4AAC9D046DC}">
  <sheetPr codeName="Sheet18">
    <pageSetUpPr autoPageBreaks="0"/>
  </sheetPr>
  <dimension ref="B3:M157"/>
  <sheetViews>
    <sheetView showGridLines="0" tabSelected="1" topLeftCell="A137" zoomScale="110" zoomScaleNormal="110" workbookViewId="0">
      <selection activeCell="J152" sqref="J152"/>
    </sheetView>
  </sheetViews>
  <sheetFormatPr defaultRowHeight="18.75" x14ac:dyDescent="0.3"/>
  <cols>
    <col min="1" max="1" width="8.7109375" style="7" customWidth="1"/>
    <col min="2" max="2" width="17.140625" style="7" bestFit="1" customWidth="1"/>
    <col min="3" max="3" width="12.42578125" style="7" bestFit="1" customWidth="1"/>
    <col min="4" max="4" width="13.85546875" style="7" bestFit="1" customWidth="1"/>
    <col min="5" max="5" width="19.7109375" style="7" bestFit="1" customWidth="1"/>
    <col min="6" max="7" width="9.140625" style="7"/>
    <col min="8" max="8" width="20.28515625" style="7" customWidth="1"/>
    <col min="9" max="9" width="15.28515625" style="7" customWidth="1"/>
    <col min="10" max="10" width="27.140625" style="7" bestFit="1" customWidth="1"/>
    <col min="11" max="16384" width="9.140625" style="7"/>
  </cols>
  <sheetData>
    <row r="3" spans="2:13" x14ac:dyDescent="0.3">
      <c r="B3" s="9" t="s">
        <v>40</v>
      </c>
      <c r="C3" s="9" t="s">
        <v>39</v>
      </c>
      <c r="D3" s="9" t="s">
        <v>38</v>
      </c>
      <c r="E3" s="9" t="s">
        <v>42</v>
      </c>
    </row>
    <row r="4" spans="2:13" x14ac:dyDescent="0.3">
      <c r="B4" s="8" t="s">
        <v>37</v>
      </c>
      <c r="C4" s="8">
        <v>7.85</v>
      </c>
      <c r="D4" s="8" t="s">
        <v>36</v>
      </c>
      <c r="E4" s="8" t="s">
        <v>54</v>
      </c>
    </row>
    <row r="5" spans="2:13" ht="18.75" customHeight="1" x14ac:dyDescent="0.3">
      <c r="B5" s="8" t="s">
        <v>35</v>
      </c>
      <c r="C5" s="8">
        <v>3.25</v>
      </c>
      <c r="D5" s="8" t="s">
        <v>28</v>
      </c>
      <c r="E5" s="8" t="s">
        <v>44</v>
      </c>
    </row>
    <row r="6" spans="2:13" ht="21" customHeight="1" x14ac:dyDescent="0.3">
      <c r="B6" s="8" t="s">
        <v>33</v>
      </c>
      <c r="C6" s="8">
        <v>12.5</v>
      </c>
      <c r="D6" s="8" t="s">
        <v>32</v>
      </c>
      <c r="E6" s="8" t="s">
        <v>45</v>
      </c>
    </row>
    <row r="7" spans="2:13" x14ac:dyDescent="0.3">
      <c r="B7" s="8" t="s">
        <v>31</v>
      </c>
      <c r="C7" s="8">
        <v>6.35</v>
      </c>
      <c r="D7" s="8" t="s">
        <v>30</v>
      </c>
      <c r="E7" s="8" t="s">
        <v>43</v>
      </c>
      <c r="H7" s="34" t="s">
        <v>98</v>
      </c>
      <c r="I7" s="34"/>
      <c r="J7" s="32">
        <f>_xlfn.MINIFS(C4:C15,E4:E15,"Mar",D4:D15,"Doordash")</f>
        <v>2.5</v>
      </c>
      <c r="M7" s="10">
        <f>_xlfn.MINIFS(C3:C15,E3:E15,"Mar",D3:D15,"Doordash")</f>
        <v>2.5</v>
      </c>
    </row>
    <row r="8" spans="2:13" x14ac:dyDescent="0.3">
      <c r="B8" s="8" t="s">
        <v>29</v>
      </c>
      <c r="C8" s="8">
        <v>2.5</v>
      </c>
      <c r="D8" s="8" t="s">
        <v>28</v>
      </c>
      <c r="E8" s="8" t="s">
        <v>45</v>
      </c>
      <c r="H8" s="34"/>
      <c r="I8" s="34"/>
      <c r="J8" s="32"/>
    </row>
    <row r="9" spans="2:13" x14ac:dyDescent="0.3">
      <c r="B9" s="8" t="s">
        <v>27</v>
      </c>
      <c r="C9" s="8">
        <v>6.5</v>
      </c>
      <c r="D9" s="8" t="s">
        <v>28</v>
      </c>
      <c r="E9" s="8" t="s">
        <v>45</v>
      </c>
    </row>
    <row r="10" spans="2:13" x14ac:dyDescent="0.3">
      <c r="B10" s="8" t="s">
        <v>37</v>
      </c>
      <c r="C10" s="8">
        <v>8.75</v>
      </c>
      <c r="D10" s="8" t="s">
        <v>28</v>
      </c>
      <c r="E10" s="8" t="s">
        <v>55</v>
      </c>
    </row>
    <row r="11" spans="2:13" x14ac:dyDescent="0.3">
      <c r="B11" s="8" t="s">
        <v>31</v>
      </c>
      <c r="C11" s="8">
        <v>4.6500000000000004</v>
      </c>
      <c r="D11" s="8" t="s">
        <v>36</v>
      </c>
      <c r="E11" s="8" t="s">
        <v>45</v>
      </c>
    </row>
    <row r="12" spans="2:13" x14ac:dyDescent="0.3">
      <c r="B12" s="8" t="s">
        <v>37</v>
      </c>
      <c r="C12" s="8">
        <v>12.85</v>
      </c>
      <c r="D12" s="8" t="s">
        <v>28</v>
      </c>
      <c r="E12" s="8" t="s">
        <v>45</v>
      </c>
    </row>
    <row r="13" spans="2:13" ht="18.75" customHeight="1" x14ac:dyDescent="0.3">
      <c r="B13" s="8" t="s">
        <v>35</v>
      </c>
      <c r="C13" s="8">
        <v>8.25</v>
      </c>
      <c r="D13" s="8" t="s">
        <v>34</v>
      </c>
      <c r="E13" s="8" t="s">
        <v>71</v>
      </c>
    </row>
    <row r="14" spans="2:13" x14ac:dyDescent="0.3">
      <c r="B14" s="8" t="s">
        <v>33</v>
      </c>
      <c r="C14" s="8">
        <v>13.5</v>
      </c>
      <c r="D14" s="8" t="s">
        <v>28</v>
      </c>
      <c r="E14" s="8" t="s">
        <v>45</v>
      </c>
    </row>
    <row r="15" spans="2:13" x14ac:dyDescent="0.3">
      <c r="B15" s="8" t="s">
        <v>31</v>
      </c>
      <c r="C15" s="8">
        <v>9.9499999999999993</v>
      </c>
      <c r="D15" s="8" t="s">
        <v>30</v>
      </c>
      <c r="E15" s="8" t="s">
        <v>45</v>
      </c>
    </row>
    <row r="23" spans="2:13" x14ac:dyDescent="0.3">
      <c r="B23" s="9" t="s">
        <v>40</v>
      </c>
      <c r="C23" s="9" t="s">
        <v>38</v>
      </c>
      <c r="D23" s="9" t="s">
        <v>39</v>
      </c>
      <c r="E23" s="9" t="s">
        <v>42</v>
      </c>
    </row>
    <row r="24" spans="2:13" x14ac:dyDescent="0.3">
      <c r="B24" s="8" t="s">
        <v>37</v>
      </c>
      <c r="C24" s="8" t="s">
        <v>36</v>
      </c>
      <c r="D24" s="8">
        <v>7.85</v>
      </c>
      <c r="E24" s="8" t="s">
        <v>53</v>
      </c>
    </row>
    <row r="25" spans="2:13" x14ac:dyDescent="0.3">
      <c r="B25" s="8" t="s">
        <v>35</v>
      </c>
      <c r="C25" s="8" t="s">
        <v>34</v>
      </c>
      <c r="D25" s="8">
        <v>3.25</v>
      </c>
      <c r="E25" s="8" t="s">
        <v>54</v>
      </c>
    </row>
    <row r="26" spans="2:13" x14ac:dyDescent="0.3">
      <c r="B26" s="8" t="s">
        <v>33</v>
      </c>
      <c r="C26" s="8" t="s">
        <v>36</v>
      </c>
      <c r="D26" s="8">
        <v>12.5</v>
      </c>
      <c r="E26" s="8" t="s">
        <v>56</v>
      </c>
    </row>
    <row r="27" spans="2:13" x14ac:dyDescent="0.3">
      <c r="B27" s="8" t="s">
        <v>31</v>
      </c>
      <c r="C27" s="8" t="s">
        <v>30</v>
      </c>
      <c r="D27" s="8">
        <v>6.35</v>
      </c>
      <c r="E27" s="8" t="s">
        <v>43</v>
      </c>
      <c r="H27" s="34" t="s">
        <v>99</v>
      </c>
      <c r="I27" s="34"/>
      <c r="J27" s="32">
        <f>_xlfn.MINIFS(D24:D35,C24:C35,"Amazon",B24:B35,"Apple")</f>
        <v>7.85</v>
      </c>
      <c r="M27" s="10">
        <f>_xlfn.MINIFS(D23:D35,B23:B35,"apple",C23:C35,"Amazon")</f>
        <v>7.85</v>
      </c>
    </row>
    <row r="28" spans="2:13" x14ac:dyDescent="0.3">
      <c r="B28" s="8" t="s">
        <v>29</v>
      </c>
      <c r="C28" s="8" t="s">
        <v>36</v>
      </c>
      <c r="D28" s="8">
        <v>2.5</v>
      </c>
      <c r="E28" s="8" t="s">
        <v>44</v>
      </c>
      <c r="H28" s="34"/>
      <c r="I28" s="34"/>
      <c r="J28" s="32"/>
    </row>
    <row r="29" spans="2:13" x14ac:dyDescent="0.3">
      <c r="B29" s="8" t="s">
        <v>27</v>
      </c>
      <c r="C29" s="8" t="s">
        <v>26</v>
      </c>
      <c r="D29" s="8">
        <v>6.5</v>
      </c>
      <c r="E29" s="8" t="s">
        <v>53</v>
      </c>
    </row>
    <row r="30" spans="2:13" x14ac:dyDescent="0.3">
      <c r="B30" s="8" t="s">
        <v>37</v>
      </c>
      <c r="C30" s="8" t="s">
        <v>36</v>
      </c>
      <c r="D30" s="8">
        <v>8.75</v>
      </c>
      <c r="E30" s="8" t="s">
        <v>43</v>
      </c>
    </row>
    <row r="31" spans="2:13" x14ac:dyDescent="0.3">
      <c r="B31" s="8" t="s">
        <v>31</v>
      </c>
      <c r="C31" s="8" t="s">
        <v>30</v>
      </c>
      <c r="D31" s="8">
        <v>4.6500000000000004</v>
      </c>
      <c r="E31" s="8" t="s">
        <v>53</v>
      </c>
    </row>
    <row r="32" spans="2:13" x14ac:dyDescent="0.3">
      <c r="B32" s="8" t="s">
        <v>37</v>
      </c>
      <c r="C32" s="8" t="s">
        <v>36</v>
      </c>
      <c r="D32" s="8">
        <v>12.85</v>
      </c>
      <c r="E32" s="8" t="s">
        <v>45</v>
      </c>
    </row>
    <row r="33" spans="2:13" x14ac:dyDescent="0.3">
      <c r="B33" s="8" t="s">
        <v>35</v>
      </c>
      <c r="C33" s="8" t="s">
        <v>34</v>
      </c>
      <c r="D33" s="8">
        <v>8.25</v>
      </c>
      <c r="E33" s="8" t="s">
        <v>43</v>
      </c>
    </row>
    <row r="34" spans="2:13" x14ac:dyDescent="0.3">
      <c r="B34" s="8" t="s">
        <v>33</v>
      </c>
      <c r="C34" s="8" t="s">
        <v>32</v>
      </c>
      <c r="D34" s="8">
        <v>13.5</v>
      </c>
      <c r="E34" s="8" t="s">
        <v>53</v>
      </c>
    </row>
    <row r="35" spans="2:13" x14ac:dyDescent="0.3">
      <c r="B35" s="8" t="s">
        <v>31</v>
      </c>
      <c r="C35" s="8" t="s">
        <v>36</v>
      </c>
      <c r="D35" s="8">
        <v>9.9499999999999993</v>
      </c>
      <c r="E35" s="8" t="s">
        <v>45</v>
      </c>
    </row>
    <row r="44" spans="2:13" x14ac:dyDescent="0.3">
      <c r="B44" s="9" t="s">
        <v>40</v>
      </c>
      <c r="C44" s="9" t="s">
        <v>39</v>
      </c>
      <c r="D44" s="9" t="s">
        <v>38</v>
      </c>
      <c r="E44" s="9" t="s">
        <v>42</v>
      </c>
    </row>
    <row r="45" spans="2:13" x14ac:dyDescent="0.3">
      <c r="B45" s="8" t="s">
        <v>37</v>
      </c>
      <c r="C45" s="8">
        <v>7.85</v>
      </c>
      <c r="D45" s="8" t="s">
        <v>36</v>
      </c>
      <c r="E45" s="8" t="s">
        <v>53</v>
      </c>
    </row>
    <row r="46" spans="2:13" x14ac:dyDescent="0.3">
      <c r="B46" s="8" t="s">
        <v>35</v>
      </c>
      <c r="C46" s="8">
        <v>3.25</v>
      </c>
      <c r="D46" s="8" t="s">
        <v>34</v>
      </c>
      <c r="E46" s="8" t="s">
        <v>54</v>
      </c>
    </row>
    <row r="47" spans="2:13" x14ac:dyDescent="0.3">
      <c r="B47" s="8" t="s">
        <v>33</v>
      </c>
      <c r="C47" s="8">
        <v>12.5</v>
      </c>
      <c r="D47" s="8" t="s">
        <v>32</v>
      </c>
      <c r="E47" s="8" t="s">
        <v>56</v>
      </c>
      <c r="I47" s="11" t="s">
        <v>48</v>
      </c>
      <c r="J47" s="11" t="s">
        <v>33</v>
      </c>
    </row>
    <row r="48" spans="2:13" x14ac:dyDescent="0.3">
      <c r="B48" s="8" t="s">
        <v>31</v>
      </c>
      <c r="C48" s="8">
        <v>6.35</v>
      </c>
      <c r="D48" s="8" t="s">
        <v>30</v>
      </c>
      <c r="E48" s="8" t="s">
        <v>43</v>
      </c>
      <c r="H48" s="34" t="s">
        <v>100</v>
      </c>
      <c r="I48" s="34"/>
      <c r="J48" s="32">
        <f>_xlfn.MINIFS(C45:C56,B45:B56,"Kiwi",E45:E56,"Jun")</f>
        <v>4.6500000000000004</v>
      </c>
      <c r="M48" s="10">
        <f>_xlfn.MINIFS(C44:C56,B44:B56,"kiwi",E44:E56,"jun")</f>
        <v>4.6500000000000004</v>
      </c>
    </row>
    <row r="49" spans="2:10" x14ac:dyDescent="0.3">
      <c r="B49" s="8" t="s">
        <v>33</v>
      </c>
      <c r="C49" s="8">
        <v>2.5</v>
      </c>
      <c r="D49" s="8" t="s">
        <v>28</v>
      </c>
      <c r="E49" s="8" t="s">
        <v>44</v>
      </c>
      <c r="H49" s="34"/>
      <c r="I49" s="34"/>
      <c r="J49" s="32"/>
    </row>
    <row r="50" spans="2:10" x14ac:dyDescent="0.3">
      <c r="B50" s="8" t="s">
        <v>27</v>
      </c>
      <c r="C50" s="8">
        <v>6.5</v>
      </c>
      <c r="D50" s="8" t="s">
        <v>26</v>
      </c>
      <c r="E50" s="8" t="s">
        <v>53</v>
      </c>
    </row>
    <row r="51" spans="2:10" x14ac:dyDescent="0.3">
      <c r="B51" s="8" t="s">
        <v>37</v>
      </c>
      <c r="C51" s="8">
        <v>8.75</v>
      </c>
      <c r="D51" s="8" t="s">
        <v>36</v>
      </c>
      <c r="E51" s="8" t="s">
        <v>43</v>
      </c>
    </row>
    <row r="52" spans="2:10" x14ac:dyDescent="0.3">
      <c r="B52" s="8" t="s">
        <v>33</v>
      </c>
      <c r="C52" s="8">
        <v>4.6500000000000004</v>
      </c>
      <c r="D52" s="8" t="s">
        <v>30</v>
      </c>
      <c r="E52" s="8" t="s">
        <v>53</v>
      </c>
    </row>
    <row r="53" spans="2:10" x14ac:dyDescent="0.3">
      <c r="B53" s="8" t="s">
        <v>37</v>
      </c>
      <c r="C53" s="8">
        <v>12.85</v>
      </c>
      <c r="D53" s="8" t="s">
        <v>36</v>
      </c>
      <c r="E53" s="8" t="s">
        <v>45</v>
      </c>
    </row>
    <row r="54" spans="2:10" x14ac:dyDescent="0.3">
      <c r="B54" s="8" t="s">
        <v>33</v>
      </c>
      <c r="C54" s="8">
        <v>8.25</v>
      </c>
      <c r="D54" s="8" t="s">
        <v>34</v>
      </c>
      <c r="E54" s="8" t="s">
        <v>43</v>
      </c>
    </row>
    <row r="55" spans="2:10" x14ac:dyDescent="0.3">
      <c r="B55" s="8" t="s">
        <v>33</v>
      </c>
      <c r="C55" s="8">
        <v>13.5</v>
      </c>
      <c r="D55" s="8" t="s">
        <v>32</v>
      </c>
      <c r="E55" s="8" t="s">
        <v>53</v>
      </c>
    </row>
    <row r="56" spans="2:10" x14ac:dyDescent="0.3">
      <c r="B56" s="8" t="s">
        <v>31</v>
      </c>
      <c r="C56" s="8">
        <v>9.9499999999999993</v>
      </c>
      <c r="D56" s="8" t="s">
        <v>30</v>
      </c>
      <c r="E56" s="8" t="s">
        <v>45</v>
      </c>
    </row>
    <row r="65" spans="2:13" x14ac:dyDescent="0.3">
      <c r="B65" s="9" t="s">
        <v>40</v>
      </c>
      <c r="C65" s="9" t="s">
        <v>39</v>
      </c>
      <c r="D65" s="9" t="s">
        <v>38</v>
      </c>
      <c r="E65" s="9" t="s">
        <v>76</v>
      </c>
    </row>
    <row r="66" spans="2:13" x14ac:dyDescent="0.3">
      <c r="B66" s="8" t="s">
        <v>33</v>
      </c>
      <c r="C66" s="8">
        <v>7.85</v>
      </c>
      <c r="D66" s="8" t="s">
        <v>36</v>
      </c>
      <c r="E66" s="12">
        <v>44743</v>
      </c>
    </row>
    <row r="67" spans="2:13" x14ac:dyDescent="0.3">
      <c r="B67" s="8" t="s">
        <v>33</v>
      </c>
      <c r="C67" s="8">
        <v>3.25</v>
      </c>
      <c r="D67" s="8" t="s">
        <v>34</v>
      </c>
      <c r="E67" s="12">
        <f>E66+3</f>
        <v>44746</v>
      </c>
    </row>
    <row r="68" spans="2:13" x14ac:dyDescent="0.3">
      <c r="B68" s="8" t="s">
        <v>33</v>
      </c>
      <c r="C68" s="8">
        <v>12.5</v>
      </c>
      <c r="D68" s="8" t="s">
        <v>32</v>
      </c>
      <c r="E68" s="12">
        <f t="shared" ref="E68:E77" si="0">E67+3</f>
        <v>44749</v>
      </c>
      <c r="I68" s="11" t="s">
        <v>75</v>
      </c>
      <c r="J68" s="11">
        <v>5</v>
      </c>
    </row>
    <row r="69" spans="2:13" x14ac:dyDescent="0.3">
      <c r="B69" s="8" t="s">
        <v>33</v>
      </c>
      <c r="C69" s="8">
        <v>6.35</v>
      </c>
      <c r="D69" s="8" t="s">
        <v>30</v>
      </c>
      <c r="E69" s="12">
        <f t="shared" si="0"/>
        <v>44752</v>
      </c>
      <c r="H69" s="33" t="s">
        <v>101</v>
      </c>
      <c r="I69" s="33"/>
      <c r="J69" s="32">
        <f>_xlfn.MINIFS(C66:C77,B66:B77,"Kiwi",C66:C77,"&gt;5")</f>
        <v>6.35</v>
      </c>
      <c r="M69" s="10">
        <f>_xlfn.MINIFS(C65:C77,B65:B77,"kiwi",C65:C77,"&gt;5")</f>
        <v>6.35</v>
      </c>
    </row>
    <row r="70" spans="2:13" x14ac:dyDescent="0.3">
      <c r="B70" s="8" t="s">
        <v>33</v>
      </c>
      <c r="C70" s="8">
        <v>2.5</v>
      </c>
      <c r="D70" s="8" t="s">
        <v>28</v>
      </c>
      <c r="E70" s="12">
        <f t="shared" si="0"/>
        <v>44755</v>
      </c>
      <c r="H70" s="33"/>
      <c r="I70" s="33"/>
      <c r="J70" s="32"/>
    </row>
    <row r="71" spans="2:13" x14ac:dyDescent="0.3">
      <c r="B71" s="8" t="s">
        <v>37</v>
      </c>
      <c r="C71" s="8">
        <v>6.5</v>
      </c>
      <c r="D71" s="8" t="s">
        <v>26</v>
      </c>
      <c r="E71" s="12">
        <f t="shared" si="0"/>
        <v>44758</v>
      </c>
    </row>
    <row r="72" spans="2:13" x14ac:dyDescent="0.3">
      <c r="B72" s="8" t="s">
        <v>33</v>
      </c>
      <c r="C72" s="8">
        <v>8.75</v>
      </c>
      <c r="D72" s="8" t="s">
        <v>36</v>
      </c>
      <c r="E72" s="12">
        <f t="shared" si="0"/>
        <v>44761</v>
      </c>
    </row>
    <row r="73" spans="2:13" x14ac:dyDescent="0.3">
      <c r="B73" s="8" t="s">
        <v>33</v>
      </c>
      <c r="C73" s="8">
        <v>4.6500000000000004</v>
      </c>
      <c r="D73" s="8" t="s">
        <v>30</v>
      </c>
      <c r="E73" s="12">
        <f t="shared" si="0"/>
        <v>44764</v>
      </c>
    </row>
    <row r="74" spans="2:13" x14ac:dyDescent="0.3">
      <c r="B74" s="8" t="s">
        <v>33</v>
      </c>
      <c r="C74" s="8">
        <v>12.85</v>
      </c>
      <c r="D74" s="8" t="s">
        <v>36</v>
      </c>
      <c r="E74" s="12">
        <f t="shared" si="0"/>
        <v>44767</v>
      </c>
    </row>
    <row r="75" spans="2:13" x14ac:dyDescent="0.3">
      <c r="B75" s="8" t="s">
        <v>33</v>
      </c>
      <c r="C75" s="8">
        <v>8.25</v>
      </c>
      <c r="D75" s="8" t="s">
        <v>34</v>
      </c>
      <c r="E75" s="12">
        <f t="shared" si="0"/>
        <v>44770</v>
      </c>
    </row>
    <row r="76" spans="2:13" x14ac:dyDescent="0.3">
      <c r="B76" s="8" t="s">
        <v>33</v>
      </c>
      <c r="C76" s="8">
        <v>13.5</v>
      </c>
      <c r="D76" s="8" t="s">
        <v>32</v>
      </c>
      <c r="E76" s="12">
        <f t="shared" si="0"/>
        <v>44773</v>
      </c>
    </row>
    <row r="77" spans="2:13" x14ac:dyDescent="0.3">
      <c r="B77" s="8" t="s">
        <v>33</v>
      </c>
      <c r="C77" s="8">
        <v>9.9499999999999993</v>
      </c>
      <c r="D77" s="8" t="s">
        <v>30</v>
      </c>
      <c r="E77" s="12">
        <f t="shared" si="0"/>
        <v>44776</v>
      </c>
    </row>
    <row r="86" spans="2:13" x14ac:dyDescent="0.3">
      <c r="B86" s="9" t="s">
        <v>40</v>
      </c>
      <c r="C86" s="9" t="s">
        <v>39</v>
      </c>
      <c r="D86" s="9" t="s">
        <v>38</v>
      </c>
      <c r="E86" s="9" t="s">
        <v>76</v>
      </c>
    </row>
    <row r="87" spans="2:13" x14ac:dyDescent="0.3">
      <c r="B87" s="8" t="s">
        <v>33</v>
      </c>
      <c r="C87" s="8">
        <v>7.85</v>
      </c>
      <c r="D87" s="8" t="s">
        <v>36</v>
      </c>
      <c r="E87" s="14">
        <v>44743</v>
      </c>
    </row>
    <row r="88" spans="2:13" x14ac:dyDescent="0.3">
      <c r="B88" s="8" t="s">
        <v>33</v>
      </c>
      <c r="C88" s="8">
        <v>3.25</v>
      </c>
      <c r="D88" s="8" t="s">
        <v>34</v>
      </c>
      <c r="E88" s="14">
        <f>E87+3</f>
        <v>44746</v>
      </c>
    </row>
    <row r="89" spans="2:13" x14ac:dyDescent="0.3">
      <c r="B89" s="8" t="s">
        <v>33</v>
      </c>
      <c r="C89" s="8">
        <v>12.5</v>
      </c>
      <c r="D89" s="8" t="s">
        <v>32</v>
      </c>
      <c r="E89" s="14">
        <f t="shared" ref="E89:E98" si="1">E88+3</f>
        <v>44749</v>
      </c>
      <c r="I89" s="11" t="s">
        <v>77</v>
      </c>
      <c r="J89" s="13">
        <v>44752</v>
      </c>
    </row>
    <row r="90" spans="2:13" ht="23.25" customHeight="1" x14ac:dyDescent="0.3">
      <c r="B90" s="8" t="s">
        <v>33</v>
      </c>
      <c r="C90" s="8">
        <v>6.35</v>
      </c>
      <c r="D90" s="8" t="s">
        <v>30</v>
      </c>
      <c r="E90" s="14">
        <f t="shared" si="1"/>
        <v>44752</v>
      </c>
      <c r="H90" s="34" t="s">
        <v>178</v>
      </c>
      <c r="I90" s="34"/>
      <c r="J90" s="32">
        <f>_xlfn.MINIFS(C91:C102,B91:B102,"Kiwi",E91:E102,"&gt;=10-Jul-22",E91:E102,"&lt;25-Jul-22")</f>
        <v>2.5</v>
      </c>
      <c r="M90" s="10">
        <f>_xlfn.MINIFS(C87:C98,B87:B98,"Kiwi",E87:E98,"&gt;=07-10-2022",E87:E98,"&lt;07-25-2022")</f>
        <v>2.5</v>
      </c>
    </row>
    <row r="91" spans="2:13" ht="21" customHeight="1" x14ac:dyDescent="0.3">
      <c r="B91" s="8" t="s">
        <v>33</v>
      </c>
      <c r="C91" s="8">
        <v>2.5</v>
      </c>
      <c r="D91" s="8" t="s">
        <v>28</v>
      </c>
      <c r="E91" s="14">
        <f t="shared" si="1"/>
        <v>44755</v>
      </c>
      <c r="H91" s="34"/>
      <c r="I91" s="34"/>
      <c r="J91" s="32"/>
    </row>
    <row r="92" spans="2:13" x14ac:dyDescent="0.3">
      <c r="B92" s="8" t="s">
        <v>33</v>
      </c>
      <c r="C92" s="8">
        <v>6.5</v>
      </c>
      <c r="D92" s="8" t="s">
        <v>26</v>
      </c>
      <c r="E92" s="14">
        <f t="shared" si="1"/>
        <v>44758</v>
      </c>
    </row>
    <row r="93" spans="2:13" x14ac:dyDescent="0.3">
      <c r="B93" s="8" t="s">
        <v>33</v>
      </c>
      <c r="C93" s="8">
        <v>8.75</v>
      </c>
      <c r="D93" s="8" t="s">
        <v>36</v>
      </c>
      <c r="E93" s="14">
        <f t="shared" si="1"/>
        <v>44761</v>
      </c>
    </row>
    <row r="94" spans="2:13" x14ac:dyDescent="0.3">
      <c r="B94" s="8" t="s">
        <v>35</v>
      </c>
      <c r="C94" s="8">
        <v>4.6500000000000004</v>
      </c>
      <c r="D94" s="8" t="s">
        <v>30</v>
      </c>
      <c r="E94" s="14">
        <f t="shared" si="1"/>
        <v>44764</v>
      </c>
    </row>
    <row r="95" spans="2:13" x14ac:dyDescent="0.3">
      <c r="B95" s="8" t="s">
        <v>33</v>
      </c>
      <c r="C95" s="8">
        <v>12.85</v>
      </c>
      <c r="D95" s="8" t="s">
        <v>36</v>
      </c>
      <c r="E95" s="14">
        <f t="shared" si="1"/>
        <v>44767</v>
      </c>
    </row>
    <row r="96" spans="2:13" x14ac:dyDescent="0.3">
      <c r="B96" s="8" t="s">
        <v>33</v>
      </c>
      <c r="C96" s="8">
        <v>8.25</v>
      </c>
      <c r="D96" s="8" t="s">
        <v>34</v>
      </c>
      <c r="E96" s="14">
        <f t="shared" si="1"/>
        <v>44770</v>
      </c>
    </row>
    <row r="97" spans="2:13" x14ac:dyDescent="0.3">
      <c r="B97" s="8" t="s">
        <v>33</v>
      </c>
      <c r="C97" s="8">
        <v>13.5</v>
      </c>
      <c r="D97" s="8" t="s">
        <v>32</v>
      </c>
      <c r="E97" s="14">
        <f t="shared" si="1"/>
        <v>44773</v>
      </c>
    </row>
    <row r="98" spans="2:13" x14ac:dyDescent="0.3">
      <c r="B98" s="8" t="s">
        <v>33</v>
      </c>
      <c r="C98" s="8">
        <v>9.9499999999999993</v>
      </c>
      <c r="D98" s="8" t="s">
        <v>30</v>
      </c>
      <c r="E98" s="14">
        <f t="shared" si="1"/>
        <v>44776</v>
      </c>
    </row>
    <row r="105" spans="2:13" x14ac:dyDescent="0.3">
      <c r="B105" s="9" t="s">
        <v>40</v>
      </c>
      <c r="C105" s="9" t="s">
        <v>39</v>
      </c>
      <c r="D105" s="9" t="s">
        <v>38</v>
      </c>
      <c r="E105" s="9" t="s">
        <v>42</v>
      </c>
    </row>
    <row r="106" spans="2:13" x14ac:dyDescent="0.3">
      <c r="B106" s="8" t="s">
        <v>37</v>
      </c>
      <c r="C106" s="8">
        <v>7.85</v>
      </c>
      <c r="D106" s="8" t="s">
        <v>36</v>
      </c>
      <c r="E106" s="8" t="s">
        <v>43</v>
      </c>
    </row>
    <row r="107" spans="2:13" x14ac:dyDescent="0.3">
      <c r="B107" s="8" t="s">
        <v>35</v>
      </c>
      <c r="C107" s="8">
        <v>3.25</v>
      </c>
      <c r="D107" s="8" t="s">
        <v>34</v>
      </c>
      <c r="E107" s="8" t="s">
        <v>44</v>
      </c>
    </row>
    <row r="108" spans="2:13" x14ac:dyDescent="0.3">
      <c r="B108" s="8" t="s">
        <v>33</v>
      </c>
      <c r="C108" s="8">
        <v>12.5</v>
      </c>
      <c r="D108" s="8" t="s">
        <v>32</v>
      </c>
      <c r="E108" s="8" t="s">
        <v>56</v>
      </c>
      <c r="I108" s="11"/>
      <c r="J108" s="11"/>
    </row>
    <row r="109" spans="2:13" x14ac:dyDescent="0.3">
      <c r="B109" s="8" t="s">
        <v>31</v>
      </c>
      <c r="C109" s="8">
        <v>6.35</v>
      </c>
      <c r="D109" s="8" t="s">
        <v>30</v>
      </c>
      <c r="E109" s="8" t="s">
        <v>43</v>
      </c>
      <c r="H109" s="31" t="s">
        <v>102</v>
      </c>
      <c r="I109" s="31"/>
      <c r="J109" s="32">
        <f>_xlfn.MINIFS(C106:C117,B106:B117,"*apple*")</f>
        <v>4.6500000000000004</v>
      </c>
      <c r="M109" s="10">
        <f>_xlfn.MINIFS(C106:C117,B106:B117,"*apple*")</f>
        <v>4.6500000000000004</v>
      </c>
    </row>
    <row r="110" spans="2:13" x14ac:dyDescent="0.3">
      <c r="B110" s="8" t="s">
        <v>29</v>
      </c>
      <c r="C110" s="8">
        <v>2.5</v>
      </c>
      <c r="D110" s="8" t="s">
        <v>28</v>
      </c>
      <c r="E110" s="8" t="s">
        <v>55</v>
      </c>
      <c r="H110" s="31"/>
      <c r="I110" s="31"/>
      <c r="J110" s="32"/>
    </row>
    <row r="111" spans="2:13" x14ac:dyDescent="0.3">
      <c r="B111" s="8" t="s">
        <v>27</v>
      </c>
      <c r="C111" s="8">
        <v>6.5</v>
      </c>
      <c r="D111" s="8" t="s">
        <v>26</v>
      </c>
      <c r="E111" s="8" t="s">
        <v>45</v>
      </c>
    </row>
    <row r="112" spans="2:13" ht="18.75" customHeight="1" x14ac:dyDescent="0.3">
      <c r="B112" s="8" t="s">
        <v>37</v>
      </c>
      <c r="C112" s="8">
        <v>8.75</v>
      </c>
      <c r="D112" s="8" t="s">
        <v>36</v>
      </c>
      <c r="E112" s="8" t="s">
        <v>43</v>
      </c>
    </row>
    <row r="113" spans="2:10" x14ac:dyDescent="0.3">
      <c r="B113" s="8" t="s">
        <v>31</v>
      </c>
      <c r="C113" s="8">
        <v>4.6500000000000004</v>
      </c>
      <c r="D113" s="8" t="s">
        <v>30</v>
      </c>
      <c r="E113" s="8" t="s">
        <v>44</v>
      </c>
    </row>
    <row r="114" spans="2:10" x14ac:dyDescent="0.3">
      <c r="B114" s="8" t="s">
        <v>37</v>
      </c>
      <c r="C114" s="8">
        <v>12.85</v>
      </c>
      <c r="D114" s="8" t="s">
        <v>36</v>
      </c>
      <c r="E114" s="8" t="s">
        <v>53</v>
      </c>
    </row>
    <row r="115" spans="2:10" ht="18.75" customHeight="1" x14ac:dyDescent="0.3">
      <c r="B115" s="8" t="s">
        <v>50</v>
      </c>
      <c r="C115" s="8">
        <v>8.25</v>
      </c>
      <c r="D115" s="8" t="s">
        <v>34</v>
      </c>
      <c r="E115" s="8" t="s">
        <v>43</v>
      </c>
    </row>
    <row r="116" spans="2:10" x14ac:dyDescent="0.3">
      <c r="B116" s="8" t="s">
        <v>33</v>
      </c>
      <c r="C116" s="8">
        <v>13.5</v>
      </c>
      <c r="D116" s="8" t="s">
        <v>32</v>
      </c>
      <c r="E116" s="8" t="s">
        <v>44</v>
      </c>
    </row>
    <row r="117" spans="2:10" x14ac:dyDescent="0.3">
      <c r="B117" s="8" t="s">
        <v>51</v>
      </c>
      <c r="C117" s="8">
        <v>9.9499999999999993</v>
      </c>
      <c r="D117" s="8" t="s">
        <v>30</v>
      </c>
      <c r="E117" s="8" t="s">
        <v>54</v>
      </c>
    </row>
    <row r="125" spans="2:10" x14ac:dyDescent="0.3">
      <c r="B125" s="9" t="s">
        <v>40</v>
      </c>
      <c r="C125" s="9" t="s">
        <v>39</v>
      </c>
      <c r="D125" s="9" t="s">
        <v>38</v>
      </c>
      <c r="E125" s="9" t="s">
        <v>42</v>
      </c>
    </row>
    <row r="126" spans="2:10" x14ac:dyDescent="0.3">
      <c r="B126" s="8" t="s">
        <v>37</v>
      </c>
      <c r="C126" s="8">
        <v>7.85</v>
      </c>
      <c r="D126" s="8" t="s">
        <v>36</v>
      </c>
      <c r="E126" s="8" t="s">
        <v>43</v>
      </c>
    </row>
    <row r="127" spans="2:10" x14ac:dyDescent="0.3">
      <c r="B127" s="8" t="s">
        <v>35</v>
      </c>
      <c r="C127" s="8">
        <v>3.25</v>
      </c>
      <c r="D127" s="8" t="s">
        <v>34</v>
      </c>
      <c r="E127" s="8" t="s">
        <v>44</v>
      </c>
    </row>
    <row r="128" spans="2:10" x14ac:dyDescent="0.3">
      <c r="B128" s="8" t="s">
        <v>33</v>
      </c>
      <c r="C128" s="8">
        <v>12.5</v>
      </c>
      <c r="D128" s="8" t="s">
        <v>32</v>
      </c>
      <c r="E128" s="8" t="s">
        <v>56</v>
      </c>
      <c r="I128" s="11"/>
      <c r="J128" s="11"/>
    </row>
    <row r="129" spans="2:13" x14ac:dyDescent="0.3">
      <c r="B129" s="8" t="s">
        <v>31</v>
      </c>
      <c r="C129" s="8">
        <v>6.35</v>
      </c>
      <c r="D129" s="8" t="s">
        <v>30</v>
      </c>
      <c r="E129" s="8" t="s">
        <v>43</v>
      </c>
    </row>
    <row r="130" spans="2:13" x14ac:dyDescent="0.3">
      <c r="B130" s="8" t="s">
        <v>29</v>
      </c>
      <c r="C130" s="8">
        <v>2.5</v>
      </c>
      <c r="D130" s="8" t="s">
        <v>28</v>
      </c>
      <c r="E130" s="8" t="s">
        <v>55</v>
      </c>
      <c r="H130" s="31" t="s">
        <v>103</v>
      </c>
      <c r="I130" s="31"/>
      <c r="J130" s="32">
        <f>_xlfn.MINIFS(C126:C137,D126:D137,"*o*")</f>
        <v>2.5</v>
      </c>
      <c r="M130" s="10">
        <f>_xlfn.MINIFS(C126:C137,D126:D137,"*O*")</f>
        <v>2.5</v>
      </c>
    </row>
    <row r="131" spans="2:13" x14ac:dyDescent="0.3">
      <c r="B131" s="8" t="s">
        <v>27</v>
      </c>
      <c r="C131" s="8">
        <v>6.5</v>
      </c>
      <c r="D131" s="8" t="s">
        <v>26</v>
      </c>
      <c r="E131" s="8" t="s">
        <v>45</v>
      </c>
      <c r="H131" s="31"/>
      <c r="I131" s="31"/>
      <c r="J131" s="32"/>
    </row>
    <row r="132" spans="2:13" x14ac:dyDescent="0.3">
      <c r="B132" s="8" t="s">
        <v>37</v>
      </c>
      <c r="C132" s="8">
        <v>8.75</v>
      </c>
      <c r="D132" s="8" t="s">
        <v>36</v>
      </c>
      <c r="E132" s="8" t="s">
        <v>43</v>
      </c>
    </row>
    <row r="133" spans="2:13" x14ac:dyDescent="0.3">
      <c r="B133" s="8" t="s">
        <v>31</v>
      </c>
      <c r="C133" s="8">
        <v>4.6500000000000004</v>
      </c>
      <c r="D133" s="8" t="s">
        <v>30</v>
      </c>
      <c r="E133" s="8" t="s">
        <v>44</v>
      </c>
    </row>
    <row r="134" spans="2:13" x14ac:dyDescent="0.3">
      <c r="B134" s="8" t="s">
        <v>37</v>
      </c>
      <c r="C134" s="8">
        <v>12.85</v>
      </c>
      <c r="D134" s="8" t="s">
        <v>36</v>
      </c>
      <c r="E134" s="8" t="s">
        <v>53</v>
      </c>
    </row>
    <row r="135" spans="2:13" x14ac:dyDescent="0.3">
      <c r="B135" s="8" t="s">
        <v>50</v>
      </c>
      <c r="C135" s="8">
        <v>8.25</v>
      </c>
      <c r="D135" s="8" t="s">
        <v>34</v>
      </c>
      <c r="E135" s="8" t="s">
        <v>43</v>
      </c>
    </row>
    <row r="136" spans="2:13" x14ac:dyDescent="0.3">
      <c r="B136" s="8" t="s">
        <v>33</v>
      </c>
      <c r="C136" s="8">
        <v>13.5</v>
      </c>
      <c r="D136" s="8" t="s">
        <v>32</v>
      </c>
      <c r="E136" s="8" t="s">
        <v>44</v>
      </c>
    </row>
    <row r="137" spans="2:13" x14ac:dyDescent="0.3">
      <c r="B137" s="8" t="s">
        <v>51</v>
      </c>
      <c r="C137" s="8">
        <v>9.9499999999999993</v>
      </c>
      <c r="D137" s="8" t="s">
        <v>30</v>
      </c>
      <c r="E137" s="8" t="s">
        <v>54</v>
      </c>
    </row>
    <row r="145" spans="2:13" x14ac:dyDescent="0.3">
      <c r="B145" s="9" t="s">
        <v>40</v>
      </c>
      <c r="C145" s="9" t="s">
        <v>39</v>
      </c>
      <c r="D145" s="9" t="s">
        <v>38</v>
      </c>
      <c r="E145" s="9" t="s">
        <v>42</v>
      </c>
    </row>
    <row r="146" spans="2:13" x14ac:dyDescent="0.3">
      <c r="B146" s="8" t="s">
        <v>37</v>
      </c>
      <c r="C146" s="8">
        <v>7.85</v>
      </c>
      <c r="D146" s="8" t="s">
        <v>36</v>
      </c>
      <c r="E146" s="8" t="s">
        <v>43</v>
      </c>
    </row>
    <row r="147" spans="2:13" x14ac:dyDescent="0.3">
      <c r="B147" s="8" t="s">
        <v>35</v>
      </c>
      <c r="C147" s="8">
        <v>3.25</v>
      </c>
      <c r="D147" s="8" t="s">
        <v>34</v>
      </c>
      <c r="E147" s="8" t="s">
        <v>44</v>
      </c>
    </row>
    <row r="148" spans="2:13" x14ac:dyDescent="0.3">
      <c r="B148" s="8" t="s">
        <v>33</v>
      </c>
      <c r="C148" s="8">
        <v>12.5</v>
      </c>
      <c r="D148" s="8" t="s">
        <v>32</v>
      </c>
      <c r="E148" s="8" t="s">
        <v>56</v>
      </c>
      <c r="I148" s="11"/>
      <c r="J148" s="11"/>
    </row>
    <row r="149" spans="2:13" x14ac:dyDescent="0.3">
      <c r="B149" s="8" t="s">
        <v>31</v>
      </c>
      <c r="C149" s="8">
        <v>6.35</v>
      </c>
      <c r="D149" s="8" t="s">
        <v>30</v>
      </c>
      <c r="E149" s="8" t="s">
        <v>43</v>
      </c>
    </row>
    <row r="150" spans="2:13" x14ac:dyDescent="0.3">
      <c r="B150" s="8" t="s">
        <v>29</v>
      </c>
      <c r="C150" s="8">
        <v>2.5</v>
      </c>
      <c r="D150" s="8" t="s">
        <v>28</v>
      </c>
      <c r="E150" s="8" t="s">
        <v>55</v>
      </c>
      <c r="H150" s="31" t="s">
        <v>104</v>
      </c>
      <c r="I150" s="31"/>
      <c r="J150" s="32">
        <f>_xlfn.MINIFS(C146:C157,E146:E157,"J*")</f>
        <v>6.35</v>
      </c>
      <c r="M150" s="10">
        <f>_xlfn.MINIFS(C146:C157,E146:E157,"J*")</f>
        <v>6.35</v>
      </c>
    </row>
    <row r="151" spans="2:13" x14ac:dyDescent="0.3">
      <c r="B151" s="8" t="s">
        <v>27</v>
      </c>
      <c r="C151" s="8">
        <v>6.5</v>
      </c>
      <c r="D151" s="8" t="s">
        <v>26</v>
      </c>
      <c r="E151" s="8" t="s">
        <v>45</v>
      </c>
      <c r="H151" s="31"/>
      <c r="I151" s="31"/>
      <c r="J151" s="32"/>
    </row>
    <row r="152" spans="2:13" x14ac:dyDescent="0.3">
      <c r="B152" s="8" t="s">
        <v>37</v>
      </c>
      <c r="C152" s="8">
        <v>8.75</v>
      </c>
      <c r="D152" s="8" t="s">
        <v>36</v>
      </c>
      <c r="E152" s="8" t="s">
        <v>43</v>
      </c>
    </row>
    <row r="153" spans="2:13" x14ac:dyDescent="0.3">
      <c r="B153" s="8" t="s">
        <v>31</v>
      </c>
      <c r="C153" s="8">
        <v>4.6500000000000004</v>
      </c>
      <c r="D153" s="8" t="s">
        <v>30</v>
      </c>
      <c r="E153" s="8" t="s">
        <v>44</v>
      </c>
    </row>
    <row r="154" spans="2:13" x14ac:dyDescent="0.3">
      <c r="B154" s="8" t="s">
        <v>37</v>
      </c>
      <c r="C154" s="8">
        <v>12.85</v>
      </c>
      <c r="D154" s="8" t="s">
        <v>36</v>
      </c>
      <c r="E154" s="8" t="s">
        <v>53</v>
      </c>
    </row>
    <row r="155" spans="2:13" x14ac:dyDescent="0.3">
      <c r="B155" s="8" t="s">
        <v>50</v>
      </c>
      <c r="C155" s="8">
        <v>8.25</v>
      </c>
      <c r="D155" s="8" t="s">
        <v>34</v>
      </c>
      <c r="E155" s="8" t="s">
        <v>43</v>
      </c>
    </row>
    <row r="156" spans="2:13" x14ac:dyDescent="0.3">
      <c r="B156" s="8" t="s">
        <v>33</v>
      </c>
      <c r="C156" s="8">
        <v>13.5</v>
      </c>
      <c r="D156" s="8" t="s">
        <v>32</v>
      </c>
      <c r="E156" s="8" t="s">
        <v>44</v>
      </c>
    </row>
    <row r="157" spans="2:13" x14ac:dyDescent="0.3">
      <c r="B157" s="8" t="s">
        <v>51</v>
      </c>
      <c r="C157" s="8">
        <v>9.9499999999999993</v>
      </c>
      <c r="D157" s="8" t="s">
        <v>30</v>
      </c>
      <c r="E157" s="8" t="s">
        <v>54</v>
      </c>
    </row>
  </sheetData>
  <customSheetViews>
    <customSheetView guid="{A5292A6B-6F92-4AB3-B051-EF87F39FC489}" scale="120" showGridLines="0">
      <selection activeCell="B5" sqref="B5"/>
      <pageMargins left="0.7" right="0.7" top="0.75" bottom="0.75" header="0.3" footer="0.3"/>
      <pageSetup orientation="portrait" r:id="rId1"/>
    </customSheetView>
    <customSheetView guid="{6194C141-D0A1-4D58-BA55-90A184525AC3}" scale="120" showGridLines="0">
      <selection activeCell="B5" sqref="B5"/>
      <pageMargins left="0.7" right="0.7" top="0.75" bottom="0.75" header="0.3" footer="0.3"/>
      <pageSetup orientation="portrait" r:id="rId2"/>
    </customSheetView>
    <customSheetView guid="{7A7FC9A5-F2B5-4894-82BC-4528575F10D4}" scale="120" showGridLines="0">
      <selection activeCell="B5" sqref="B5"/>
      <pageMargins left="0.7" right="0.7" top="0.75" bottom="0.75" header="0.3" footer="0.3"/>
      <pageSetup orientation="portrait" r:id="rId3"/>
    </customSheetView>
    <customSheetView guid="{EBA5E9C4-A2DB-4DF0-BF75-1243E968318E}" scale="120" showGridLines="0">
      <selection activeCell="B5" sqref="B5"/>
      <pageMargins left="0.7" right="0.7" top="0.75" bottom="0.75" header="0.3" footer="0.3"/>
      <pageSetup orientation="portrait" r:id="rId4"/>
    </customSheetView>
    <customSheetView guid="{C7330417-67A9-44CF-917F-5F5E2F191AD4}" scale="120" showGridLines="0">
      <selection activeCell="B5" sqref="B5"/>
      <pageMargins left="0.7" right="0.7" top="0.75" bottom="0.75" header="0.3" footer="0.3"/>
      <pageSetup orientation="portrait" r:id="rId5"/>
    </customSheetView>
    <customSheetView guid="{47C01131-7443-4080-A2BB-6B6AA35C6913}" scale="120" showGridLines="0">
      <selection activeCell="B5" sqref="B5"/>
      <pageMargins left="0.7" right="0.7" top="0.75" bottom="0.75" header="0.3" footer="0.3"/>
      <pageSetup orientation="portrait" r:id="rId6"/>
    </customSheetView>
    <customSheetView guid="{19DA6E7F-8950-4769-9BBE-2798EFA465A3}" scale="120" showGridLines="0">
      <selection activeCell="B5" sqref="B5"/>
      <pageMargins left="0.7" right="0.7" top="0.75" bottom="0.75" header="0.3" footer="0.3"/>
      <pageSetup orientation="portrait" r:id="rId7"/>
    </customSheetView>
    <customSheetView guid="{F3CB97AD-592C-4B6E-8AE3-1CD47479060C}" scale="120" showGridLines="0">
      <selection activeCell="B5" sqref="B5"/>
      <pageMargins left="0.7" right="0.7" top="0.75" bottom="0.75" header="0.3" footer="0.3"/>
      <pageSetup orientation="portrait" r:id="rId8"/>
    </customSheetView>
    <customSheetView guid="{422703F6-63C4-435C-AFE7-1030286678F6}" scale="120" showGridLines="0">
      <selection activeCell="B5" sqref="B5"/>
      <pageMargins left="0.7" right="0.7" top="0.75" bottom="0.75" header="0.3" footer="0.3"/>
      <pageSetup orientation="portrait" r:id="rId9"/>
    </customSheetView>
    <customSheetView guid="{02D27969-4CD1-473E-A0E8-856AB0664DE8}" scale="120" showGridLines="0">
      <selection activeCell="B5" sqref="B5"/>
      <pageMargins left="0.7" right="0.7" top="0.75" bottom="0.75" header="0.3" footer="0.3"/>
      <pageSetup orientation="portrait" r:id="rId10"/>
    </customSheetView>
    <customSheetView guid="{1920E7A3-1C9F-4320-81BB-D11544051025}" scale="120" showGridLines="0">
      <selection activeCell="B5" sqref="B5"/>
      <pageMargins left="0.7" right="0.7" top="0.75" bottom="0.75" header="0.3" footer="0.3"/>
      <pageSetup orientation="portrait" r:id="rId11"/>
    </customSheetView>
    <customSheetView guid="{EC7537C6-1678-41C1-B788-EF4AFFECF769}" scale="120" showGridLines="0">
      <selection activeCell="B5" sqref="B5"/>
      <pageMargins left="0.7" right="0.7" top="0.75" bottom="0.75" header="0.3" footer="0.3"/>
      <pageSetup orientation="portrait" r:id="rId12"/>
    </customSheetView>
    <customSheetView guid="{E4FF7DB9-14DF-49DB-9F59-1898DDED4DCE}" scale="120" showGridLines="0">
      <selection activeCell="B5" sqref="B5"/>
      <pageMargins left="0.7" right="0.7" top="0.75" bottom="0.75" header="0.3" footer="0.3"/>
      <pageSetup orientation="portrait" r:id="rId13"/>
    </customSheetView>
    <customSheetView guid="{9AFCAA87-4888-4976-A7C9-C06A34CB6C97}" scale="120" showGridLines="0">
      <selection activeCell="B5" sqref="B5"/>
      <pageMargins left="0.7" right="0.7" top="0.75" bottom="0.75" header="0.3" footer="0.3"/>
      <pageSetup orientation="portrait" r:id="rId14"/>
    </customSheetView>
    <customSheetView guid="{15D7A002-B247-4A6B-A16B-61BDD9B0066A}" scale="120" showGridLines="0">
      <selection activeCell="B5" sqref="B5"/>
      <pageMargins left="0.7" right="0.7" top="0.75" bottom="0.75" header="0.3" footer="0.3"/>
      <pageSetup orientation="portrait" r:id="rId15"/>
    </customSheetView>
    <customSheetView guid="{F789A6E6-3D06-4D93-BF02-46FA1A2548B2}" scale="120" showGridLines="0">
      <selection activeCell="B5" sqref="B5"/>
      <pageMargins left="0.7" right="0.7" top="0.75" bottom="0.75" header="0.3" footer="0.3"/>
      <pageSetup orientation="portrait" r:id="rId16"/>
    </customSheetView>
    <customSheetView guid="{629A478C-29B1-4F25-A016-63CE32A1627F}" scale="120" showGridLines="0">
      <selection activeCell="B5" sqref="B5"/>
      <pageMargins left="0.7" right="0.7" top="0.75" bottom="0.75" header="0.3" footer="0.3"/>
      <pageSetup orientation="portrait" r:id="rId17"/>
    </customSheetView>
    <customSheetView guid="{51BA8A3D-4711-49ED-89E2-EBC09DF2AEDC}" scale="120" showGridLines="0">
      <selection activeCell="B5" sqref="B5"/>
      <pageMargins left="0.7" right="0.7" top="0.75" bottom="0.75" header="0.3" footer="0.3"/>
      <pageSetup orientation="portrait" r:id="rId18"/>
    </customSheetView>
    <customSheetView guid="{25A4A7C0-9593-456C-861C-76D101D3FE93}" scale="120" showGridLines="0">
      <selection activeCell="B5" sqref="B5"/>
      <pageMargins left="0.7" right="0.7" top="0.75" bottom="0.75" header="0.3" footer="0.3"/>
      <pageSetup orientation="portrait" r:id="rId19"/>
    </customSheetView>
    <customSheetView guid="{95D39BA8-2B16-4954-ABAC-09AD33A86339}" scale="120" showGridLines="0">
      <selection activeCell="B5" sqref="B5"/>
      <pageMargins left="0.7" right="0.7" top="0.75" bottom="0.75" header="0.3" footer="0.3"/>
      <pageSetup orientation="portrait" r:id="rId20"/>
    </customSheetView>
    <customSheetView guid="{C65059E8-30E8-488B-A0E9-1B7961920C81}" scale="120" showGridLines="0">
      <selection activeCell="B5" sqref="B5"/>
      <pageMargins left="0.7" right="0.7" top="0.75" bottom="0.75" header="0.3" footer="0.3"/>
      <pageSetup orientation="portrait" r:id="rId21"/>
    </customSheetView>
    <customSheetView guid="{644A6A80-0D34-48F6-A071-17016DCD2D6E}" scale="120" showGridLines="0">
      <selection activeCell="B5" sqref="B5"/>
      <pageMargins left="0.7" right="0.7" top="0.75" bottom="0.75" header="0.3" footer="0.3"/>
      <pageSetup orientation="portrait" r:id="rId22"/>
    </customSheetView>
    <customSheetView guid="{CC562453-1E6B-4010-9E1B-775397A26EFA}" scale="120" showGridLines="0">
      <selection activeCell="B5" sqref="B5"/>
      <pageMargins left="0.7" right="0.7" top="0.75" bottom="0.75" header="0.3" footer="0.3"/>
      <pageSetup orientation="portrait" r:id="rId23"/>
    </customSheetView>
    <customSheetView guid="{E1A67331-473F-4161-806C-BE35870C93B5}" scale="120" showGridLines="0">
      <selection activeCell="B5" sqref="B5"/>
      <pageMargins left="0.7" right="0.7" top="0.75" bottom="0.75" header="0.3" footer="0.3"/>
      <pageSetup orientation="portrait" r:id="rId24"/>
    </customSheetView>
    <customSheetView guid="{BCAB4838-A37A-4BCF-A9C9-CC50C95F58C7}" scale="120" showGridLines="0" topLeftCell="A3">
      <selection activeCell="J8" sqref="J8:J9"/>
      <pageMargins left="0.7" right="0.7" top="0.75" bottom="0.75" header="0.3" footer="0.3"/>
      <pageSetup orientation="portrait" r:id="rId25"/>
    </customSheetView>
    <customSheetView guid="{F518ECB9-5D92-41E0-BFD2-C5175A02444D}" scale="120" showGridLines="0" topLeftCell="A19">
      <selection activeCell="J24" sqref="J24:J25"/>
      <pageMargins left="0.7" right="0.7" top="0.75" bottom="0.75" header="0.3" footer="0.3"/>
      <pageSetup orientation="portrait" r:id="rId26"/>
    </customSheetView>
    <customSheetView guid="{FEB5A49F-F7F7-412A-BE72-F90F7A4799C8}" scale="120" showGridLines="0" topLeftCell="A34">
      <selection activeCell="J40" sqref="J40:J41"/>
      <pageMargins left="0.7" right="0.7" top="0.75" bottom="0.75" header="0.3" footer="0.3"/>
      <pageSetup orientation="portrait" r:id="rId27"/>
    </customSheetView>
    <customSheetView guid="{F9A03991-7A83-41AE-B603-3D22265CDA22}" scale="120" showGridLines="0" topLeftCell="A51">
      <selection activeCell="J56" sqref="J56:J57"/>
      <pageMargins left="0.7" right="0.7" top="0.75" bottom="0.75" header="0.3" footer="0.3"/>
      <pageSetup orientation="portrait" r:id="rId28"/>
    </customSheetView>
    <customSheetView guid="{8A25BF65-C908-4B2F-9805-3CD39BD4330E}" scale="120" showGridLines="0" topLeftCell="A66">
      <selection activeCell="J72" sqref="J72:J73"/>
      <pageMargins left="0.7" right="0.7" top="0.75" bottom="0.75" header="0.3" footer="0.3"/>
      <pageSetup orientation="portrait" r:id="rId29"/>
    </customSheetView>
    <customSheetView guid="{5C8F4C13-387F-42D2-8CB5-92C4886D7919}" scale="120" showGridLines="0" topLeftCell="A93">
      <selection activeCell="J99" sqref="J99:J100"/>
      <pageMargins left="0.7" right="0.7" top="0.75" bottom="0.75" header="0.3" footer="0.3"/>
      <pageSetup orientation="portrait" r:id="rId30"/>
    </customSheetView>
    <customSheetView guid="{395DC3D6-3299-4A43-88E2-62703FCC0349}" scale="120" showGridLines="0" topLeftCell="A110">
      <selection activeCell="J116" sqref="J116:J117"/>
      <pageMargins left="0.7" right="0.7" top="0.75" bottom="0.75" header="0.3" footer="0.3"/>
      <pageSetup orientation="portrait" r:id="rId31"/>
    </customSheetView>
    <customSheetView guid="{FC8D231F-57F9-45EE-9DEF-D7ED111600EB}" scale="120" showGridLines="0" topLeftCell="A125">
      <selection activeCell="J132" sqref="J132:J133"/>
      <pageMargins left="0.7" right="0.7" top="0.75" bottom="0.75" header="0.3" footer="0.3"/>
      <pageSetup orientation="portrait" r:id="rId32"/>
    </customSheetView>
    <customSheetView guid="{7A9AB605-DB82-470C-B86B-95E2AB3523F6}" scale="120" showGridLines="0">
      <pageMargins left="0.7" right="0.7" top="0.75" bottom="0.75" header="0.3" footer="0.3"/>
      <pageSetup orientation="portrait" r:id="rId33"/>
    </customSheetView>
    <customSheetView guid="{0125BE01-BBC8-4E5A-9A9A-3D1257916B8C}" scale="120" showGridLines="0">
      <pageMargins left="0.7" right="0.7" top="0.75" bottom="0.75" header="0.3" footer="0.3"/>
      <pageSetup orientation="portrait" r:id="rId34"/>
    </customSheetView>
    <customSheetView guid="{8BEA0E04-8B9A-4A2D-9B80-4E7685E22D5E}" scale="120" showGridLines="0" topLeftCell="A3">
      <selection activeCell="J8" sqref="J8:J9"/>
      <pageMargins left="0.7" right="0.7" top="0.75" bottom="0.75" header="0.3" footer="0.3"/>
      <pageSetup orientation="portrait" r:id="rId35"/>
    </customSheetView>
    <customSheetView guid="{EE4A95A5-BF42-4BAA-B9EB-84A9230A28F9}" scale="120" showGridLines="0" topLeftCell="A3">
      <selection activeCell="J8" sqref="J8:J9"/>
      <pageMargins left="0.7" right="0.7" top="0.75" bottom="0.75" header="0.3" footer="0.3"/>
      <pageSetup orientation="portrait" r:id="rId36"/>
    </customSheetView>
    <customSheetView guid="{2032DE14-E33D-44B5-9022-A2B48F059704}" scale="120" showGridLines="0" topLeftCell="A3">
      <selection activeCell="J8" sqref="J8:J9"/>
      <pageMargins left="0.7" right="0.7" top="0.75" bottom="0.75" header="0.3" footer="0.3"/>
      <pageSetup orientation="portrait" r:id="rId37"/>
    </customSheetView>
    <customSheetView guid="{DF16608F-40E8-490E-B08D-ED6EEAB8B9EC}" scale="120" showGridLines="0" topLeftCell="A3">
      <selection activeCell="J8" sqref="J8:J9"/>
      <pageMargins left="0.7" right="0.7" top="0.75" bottom="0.75" header="0.3" footer="0.3"/>
      <pageSetup orientation="portrait" r:id="rId38"/>
    </customSheetView>
    <customSheetView guid="{2CEDB1FB-2942-4B51-BF30-285DCDB05292}" scale="120" showGridLines="0" topLeftCell="A3">
      <selection activeCell="J8" sqref="J8:J9"/>
      <pageMargins left="0.7" right="0.7" top="0.75" bottom="0.75" header="0.3" footer="0.3"/>
      <pageSetup orientation="portrait" r:id="rId39"/>
    </customSheetView>
    <customSheetView guid="{E4375DB4-4B74-46BC-A9F2-C5C5055B366F}" scale="120" showGridLines="0" topLeftCell="A3">
      <selection activeCell="J8" sqref="J8:J9"/>
      <pageMargins left="0.7" right="0.7" top="0.75" bottom="0.75" header="0.3" footer="0.3"/>
      <pageSetup orientation="portrait" r:id="rId40"/>
    </customSheetView>
    <customSheetView guid="{58306194-C83B-413E-AC5F-AD717216CB21}" scale="120" showGridLines="0" topLeftCell="A3">
      <selection activeCell="J8" sqref="J8:J9"/>
      <pageMargins left="0.7" right="0.7" top="0.75" bottom="0.75" header="0.3" footer="0.3"/>
      <pageSetup orientation="portrait" r:id="rId41"/>
    </customSheetView>
    <customSheetView guid="{81DEBAD0-6E86-4DFB-8642-C52E8C976BDA}" scale="120" showGridLines="0" topLeftCell="A3">
      <selection activeCell="J8" sqref="J8:J9"/>
      <pageMargins left="0.7" right="0.7" top="0.75" bottom="0.75" header="0.3" footer="0.3"/>
      <pageSetup orientation="portrait" r:id="rId42"/>
    </customSheetView>
    <customSheetView guid="{C575B46A-1D4C-489C-97AE-5DAB6560E171}" scale="120" showGridLines="0" topLeftCell="A3">
      <selection activeCell="J8" sqref="J8:J9"/>
      <pageMargins left="0.7" right="0.7" top="0.75" bottom="0.75" header="0.3" footer="0.3"/>
      <pageSetup orientation="portrait" r:id="rId43"/>
    </customSheetView>
    <customSheetView guid="{C908A6D6-4C77-416B-BC46-6F501B5F842F}" scale="120" showGridLines="0" topLeftCell="A3">
      <selection activeCell="J8" sqref="J8:J9"/>
      <pageMargins left="0.7" right="0.7" top="0.75" bottom="0.75" header="0.3" footer="0.3"/>
      <pageSetup orientation="portrait" r:id="rId44"/>
    </customSheetView>
    <customSheetView guid="{CE50DC7E-3038-4337-BAC8-5B16EE1D95B0}" scale="120" showGridLines="0" topLeftCell="A3">
      <selection activeCell="J8" sqref="J8:J9"/>
      <pageMargins left="0.7" right="0.7" top="0.75" bottom="0.75" header="0.3" footer="0.3"/>
      <pageSetup orientation="portrait" r:id="rId45"/>
    </customSheetView>
    <customSheetView guid="{3511E245-32F9-4CFF-8540-6B03C6FAE218}" scale="120" showGridLines="0" topLeftCell="A3">
      <selection activeCell="J8" sqref="J8:J9"/>
      <pageMargins left="0.7" right="0.7" top="0.75" bottom="0.75" header="0.3" footer="0.3"/>
      <pageSetup orientation="portrait" r:id="rId46"/>
    </customSheetView>
    <customSheetView guid="{DFE0B66A-2DCB-4802-A91B-F836707AD43C}" scale="120" showGridLines="0">
      <selection activeCell="B5" sqref="B5"/>
      <pageMargins left="0.7" right="0.7" top="0.75" bottom="0.75" header="0.3" footer="0.3"/>
      <pageSetup orientation="portrait" r:id="rId47"/>
    </customSheetView>
    <customSheetView guid="{0458C18D-9EF5-4516-9145-CA54D8EB1865}" scale="120" showGridLines="0">
      <selection activeCell="B5" sqref="B5"/>
      <pageMargins left="0.7" right="0.7" top="0.75" bottom="0.75" header="0.3" footer="0.3"/>
      <pageSetup orientation="portrait" r:id="rId48"/>
    </customSheetView>
    <customSheetView guid="{0E02FCC8-6440-4859-9F6B-C77617EF5D89}" scale="120" showGridLines="0">
      <selection activeCell="B5" sqref="B5"/>
      <pageMargins left="0.7" right="0.7" top="0.75" bottom="0.75" header="0.3" footer="0.3"/>
      <pageSetup orientation="portrait" r:id="rId49"/>
    </customSheetView>
    <customSheetView guid="{EE811897-5BF5-4321-9879-5B7EDF90A350}" scale="120" showGridLines="0">
      <selection activeCell="B5" sqref="B5"/>
      <pageMargins left="0.7" right="0.7" top="0.75" bottom="0.75" header="0.3" footer="0.3"/>
      <pageSetup orientation="portrait" r:id="rId50"/>
    </customSheetView>
    <customSheetView guid="{FF03E81F-A9A8-4546-A9C3-77A6EEA02ED9}" scale="120" showGridLines="0">
      <selection activeCell="B5" sqref="B5"/>
      <pageMargins left="0.7" right="0.7" top="0.75" bottom="0.75" header="0.3" footer="0.3"/>
      <pageSetup orientation="portrait" r:id="rId51"/>
    </customSheetView>
    <customSheetView guid="{D9413B31-FDB2-4AE8-80A8-7F09954E703C}" scale="120" showGridLines="0">
      <selection activeCell="B5" sqref="B5"/>
      <pageMargins left="0.7" right="0.7" top="0.75" bottom="0.75" header="0.3" footer="0.3"/>
      <pageSetup orientation="portrait" r:id="rId52"/>
    </customSheetView>
    <customSheetView guid="{B19B24CB-B859-49E3-8AE0-2D671510EE4F}" scale="120" showGridLines="0">
      <selection activeCell="B5" sqref="B5"/>
      <pageMargins left="0.7" right="0.7" top="0.75" bottom="0.75" header="0.3" footer="0.3"/>
      <pageSetup orientation="portrait" r:id="rId53"/>
    </customSheetView>
    <customSheetView guid="{0BF42E77-7016-4BE4-A5AB-A49974630D91}" scale="120" showGridLines="0">
      <selection activeCell="B5" sqref="B5"/>
      <pageMargins left="0.7" right="0.7" top="0.75" bottom="0.75" header="0.3" footer="0.3"/>
      <pageSetup orientation="portrait" r:id="rId54"/>
    </customSheetView>
    <customSheetView guid="{C453A932-6110-4A84-A9C2-26C809391387}" scale="120" showGridLines="0">
      <selection activeCell="J8" sqref="J8:J9"/>
      <pageMargins left="0.7" right="0.7" top="0.75" bottom="0.75" header="0.3" footer="0.3"/>
      <pageSetup orientation="portrait" r:id="rId55"/>
    </customSheetView>
    <customSheetView guid="{08E755F8-82E9-4D95-862B-81F55FBDDDF6}" scale="120" showGridLines="0">
      <selection activeCell="J8" sqref="J8:J9"/>
      <pageMargins left="0.7" right="0.7" top="0.75" bottom="0.75" header="0.3" footer="0.3"/>
      <pageSetup orientation="portrait" r:id="rId56"/>
    </customSheetView>
    <customSheetView guid="{86D36E03-787A-41EB-85FF-8BB8A222055B}" scale="120" showGridLines="0">
      <selection activeCell="J8" sqref="J8:J9"/>
      <pageMargins left="0.7" right="0.7" top="0.75" bottom="0.75" header="0.3" footer="0.3"/>
      <pageSetup orientation="portrait" r:id="rId57"/>
    </customSheetView>
  </customSheetViews>
  <mergeCells count="16">
    <mergeCell ref="H7:I8"/>
    <mergeCell ref="J7:J8"/>
    <mergeCell ref="H27:I28"/>
    <mergeCell ref="J27:J28"/>
    <mergeCell ref="H48:I49"/>
    <mergeCell ref="J48:J49"/>
    <mergeCell ref="H130:I131"/>
    <mergeCell ref="J130:J131"/>
    <mergeCell ref="H150:I151"/>
    <mergeCell ref="J150:J151"/>
    <mergeCell ref="H69:I70"/>
    <mergeCell ref="J69:J70"/>
    <mergeCell ref="H90:I91"/>
    <mergeCell ref="J90:J91"/>
    <mergeCell ref="H109:I110"/>
    <mergeCell ref="J109:J110"/>
  </mergeCells>
  <conditionalFormatting sqref="J7">
    <cfRule type="expression" dxfId="8" priority="6">
      <formula>$J7=$M7</formula>
    </cfRule>
  </conditionalFormatting>
  <conditionalFormatting sqref="J27">
    <cfRule type="expression" dxfId="7" priority="7">
      <formula>$J27=$M27</formula>
    </cfRule>
  </conditionalFormatting>
  <conditionalFormatting sqref="J48">
    <cfRule type="expression" dxfId="6" priority="8">
      <formula>$J48=$M48</formula>
    </cfRule>
  </conditionalFormatting>
  <conditionalFormatting sqref="J69">
    <cfRule type="expression" dxfId="5" priority="2">
      <formula>$J69=$M69</formula>
    </cfRule>
  </conditionalFormatting>
  <conditionalFormatting sqref="J90">
    <cfRule type="expression" dxfId="4" priority="1">
      <formula>$J90=$M90</formula>
    </cfRule>
  </conditionalFormatting>
  <conditionalFormatting sqref="J109">
    <cfRule type="expression" dxfId="3" priority="5">
      <formula>$J109=$M109</formula>
    </cfRule>
  </conditionalFormatting>
  <conditionalFormatting sqref="J130">
    <cfRule type="expression" dxfId="2" priority="4">
      <formula>$J130=$M130</formula>
    </cfRule>
  </conditionalFormatting>
  <conditionalFormatting sqref="J150">
    <cfRule type="expression" dxfId="1" priority="3">
      <formula>$J150=$M150</formula>
    </cfRule>
  </conditionalFormatting>
  <pageMargins left="0.7" right="0.7" top="0.75" bottom="0.75" header="0.3" footer="0.3"/>
  <pageSetup orientation="portrait" r:id="rId58"/>
  <drawing r:id="rId59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78E45-EEA8-439C-B106-E2CE8A41D29F}">
  <sheetPr codeName="Sheet12"/>
  <dimension ref="A1:M16"/>
  <sheetViews>
    <sheetView showGridLines="0" zoomScale="130" zoomScaleNormal="120" workbookViewId="0">
      <selection activeCell="D7" sqref="D7"/>
    </sheetView>
  </sheetViews>
  <sheetFormatPr defaultColWidth="8.85546875" defaultRowHeight="15.75" x14ac:dyDescent="0.25"/>
  <cols>
    <col min="1" max="1" width="6.28515625" style="6" bestFit="1" customWidth="1"/>
    <col min="2" max="2" width="24.7109375" style="6" bestFit="1" customWidth="1"/>
    <col min="3" max="3" width="15.85546875" style="6" bestFit="1" customWidth="1"/>
    <col min="4" max="4" width="13.28515625" style="6" bestFit="1" customWidth="1"/>
    <col min="5" max="5" width="13.140625" style="6" bestFit="1" customWidth="1"/>
    <col min="6" max="6" width="14.7109375" style="6" bestFit="1" customWidth="1"/>
    <col min="7" max="7" width="18.42578125" style="6" bestFit="1" customWidth="1"/>
    <col min="8" max="9" width="6.28515625" style="1" customWidth="1"/>
    <col min="10" max="10" width="9.7109375" style="1" bestFit="1" customWidth="1"/>
    <col min="11" max="16384" width="8.85546875" style="1"/>
  </cols>
  <sheetData>
    <row r="1" spans="1:13" x14ac:dyDescent="0.25">
      <c r="A1" s="3" t="s">
        <v>0</v>
      </c>
      <c r="B1" s="3" t="s">
        <v>1</v>
      </c>
      <c r="C1" s="3" t="s">
        <v>23</v>
      </c>
      <c r="D1" s="3" t="s">
        <v>2</v>
      </c>
      <c r="E1" s="3" t="s">
        <v>3</v>
      </c>
      <c r="F1" s="3" t="s">
        <v>4</v>
      </c>
      <c r="G1" s="4" t="s">
        <v>24</v>
      </c>
    </row>
    <row r="2" spans="1:13" x14ac:dyDescent="0.25">
      <c r="A2" s="5">
        <v>1</v>
      </c>
      <c r="B2" s="5" t="s">
        <v>5</v>
      </c>
      <c r="C2" s="5">
        <v>311</v>
      </c>
      <c r="D2" s="5">
        <v>9.32</v>
      </c>
      <c r="E2" s="5">
        <v>141</v>
      </c>
      <c r="F2" s="5" t="s">
        <v>6</v>
      </c>
      <c r="G2" s="6" t="str" cm="1">
        <f t="array" ref="G2">_xlfn.IFS(C2&gt;100,"Centi Billionaire",C2&lt;100,"Multi Billionaire",C2=100,"Centi Billionaire")</f>
        <v>Centi Billionaire</v>
      </c>
      <c r="H2" s="2" t="str">
        <f>_xlfn.IFS(C2&lt;100,"Multi Billionaire",C2&gt;100,"Centi Billionaire")</f>
        <v>Centi Billionaire</v>
      </c>
      <c r="I2" s="2"/>
    </row>
    <row r="3" spans="1:13" x14ac:dyDescent="0.25">
      <c r="A3" s="5">
        <v>2</v>
      </c>
      <c r="B3" s="5" t="s">
        <v>7</v>
      </c>
      <c r="C3" s="5">
        <v>195</v>
      </c>
      <c r="D3" s="5">
        <v>3.79</v>
      </c>
      <c r="E3" s="5">
        <v>5.0599999999999996</v>
      </c>
      <c r="F3" s="5" t="s">
        <v>6</v>
      </c>
      <c r="G3" s="6" t="str" cm="1">
        <f t="array" ref="G3">_xlfn.IFS(C3&gt;100,"Centi Billionaire",C3&lt;100,"Multi Billionaire",C3=100,"Centi Billionaire")</f>
        <v>Centi Billionaire</v>
      </c>
      <c r="H3" s="2" t="str">
        <f t="shared" ref="H3:H16" si="0">_xlfn.IFS(C3&lt;100,"Multi Billionaire",C3&gt;100,"Centi Billionaire")</f>
        <v>Centi Billionaire</v>
      </c>
      <c r="I3" s="2"/>
    </row>
    <row r="4" spans="1:13" x14ac:dyDescent="0.25">
      <c r="A4" s="5">
        <v>3</v>
      </c>
      <c r="B4" s="5" t="s">
        <v>8</v>
      </c>
      <c r="C4" s="5">
        <v>167</v>
      </c>
      <c r="D4" s="5">
        <v>544</v>
      </c>
      <c r="E4" s="5">
        <v>52.7</v>
      </c>
      <c r="F4" s="5" t="s">
        <v>9</v>
      </c>
      <c r="G4" s="6" t="str" cm="1">
        <f t="array" ref="G4">_xlfn.IFS(C4&gt;100,"Centi Billionaire",C4&lt;100,"Multi Billionaire",C4=100,"Centi Billionaire")</f>
        <v>Centi Billionaire</v>
      </c>
      <c r="H4" s="2" t="str">
        <f t="shared" si="0"/>
        <v>Centi Billionaire</v>
      </c>
      <c r="I4" s="2"/>
    </row>
    <row r="5" spans="1:13" x14ac:dyDescent="0.25">
      <c r="A5" s="5">
        <v>4</v>
      </c>
      <c r="B5" s="5" t="s">
        <v>10</v>
      </c>
      <c r="C5" s="5">
        <v>136</v>
      </c>
      <c r="D5" s="5">
        <v>906</v>
      </c>
      <c r="E5" s="5">
        <v>4.4000000000000004</v>
      </c>
      <c r="F5" s="5" t="s">
        <v>6</v>
      </c>
      <c r="G5" s="6" t="str" cm="1">
        <f t="array" ref="G5">_xlfn.IFS(C5&gt;100,"Centi Billionaire",C5&lt;100,"Multi Billionaire",C5=100,"Centi Billionaire")</f>
        <v>Centi Billionaire</v>
      </c>
      <c r="H5" s="2" t="str">
        <f t="shared" si="0"/>
        <v>Centi Billionaire</v>
      </c>
      <c r="I5" s="2"/>
    </row>
    <row r="6" spans="1:13" x14ac:dyDescent="0.25">
      <c r="A6" s="5">
        <v>5</v>
      </c>
      <c r="B6" s="5" t="s">
        <v>11</v>
      </c>
      <c r="C6" s="5">
        <v>131</v>
      </c>
      <c r="D6" s="5">
        <v>1.71</v>
      </c>
      <c r="E6" s="5">
        <v>48.7</v>
      </c>
      <c r="F6" s="5" t="s">
        <v>6</v>
      </c>
      <c r="G6" s="6" t="str" cm="1">
        <f t="array" ref="G6">_xlfn.IFS(C6&gt;100,"Centi Billionaire",C6&lt;100,"Multi Billionaire",C6=100,"Centi Billionaire")</f>
        <v>Centi Billionaire</v>
      </c>
      <c r="H6" s="2" t="str">
        <f t="shared" si="0"/>
        <v>Centi Billionaire</v>
      </c>
      <c r="I6" s="2"/>
    </row>
    <row r="7" spans="1:13" ht="14.45" customHeight="1" x14ac:dyDescent="0.25">
      <c r="A7" s="5">
        <v>6</v>
      </c>
      <c r="B7" s="5" t="s">
        <v>12</v>
      </c>
      <c r="C7" s="5">
        <v>126</v>
      </c>
      <c r="D7" s="5">
        <v>1.64</v>
      </c>
      <c r="E7" s="5">
        <v>46.7</v>
      </c>
      <c r="F7" s="5" t="s">
        <v>6</v>
      </c>
      <c r="G7" s="6" t="str" cm="1">
        <f t="array" ref="G7">_xlfn.IFS(C7&gt;100,"Centi Billionaire",C7&lt;100,"Multi Billionaire",C7=100,"Centi Billionaire")</f>
        <v>Centi Billionaire</v>
      </c>
      <c r="H7" s="2" t="str">
        <f t="shared" si="0"/>
        <v>Centi Billionaire</v>
      </c>
      <c r="I7" s="2"/>
      <c r="J7" s="39" t="s">
        <v>41</v>
      </c>
      <c r="K7" s="39"/>
      <c r="L7" s="39"/>
      <c r="M7" s="39"/>
    </row>
    <row r="8" spans="1:13" x14ac:dyDescent="0.25">
      <c r="A8" s="5">
        <v>7</v>
      </c>
      <c r="B8" s="5" t="s">
        <v>13</v>
      </c>
      <c r="C8" s="5">
        <v>100</v>
      </c>
      <c r="D8" s="5">
        <v>2.4</v>
      </c>
      <c r="E8" s="5">
        <v>17.3</v>
      </c>
      <c r="F8" s="5" t="s">
        <v>6</v>
      </c>
      <c r="G8" s="6" t="e" cm="1">
        <f t="array" ref="G8">_xlfn.IFS(C8&gt;100,"Centi Billionaire",C8&lt;100,"Multi Billionaire")</f>
        <v>#N/A</v>
      </c>
      <c r="H8" s="2" t="e">
        <f t="shared" si="0"/>
        <v>#N/A</v>
      </c>
      <c r="I8" s="2"/>
      <c r="J8" s="39"/>
      <c r="K8" s="39"/>
      <c r="L8" s="39"/>
      <c r="M8" s="39"/>
    </row>
    <row r="9" spans="1:13" x14ac:dyDescent="0.25">
      <c r="A9" s="5">
        <v>8</v>
      </c>
      <c r="B9" s="5" t="s">
        <v>14</v>
      </c>
      <c r="C9" s="5">
        <v>118</v>
      </c>
      <c r="D9" s="5">
        <v>2.42</v>
      </c>
      <c r="E9" s="5">
        <v>37.6</v>
      </c>
      <c r="F9" s="5" t="s">
        <v>6</v>
      </c>
      <c r="G9" s="6" t="str" cm="1">
        <f t="array" ref="G9">_xlfn.IFS(C9&gt;100,"Centi Billionaire",C9&lt;100,"Multi Billionaire",C9=100,"Centi Billionaire")</f>
        <v>Centi Billionaire</v>
      </c>
      <c r="H9" s="2" t="str">
        <f t="shared" si="0"/>
        <v>Centi Billionaire</v>
      </c>
      <c r="I9" s="2"/>
      <c r="J9" s="39"/>
      <c r="K9" s="39"/>
      <c r="L9" s="39"/>
      <c r="M9" s="39"/>
    </row>
    <row r="10" spans="1:13" x14ac:dyDescent="0.25">
      <c r="A10" s="5">
        <v>9</v>
      </c>
      <c r="B10" s="5" t="s">
        <v>15</v>
      </c>
      <c r="C10" s="5">
        <v>115</v>
      </c>
      <c r="D10" s="5">
        <v>331</v>
      </c>
      <c r="E10" s="5">
        <v>35.4</v>
      </c>
      <c r="F10" s="5" t="s">
        <v>6</v>
      </c>
      <c r="G10" s="6" t="str" cm="1">
        <f t="array" ref="G10">_xlfn.IFS(C10&gt;100,"Centi Billionaire",C10&lt;100,"Multi Billionaire",C10=100,"Centi Billionaire")</f>
        <v>Centi Billionaire</v>
      </c>
      <c r="H10" s="2" t="str">
        <f t="shared" si="0"/>
        <v>Centi Billionaire</v>
      </c>
      <c r="I10" s="2"/>
      <c r="J10" s="39"/>
      <c r="K10" s="39"/>
      <c r="L10" s="39"/>
      <c r="M10" s="39"/>
    </row>
    <row r="11" spans="1:13" x14ac:dyDescent="0.25">
      <c r="A11" s="5">
        <v>10</v>
      </c>
      <c r="B11" s="5" t="s">
        <v>16</v>
      </c>
      <c r="C11" s="5">
        <v>105</v>
      </c>
      <c r="D11" s="5">
        <v>800</v>
      </c>
      <c r="E11" s="5">
        <v>17</v>
      </c>
      <c r="F11" s="5" t="s">
        <v>6</v>
      </c>
      <c r="G11" s="6" t="str" cm="1">
        <f t="array" ref="G11">_xlfn.IFS(C11&gt;100,"Centi Billionaire",C11&lt;100,"Multi Billionaire",C11=100,"Centi Billionaire")</f>
        <v>Centi Billionaire</v>
      </c>
      <c r="H11" s="2" t="str">
        <f t="shared" si="0"/>
        <v>Centi Billionaire</v>
      </c>
      <c r="I11" s="2"/>
      <c r="J11" s="39"/>
      <c r="K11" s="39"/>
      <c r="L11" s="39"/>
      <c r="M11" s="39"/>
    </row>
    <row r="12" spans="1:13" x14ac:dyDescent="0.25">
      <c r="A12" s="5">
        <v>11</v>
      </c>
      <c r="B12" s="5" t="s">
        <v>17</v>
      </c>
      <c r="C12" s="5">
        <v>95.8</v>
      </c>
      <c r="D12" s="5">
        <v>2.56</v>
      </c>
      <c r="E12" s="5">
        <v>19.100000000000001</v>
      </c>
      <c r="F12" s="5" t="s">
        <v>18</v>
      </c>
      <c r="G12" s="6" t="str" cm="1">
        <f t="array" ref="G12">_xlfn.IFS(C12&gt;100,"Centi Billionaire",C12&lt;100,"Multi Billionaire",C12=100,"Centi Billionaire")</f>
        <v>Multi Billionaire</v>
      </c>
      <c r="H12" s="2" t="str">
        <f t="shared" si="0"/>
        <v>Multi Billionaire</v>
      </c>
      <c r="I12" s="2"/>
      <c r="J12" s="39"/>
      <c r="K12" s="39"/>
      <c r="L12" s="39"/>
      <c r="M12" s="39"/>
    </row>
    <row r="13" spans="1:13" x14ac:dyDescent="0.25">
      <c r="A13" s="5">
        <v>12</v>
      </c>
      <c r="B13" s="5" t="s">
        <v>25</v>
      </c>
      <c r="C13" s="5">
        <v>90.4</v>
      </c>
      <c r="D13" s="5">
        <v>597</v>
      </c>
      <c r="E13" s="5">
        <v>14.6</v>
      </c>
      <c r="F13" s="5" t="s">
        <v>9</v>
      </c>
      <c r="G13" s="6" t="str" cm="1">
        <f t="array" ref="G13">_xlfn.IFS(C13&gt;100,"Centi Billionaire",C13&lt;100,"Multi Billionaire",C13=100,"Centi Billionaire")</f>
        <v>Multi Billionaire</v>
      </c>
      <c r="H13" s="2" t="str">
        <f t="shared" si="0"/>
        <v>Multi Billionaire</v>
      </c>
      <c r="I13" s="2"/>
      <c r="J13" s="39"/>
      <c r="K13" s="39"/>
      <c r="L13" s="39"/>
      <c r="M13" s="39"/>
    </row>
    <row r="14" spans="1:13" x14ac:dyDescent="0.25">
      <c r="A14" s="5">
        <v>13</v>
      </c>
      <c r="B14" s="5" t="s">
        <v>19</v>
      </c>
      <c r="C14" s="5">
        <v>99.65</v>
      </c>
      <c r="D14" s="5">
        <v>2.52</v>
      </c>
      <c r="E14" s="5">
        <v>43.3</v>
      </c>
      <c r="F14" s="5" t="s">
        <v>18</v>
      </c>
      <c r="G14" s="6" t="str" cm="1">
        <f t="array" ref="G14">_xlfn.IFS(C14&gt;100,"Centi Billionaire",C14&lt;100,"Multi Billionaire",C14=100,"Centi Billionaire")</f>
        <v>Multi Billionaire</v>
      </c>
      <c r="H14" s="2" t="str">
        <f t="shared" si="0"/>
        <v>Multi Billionaire</v>
      </c>
      <c r="I14" s="2"/>
      <c r="J14" s="39"/>
      <c r="K14" s="39"/>
      <c r="L14" s="39"/>
      <c r="M14" s="39"/>
    </row>
    <row r="15" spans="1:13" x14ac:dyDescent="0.25">
      <c r="A15" s="5">
        <v>14</v>
      </c>
      <c r="B15" s="5" t="s">
        <v>20</v>
      </c>
      <c r="C15" s="5">
        <v>77</v>
      </c>
      <c r="D15" s="5">
        <v>532</v>
      </c>
      <c r="E15" s="5">
        <v>10.5</v>
      </c>
      <c r="F15" s="5" t="s">
        <v>21</v>
      </c>
      <c r="G15" s="6" t="str" cm="1">
        <f t="array" ref="G15">_xlfn.IFS(C15&gt;100,"Centi Billionaire",C15&lt;100,"Multi Billionaire",C15=100,"Centi Billionaire")</f>
        <v>Multi Billionaire</v>
      </c>
      <c r="H15" s="2" t="str">
        <f t="shared" si="0"/>
        <v>Multi Billionaire</v>
      </c>
      <c r="I15" s="2"/>
      <c r="J15" s="39"/>
      <c r="K15" s="39"/>
      <c r="L15" s="39"/>
      <c r="M15" s="39"/>
    </row>
    <row r="16" spans="1:13" x14ac:dyDescent="0.25">
      <c r="A16" s="5">
        <v>15</v>
      </c>
      <c r="B16" s="5" t="s">
        <v>22</v>
      </c>
      <c r="C16" s="5">
        <v>66.5</v>
      </c>
      <c r="D16" s="5">
        <v>315</v>
      </c>
      <c r="E16" s="5">
        <v>4.0199999999999996</v>
      </c>
      <c r="F16" s="5" t="s">
        <v>6</v>
      </c>
      <c r="G16" s="6" t="str" cm="1">
        <f t="array" ref="G16">_xlfn.IFS(C16&gt;100,"Centi Billionaire",C16&lt;100,"Multi Billionaire",C16=100,"Centi Billionaire")</f>
        <v>Multi Billionaire</v>
      </c>
      <c r="H16" s="2" t="str">
        <f t="shared" si="0"/>
        <v>Multi Billionaire</v>
      </c>
      <c r="I16" s="2"/>
    </row>
  </sheetData>
  <customSheetViews>
    <customSheetView guid="{576A445C-3D9A-438D-AC68-B679E3D65634}" scale="130" showGridLines="0" state="hidden">
      <selection activeCell="D7" sqref="D7"/>
      <pageMargins left="0.7" right="0.7" top="0.75" bottom="0.75" header="0.3" footer="0.3"/>
      <pageSetup orientation="portrait" r:id="rId1"/>
    </customSheetView>
    <customSheetView guid="{C1FEC2CE-0AE0-4F12-8438-BD3D230D3830}" scale="130" showGridLines="0" state="hidden">
      <selection activeCell="D7" sqref="D7"/>
      <pageMargins left="0.7" right="0.7" top="0.75" bottom="0.75" header="0.3" footer="0.3"/>
      <pageSetup orientation="portrait" r:id="rId2"/>
    </customSheetView>
    <customSheetView guid="{A3C7F73E-8288-4122-801A-9A426BB0DFB8}" scale="130" showGridLines="0" state="hidden">
      <selection activeCell="D7" sqref="D7"/>
      <pageMargins left="0.7" right="0.7" top="0.75" bottom="0.75" header="0.3" footer="0.3"/>
      <pageSetup orientation="portrait" r:id="rId3"/>
    </customSheetView>
    <customSheetView guid="{F102CDDA-1DB7-4BD5-8A8F-CD5640485596}" scale="130" showGridLines="0" state="hidden">
      <selection activeCell="D7" sqref="D7"/>
      <pageMargins left="0.7" right="0.7" top="0.75" bottom="0.75" header="0.3" footer="0.3"/>
      <pageSetup orientation="portrait" r:id="rId4"/>
    </customSheetView>
    <customSheetView guid="{E18774DE-EF27-4708-91D7-FE2A7EE4C992}" scale="130" showGridLines="0" state="hidden">
      <selection activeCell="D7" sqref="D7"/>
      <pageMargins left="0.7" right="0.7" top="0.75" bottom="0.75" header="0.3" footer="0.3"/>
      <pageSetup orientation="portrait" r:id="rId5"/>
    </customSheetView>
    <customSheetView guid="{E3977DAC-58A9-43A5-A2CD-037AE84A3934}" scale="130" showGridLines="0" state="hidden">
      <selection activeCell="D7" sqref="D7"/>
      <pageMargins left="0.7" right="0.7" top="0.75" bottom="0.75" header="0.3" footer="0.3"/>
      <pageSetup orientation="portrait" r:id="rId6"/>
    </customSheetView>
    <customSheetView guid="{0BFB30CE-F6D9-44B3-99BA-62858BF46600}" scale="130" showGridLines="0" state="hidden">
      <selection activeCell="D7" sqref="D7"/>
      <pageMargins left="0.7" right="0.7" top="0.75" bottom="0.75" header="0.3" footer="0.3"/>
      <pageSetup orientation="portrait" r:id="rId7"/>
    </customSheetView>
    <customSheetView guid="{EF2006E2-DE9B-4938-AD6F-8255BE7D529F}" scale="130" showGridLines="0" state="hidden">
      <selection activeCell="D7" sqref="D7"/>
      <pageMargins left="0.7" right="0.7" top="0.75" bottom="0.75" header="0.3" footer="0.3"/>
      <pageSetup orientation="portrait" r:id="rId8"/>
    </customSheetView>
    <customSheetView guid="{5B4753E1-B7DC-40C2-A28F-B07A6CB075FE}" scale="130" showGridLines="0" state="hidden">
      <selection activeCell="D7" sqref="D7"/>
      <pageMargins left="0.7" right="0.7" top="0.75" bottom="0.75" header="0.3" footer="0.3"/>
      <pageSetup orientation="portrait" r:id="rId9"/>
    </customSheetView>
    <customSheetView guid="{672B3D91-11D6-418C-A856-9FF74CE5E6FB}" scale="130" showGridLines="0" state="hidden">
      <selection activeCell="D7" sqref="D7"/>
      <pageMargins left="0.7" right="0.7" top="0.75" bottom="0.75" header="0.3" footer="0.3"/>
      <pageSetup orientation="portrait" r:id="rId10"/>
    </customSheetView>
    <customSheetView guid="{E712F22D-DF79-4936-B86B-186E637372BF}" scale="130" showGridLines="0" state="hidden">
      <selection activeCell="D7" sqref="D7"/>
      <pageMargins left="0.7" right="0.7" top="0.75" bottom="0.75" header="0.3" footer="0.3"/>
      <pageSetup orientation="portrait" r:id="rId11"/>
    </customSheetView>
    <customSheetView guid="{F716839F-5448-40FC-95BC-286199FD6764}" scale="130" showGridLines="0" state="hidden">
      <selection activeCell="D7" sqref="D7"/>
      <pageMargins left="0.7" right="0.7" top="0.75" bottom="0.75" header="0.3" footer="0.3"/>
      <pageSetup orientation="portrait" r:id="rId12"/>
    </customSheetView>
    <customSheetView guid="{8EBF087E-11C5-42EE-B564-FAEE72C86C17}" scale="130" showGridLines="0" state="hidden">
      <selection activeCell="D7" sqref="D7"/>
      <pageMargins left="0.7" right="0.7" top="0.75" bottom="0.75" header="0.3" footer="0.3"/>
      <pageSetup orientation="portrait" r:id="rId13"/>
    </customSheetView>
    <customSheetView guid="{6B1EB7F4-EF59-450E-A531-475C3A6E6150}" scale="130" showGridLines="0" state="hidden">
      <selection activeCell="D7" sqref="D7"/>
      <pageMargins left="0.7" right="0.7" top="0.75" bottom="0.75" header="0.3" footer="0.3"/>
      <pageSetup orientation="portrait" r:id="rId14"/>
    </customSheetView>
    <customSheetView guid="{8F332A92-7271-4FEC-B085-C15AA232FE21}" scale="130" showGridLines="0" state="hidden">
      <selection activeCell="D7" sqref="D7"/>
      <pageMargins left="0.7" right="0.7" top="0.75" bottom="0.75" header="0.3" footer="0.3"/>
      <pageSetup orientation="portrait" r:id="rId15"/>
    </customSheetView>
    <customSheetView guid="{F2A17A28-A3DF-492D-BAE9-AAEF2A13397B}" scale="130" showGridLines="0" state="hidden">
      <selection activeCell="D7" sqref="D7"/>
      <pageMargins left="0.7" right="0.7" top="0.75" bottom="0.75" header="0.3" footer="0.3"/>
      <pageSetup orientation="portrait" r:id="rId16"/>
    </customSheetView>
    <customSheetView guid="{4F11E31F-E14C-416D-BB97-C8CE74658FBE}" scale="130" showGridLines="0" state="hidden">
      <selection activeCell="D7" sqref="D7"/>
      <pageMargins left="0.7" right="0.7" top="0.75" bottom="0.75" header="0.3" footer="0.3"/>
      <pageSetup orientation="portrait" r:id="rId17"/>
    </customSheetView>
    <customSheetView guid="{C090DFAD-A23A-4678-87F2-095D84EBDDE8}" scale="130" showGridLines="0" state="hidden">
      <selection activeCell="D7" sqref="D7"/>
      <pageMargins left="0.7" right="0.7" top="0.75" bottom="0.75" header="0.3" footer="0.3"/>
      <pageSetup orientation="portrait" r:id="rId18"/>
    </customSheetView>
    <customSheetView guid="{A5292A6B-6F92-4AB3-B051-EF87F39FC489}" scale="130" showGridLines="0" state="hidden">
      <selection activeCell="D7" sqref="D7"/>
      <pageMargins left="0.7" right="0.7" top="0.75" bottom="0.75" header="0.3" footer="0.3"/>
      <pageSetup orientation="portrait" r:id="rId19"/>
    </customSheetView>
    <customSheetView guid="{6194C141-D0A1-4D58-BA55-90A184525AC3}" scale="130" showGridLines="0" state="hidden">
      <selection activeCell="D7" sqref="D7"/>
      <pageMargins left="0.7" right="0.7" top="0.75" bottom="0.75" header="0.3" footer="0.3"/>
      <pageSetup orientation="portrait" r:id="rId20"/>
    </customSheetView>
    <customSheetView guid="{7A7FC9A5-F2B5-4894-82BC-4528575F10D4}" scale="130" showGridLines="0" state="hidden">
      <selection activeCell="D7" sqref="D7"/>
      <pageMargins left="0.7" right="0.7" top="0.75" bottom="0.75" header="0.3" footer="0.3"/>
      <pageSetup orientation="portrait" r:id="rId21"/>
    </customSheetView>
    <customSheetView guid="{EBA5E9C4-A2DB-4DF0-BF75-1243E968318E}" scale="130" showGridLines="0" state="hidden">
      <selection activeCell="D7" sqref="D7"/>
      <pageMargins left="0.7" right="0.7" top="0.75" bottom="0.75" header="0.3" footer="0.3"/>
      <pageSetup orientation="portrait" r:id="rId22"/>
    </customSheetView>
    <customSheetView guid="{C7330417-67A9-44CF-917F-5F5E2F191AD4}" scale="130" showGridLines="0" state="hidden">
      <selection activeCell="D7" sqref="D7"/>
      <pageMargins left="0.7" right="0.7" top="0.75" bottom="0.75" header="0.3" footer="0.3"/>
      <pageSetup orientation="portrait" r:id="rId23"/>
    </customSheetView>
    <customSheetView guid="{47C01131-7443-4080-A2BB-6B6AA35C6913}" scale="130" showGridLines="0" state="hidden">
      <selection activeCell="D7" sqref="D7"/>
      <pageMargins left="0.7" right="0.7" top="0.75" bottom="0.75" header="0.3" footer="0.3"/>
      <pageSetup orientation="portrait" r:id="rId24"/>
    </customSheetView>
    <customSheetView guid="{19DA6E7F-8950-4769-9BBE-2798EFA465A3}" scale="130" showGridLines="0" state="hidden">
      <selection activeCell="D7" sqref="D7"/>
      <pageMargins left="0.7" right="0.7" top="0.75" bottom="0.75" header="0.3" footer="0.3"/>
      <pageSetup orientation="portrait" r:id="rId25"/>
    </customSheetView>
    <customSheetView guid="{F3CB97AD-592C-4B6E-8AE3-1CD47479060C}" scale="130" showGridLines="0" state="hidden">
      <selection activeCell="D7" sqref="D7"/>
      <pageMargins left="0.7" right="0.7" top="0.75" bottom="0.75" header="0.3" footer="0.3"/>
      <pageSetup orientation="portrait" r:id="rId26"/>
    </customSheetView>
    <customSheetView guid="{422703F6-63C4-435C-AFE7-1030286678F6}" scale="130" showGridLines="0" state="hidden">
      <selection activeCell="D7" sqref="D7"/>
      <pageMargins left="0.7" right="0.7" top="0.75" bottom="0.75" header="0.3" footer="0.3"/>
      <pageSetup orientation="portrait" r:id="rId27"/>
    </customSheetView>
    <customSheetView guid="{02D27969-4CD1-473E-A0E8-856AB0664DE8}" scale="130" showGridLines="0" state="hidden">
      <selection activeCell="D7" sqref="D7"/>
      <pageMargins left="0.7" right="0.7" top="0.75" bottom="0.75" header="0.3" footer="0.3"/>
      <pageSetup orientation="portrait" r:id="rId28"/>
    </customSheetView>
    <customSheetView guid="{1920E7A3-1C9F-4320-81BB-D11544051025}" scale="130" showGridLines="0" state="hidden">
      <selection activeCell="D7" sqref="D7"/>
      <pageMargins left="0.7" right="0.7" top="0.75" bottom="0.75" header="0.3" footer="0.3"/>
      <pageSetup orientation="portrait" r:id="rId29"/>
    </customSheetView>
    <customSheetView guid="{EC7537C6-1678-41C1-B788-EF4AFFECF769}" scale="130" showGridLines="0" state="hidden">
      <selection activeCell="D7" sqref="D7"/>
      <pageMargins left="0.7" right="0.7" top="0.75" bottom="0.75" header="0.3" footer="0.3"/>
      <pageSetup orientation="portrait" r:id="rId30"/>
    </customSheetView>
    <customSheetView guid="{E4FF7DB9-14DF-49DB-9F59-1898DDED4DCE}" scale="130" showGridLines="0" state="hidden">
      <selection activeCell="D7" sqref="D7"/>
      <pageMargins left="0.7" right="0.7" top="0.75" bottom="0.75" header="0.3" footer="0.3"/>
      <pageSetup orientation="portrait" r:id="rId31"/>
    </customSheetView>
    <customSheetView guid="{9AFCAA87-4888-4976-A7C9-C06A34CB6C97}" scale="130" showGridLines="0" state="hidden">
      <selection activeCell="D7" sqref="D7"/>
      <pageMargins left="0.7" right="0.7" top="0.75" bottom="0.75" header="0.3" footer="0.3"/>
      <pageSetup orientation="portrait" r:id="rId32"/>
    </customSheetView>
    <customSheetView guid="{15D7A002-B247-4A6B-A16B-61BDD9B0066A}" scale="130" showGridLines="0" state="hidden">
      <selection activeCell="D7" sqref="D7"/>
      <pageMargins left="0.7" right="0.7" top="0.75" bottom="0.75" header="0.3" footer="0.3"/>
      <pageSetup orientation="portrait" r:id="rId33"/>
    </customSheetView>
    <customSheetView guid="{F789A6E6-3D06-4D93-BF02-46FA1A2548B2}" scale="130" showGridLines="0" state="hidden">
      <selection activeCell="D7" sqref="D7"/>
      <pageMargins left="0.7" right="0.7" top="0.75" bottom="0.75" header="0.3" footer="0.3"/>
      <pageSetup orientation="portrait" r:id="rId34"/>
    </customSheetView>
    <customSheetView guid="{629A478C-29B1-4F25-A016-63CE32A1627F}" scale="130" showGridLines="0" state="hidden">
      <selection activeCell="D7" sqref="D7"/>
      <pageMargins left="0.7" right="0.7" top="0.75" bottom="0.75" header="0.3" footer="0.3"/>
      <pageSetup orientation="portrait" r:id="rId35"/>
    </customSheetView>
    <customSheetView guid="{51BA8A3D-4711-49ED-89E2-EBC09DF2AEDC}" scale="130" showGridLines="0" state="hidden">
      <selection activeCell="D7" sqref="D7"/>
      <pageMargins left="0.7" right="0.7" top="0.75" bottom="0.75" header="0.3" footer="0.3"/>
      <pageSetup orientation="portrait" r:id="rId36"/>
    </customSheetView>
    <customSheetView guid="{25A4A7C0-9593-456C-861C-76D101D3FE93}" scale="130" showGridLines="0" state="hidden">
      <selection activeCell="D7" sqref="D7"/>
      <pageMargins left="0.7" right="0.7" top="0.75" bottom="0.75" header="0.3" footer="0.3"/>
      <pageSetup orientation="portrait" r:id="rId37"/>
    </customSheetView>
    <customSheetView guid="{95D39BA8-2B16-4954-ABAC-09AD33A86339}" scale="130" showGridLines="0" state="hidden">
      <selection activeCell="D7" sqref="D7"/>
      <pageMargins left="0.7" right="0.7" top="0.75" bottom="0.75" header="0.3" footer="0.3"/>
      <pageSetup orientation="portrait" r:id="rId38"/>
    </customSheetView>
    <customSheetView guid="{C65059E8-30E8-488B-A0E9-1B7961920C81}" scale="130" showGridLines="0" state="hidden">
      <selection activeCell="D7" sqref="D7"/>
      <pageMargins left="0.7" right="0.7" top="0.75" bottom="0.75" header="0.3" footer="0.3"/>
      <pageSetup orientation="portrait" r:id="rId39"/>
    </customSheetView>
    <customSheetView guid="{644A6A80-0D34-48F6-A071-17016DCD2D6E}" scale="130" showGridLines="0" state="hidden">
      <selection activeCell="D7" sqref="D7"/>
      <pageMargins left="0.7" right="0.7" top="0.75" bottom="0.75" header="0.3" footer="0.3"/>
      <pageSetup orientation="portrait" r:id="rId40"/>
    </customSheetView>
    <customSheetView guid="{CC562453-1E6B-4010-9E1B-775397A26EFA}" scale="130" showGridLines="0" state="hidden">
      <selection activeCell="D7" sqref="D7"/>
      <pageMargins left="0.7" right="0.7" top="0.75" bottom="0.75" header="0.3" footer="0.3"/>
      <pageSetup orientation="portrait" r:id="rId41"/>
    </customSheetView>
    <customSheetView guid="{E1A67331-473F-4161-806C-BE35870C93B5}" scale="130" showGridLines="0" state="hidden">
      <selection activeCell="D7" sqref="D7"/>
      <pageMargins left="0.7" right="0.7" top="0.75" bottom="0.75" header="0.3" footer="0.3"/>
      <pageSetup orientation="portrait" r:id="rId42"/>
    </customSheetView>
    <customSheetView guid="{BCAB4838-A37A-4BCF-A9C9-CC50C95F58C7}" scale="130" showGridLines="0" state="hidden">
      <selection activeCell="D7" sqref="D7"/>
      <pageMargins left="0.7" right="0.7" top="0.75" bottom="0.75" header="0.3" footer="0.3"/>
      <pageSetup orientation="portrait" r:id="rId43"/>
    </customSheetView>
    <customSheetView guid="{F518ECB9-5D92-41E0-BFD2-C5175A02444D}" scale="130" showGridLines="0" state="hidden">
      <selection activeCell="D7" sqref="D7"/>
      <pageMargins left="0.7" right="0.7" top="0.75" bottom="0.75" header="0.3" footer="0.3"/>
      <pageSetup orientation="portrait" r:id="rId44"/>
    </customSheetView>
    <customSheetView guid="{FEB5A49F-F7F7-412A-BE72-F90F7A4799C8}" scale="130" showGridLines="0" state="hidden">
      <selection activeCell="D7" sqref="D7"/>
      <pageMargins left="0.7" right="0.7" top="0.75" bottom="0.75" header="0.3" footer="0.3"/>
      <pageSetup orientation="portrait" r:id="rId45"/>
    </customSheetView>
    <customSheetView guid="{F9A03991-7A83-41AE-B603-3D22265CDA22}" scale="130" showGridLines="0" state="hidden">
      <selection activeCell="D7" sqref="D7"/>
      <pageMargins left="0.7" right="0.7" top="0.75" bottom="0.75" header="0.3" footer="0.3"/>
      <pageSetup orientation="portrait" r:id="rId46"/>
    </customSheetView>
    <customSheetView guid="{8A25BF65-C908-4B2F-9805-3CD39BD4330E}" scale="130" showGridLines="0" state="hidden">
      <selection activeCell="D7" sqref="D7"/>
      <pageMargins left="0.7" right="0.7" top="0.75" bottom="0.75" header="0.3" footer="0.3"/>
      <pageSetup orientation="portrait" r:id="rId47"/>
    </customSheetView>
    <customSheetView guid="{5C8F4C13-387F-42D2-8CB5-92C4886D7919}" scale="130" showGridLines="0" state="hidden">
      <selection activeCell="D7" sqref="D7"/>
      <pageMargins left="0.7" right="0.7" top="0.75" bottom="0.75" header="0.3" footer="0.3"/>
      <pageSetup orientation="portrait" r:id="rId48"/>
    </customSheetView>
    <customSheetView guid="{395DC3D6-3299-4A43-88E2-62703FCC0349}" scale="130" showGridLines="0" state="hidden">
      <selection activeCell="D7" sqref="D7"/>
      <pageMargins left="0.7" right="0.7" top="0.75" bottom="0.75" header="0.3" footer="0.3"/>
      <pageSetup orientation="portrait" r:id="rId49"/>
    </customSheetView>
    <customSheetView guid="{FC8D231F-57F9-45EE-9DEF-D7ED111600EB}" scale="130" showGridLines="0" state="hidden">
      <selection activeCell="D7" sqref="D7"/>
      <pageMargins left="0.7" right="0.7" top="0.75" bottom="0.75" header="0.3" footer="0.3"/>
      <pageSetup orientation="portrait" r:id="rId50"/>
    </customSheetView>
    <customSheetView guid="{7A9AB605-DB82-470C-B86B-95E2AB3523F6}" scale="130" showGridLines="0" state="hidden">
      <selection activeCell="D7" sqref="D7"/>
      <pageMargins left="0.7" right="0.7" top="0.75" bottom="0.75" header="0.3" footer="0.3"/>
      <pageSetup orientation="portrait" r:id="rId51"/>
    </customSheetView>
    <customSheetView guid="{0125BE01-BBC8-4E5A-9A9A-3D1257916B8C}" scale="130" showGridLines="0" state="hidden">
      <selection activeCell="D7" sqref="D7"/>
      <pageMargins left="0.7" right="0.7" top="0.75" bottom="0.75" header="0.3" footer="0.3"/>
      <pageSetup orientation="portrait" r:id="rId52"/>
    </customSheetView>
    <customSheetView guid="{8BEA0E04-8B9A-4A2D-9B80-4E7685E22D5E}" scale="130" showGridLines="0" state="hidden">
      <selection activeCell="D7" sqref="D7"/>
      <pageMargins left="0.7" right="0.7" top="0.75" bottom="0.75" header="0.3" footer="0.3"/>
      <pageSetup orientation="portrait" r:id="rId53"/>
    </customSheetView>
    <customSheetView guid="{EE4A95A5-BF42-4BAA-B9EB-84A9230A28F9}" scale="130" showGridLines="0" state="hidden">
      <selection activeCell="D7" sqref="D7"/>
      <pageMargins left="0.7" right="0.7" top="0.75" bottom="0.75" header="0.3" footer="0.3"/>
      <pageSetup orientation="portrait" r:id="rId54"/>
    </customSheetView>
    <customSheetView guid="{2032DE14-E33D-44B5-9022-A2B48F059704}" scale="130" showGridLines="0" state="hidden">
      <selection activeCell="D7" sqref="D7"/>
      <pageMargins left="0.7" right="0.7" top="0.75" bottom="0.75" header="0.3" footer="0.3"/>
      <pageSetup orientation="portrait" r:id="rId55"/>
    </customSheetView>
    <customSheetView guid="{DF16608F-40E8-490E-B08D-ED6EEAB8B9EC}" scale="130" showGridLines="0" state="hidden">
      <selection activeCell="D7" sqref="D7"/>
      <pageMargins left="0.7" right="0.7" top="0.75" bottom="0.75" header="0.3" footer="0.3"/>
      <pageSetup orientation="portrait" r:id="rId56"/>
    </customSheetView>
    <customSheetView guid="{2CEDB1FB-2942-4B51-BF30-285DCDB05292}" scale="130" showGridLines="0" state="hidden">
      <selection activeCell="D7" sqref="D7"/>
      <pageMargins left="0.7" right="0.7" top="0.75" bottom="0.75" header="0.3" footer="0.3"/>
      <pageSetup orientation="portrait" r:id="rId57"/>
    </customSheetView>
    <customSheetView guid="{E4375DB4-4B74-46BC-A9F2-C5C5055B366F}" scale="130" showGridLines="0" state="hidden">
      <selection activeCell="D7" sqref="D7"/>
      <pageMargins left="0.7" right="0.7" top="0.75" bottom="0.75" header="0.3" footer="0.3"/>
      <pageSetup orientation="portrait" r:id="rId58"/>
    </customSheetView>
    <customSheetView guid="{58306194-C83B-413E-AC5F-AD717216CB21}" scale="130" showGridLines="0" state="hidden">
      <selection activeCell="D7" sqref="D7"/>
      <pageMargins left="0.7" right="0.7" top="0.75" bottom="0.75" header="0.3" footer="0.3"/>
      <pageSetup orientation="portrait" r:id="rId59"/>
    </customSheetView>
    <customSheetView guid="{81DEBAD0-6E86-4DFB-8642-C52E8C976BDA}" scale="130" showGridLines="0" state="hidden">
      <selection activeCell="D7" sqref="D7"/>
      <pageMargins left="0.7" right="0.7" top="0.75" bottom="0.75" header="0.3" footer="0.3"/>
      <pageSetup orientation="portrait" r:id="rId60"/>
    </customSheetView>
    <customSheetView guid="{C575B46A-1D4C-489C-97AE-5DAB6560E171}" scale="130" showGridLines="0" state="hidden">
      <selection activeCell="D7" sqref="D7"/>
      <pageMargins left="0.7" right="0.7" top="0.75" bottom="0.75" header="0.3" footer="0.3"/>
      <pageSetup orientation="portrait" r:id="rId61"/>
    </customSheetView>
    <customSheetView guid="{C908A6D6-4C77-416B-BC46-6F501B5F842F}" scale="130" showGridLines="0" state="hidden">
      <selection activeCell="D7" sqref="D7"/>
      <pageMargins left="0.7" right="0.7" top="0.75" bottom="0.75" header="0.3" footer="0.3"/>
      <pageSetup orientation="portrait" r:id="rId62"/>
    </customSheetView>
    <customSheetView guid="{CE50DC7E-3038-4337-BAC8-5B16EE1D95B0}" scale="130" showGridLines="0" state="hidden">
      <selection activeCell="D7" sqref="D7"/>
      <pageMargins left="0.7" right="0.7" top="0.75" bottom="0.75" header="0.3" footer="0.3"/>
      <pageSetup orientation="portrait" r:id="rId63"/>
    </customSheetView>
    <customSheetView guid="{3511E245-32F9-4CFF-8540-6B03C6FAE218}" scale="130" showGridLines="0" state="hidden">
      <selection activeCell="D7" sqref="D7"/>
      <pageMargins left="0.7" right="0.7" top="0.75" bottom="0.75" header="0.3" footer="0.3"/>
      <pageSetup orientation="portrait" r:id="rId64"/>
    </customSheetView>
    <customSheetView guid="{DFE0B66A-2DCB-4802-A91B-F836707AD43C}" scale="130" showGridLines="0" state="hidden">
      <selection activeCell="D7" sqref="D7"/>
      <pageMargins left="0.7" right="0.7" top="0.75" bottom="0.75" header="0.3" footer="0.3"/>
      <pageSetup orientation="portrait" r:id="rId65"/>
    </customSheetView>
    <customSheetView guid="{0458C18D-9EF5-4516-9145-CA54D8EB1865}" scale="130" showGridLines="0" state="hidden">
      <selection activeCell="D7" sqref="D7"/>
      <pageMargins left="0.7" right="0.7" top="0.75" bottom="0.75" header="0.3" footer="0.3"/>
      <pageSetup orientation="portrait" r:id="rId66"/>
    </customSheetView>
    <customSheetView guid="{0E02FCC8-6440-4859-9F6B-C77617EF5D89}" scale="130" showGridLines="0" state="hidden">
      <selection activeCell="D7" sqref="D7"/>
      <pageMargins left="0.7" right="0.7" top="0.75" bottom="0.75" header="0.3" footer="0.3"/>
      <pageSetup orientation="portrait" r:id="rId67"/>
    </customSheetView>
    <customSheetView guid="{EE811897-5BF5-4321-9879-5B7EDF90A350}" scale="130" showGridLines="0" state="hidden">
      <selection activeCell="D7" sqref="D7"/>
      <pageMargins left="0.7" right="0.7" top="0.75" bottom="0.75" header="0.3" footer="0.3"/>
      <pageSetup orientation="portrait" r:id="rId68"/>
    </customSheetView>
    <customSheetView guid="{FF03E81F-A9A8-4546-A9C3-77A6EEA02ED9}" scale="130" showGridLines="0" state="hidden">
      <selection activeCell="D7" sqref="D7"/>
      <pageMargins left="0.7" right="0.7" top="0.75" bottom="0.75" header="0.3" footer="0.3"/>
      <pageSetup orientation="portrait" r:id="rId69"/>
    </customSheetView>
    <customSheetView guid="{D9413B31-FDB2-4AE8-80A8-7F09954E703C}" scale="130" showGridLines="0" state="hidden">
      <selection activeCell="D7" sqref="D7"/>
      <pageMargins left="0.7" right="0.7" top="0.75" bottom="0.75" header="0.3" footer="0.3"/>
      <pageSetup orientation="portrait" r:id="rId70"/>
    </customSheetView>
    <customSheetView guid="{B19B24CB-B859-49E3-8AE0-2D671510EE4F}" scale="130" showGridLines="0" state="hidden">
      <selection activeCell="D7" sqref="D7"/>
      <pageMargins left="0.7" right="0.7" top="0.75" bottom="0.75" header="0.3" footer="0.3"/>
      <pageSetup orientation="portrait" r:id="rId71"/>
    </customSheetView>
    <customSheetView guid="{0BF42E77-7016-4BE4-A5AB-A49974630D91}" scale="130" showGridLines="0" state="hidden">
      <selection activeCell="D7" sqref="D7"/>
      <pageMargins left="0.7" right="0.7" top="0.75" bottom="0.75" header="0.3" footer="0.3"/>
      <pageSetup orientation="portrait" r:id="rId72"/>
    </customSheetView>
    <customSheetView guid="{C453A932-6110-4A84-A9C2-26C809391387}" scale="130" showGridLines="0" state="hidden">
      <selection activeCell="D7" sqref="D7"/>
      <pageMargins left="0.7" right="0.7" top="0.75" bottom="0.75" header="0.3" footer="0.3"/>
      <pageSetup orientation="portrait" r:id="rId73"/>
    </customSheetView>
    <customSheetView guid="{08E755F8-82E9-4D95-862B-81F55FBDDDF6}" scale="130" showGridLines="0" state="hidden">
      <selection activeCell="D7" sqref="D7"/>
      <pageMargins left="0.7" right="0.7" top="0.75" bottom="0.75" header="0.3" footer="0.3"/>
      <pageSetup orientation="portrait" r:id="rId74"/>
    </customSheetView>
    <customSheetView guid="{86D36E03-787A-41EB-85FF-8BB8A222055B}" scale="130" showGridLines="0" state="hidden">
      <selection activeCell="D7" sqref="D7"/>
      <pageMargins left="0.7" right="0.7" top="0.75" bottom="0.75" header="0.3" footer="0.3"/>
      <pageSetup orientation="portrait" r:id="rId75"/>
    </customSheetView>
  </customSheetViews>
  <mergeCells count="1">
    <mergeCell ref="J7:M15"/>
  </mergeCells>
  <conditionalFormatting sqref="G2:G16">
    <cfRule type="expression" dxfId="0" priority="1">
      <formula>$G2=$H2</formula>
    </cfRule>
  </conditionalFormatting>
  <pageMargins left="0.7" right="0.7" top="0.75" bottom="0.75" header="0.3" footer="0.3"/>
  <pageSetup orientation="portrait" r:id="rId76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B40DA-FDA6-4C4B-99F8-120F42A4E452}">
  <sheetPr codeName="Sheet19"/>
  <dimension ref="A1:H52"/>
  <sheetViews>
    <sheetView showGridLines="0" topLeftCell="A39" zoomScale="120" zoomScaleNormal="120" workbookViewId="0">
      <selection activeCell="D41" sqref="D41"/>
    </sheetView>
  </sheetViews>
  <sheetFormatPr defaultRowHeight="15" x14ac:dyDescent="0.25"/>
  <cols>
    <col min="1" max="1" width="13.7109375" bestFit="1" customWidth="1"/>
    <col min="2" max="2" width="15.7109375" bestFit="1" customWidth="1"/>
    <col min="3" max="3" width="14.7109375" bestFit="1" customWidth="1"/>
    <col min="4" max="4" width="32.5703125" bestFit="1" customWidth="1"/>
    <col min="5" max="5" width="22.42578125" bestFit="1" customWidth="1"/>
    <col min="6" max="6" width="29.85546875" bestFit="1" customWidth="1"/>
    <col min="7" max="7" width="19" bestFit="1" customWidth="1"/>
    <col min="8" max="8" width="17.5703125" bestFit="1" customWidth="1"/>
  </cols>
  <sheetData>
    <row r="1" spans="1:6" ht="18.75" x14ac:dyDescent="0.3">
      <c r="A1" s="9" t="s">
        <v>105</v>
      </c>
      <c r="B1" s="9" t="s">
        <v>106</v>
      </c>
      <c r="C1" s="9" t="s">
        <v>107</v>
      </c>
      <c r="F1" s="20" t="s">
        <v>112</v>
      </c>
    </row>
    <row r="2" spans="1:6" ht="22.5" customHeight="1" x14ac:dyDescent="0.25">
      <c r="A2" s="8" t="s">
        <v>108</v>
      </c>
      <c r="B2" s="8">
        <v>56</v>
      </c>
      <c r="C2" s="8"/>
      <c r="F2" s="21" t="s">
        <v>113</v>
      </c>
    </row>
    <row r="3" spans="1:6" ht="22.5" customHeight="1" x14ac:dyDescent="0.25">
      <c r="A3" s="8" t="s">
        <v>109</v>
      </c>
      <c r="B3" s="8">
        <v>78</v>
      </c>
      <c r="C3" s="8"/>
      <c r="F3" s="21" t="s">
        <v>114</v>
      </c>
    </row>
    <row r="4" spans="1:6" ht="22.5" customHeight="1" x14ac:dyDescent="0.25">
      <c r="A4" s="8" t="s">
        <v>110</v>
      </c>
      <c r="B4" s="8">
        <v>35</v>
      </c>
      <c r="C4" s="8"/>
      <c r="F4" s="21" t="s">
        <v>115</v>
      </c>
    </row>
    <row r="5" spans="1:6" ht="22.5" customHeight="1" x14ac:dyDescent="0.25">
      <c r="A5" s="8" t="s">
        <v>111</v>
      </c>
      <c r="B5" s="8">
        <v>12</v>
      </c>
      <c r="C5" s="8"/>
      <c r="F5" s="21" t="s">
        <v>116</v>
      </c>
    </row>
    <row r="6" spans="1:6" ht="22.5" customHeight="1" x14ac:dyDescent="0.25">
      <c r="A6" s="8" t="s">
        <v>144</v>
      </c>
      <c r="B6" s="8">
        <v>95</v>
      </c>
      <c r="C6" s="8"/>
      <c r="F6" s="21" t="s">
        <v>117</v>
      </c>
    </row>
    <row r="7" spans="1:6" ht="22.5" customHeight="1" x14ac:dyDescent="0.25">
      <c r="A7" s="8" t="s">
        <v>145</v>
      </c>
      <c r="B7" s="8">
        <v>74</v>
      </c>
      <c r="C7" s="8"/>
    </row>
    <row r="8" spans="1:6" ht="22.5" customHeight="1" x14ac:dyDescent="0.25">
      <c r="A8" s="8" t="s">
        <v>146</v>
      </c>
      <c r="B8" s="8">
        <v>66</v>
      </c>
      <c r="C8" s="8"/>
    </row>
    <row r="9" spans="1:6" ht="22.5" customHeight="1" x14ac:dyDescent="0.25">
      <c r="A9" s="8" t="s">
        <v>147</v>
      </c>
      <c r="B9" s="8">
        <v>43</v>
      </c>
      <c r="C9" s="8"/>
    </row>
    <row r="10" spans="1:6" ht="22.5" customHeight="1" x14ac:dyDescent="0.25">
      <c r="A10" s="8" t="s">
        <v>148</v>
      </c>
      <c r="B10" s="8">
        <v>67</v>
      </c>
      <c r="C10" s="8"/>
    </row>
    <row r="11" spans="1:6" ht="22.5" customHeight="1" x14ac:dyDescent="0.25">
      <c r="A11" s="8" t="s">
        <v>149</v>
      </c>
      <c r="B11" s="8">
        <v>98</v>
      </c>
      <c r="C11" s="8"/>
    </row>
    <row r="12" spans="1:6" ht="22.5" customHeight="1" x14ac:dyDescent="0.25">
      <c r="A12" s="8" t="s">
        <v>150</v>
      </c>
      <c r="B12" s="8">
        <v>87</v>
      </c>
      <c r="C12" s="8"/>
    </row>
    <row r="13" spans="1:6" ht="22.5" customHeight="1" x14ac:dyDescent="0.25"/>
    <row r="14" spans="1:6" ht="22.5" customHeight="1" x14ac:dyDescent="0.25"/>
    <row r="20" spans="1:8" ht="18.75" x14ac:dyDescent="0.3">
      <c r="A20" s="9" t="s">
        <v>118</v>
      </c>
      <c r="B20" s="9" t="s">
        <v>125</v>
      </c>
      <c r="C20" s="9" t="s">
        <v>126</v>
      </c>
      <c r="D20" s="9" t="s">
        <v>154</v>
      </c>
      <c r="E20" s="9" t="s">
        <v>155</v>
      </c>
      <c r="G20" s="24" t="s">
        <v>127</v>
      </c>
      <c r="H20" s="24" t="s">
        <v>128</v>
      </c>
    </row>
    <row r="21" spans="1:8" ht="18.75" x14ac:dyDescent="0.25">
      <c r="A21" s="8" t="s">
        <v>119</v>
      </c>
      <c r="B21" s="8">
        <v>8000</v>
      </c>
      <c r="C21" s="8">
        <v>9500</v>
      </c>
      <c r="D21" s="15"/>
      <c r="E21" s="15"/>
      <c r="G21" s="22" t="s">
        <v>132</v>
      </c>
      <c r="H21" s="23">
        <v>0</v>
      </c>
    </row>
    <row r="22" spans="1:8" ht="18.75" x14ac:dyDescent="0.25">
      <c r="A22" s="8" t="s">
        <v>120</v>
      </c>
      <c r="B22" s="8">
        <v>1300</v>
      </c>
      <c r="C22" s="8">
        <v>3500</v>
      </c>
      <c r="D22" s="15"/>
      <c r="E22" s="15"/>
      <c r="G22" s="22" t="s">
        <v>129</v>
      </c>
      <c r="H22" s="23">
        <v>0.03</v>
      </c>
    </row>
    <row r="23" spans="1:8" ht="18.75" x14ac:dyDescent="0.25">
      <c r="A23" s="8" t="s">
        <v>121</v>
      </c>
      <c r="B23" s="8">
        <v>13000</v>
      </c>
      <c r="C23" s="8">
        <v>1839</v>
      </c>
      <c r="D23" s="15"/>
      <c r="E23" s="15"/>
      <c r="G23" s="22" t="s">
        <v>130</v>
      </c>
      <c r="H23" s="23">
        <v>7.0000000000000007E-2</v>
      </c>
    </row>
    <row r="24" spans="1:8" ht="18.75" x14ac:dyDescent="0.25">
      <c r="A24" s="8" t="s">
        <v>122</v>
      </c>
      <c r="B24" s="8">
        <v>300</v>
      </c>
      <c r="C24" s="8">
        <v>35000</v>
      </c>
      <c r="D24" s="15"/>
      <c r="E24" s="15"/>
      <c r="G24" s="22" t="s">
        <v>131</v>
      </c>
      <c r="H24" s="23">
        <v>8.5000000000000006E-2</v>
      </c>
    </row>
    <row r="25" spans="1:8" ht="18.75" x14ac:dyDescent="0.25">
      <c r="A25" s="8" t="s">
        <v>123</v>
      </c>
      <c r="B25" s="8">
        <v>6500</v>
      </c>
      <c r="C25" s="8">
        <v>8900</v>
      </c>
      <c r="D25" s="15"/>
      <c r="E25" s="15"/>
      <c r="G25" s="22" t="s">
        <v>133</v>
      </c>
      <c r="H25" s="23">
        <v>0.1</v>
      </c>
    </row>
    <row r="26" spans="1:8" ht="18.75" x14ac:dyDescent="0.25">
      <c r="A26" s="8" t="s">
        <v>124</v>
      </c>
      <c r="B26" s="8">
        <v>5300</v>
      </c>
      <c r="C26" s="8">
        <v>7350</v>
      </c>
      <c r="D26" s="15"/>
      <c r="E26" s="15"/>
    </row>
    <row r="27" spans="1:8" ht="18.75" customHeight="1" x14ac:dyDescent="0.25">
      <c r="A27" s="8" t="s">
        <v>148</v>
      </c>
      <c r="B27" s="8">
        <v>8950</v>
      </c>
      <c r="C27" s="8">
        <v>2900</v>
      </c>
      <c r="D27" s="15"/>
      <c r="E27" s="15"/>
      <c r="G27" s="34" t="s">
        <v>158</v>
      </c>
      <c r="H27" s="34"/>
    </row>
    <row r="28" spans="1:8" ht="18.75" x14ac:dyDescent="0.25">
      <c r="A28" s="8" t="s">
        <v>151</v>
      </c>
      <c r="B28" s="8">
        <v>17600</v>
      </c>
      <c r="C28" s="8">
        <v>8300</v>
      </c>
      <c r="D28" s="15"/>
      <c r="E28" s="15"/>
      <c r="G28" s="34"/>
      <c r="H28" s="34"/>
    </row>
    <row r="29" spans="1:8" ht="18.75" x14ac:dyDescent="0.25">
      <c r="A29" s="8" t="s">
        <v>152</v>
      </c>
      <c r="B29" s="8">
        <v>11340</v>
      </c>
      <c r="C29" s="8">
        <v>4600</v>
      </c>
      <c r="D29" s="15"/>
      <c r="E29" s="15"/>
      <c r="G29" s="34"/>
      <c r="H29" s="34"/>
    </row>
    <row r="30" spans="1:8" ht="18.75" x14ac:dyDescent="0.25">
      <c r="A30" s="8" t="s">
        <v>153</v>
      </c>
      <c r="B30" s="8">
        <v>2600</v>
      </c>
      <c r="C30" s="8">
        <v>3200</v>
      </c>
      <c r="D30" s="15"/>
      <c r="E30" s="15"/>
    </row>
    <row r="31" spans="1:8" ht="18.75" x14ac:dyDescent="0.25">
      <c r="A31" s="8" t="s">
        <v>156</v>
      </c>
      <c r="B31" s="8">
        <v>4300</v>
      </c>
      <c r="C31" s="8">
        <v>1700</v>
      </c>
      <c r="D31" s="15"/>
      <c r="E31" s="15"/>
    </row>
    <row r="32" spans="1:8" ht="18.75" x14ac:dyDescent="0.25">
      <c r="A32" s="8" t="s">
        <v>157</v>
      </c>
      <c r="B32" s="8">
        <v>7600</v>
      </c>
      <c r="C32" s="8">
        <v>9200</v>
      </c>
      <c r="D32" s="15"/>
      <c r="E32" s="15"/>
    </row>
    <row r="40" spans="1:7" ht="18.75" x14ac:dyDescent="0.3">
      <c r="A40" s="9" t="s">
        <v>159</v>
      </c>
      <c r="B40" s="9" t="s">
        <v>160</v>
      </c>
      <c r="C40" s="9" t="s">
        <v>162</v>
      </c>
      <c r="D40" s="9" t="s">
        <v>161</v>
      </c>
      <c r="F40" s="20" t="s">
        <v>167</v>
      </c>
      <c r="G40" s="20" t="s">
        <v>166</v>
      </c>
    </row>
    <row r="41" spans="1:7" ht="18.75" x14ac:dyDescent="0.25">
      <c r="A41" s="8" t="s">
        <v>119</v>
      </c>
      <c r="B41" s="8">
        <v>1.7</v>
      </c>
      <c r="C41" s="8" t="s">
        <v>163</v>
      </c>
      <c r="D41" s="15"/>
      <c r="F41" s="25" t="s">
        <v>168</v>
      </c>
      <c r="G41" s="28" t="s">
        <v>172</v>
      </c>
    </row>
    <row r="42" spans="1:7" ht="18.75" x14ac:dyDescent="0.25">
      <c r="A42" s="8" t="s">
        <v>120</v>
      </c>
      <c r="B42" s="8">
        <v>2.2999999999999998</v>
      </c>
      <c r="C42" s="8" t="s">
        <v>164</v>
      </c>
      <c r="D42" s="15"/>
      <c r="F42" s="26" t="s">
        <v>170</v>
      </c>
      <c r="G42" s="29" t="s">
        <v>173</v>
      </c>
    </row>
    <row r="43" spans="1:7" ht="18.75" x14ac:dyDescent="0.25">
      <c r="A43" s="8" t="s">
        <v>121</v>
      </c>
      <c r="B43" s="8">
        <v>3.6</v>
      </c>
      <c r="C43" s="8" t="s">
        <v>165</v>
      </c>
      <c r="D43" s="15"/>
      <c r="F43" s="26" t="s">
        <v>169</v>
      </c>
      <c r="G43" s="29" t="s">
        <v>174</v>
      </c>
    </row>
    <row r="44" spans="1:7" ht="18.75" x14ac:dyDescent="0.25">
      <c r="A44" s="8" t="s">
        <v>122</v>
      </c>
      <c r="B44" s="8">
        <v>1.2</v>
      </c>
      <c r="C44" s="8" t="s">
        <v>163</v>
      </c>
      <c r="D44" s="15"/>
      <c r="F44" s="27" t="s">
        <v>171</v>
      </c>
      <c r="G44" s="30"/>
    </row>
    <row r="45" spans="1:7" ht="18.75" x14ac:dyDescent="0.25">
      <c r="A45" s="8" t="s">
        <v>123</v>
      </c>
      <c r="B45" s="8">
        <v>4.2</v>
      </c>
      <c r="C45" s="8" t="s">
        <v>164</v>
      </c>
      <c r="D45" s="15"/>
      <c r="F45" s="21"/>
    </row>
    <row r="46" spans="1:7" ht="18.75" x14ac:dyDescent="0.25">
      <c r="A46" s="8" t="s">
        <v>124</v>
      </c>
      <c r="B46" s="8">
        <v>2.7</v>
      </c>
      <c r="C46" s="8" t="s">
        <v>165</v>
      </c>
      <c r="D46" s="15"/>
    </row>
    <row r="47" spans="1:7" ht="18.75" x14ac:dyDescent="0.25">
      <c r="A47" s="8" t="s">
        <v>148</v>
      </c>
      <c r="B47" s="8">
        <v>3.9</v>
      </c>
      <c r="C47" s="8" t="s">
        <v>163</v>
      </c>
      <c r="D47" s="15"/>
      <c r="F47" s="34" t="s">
        <v>175</v>
      </c>
      <c r="G47" s="34"/>
    </row>
    <row r="48" spans="1:7" ht="18.75" x14ac:dyDescent="0.25">
      <c r="A48" s="8" t="s">
        <v>151</v>
      </c>
      <c r="B48" s="8">
        <v>4.0999999999999996</v>
      </c>
      <c r="C48" s="8" t="s">
        <v>164</v>
      </c>
      <c r="D48" s="15"/>
      <c r="F48" s="34"/>
      <c r="G48" s="34"/>
    </row>
    <row r="49" spans="1:7" ht="18.75" x14ac:dyDescent="0.25">
      <c r="A49" s="8" t="s">
        <v>152</v>
      </c>
      <c r="B49" s="8">
        <v>4.7</v>
      </c>
      <c r="C49" s="8" t="s">
        <v>165</v>
      </c>
      <c r="D49" s="15"/>
      <c r="F49" s="34"/>
      <c r="G49" s="34"/>
    </row>
    <row r="50" spans="1:7" ht="18.75" x14ac:dyDescent="0.25">
      <c r="A50" s="8" t="s">
        <v>153</v>
      </c>
      <c r="B50" s="8">
        <v>3.6</v>
      </c>
      <c r="C50" s="8" t="s">
        <v>163</v>
      </c>
      <c r="D50" s="15"/>
    </row>
    <row r="51" spans="1:7" ht="18.75" x14ac:dyDescent="0.25">
      <c r="A51" s="8" t="s">
        <v>156</v>
      </c>
      <c r="B51" s="8">
        <v>2.6</v>
      </c>
      <c r="C51" s="8" t="s">
        <v>164</v>
      </c>
      <c r="D51" s="15"/>
    </row>
    <row r="52" spans="1:7" ht="18.75" x14ac:dyDescent="0.25">
      <c r="A52" s="8" t="s">
        <v>157</v>
      </c>
      <c r="B52" s="8">
        <v>0.91</v>
      </c>
      <c r="C52" s="8" t="s">
        <v>165</v>
      </c>
      <c r="D52" s="15"/>
    </row>
  </sheetData>
  <customSheetViews>
    <customSheetView guid="{A5292A6B-6F92-4AB3-B051-EF87F39FC489}" scale="120">
      <pageMargins left="0.7" right="0.7" top="0.75" bottom="0.75" header="0.3" footer="0.3"/>
      <pageSetup orientation="portrait" r:id="rId1"/>
    </customSheetView>
    <customSheetView guid="{6194C141-D0A1-4D58-BA55-90A184525AC3}" scale="120">
      <pageMargins left="0.7" right="0.7" top="0.75" bottom="0.75" header="0.3" footer="0.3"/>
      <pageSetup orientation="portrait" r:id="rId2"/>
    </customSheetView>
    <customSheetView guid="{7A7FC9A5-F2B5-4894-82BC-4528575F10D4}" scale="120">
      <pageMargins left="0.7" right="0.7" top="0.75" bottom="0.75" header="0.3" footer="0.3"/>
      <pageSetup orientation="portrait" r:id="rId3"/>
    </customSheetView>
    <customSheetView guid="{EBA5E9C4-A2DB-4DF0-BF75-1243E968318E}" scale="120">
      <pageMargins left="0.7" right="0.7" top="0.75" bottom="0.75" header="0.3" footer="0.3"/>
      <pageSetup orientation="portrait" r:id="rId4"/>
    </customSheetView>
    <customSheetView guid="{C7330417-67A9-44CF-917F-5F5E2F191AD4}" scale="120">
      <pageMargins left="0.7" right="0.7" top="0.75" bottom="0.75" header="0.3" footer="0.3"/>
      <pageSetup orientation="portrait" r:id="rId5"/>
    </customSheetView>
    <customSheetView guid="{47C01131-7443-4080-A2BB-6B6AA35C6913}" scale="120">
      <pageMargins left="0.7" right="0.7" top="0.75" bottom="0.75" header="0.3" footer="0.3"/>
      <pageSetup orientation="portrait" r:id="rId6"/>
    </customSheetView>
    <customSheetView guid="{19DA6E7F-8950-4769-9BBE-2798EFA465A3}" scale="120">
      <pageMargins left="0.7" right="0.7" top="0.75" bottom="0.75" header="0.3" footer="0.3"/>
      <pageSetup orientation="portrait" r:id="rId7"/>
    </customSheetView>
    <customSheetView guid="{F3CB97AD-592C-4B6E-8AE3-1CD47479060C}" scale="120">
      <pageMargins left="0.7" right="0.7" top="0.75" bottom="0.75" header="0.3" footer="0.3"/>
      <pageSetup orientation="portrait" r:id="rId8"/>
    </customSheetView>
    <customSheetView guid="{422703F6-63C4-435C-AFE7-1030286678F6}" scale="120">
      <pageMargins left="0.7" right="0.7" top="0.75" bottom="0.75" header="0.3" footer="0.3"/>
      <pageSetup orientation="portrait" r:id="rId9"/>
    </customSheetView>
    <customSheetView guid="{02D27969-4CD1-473E-A0E8-856AB0664DE8}" scale="120">
      <pageMargins left="0.7" right="0.7" top="0.75" bottom="0.75" header="0.3" footer="0.3"/>
      <pageSetup orientation="portrait" r:id="rId10"/>
    </customSheetView>
    <customSheetView guid="{1920E7A3-1C9F-4320-81BB-D11544051025}" scale="120">
      <pageMargins left="0.7" right="0.7" top="0.75" bottom="0.75" header="0.3" footer="0.3"/>
      <pageSetup orientation="portrait" r:id="rId11"/>
    </customSheetView>
    <customSheetView guid="{EC7537C6-1678-41C1-B788-EF4AFFECF769}" scale="120">
      <pageMargins left="0.7" right="0.7" top="0.75" bottom="0.75" header="0.3" footer="0.3"/>
      <pageSetup orientation="portrait" r:id="rId12"/>
    </customSheetView>
    <customSheetView guid="{E4FF7DB9-14DF-49DB-9F59-1898DDED4DCE}" scale="120">
      <pageMargins left="0.7" right="0.7" top="0.75" bottom="0.75" header="0.3" footer="0.3"/>
      <pageSetup orientation="portrait" r:id="rId13"/>
    </customSheetView>
    <customSheetView guid="{9AFCAA87-4888-4976-A7C9-C06A34CB6C97}" scale="120">
      <pageMargins left="0.7" right="0.7" top="0.75" bottom="0.75" header="0.3" footer="0.3"/>
      <pageSetup orientation="portrait" r:id="rId14"/>
    </customSheetView>
    <customSheetView guid="{15D7A002-B247-4A6B-A16B-61BDD9B0066A}" scale="120">
      <pageMargins left="0.7" right="0.7" top="0.75" bottom="0.75" header="0.3" footer="0.3"/>
      <pageSetup orientation="portrait" r:id="rId15"/>
    </customSheetView>
    <customSheetView guid="{F789A6E6-3D06-4D93-BF02-46FA1A2548B2}" scale="120">
      <pageMargins left="0.7" right="0.7" top="0.75" bottom="0.75" header="0.3" footer="0.3"/>
      <pageSetup orientation="portrait" r:id="rId16"/>
    </customSheetView>
    <customSheetView guid="{629A478C-29B1-4F25-A016-63CE32A1627F}" scale="120">
      <pageMargins left="0.7" right="0.7" top="0.75" bottom="0.75" header="0.3" footer="0.3"/>
      <pageSetup orientation="portrait" r:id="rId17"/>
    </customSheetView>
    <customSheetView guid="{51BA8A3D-4711-49ED-89E2-EBC09DF2AEDC}" scale="120">
      <pageMargins left="0.7" right="0.7" top="0.75" bottom="0.75" header="0.3" footer="0.3"/>
      <pageSetup orientation="portrait" r:id="rId18"/>
    </customSheetView>
    <customSheetView guid="{25A4A7C0-9593-456C-861C-76D101D3FE93}" scale="120">
      <pageMargins left="0.7" right="0.7" top="0.75" bottom="0.75" header="0.3" footer="0.3"/>
      <pageSetup orientation="portrait" r:id="rId19"/>
    </customSheetView>
    <customSheetView guid="{95D39BA8-2B16-4954-ABAC-09AD33A86339}" scale="120">
      <pageMargins left="0.7" right="0.7" top="0.75" bottom="0.75" header="0.3" footer="0.3"/>
      <pageSetup orientation="portrait" r:id="rId20"/>
    </customSheetView>
    <customSheetView guid="{C65059E8-30E8-488B-A0E9-1B7961920C81}" scale="120">
      <pageMargins left="0.7" right="0.7" top="0.75" bottom="0.75" header="0.3" footer="0.3"/>
      <pageSetup orientation="portrait" r:id="rId21"/>
    </customSheetView>
    <customSheetView guid="{644A6A80-0D34-48F6-A071-17016DCD2D6E}" scale="120">
      <pageMargins left="0.7" right="0.7" top="0.75" bottom="0.75" header="0.3" footer="0.3"/>
      <pageSetup orientation="portrait" r:id="rId22"/>
    </customSheetView>
    <customSheetView guid="{CC562453-1E6B-4010-9E1B-775397A26EFA}" scale="120">
      <pageMargins left="0.7" right="0.7" top="0.75" bottom="0.75" header="0.3" footer="0.3"/>
      <pageSetup orientation="portrait" r:id="rId23"/>
    </customSheetView>
    <customSheetView guid="{E1A67331-473F-4161-806C-BE35870C93B5}" scale="120">
      <pageMargins left="0.7" right="0.7" top="0.75" bottom="0.75" header="0.3" footer="0.3"/>
      <pageSetup orientation="portrait" r:id="rId24"/>
    </customSheetView>
    <customSheetView guid="{BCAB4838-A37A-4BCF-A9C9-CC50C95F58C7}" scale="120">
      <pageMargins left="0.7" right="0.7" top="0.75" bottom="0.75" header="0.3" footer="0.3"/>
      <pageSetup orientation="portrait" r:id="rId25"/>
    </customSheetView>
    <customSheetView guid="{F518ECB9-5D92-41E0-BFD2-C5175A02444D}" scale="120">
      <pageMargins left="0.7" right="0.7" top="0.75" bottom="0.75" header="0.3" footer="0.3"/>
      <pageSetup orientation="portrait" r:id="rId26"/>
    </customSheetView>
    <customSheetView guid="{FEB5A49F-F7F7-412A-BE72-F90F7A4799C8}" scale="120">
      <pageMargins left="0.7" right="0.7" top="0.75" bottom="0.75" header="0.3" footer="0.3"/>
      <pageSetup orientation="portrait" r:id="rId27"/>
    </customSheetView>
    <customSheetView guid="{F9A03991-7A83-41AE-B603-3D22265CDA22}" scale="120">
      <pageMargins left="0.7" right="0.7" top="0.75" bottom="0.75" header="0.3" footer="0.3"/>
      <pageSetup orientation="portrait" r:id="rId28"/>
    </customSheetView>
    <customSheetView guid="{8A25BF65-C908-4B2F-9805-3CD39BD4330E}" scale="120">
      <pageMargins left="0.7" right="0.7" top="0.75" bottom="0.75" header="0.3" footer="0.3"/>
      <pageSetup orientation="portrait" r:id="rId29"/>
    </customSheetView>
    <customSheetView guid="{5C8F4C13-387F-42D2-8CB5-92C4886D7919}" scale="120">
      <pageMargins left="0.7" right="0.7" top="0.75" bottom="0.75" header="0.3" footer="0.3"/>
      <pageSetup orientation="portrait" r:id="rId30"/>
    </customSheetView>
    <customSheetView guid="{395DC3D6-3299-4A43-88E2-62703FCC0349}" scale="120">
      <pageMargins left="0.7" right="0.7" top="0.75" bottom="0.75" header="0.3" footer="0.3"/>
      <pageSetup orientation="portrait" r:id="rId31"/>
    </customSheetView>
    <customSheetView guid="{FC8D231F-57F9-45EE-9DEF-D7ED111600EB}" scale="120">
      <pageMargins left="0.7" right="0.7" top="0.75" bottom="0.75" header="0.3" footer="0.3"/>
      <pageSetup orientation="portrait" r:id="rId32"/>
    </customSheetView>
    <customSheetView guid="{7A9AB605-DB82-470C-B86B-95E2AB3523F6}" scale="120">
      <pageMargins left="0.7" right="0.7" top="0.75" bottom="0.75" header="0.3" footer="0.3"/>
      <pageSetup orientation="portrait" r:id="rId33"/>
    </customSheetView>
    <customSheetView guid="{0125BE01-BBC8-4E5A-9A9A-3D1257916B8C}" scale="120">
      <pageMargins left="0.7" right="0.7" top="0.75" bottom="0.75" header="0.3" footer="0.3"/>
      <pageSetup orientation="portrait" r:id="rId34"/>
    </customSheetView>
    <customSheetView guid="{8BEA0E04-8B9A-4A2D-9B80-4E7685E22D5E}" scale="120">
      <pageMargins left="0.7" right="0.7" top="0.75" bottom="0.75" header="0.3" footer="0.3"/>
      <pageSetup orientation="portrait" r:id="rId35"/>
    </customSheetView>
    <customSheetView guid="{EE4A95A5-BF42-4BAA-B9EB-84A9230A28F9}" scale="120">
      <pageMargins left="0.7" right="0.7" top="0.75" bottom="0.75" header="0.3" footer="0.3"/>
      <pageSetup orientation="portrait" r:id="rId36"/>
    </customSheetView>
    <customSheetView guid="{2032DE14-E33D-44B5-9022-A2B48F059704}" scale="120">
      <pageMargins left="0.7" right="0.7" top="0.75" bottom="0.75" header="0.3" footer="0.3"/>
      <pageSetup orientation="portrait" r:id="rId37"/>
    </customSheetView>
    <customSheetView guid="{DF16608F-40E8-490E-B08D-ED6EEAB8B9EC}" scale="120">
      <selection activeCell="D16" sqref="D16"/>
      <pageMargins left="0.7" right="0.7" top="0.75" bottom="0.75" header="0.3" footer="0.3"/>
      <pageSetup orientation="portrait" r:id="rId38"/>
    </customSheetView>
    <customSheetView guid="{2CEDB1FB-2942-4B51-BF30-285DCDB05292}" scale="120">
      <selection activeCell="D16" sqref="D16"/>
      <pageMargins left="0.7" right="0.7" top="0.75" bottom="0.75" header="0.3" footer="0.3"/>
      <pageSetup orientation="portrait" r:id="rId39"/>
    </customSheetView>
    <customSheetView guid="{E4375DB4-4B74-46BC-A9F2-C5C5055B366F}" scale="120">
      <selection activeCell="D16" sqref="D16"/>
      <pageMargins left="0.7" right="0.7" top="0.75" bottom="0.75" header="0.3" footer="0.3"/>
      <pageSetup orientation="portrait" r:id="rId40"/>
    </customSheetView>
    <customSheetView guid="{58306194-C83B-413E-AC5F-AD717216CB21}" scale="120">
      <selection activeCell="D16" sqref="D16"/>
      <pageMargins left="0.7" right="0.7" top="0.75" bottom="0.75" header="0.3" footer="0.3"/>
      <pageSetup orientation="portrait" r:id="rId41"/>
    </customSheetView>
    <customSheetView guid="{81DEBAD0-6E86-4DFB-8642-C52E8C976BDA}" scale="120">
      <selection activeCell="D16" sqref="D16"/>
      <pageMargins left="0.7" right="0.7" top="0.75" bottom="0.75" header="0.3" footer="0.3"/>
      <pageSetup orientation="portrait" r:id="rId42"/>
    </customSheetView>
    <customSheetView guid="{C575B46A-1D4C-489C-97AE-5DAB6560E171}" scale="120">
      <selection activeCell="D16" sqref="D16"/>
      <pageMargins left="0.7" right="0.7" top="0.75" bottom="0.75" header="0.3" footer="0.3"/>
      <pageSetup orientation="portrait" r:id="rId43"/>
    </customSheetView>
    <customSheetView guid="{C908A6D6-4C77-416B-BC46-6F501B5F842F}" scale="120">
      <selection activeCell="D5" sqref="D5"/>
      <pageMargins left="0.7" right="0.7" top="0.75" bottom="0.75" header="0.3" footer="0.3"/>
      <pageSetup orientation="portrait" r:id="rId44"/>
    </customSheetView>
    <customSheetView guid="{CE50DC7E-3038-4337-BAC8-5B16EE1D95B0}" scale="120">
      <selection activeCell="D5" sqref="D5"/>
      <pageMargins left="0.7" right="0.7" top="0.75" bottom="0.75" header="0.3" footer="0.3"/>
      <pageSetup orientation="portrait" r:id="rId45"/>
    </customSheetView>
    <customSheetView guid="{3511E245-32F9-4CFF-8540-6B03C6FAE218}" scale="120">
      <selection activeCell="D5" sqref="D5"/>
      <pageMargins left="0.7" right="0.7" top="0.75" bottom="0.75" header="0.3" footer="0.3"/>
      <pageSetup orientation="portrait" r:id="rId46"/>
    </customSheetView>
    <customSheetView guid="{DFE0B66A-2DCB-4802-A91B-F836707AD43C}" scale="120">
      <selection activeCell="D5" sqref="D5"/>
      <pageMargins left="0.7" right="0.7" top="0.75" bottom="0.75" header="0.3" footer="0.3"/>
      <pageSetup orientation="portrait" r:id="rId47"/>
    </customSheetView>
    <customSheetView guid="{0458C18D-9EF5-4516-9145-CA54D8EB1865}" scale="120">
      <selection activeCell="D5" sqref="D5"/>
      <pageMargins left="0.7" right="0.7" top="0.75" bottom="0.75" header="0.3" footer="0.3"/>
      <pageSetup orientation="portrait" r:id="rId48"/>
    </customSheetView>
    <customSheetView guid="{0E02FCC8-6440-4859-9F6B-C77617EF5D89}" scale="120">
      <selection activeCell="D5" sqref="D5"/>
      <pageMargins left="0.7" right="0.7" top="0.75" bottom="0.75" header="0.3" footer="0.3"/>
      <pageSetup orientation="portrait" r:id="rId49"/>
    </customSheetView>
    <customSheetView guid="{EE811897-5BF5-4321-9879-5B7EDF90A350}" scale="120">
      <selection activeCell="D5" sqref="D5"/>
      <pageMargins left="0.7" right="0.7" top="0.75" bottom="0.75" header="0.3" footer="0.3"/>
      <pageSetup orientation="portrait" r:id="rId50"/>
    </customSheetView>
    <customSheetView guid="{FF03E81F-A9A8-4546-A9C3-77A6EEA02ED9}" scale="120">
      <selection activeCell="D5" sqref="D5"/>
      <pageMargins left="0.7" right="0.7" top="0.75" bottom="0.75" header="0.3" footer="0.3"/>
      <pageSetup orientation="portrait" r:id="rId51"/>
    </customSheetView>
    <customSheetView guid="{D9413B31-FDB2-4AE8-80A8-7F09954E703C}" scale="120">
      <selection activeCell="D5" sqref="D5"/>
      <pageMargins left="0.7" right="0.7" top="0.75" bottom="0.75" header="0.3" footer="0.3"/>
      <pageSetup orientation="portrait" r:id="rId52"/>
    </customSheetView>
    <customSheetView guid="{B19B24CB-B859-49E3-8AE0-2D671510EE4F}" scale="120">
      <selection activeCell="D5" sqref="D5"/>
      <pageMargins left="0.7" right="0.7" top="0.75" bottom="0.75" header="0.3" footer="0.3"/>
      <pageSetup orientation="portrait" r:id="rId53"/>
    </customSheetView>
    <customSheetView guid="{0BF42E77-7016-4BE4-A5AB-A49974630D91}" scale="120">
      <selection activeCell="D5" sqref="D5"/>
      <pageMargins left="0.7" right="0.7" top="0.75" bottom="0.75" header="0.3" footer="0.3"/>
      <pageSetup orientation="portrait" r:id="rId54"/>
    </customSheetView>
    <customSheetView guid="{C453A932-6110-4A84-A9C2-26C809391387}" scale="120" showGridLines="0">
      <selection activeCell="C2" sqref="C2"/>
      <pageMargins left="0.7" right="0.7" top="0.75" bottom="0.75" header="0.3" footer="0.3"/>
      <pageSetup orientation="portrait" r:id="rId55"/>
    </customSheetView>
    <customSheetView guid="{08E755F8-82E9-4D95-862B-81F55FBDDDF6}" scale="120" showGridLines="0" topLeftCell="A18">
      <selection activeCell="D21" sqref="D21"/>
      <pageMargins left="0.7" right="0.7" top="0.75" bottom="0.75" header="0.3" footer="0.3"/>
      <pageSetup orientation="portrait" r:id="rId56"/>
    </customSheetView>
    <customSheetView guid="{86D36E03-787A-41EB-85FF-8BB8A222055B}" scale="120" showGridLines="0" topLeftCell="A38">
      <selection activeCell="F31" sqref="F31"/>
      <pageMargins left="0.7" right="0.7" top="0.75" bottom="0.75" header="0.3" footer="0.3"/>
      <pageSetup orientation="portrait" r:id="rId57"/>
    </customSheetView>
  </customSheetViews>
  <mergeCells count="2">
    <mergeCell ref="G27:H29"/>
    <mergeCell ref="F47:G49"/>
  </mergeCells>
  <pageMargins left="0.7" right="0.7" top="0.75" bottom="0.75" header="0.3" footer="0.3"/>
  <pageSetup orientation="portrait" r:id="rId58"/>
  <drawing r:id="rId5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SumIF</vt:lpstr>
      <vt:lpstr>AverageIF</vt:lpstr>
      <vt:lpstr>CountIF</vt:lpstr>
      <vt:lpstr>SumIFS</vt:lpstr>
      <vt:lpstr>AverageIFS</vt:lpstr>
      <vt:lpstr>CountIFS</vt:lpstr>
      <vt:lpstr>MaxIFS</vt:lpstr>
      <vt:lpstr>MinIFS</vt:lpstr>
      <vt:lpstr>IFS</vt:lpstr>
      <vt:lpstr>NESTED 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TAMIZH</dc:creator>
  <cp:lastModifiedBy>BADAL LAD</cp:lastModifiedBy>
  <dcterms:created xsi:type="dcterms:W3CDTF">2022-03-05T05:03:48Z</dcterms:created>
  <dcterms:modified xsi:type="dcterms:W3CDTF">2026-08-11T06:40:32Z</dcterms:modified>
</cp:coreProperties>
</file>