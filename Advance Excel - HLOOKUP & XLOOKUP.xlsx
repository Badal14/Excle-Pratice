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-UpGrad\Excle\"/>
    </mc:Choice>
  </mc:AlternateContent>
  <xr:revisionPtr revIDLastSave="0" documentId="13_ncr:1_{C9DCDA2B-A8BD-44A7-9E02-B7551CC73044}" xr6:coauthVersionLast="47" xr6:coauthVersionMax="47" xr10:uidLastSave="{00000000-0000-0000-0000-000000000000}"/>
  <bookViews>
    <workbookView xWindow="9435" yWindow="0" windowWidth="19470" windowHeight="15585" tabRatio="609" firstSheet="1" activeTab="3" xr2:uid="{00000000-000D-0000-FFFF-FFFF00000000}"/>
  </bookViews>
  <sheets>
    <sheet name="01_Cheatsheet" sheetId="2" r:id="rId1"/>
    <sheet name="Sheet1" sheetId="10" r:id="rId2"/>
    <sheet name="Sheet2" sheetId="11" r:id="rId3"/>
    <sheet name="Sheet3" sheetId="12" r:id="rId4"/>
    <sheet name="02-HLOOKUP-Basics" sheetId="3" r:id="rId5"/>
    <sheet name="03-HLOOKUP-Advanced" sheetId="4" r:id="rId6"/>
    <sheet name="04_XLOOKUP_Basics" sheetId="5" r:id="rId7"/>
    <sheet name="05_XLOOKUP_Advanced" sheetId="6" r:id="rId8"/>
    <sheet name="06_Practice_Lab" sheetId="7" r:id="rId9"/>
    <sheet name="07_Solutions" sheetId="8" r:id="rId10"/>
    <sheet name="08_Interview_QA" sheetId="9" r:id="rId11"/>
  </sheets>
  <definedNames>
    <definedName name="_xlnm._FilterDatabase" localSheetId="8" hidden="1">'06_Practice_Lab'!$B$35:$G$52</definedName>
    <definedName name="EMP_ID">'04_XLOOKUP_Basics'!$B$6:$B$19</definedName>
    <definedName name="EMP_NAME">'04_XLOOKUP_Basics'!$C$6:$C$19</definedName>
    <definedName name="KPI_MATRIX">'02-HLOOKUP-Basics'!$C$5:$H$12</definedName>
    <definedName name="_xlnm.Print_Titles" localSheetId="0">'01_Cheatsheet'!$1:$2</definedName>
    <definedName name="_xlnm.Print_Titles" localSheetId="4">'02-HLOOKUP-Basics'!$1:$2</definedName>
    <definedName name="_xlnm.Print_Titles" localSheetId="5">'03-HLOOKUP-Advanced'!$1:$2</definedName>
    <definedName name="_xlnm.Print_Titles" localSheetId="6">'04_XLOOKUP_Basics'!$1:$2</definedName>
    <definedName name="_xlnm.Print_Titles" localSheetId="7">'05_XLOOKUP_Advanced'!$1:$2</definedName>
    <definedName name="_xlnm.Print_Titles" localSheetId="8">'06_Practice_Lab'!$1:$2</definedName>
    <definedName name="_xlnm.Print_Titles" localSheetId="9">'07_Solutions'!$1:$2</definedName>
    <definedName name="_xlnm.Print_Titles" localSheetId="10">'08_Interview_QA'!$1:$2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12" l="1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11" i="12"/>
  <c r="B16" i="11"/>
  <c r="B17" i="11"/>
  <c r="B18" i="11"/>
  <c r="G25" i="12" s="1"/>
  <c r="B19" i="11"/>
  <c r="C18" i="12"/>
  <c r="B17" i="12"/>
  <c r="B18" i="12"/>
  <c r="B19" i="12"/>
  <c r="B5" i="12"/>
  <c r="B6" i="12"/>
  <c r="B7" i="12"/>
  <c r="B8" i="12"/>
  <c r="B9" i="12"/>
  <c r="B10" i="12"/>
  <c r="B11" i="12"/>
  <c r="B12" i="12"/>
  <c r="B13" i="12"/>
  <c r="B14" i="12"/>
  <c r="B15" i="12"/>
  <c r="B16" i="12"/>
  <c r="B4" i="12"/>
  <c r="B5" i="11"/>
  <c r="B6" i="11"/>
  <c r="B7" i="11"/>
  <c r="B8" i="11"/>
  <c r="B9" i="11"/>
  <c r="B10" i="11"/>
  <c r="B11" i="11"/>
  <c r="B12" i="11"/>
  <c r="B13" i="11"/>
  <c r="B14" i="11"/>
  <c r="B15" i="11"/>
  <c r="B4" i="11"/>
  <c r="F45" i="7"/>
  <c r="F44" i="7"/>
  <c r="F43" i="7"/>
  <c r="F42" i="7"/>
  <c r="F41" i="7"/>
  <c r="F40" i="7"/>
  <c r="F38" i="7"/>
  <c r="F37" i="7"/>
  <c r="F36" i="7"/>
  <c r="B32" i="4"/>
  <c r="B23" i="4"/>
  <c r="C25" i="5"/>
  <c r="C24" i="5"/>
  <c r="C23" i="5"/>
  <c r="B24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C52" i="6"/>
  <c r="C51" i="6"/>
  <c r="C50" i="6"/>
  <c r="C49" i="6"/>
  <c r="C41" i="6"/>
  <c r="C40" i="6"/>
  <c r="C33" i="6"/>
  <c r="C32" i="6"/>
  <c r="C26" i="6"/>
  <c r="C25" i="6"/>
  <c r="C24" i="6"/>
  <c r="C23" i="6"/>
  <c r="C22" i="6"/>
  <c r="C58" i="5"/>
  <c r="C57" i="5"/>
  <c r="C56" i="5"/>
  <c r="C55" i="5"/>
  <c r="C54" i="5"/>
  <c r="C47" i="5"/>
  <c r="C46" i="5"/>
  <c r="C40" i="5"/>
  <c r="C39" i="5"/>
  <c r="C32" i="5"/>
  <c r="L31" i="5"/>
  <c r="C31" i="5"/>
  <c r="L24" i="5"/>
  <c r="C49" i="4"/>
  <c r="C48" i="4"/>
  <c r="C50" i="4" s="1"/>
  <c r="C40" i="4"/>
  <c r="C39" i="4"/>
  <c r="C41" i="4" s="1"/>
  <c r="C34" i="4"/>
  <c r="C31" i="4"/>
  <c r="C30" i="4"/>
  <c r="C22" i="4"/>
  <c r="C21" i="4"/>
  <c r="C58" i="3"/>
  <c r="C57" i="3"/>
  <c r="C48" i="3"/>
  <c r="C49" i="3" s="1"/>
  <c r="C39" i="3"/>
  <c r="C38" i="3"/>
  <c r="C50" i="3" s="1"/>
  <c r="C27" i="3"/>
  <c r="C26" i="3"/>
  <c r="C20" i="3"/>
  <c r="H10" i="3"/>
  <c r="G10" i="3"/>
  <c r="F10" i="3"/>
  <c r="E10" i="3"/>
  <c r="D10" i="3"/>
  <c r="C10" i="3"/>
  <c r="H8" i="3"/>
  <c r="G8" i="3"/>
  <c r="F8" i="3"/>
  <c r="E8" i="3"/>
  <c r="D8" i="3"/>
  <c r="C8" i="3"/>
  <c r="C16" i="12" l="1"/>
  <c r="G23" i="12"/>
  <c r="C17" i="12"/>
  <c r="G24" i="12"/>
  <c r="C19" i="12"/>
  <c r="G26" i="12"/>
  <c r="C5" i="12"/>
  <c r="G12" i="12"/>
  <c r="C6" i="12"/>
  <c r="G13" i="12"/>
  <c r="C7" i="12"/>
  <c r="G14" i="12"/>
  <c r="C8" i="12"/>
  <c r="G15" i="12"/>
  <c r="C9" i="12"/>
  <c r="G16" i="12"/>
  <c r="C10" i="12"/>
  <c r="G17" i="12"/>
  <c r="C11" i="12"/>
  <c r="G18" i="12"/>
  <c r="C12" i="12"/>
  <c r="G19" i="12"/>
  <c r="C13" i="12"/>
  <c r="G20" i="12"/>
  <c r="C14" i="12"/>
  <c r="G21" i="12"/>
  <c r="C15" i="12"/>
  <c r="G22" i="12"/>
  <c r="C4" i="12"/>
  <c r="G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8" authorId="0" shapeId="0" xr:uid="{00000000-0006-0000-0200-000001000000}">
      <text>
        <r>
          <rPr>
            <sz val="10"/>
            <rFont val="Arial"/>
            <family val="2"/>
          </rPr>
          <t>Change to Jan..Jun. Try 'Jul' to see #N/A.</t>
        </r>
      </text>
    </comment>
    <comment ref="C19" authorId="0" shapeId="0" xr:uid="{00000000-0006-0000-0200-000002000000}">
      <text>
        <r>
          <rPr>
            <sz val="10"/>
            <rFont val="Arial"/>
            <family val="2"/>
          </rPr>
          <t>2=Revenue, 3=COGS, 4=GP, 5=Units, 6=ASP, 7=Target, 8=Discount</t>
        </r>
      </text>
    </comment>
    <comment ref="C20" authorId="0" shapeId="0" xr:uid="{00000000-0006-0000-0200-000003000000}">
      <text>
        <r>
          <rPr>
            <sz val="10"/>
            <rFont val="Arial"/>
            <family val="2"/>
          </rPr>
          <t>Searches C5:H5 for May, returns the value from the C19-th row of C5:H12.</t>
        </r>
      </text>
    </comment>
    <comment ref="C37" authorId="0" shapeId="0" xr:uid="{00000000-0006-0000-0200-000004000000}">
      <text>
        <r>
          <rPr>
            <sz val="10"/>
            <rFont val="Arial"/>
            <family val="2"/>
          </rPr>
          <t>Try 0, 39, 40, 74, 75, 89, 90, 100, 101.</t>
        </r>
      </text>
    </comment>
    <comment ref="C38" authorId="0" shapeId="0" xr:uid="{00000000-0006-0000-0200-000005000000}">
      <text>
        <r>
          <rPr>
            <sz val="10"/>
            <rFont val="Arial"/>
            <family val="2"/>
          </rPr>
          <t>TRUE = approximate. 76 sits between 75 and 90 → returns 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1" authorId="0" shapeId="0" xr:uid="{00000000-0006-0000-0300-000001000000}">
      <text>
        <r>
          <rPr>
            <sz val="10"/>
            <rFont val="Arial"/>
            <family val="2"/>
          </rPr>
          <t>Returns position of 'Gross Profit' inside B5:B12. Header is position 1, Revenue 2, … GP 4.</t>
        </r>
      </text>
    </comment>
    <comment ref="C38" authorId="0" shapeId="0" xr:uid="{00000000-0006-0000-0300-000002000000}">
      <text>
        <r>
          <rPr>
            <sz val="10"/>
            <rFont val="Arial"/>
            <family val="2"/>
          </rPr>
          <t>Try 19, 20, 34.9, 35, 49, 50, 74, 75, 99, 100, 140.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2" authorId="0" shapeId="0" xr:uid="{00000000-0006-0000-0400-000001000000}">
      <text>
        <r>
          <rPr>
            <sz val="10"/>
            <rFont val="Arial"/>
            <family val="2"/>
          </rPr>
          <t>Try E-1001, E-1203, E-1999.</t>
        </r>
      </text>
    </comment>
    <comment ref="C23" authorId="0" shapeId="0" xr:uid="{00000000-0006-0000-0400-000002000000}">
      <text>
        <r>
          <rPr>
            <sz val="10"/>
            <rFont val="Arial"/>
            <family val="2"/>
          </rPr>
          <t>lookup_array is the ID column. return_array is the Name column. They do not have to be adjacent.</t>
        </r>
      </text>
    </comment>
    <comment ref="L24" authorId="0" shapeId="0" xr:uid="{00000000-0006-0000-0400-000003000000}">
      <text>
        <r>
          <rPr>
            <sz val="10"/>
            <rFont val="Arial"/>
            <family val="2"/>
          </rPr>
          <t>Inner XLOOKUP returns the entire month-row for the dept (a 1x4 array). Outer XLOOKUP picks the month from that row.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1" authorId="0" shapeId="0" xr:uid="{00000000-0006-0000-0500-000001000000}">
      <text>
        <r>
          <rPr>
            <sz val="10"/>
            <rFont val="Arial"/>
            <family val="2"/>
          </rPr>
          <t>Try 0, 299999, 300000, 699999, 700000, 1500000, 2500000.</t>
        </r>
      </text>
    </comment>
    <comment ref="C50" authorId="0" shapeId="0" xr:uid="{00000000-0006-0000-0500-000002000000}">
      <text>
        <r>
          <rPr>
            <sz val="10"/>
            <rFont val="Arial"/>
            <family val="2"/>
          </rPr>
          <t>Boolean product yields 1 on rows that match both. XLOOKUP looks for 1 and search_mode -1 takes the last 1.</t>
        </r>
      </text>
    </comment>
  </commentList>
</comments>
</file>

<file path=xl/sharedStrings.xml><?xml version="1.0" encoding="utf-8"?>
<sst xmlns="http://schemas.openxmlformats.org/spreadsheetml/2006/main" count="992" uniqueCount="697">
  <si>
    <t>1</t>
  </si>
  <si>
    <t>2</t>
  </si>
  <si>
    <t>3</t>
  </si>
  <si>
    <t>4</t>
  </si>
  <si>
    <t>5</t>
  </si>
  <si>
    <t>6</t>
  </si>
  <si>
    <t>7</t>
  </si>
  <si>
    <t>SYNTAX CHEATSHEET  ·  HLOOKUP vs XLOOKUP vs INDEX/MATCH</t>
  </si>
  <si>
    <t>FUNCTION SIGNATURES</t>
  </si>
  <si>
    <t>HLOOKUP</t>
  </si>
  <si>
    <t>HLOOKUP( lookup_value ,  table_array ,  row_index_num ,  [range_lookup] )</t>
  </si>
  <si>
    <t>lookup_value</t>
  </si>
  <si>
    <t>What you are searching for. Usually a cell reference, not a typed literal.</t>
  </si>
  <si>
    <t>table_array</t>
  </si>
  <si>
    <t>The whole block. Excel searches ONLY the first row of this block.</t>
  </si>
  <si>
    <t>row_index_num</t>
  </si>
  <si>
    <t>1 = first row of table_array (the headers), 2 = next row, …  Fragile if rows are inserted.</t>
  </si>
  <si>
    <t>range_lookup</t>
  </si>
  <si>
    <t>FALSE or 0 = exact. TRUE or 1 = approximate (default if omitted). Omitted is the #1 interview trap.</t>
  </si>
  <si>
    <t>XLOOKUP</t>
  </si>
  <si>
    <t>XLOOKUP( lookup_value ,  lookup_array ,  return_array ,  [if_not_found] ,  [match_mode] ,  [search_mode] )</t>
  </si>
  <si>
    <t>Same idea. Can be a number, text, date, or a cell. Can also be an array (spills).</t>
  </si>
  <si>
    <t>lookup_array</t>
  </si>
  <si>
    <t>ONE row or ONE column — the place you search. Not the whole table.</t>
  </si>
  <si>
    <t>return_array</t>
  </si>
  <si>
    <t>ONE row or ONE column (or a 2D block to spill multiple fields). Same size as lookup_array on the search axis.</t>
  </si>
  <si>
    <t>if_not_found</t>
  </si>
  <si>
    <t>Optional. Text or value to return instead of #N/A. Prefer this over wrapping IFERROR.</t>
  </si>
  <si>
    <t>match_mode</t>
  </si>
  <si>
    <t>0 exact (default) · −1 exact or next smaller · 1 exact or next larger · 2 wildcard (* ? ~)</t>
  </si>
  <si>
    <t>search_mode</t>
  </si>
  <si>
    <t>1 first-to-last (default) · −1 last-to-first · 2 binary ascend · −2 binary descend</t>
  </si>
  <si>
    <t>INDEX + MATCH  (horizontal equivalent — still asked in banks)</t>
  </si>
  <si>
    <t>INDEX( return_row ,  MATCH( lookup_value ,  lookup_row ,  0 ) )</t>
  </si>
  <si>
    <t>Two-way:  INDEX( matrix ,  MATCH(row_key, row_headers, 0) ,  MATCH(col_key, col_headers, 0) )</t>
  </si>
  <si>
    <t>SIDE-BY-SIDE COMPARISON  (memorise the Default column)</t>
  </si>
  <si>
    <t>Capability</t>
  </si>
  <si>
    <t>VLOOKUP</t>
  </si>
  <si>
    <t>INDEX + MATCH</t>
  </si>
  <si>
    <t>Looks up on</t>
  </si>
  <si>
    <t>Top row (horizontal)</t>
  </si>
  <si>
    <t>Left column (vertical)</t>
  </si>
  <si>
    <t>Any row or column</t>
  </si>
  <si>
    <t>Can return left / above?</t>
  </si>
  <si>
    <t>No — only rows below</t>
  </si>
  <si>
    <t>No — only cols to the right*</t>
  </si>
  <si>
    <t>Yes</t>
  </si>
  <si>
    <t>Default match</t>
  </si>
  <si>
    <t>Approximate TRUE</t>
  </si>
  <si>
    <t>Exact 0</t>
  </si>
  <si>
    <t>Exact if match_type = 0</t>
  </si>
  <si>
    <t>Not-found handling</t>
  </si>
  <si>
    <t>IFNA / IFERROR wrap</t>
  </si>
  <si>
    <t>Built-in 4th argument</t>
  </si>
  <si>
    <t>IFNA wrap</t>
  </si>
  <si>
    <t>Search last match</t>
  </si>
  <si>
    <t>No native way</t>
  </si>
  <si>
    <t>search_mode = −1</t>
  </si>
  <si>
    <t>LOOKUP / XMATCH −1</t>
  </si>
  <si>
    <t>Wildcard</t>
  </si>
  <si>
    <t>Only with exact + * ?</t>
  </si>
  <si>
    <t>match_mode = 2</t>
  </si>
  <si>
    <t>MATCH wildcards</t>
  </si>
  <si>
    <t>Insert row/col safe?</t>
  </si>
  <si>
    <t>No (row_index breaks)</t>
  </si>
  <si>
    <t>No (col_index breaks)</t>
  </si>
  <si>
    <t>Yes if arrays are correct</t>
  </si>
  <si>
    <t>Yes if MATCH on headers</t>
  </si>
  <si>
    <t>Return many columns</t>
  </si>
  <si>
    <t>No (one row index)</t>
  </si>
  <si>
    <t>No (one col index)</t>
  </si>
  <si>
    <t>Yes — spill a block</t>
  </si>
  <si>
    <t>INDEX with array</t>
  </si>
  <si>
    <t>Approx needs sorted?</t>
  </si>
  <si>
    <t>Yes, first row ascending</t>
  </si>
  <si>
    <t>Yes, first col ascending</t>
  </si>
  <si>
    <t>Yes for ±1 match_mode</t>
  </si>
  <si>
    <t>Yes for match_type ±1</t>
  </si>
  <si>
    <t>Works in Excel 2016?</t>
  </si>
  <si>
    <t>No</t>
  </si>
  <si>
    <t>Interview verdict</t>
  </si>
  <si>
    <t>Know it; rarely ship it</t>
  </si>
  <si>
    <t>Still everywhere in legacy</t>
  </si>
  <si>
    <t>Default choice in 365</t>
  </si>
  <si>
    <t>Fallback + two-way gold</t>
  </si>
  <si>
    <t>* VLOOKUP can return left only if you rearrange the table or switch to INDEX/MATCH / XLOOKUP. Saying “VLOOKUP can look left if I copy the key column” is acceptable; saying it natively looks left is wrong.</t>
  </si>
  <si>
    <t>EIGHT SENTENCES INTERVIEWERS WANT TO HEAR</t>
  </si>
  <si>
    <t>HLOOKUP searches the first row of table_array and returns a value from a row you specify by number — that number is brittle.</t>
  </si>
  <si>
    <t>HLOOKUP and VLOOKUP default to approximate match; if you omit the last argument you can get a silent wrong answer.</t>
  </si>
  <si>
    <t>Approximate match is correct for tax slabs, credit scores, and commission tiers, but the breakpoint row must be sorted ascending.</t>
  </si>
  <si>
    <t>XLOOKUP separates the search array from the return array, so the return column can sit to the left of the key.</t>
  </si>
  <si>
    <t>XLOOKUP’s 4th argument replaces IFERROR for missing keys and does not swallow real errors like #DIV/0! the way IFERROR does.</t>
  </si>
  <si>
    <t>Two-way lookup = MATCH on the row headers plus MATCH on the column headers, then INDEX; or nested XLOOKUP.</t>
  </si>
  <si>
    <t>To get the most recent transaction for an ID, XLOOKUP with search_mode −1 is cleaner than LOOKUP or a reverse-sort helper.</t>
  </si>
  <si>
    <t>8</t>
  </si>
  <si>
    <t>I would not put HLOOKUP in a new model. I would use XLOOKUP, or INDEX/MATCH if the file must open in Excel 2016.</t>
  </si>
  <si>
    <t>WHEN TO USE WHICH  (decision rule)</t>
  </si>
  <si>
    <t>Need to support Excel 2016 / 2019</t>
  </si>
  <si>
    <t>INDEX + MATCH  (or HLOOKUP if the table is genuinely horizontal and tiny)</t>
  </si>
  <si>
    <t>Modern 365 file, one-way lookup</t>
  </si>
  <si>
    <t>XLOOKUP with if_not_found filled in</t>
  </si>
  <si>
    <t>Monthly / quarterly matrix (metrics down, months across)</t>
  </si>
  <si>
    <t>XLOOKUP on the month row, or INDEX + MATCH. HLOOKUP only if asked.</t>
  </si>
  <si>
    <t>Tax / grade / commission slab</t>
  </si>
  <si>
    <t>XLOOKUP match_mode −1  or  HLOOKUP / VLOOKUP with TRUE on a sorted breakpoint row</t>
  </si>
  <si>
    <t>Latest status from a transaction log</t>
  </si>
  <si>
    <t>XLOOKUP search_mode −1  (last-to-first)</t>
  </si>
  <si>
    <t>Return the entire record for an ID</t>
  </si>
  <si>
    <t>XLOOKUP returning a multi-column array (spills)  or  FILTER</t>
  </si>
  <si>
    <t>Two criteria (e.g. SKU + Month)</t>
  </si>
  <si>
    <t>Nested XLOOKUP  or  INDEX + two MATCH  or  SUMPRODUCT / SUMIFS if numeric</t>
  </si>
  <si>
    <t>Fuzzy name like "Acme*"</t>
  </si>
  <si>
    <t>XLOOKUP match_mode 2  or  HLOOKUP exact with wildcard</t>
  </si>
  <si>
    <t>Next: 02_HLOOKUP_Basics  ·  Change every yellow input before you move on.</t>
  </si>
  <si>
    <t>HLOOKUP BASICS  ·  Apex Retail monthly trading matrix (₹ lakh)</t>
  </si>
  <si>
    <t>Source table is horizontal: months run across the top row — this is the only shape HLOOKUP is designed for.</t>
  </si>
  <si>
    <t>SOURCE  ·  FY2026 MONTHLY KPI PACK   (green = lookup table)</t>
  </si>
  <si>
    <t>ROW INDEX MAP  (for table $B$5:$H$12)</t>
  </si>
  <si>
    <t>KPI \ Month</t>
  </si>
  <si>
    <t>Jan</t>
  </si>
  <si>
    <t>Feb</t>
  </si>
  <si>
    <t>Mar</t>
  </si>
  <si>
    <t>Apr</t>
  </si>
  <si>
    <t>May</t>
  </si>
  <si>
    <t>Jun</t>
  </si>
  <si>
    <t>row_index</t>
  </si>
  <si>
    <t>Sheet row</t>
  </si>
  <si>
    <t>KPI</t>
  </si>
  <si>
    <t>Revenue</t>
  </si>
  <si>
    <t>Month headers (rarely returned)</t>
  </si>
  <si>
    <t>COGS</t>
  </si>
  <si>
    <t>Gross Profit</t>
  </si>
  <si>
    <t>Units ('000)</t>
  </si>
  <si>
    <t>ASP (₹)</t>
  </si>
  <si>
    <t>Target Rev</t>
  </si>
  <si>
    <t>Discount %</t>
  </si>
  <si>
    <t>HLOOKUP row_index →</t>
  </si>
  <si>
    <t>Interview point: if someone inserts a row between COGS and GP, every hardcoded row_index below that insertion silently shifts. That is why MATCH exists.</t>
  </si>
  <si>
    <t>EXAMPLE 1  ·  EXACT MATCH   range_lookup = FALSE</t>
  </si>
  <si>
    <t>Task: return May Revenue. Lookup month in the first row, return row_index 2 (Revenue).</t>
  </si>
  <si>
    <t>Month (input)</t>
  </si>
  <si>
    <t>Row index (input)</t>
  </si>
  <si>
    <t>Result (₹ lakh)</t>
  </si>
  <si>
    <t>Why $C$5 not $B$5? Because the first row of table_array must contain the lookup values (months). Including the KPI labels in column B would make HLOOKUP search "KPI \ Month", "Revenue", … and never find "May".</t>
  </si>
  <si>
    <t>EXAMPLE 2  ·  WHAT EXACT MATCH DOES WITH A MISSING KEY</t>
  </si>
  <si>
    <t>Jul</t>
  </si>
  <si>
    <t>Raw HLOOKUP</t>
  </si>
  <si>
    <t>Wrapped IFNA</t>
  </si>
  <si>
    <t>'=IFNA( HLOOKUP(C25,$C$5:$H$12,2,FALSE) , "No month in pack" )</t>
  </si>
  <si>
    <t>Prefer IFNA over IFERROR. IFERROR also hides #REF!, #DIV/0!, #VALUE! — which means a broken row_index looks like “not found”. Interviewers notice.</t>
  </si>
  <si>
    <t>EXAMPLE 3  ·  APPROXIMATE MATCH   range_lookup = TRUE   (sorted breakpoints)</t>
  </si>
  <si>
    <t>Use case: convert a score into a grade. Breakpoints sit on the first row and MUST be sorted ascending. HLOOKUP walks the first row until the next breakpoint would exceed the score, then steps back.</t>
  </si>
  <si>
    <t>Min score →</t>
  </si>
  <si>
    <t>Grade</t>
  </si>
  <si>
    <t>F</t>
  </si>
  <si>
    <t>D</t>
  </si>
  <si>
    <t>C</t>
  </si>
  <si>
    <t>B</t>
  </si>
  <si>
    <t>A</t>
  </si>
  <si>
    <t>A+</t>
  </si>
  <si>
    <t>Meaning</t>
  </si>
  <si>
    <t>Fail</t>
  </si>
  <si>
    <t>Pass</t>
  </si>
  <si>
    <t>Average</t>
  </si>
  <si>
    <t>Good</t>
  </si>
  <si>
    <t>Excellent</t>
  </si>
  <si>
    <t>Outstanding</t>
  </si>
  <si>
    <t>Score (input)</t>
  </si>
  <si>
    <t>'=HLOOKUP( C37 ,  $C$33:$H$35 ,  2 ,  TRUE )</t>
  </si>
  <si>
    <t>Walkthrough for 76: first row is 0 · 40 · 50 · 60 · 75 · 90. 76 ≥ 75 and 76 &lt; 90, so HLOOKUP locks onto the 75 column and returns row 2 of that column = A.</t>
  </si>
  <si>
    <t>TRAP  ·  APPROXIMATE MATCH ON UNSORTED DATA RETURNS GARBAGE, NOT AN ERROR</t>
  </si>
  <si>
    <t>Unsorted breakpoints below. Same score 76. Compare the two results. This is the question that separates people who memorised syntax from people who have been burned.</t>
  </si>
  <si>
    <t>Score</t>
  </si>
  <si>
    <t>WRONG grade</t>
  </si>
  <si>
    <t>RIGHT grade</t>
  </si>
  <si>
    <t>Unsorted HLOOKUP(76, {0,90,50,75,40,60}, 2, TRUE)  →  does NOT error. It returns whatever column the binary-ish scan landed on.</t>
  </si>
  <si>
    <t>Rule you should say out loud: “Approximate lookup is a sorted-range algorithm, not a nearest-neighbour search.” If the file owner cannot guarantee sort order, use exact match plus a helper, or XLOOKUP match_mode −1 on a sorted copy.</t>
  </si>
  <si>
    <t>EXAMPLE 4  ·  OMITTING range_lookup  (defaults to TRUE)</t>
  </si>
  <si>
    <t>HLOOKUP("Mar", months, 2) with no 4th argument is approximate. Text months sorted alphabetically are Apr, Feb, Jan, Jun, Mar, May — not calendar order. Approximate match on text months is almost always wrong.</t>
  </si>
  <si>
    <t>Lookup</t>
  </si>
  <si>
    <t>4th omitted (TRUE)</t>
  </si>
  <si>
    <t>4th = FALSE</t>
  </si>
  <si>
    <t>Left: =HLOOKUP(C56,$C$5:$H$12,2)     Right idea: always pass FALSE unless you have sorted numeric breakpoints.</t>
  </si>
  <si>
    <t>Next: 03_HLOOKUP_Advanced  ·  MATCH-driven row index, two-way lookup, commission slabs.</t>
  </si>
  <si>
    <t>HLOOKUP ADVANCED  ·  MATCH  ·  TWO-WAY  ·  SLABS  ·  INTERVIEW PATTERNS</t>
  </si>
  <si>
    <t>If you only remember one pattern from this sheet: HLOOKUP + MATCH(kpi, kpi_column, 0)  so row_index is never hardcoded.</t>
  </si>
  <si>
    <t>SOURCE A  ·  SKU PRICE CARD BY QUARTER  (₹ / unit)</t>
  </si>
  <si>
    <t>SOURCE B  ·  UNITS BY REGION × MONTH</t>
  </si>
  <si>
    <t>SKU \ Quarter</t>
  </si>
  <si>
    <t>Q1</t>
  </si>
  <si>
    <t>Q2</t>
  </si>
  <si>
    <t>Q3</t>
  </si>
  <si>
    <t>Q4</t>
  </si>
  <si>
    <t>Region</t>
  </si>
  <si>
    <t>SKU-1040  Cotton Tee</t>
  </si>
  <si>
    <t>North</t>
  </si>
  <si>
    <t>SKU-1042  Denim Jacket</t>
  </si>
  <si>
    <t>West</t>
  </si>
  <si>
    <t>SKU-1055  Runner Shoe</t>
  </si>
  <si>
    <t>South</t>
  </si>
  <si>
    <t>SKU-1071  Canvas Tote</t>
  </si>
  <si>
    <t>East</t>
  </si>
  <si>
    <t>SKU-1088  Wool Scarf</t>
  </si>
  <si>
    <t>Export</t>
  </si>
  <si>
    <t>SOURCE C  ·  QUARTERLY COMMISSION SLAB  (sorted breakpoints)</t>
  </si>
  <si>
    <t>Sales ≥ ₹ lakh</t>
  </si>
  <si>
    <t>Commission %</t>
  </si>
  <si>
    <t>Payout month</t>
  </si>
  <si>
    <t>Oct</t>
  </si>
  <si>
    <t>PATTERN 1  ·  DYNAMIC ROW INDEX WITH MATCH</t>
  </si>
  <si>
    <t>Do not type 4. Look up the KPI name in column B and feed MATCH’s result into HLOOKUP’s row_index. MATCH is 1-based relative to the range you give it.</t>
  </si>
  <si>
    <t>Month</t>
  </si>
  <si>
    <t>KPI name</t>
  </si>
  <si>
    <t>MATCH row_index</t>
  </si>
  <si>
    <t>HLOOKUP result</t>
  </si>
  <si>
    <t>Cross-sheet reference is intentional — interviewers love “the matrix is on another tab”. Green font is not applied here because we keep one font system; just notice the sheet name in the formula.</t>
  </si>
  <si>
    <t>PATTERN 2  ·  TWO-WAY LOOKUP  (region × month)  HLOOKUP + MATCH</t>
  </si>
  <si>
    <t>HLOOKUP finds the month column. MATCH finds which row the region sits on, relative to the table_array’s first row.</t>
  </si>
  <si>
    <t>Units</t>
  </si>
  <si>
    <t>table_array starts at L5 (first month), NOT K5. MATCH range starts at K5 so that row_index 1 = header, 2 = North, … 4 = South. Off-by-one here is the most common lab failure.</t>
  </si>
  <si>
    <t>INDEX/MATCH/MATCH</t>
  </si>
  <si>
    <t>'=INDEX( matrix , MATCH(region, region_list, 0) , MATCH(month, month_list, 0) )   ← prefer this in interviews if XLOOKUP is not allowed</t>
  </si>
  <si>
    <t>PATTERN 3  ·  SLAB LOOKUP + PAYOUT CALCULATION</t>
  </si>
  <si>
    <t>Rep sales ₹ lakh</t>
  </si>
  <si>
    <t>Commission ₹ lakh</t>
  </si>
  <si>
    <t>'=HLOOKUP( sales ,  $C$13:$H$15 ,  2 ,  TRUE )     58 sits in the ≥50 and &lt;75 bucket → 5.5%</t>
  </si>
  <si>
    <t>PATTERN 4  ·  NESTED HLOOKUP  (price card → then apply a quarter-specific discount)</t>
  </si>
  <si>
    <t>Inner HLOOKUP gets list price. Outer logic applies Q3 extra markdown of 8% if quarter = Q3, else 0. Interviewers nest to see if you keep ranges absolute.</t>
  </si>
  <si>
    <t>SKU full label</t>
  </si>
  <si>
    <t>Quarter</t>
  </si>
  <si>
    <t>List price</t>
  </si>
  <si>
    <t>Extra markdown</t>
  </si>
  <si>
    <t>Net price</t>
  </si>
  <si>
    <t>'=HLOOKUP( quarter ,  $C$5:$F$10 ,  MATCH(sku,$B$5:$B$10,0) ,  FALSE ) * (1-IF(Q3,8%,0))</t>
  </si>
  <si>
    <t>PATTERN 5  ·  INTERVIEW TRAPS CHECKLIST (tick these mentally before you press Enter)</t>
  </si>
  <si>
    <t>□</t>
  </si>
  <si>
    <t>Did I include the header row in table_array? HLOOKUP row_index 1 is the first row of the range you passed, not sheet row 1.</t>
  </si>
  <si>
    <t>Does the first row of table_array actually contain the lookup keys? If you start the range one column too far left, keys are labels and every exact match #N/A’s.</t>
  </si>
  <si>
    <t>Is MATCH’s lookup_array the same height as table_array? If MATCH starts one row lower than HLOOKUP’s table, every answer is off by one.</t>
  </si>
  <si>
    <t>Exact match: 4th argument FALSE. Approximate: first row sorted ascending, 4th argument TRUE. Never mix.</t>
  </si>
  <si>
    <t>Numbers stored as text (“1042”) will not exact-match the number 1042. Use VALUE / TRIM or cleanse the source.</t>
  </si>
  <si>
    <t>HLOOKUP is case-insensitive. “south” matches “South”. Do not promise case-sensitive behaviour.</t>
  </si>
  <si>
    <t>Wildcard works only with exact match: HLOOKUP("SKU-104*", …, row, FALSE).</t>
  </si>
  <si>
    <t>Next: 04_XLOOKUP_Basics  ·  Same business data, modern function. Notice how row_index disappears.</t>
  </si>
  <si>
    <t>XLOOKUP BASICS  ·  EXACT  ·  NOT-FOUND  ·  HORIZONTAL  ·  WILDCARD</t>
  </si>
  <si>
    <t>Requires Excel 365 / 2021. Default match is EXACT. You no longer pass a row index — you pass the return row/column itself.</t>
  </si>
  <si>
    <t>SOURCE  ·  EMPLOYEE ROSTER  (vertical keys — XLOOKUP native shape)</t>
  </si>
  <si>
    <t>SOURCE  ·  DEPT TARGETS BY MONTH (₹ lakh)</t>
  </si>
  <si>
    <t>Emp ID</t>
  </si>
  <si>
    <t>Name</t>
  </si>
  <si>
    <t>Dept</t>
  </si>
  <si>
    <t>Band</t>
  </si>
  <si>
    <t>Location</t>
  </si>
  <si>
    <t>Manager ID</t>
  </si>
  <si>
    <t>CTC ₹ L</t>
  </si>
  <si>
    <t>E-1001</t>
  </si>
  <si>
    <t>Ananya Rao</t>
  </si>
  <si>
    <t>Finance</t>
  </si>
  <si>
    <t>L5</t>
  </si>
  <si>
    <t>Mumbai</t>
  </si>
  <si>
    <t>E-1200</t>
  </si>
  <si>
    <t>E-1002</t>
  </si>
  <si>
    <t>Vikram Shah</t>
  </si>
  <si>
    <t>Ops</t>
  </si>
  <si>
    <t>L4</t>
  </si>
  <si>
    <t>Pune</t>
  </si>
  <si>
    <t>E-1201</t>
  </si>
  <si>
    <t>E-1003</t>
  </si>
  <si>
    <t>Meera Iyer</t>
  </si>
  <si>
    <t>Bengaluru</t>
  </si>
  <si>
    <t>Merch</t>
  </si>
  <si>
    <t>E-1004</t>
  </si>
  <si>
    <t>Rohit Nair</t>
  </si>
  <si>
    <t>L3</t>
  </si>
  <si>
    <t>E-1202</t>
  </si>
  <si>
    <t>Tech</t>
  </si>
  <si>
    <t>E-1005</t>
  </si>
  <si>
    <t>Sara Khan</t>
  </si>
  <si>
    <t>Delhi</t>
  </si>
  <si>
    <t>E-1006</t>
  </si>
  <si>
    <t>Arjun Patel</t>
  </si>
  <si>
    <t>Ahmedabad</t>
  </si>
  <si>
    <t>E-1007</t>
  </si>
  <si>
    <t>Neha Gupta</t>
  </si>
  <si>
    <t>L6</t>
  </si>
  <si>
    <t>E-1203</t>
  </si>
  <si>
    <t>E-1008</t>
  </si>
  <si>
    <t>Farhan Ali</t>
  </si>
  <si>
    <t>Hyderabad</t>
  </si>
  <si>
    <t>E-1009</t>
  </si>
  <si>
    <t>Priya Das</t>
  </si>
  <si>
    <t>Kolkata</t>
  </si>
  <si>
    <t>E-1010</t>
  </si>
  <si>
    <t>Karan Mehta</t>
  </si>
  <si>
    <t>Leela Menon</t>
  </si>
  <si>
    <t>L7</t>
  </si>
  <si>
    <t>E-1300</t>
  </si>
  <si>
    <t>Dev Kapoor</t>
  </si>
  <si>
    <t>Ishita Bose</t>
  </si>
  <si>
    <t>Nikhil Rao</t>
  </si>
  <si>
    <t>EXAMPLE 1  ·  VERTICAL EXACT  (replace VLOOKUP)</t>
  </si>
  <si>
    <t>EXAMPLE 4  ·  HORIZONTAL XLOOKUP  (HLOOKUP replacement)</t>
  </si>
  <si>
    <t>Target ₹ L</t>
  </si>
  <si>
    <t>'=XLOOKUP( month ,  month_headers ,  XLOOKUP(dept, dept_list, matrix) )</t>
  </si>
  <si>
    <t>Inner XLOOKUP returns the whole row $L$6:$O$9 filtered to Merch. Outer XLOOKUP then treats that row as return_array and the month headers as lookup_array. This is the modern two-way lookup.</t>
  </si>
  <si>
    <t>Contrast with VLOOKUP: =VLOOKUP(C22,$B$6:$H$19,2,FALSE). XLOOKUP does not care that Name is column 2. If someone inserts a column between ID and Name, XLOOKUP still works; VLOOKUP breaks.</t>
  </si>
  <si>
    <t>REWRITE THE HLOOKUP FROM SHEET 02</t>
  </si>
  <si>
    <t>EXAMPLE 2  ·  if_not_found  (4th argument)</t>
  </si>
  <si>
    <t>Old: =HLOOKUP(month, $C$5:$H$12, 2, FALSE) for Revenue. New: point lookup_array at the month headers and return_array at the Revenue row.</t>
  </si>
  <si>
    <t>E-1999</t>
  </si>
  <si>
    <t>Name raw</t>
  </si>
  <si>
    <t>Revenue XLOOKUP</t>
  </si>
  <si>
    <t>Name guarded</t>
  </si>
  <si>
    <t>'=XLOOKUP( month ,  header_row ,  revenue_row ,  "No month" )</t>
  </si>
  <si>
    <t>'=XLOOKUP( C30 ,  $B$6:$B$19 ,  $C$6:$C$19 ,  "ID not on roster" )</t>
  </si>
  <si>
    <t>4th argument fires only on no-match. A broken range still surfaces #REF!. That is the point versus IFERROR(XLOOKUP(...),"missing").</t>
  </si>
  <si>
    <t>EXAMPLE 3  ·  LOOKUP TO THE LEFT  (VLOOKUP cannot do this natively)</t>
  </si>
  <si>
    <t>We have Manager ID on each row. Resolve it to Manager Name by looking up that ID in the same roster — return array is to the RIGHT of the key here, but the pattern also works if Name sat to the left of ID.</t>
  </si>
  <si>
    <t>Manager name</t>
  </si>
  <si>
    <t>Nested: =XLOOKUP( XLOOKUP(id, IDs, ManagerIDs) ,  IDs ,  Names ,  "CEO / not listed" )</t>
  </si>
  <si>
    <t>EXAMPLE 5  ·  WILDCARD  match_mode = 2</t>
  </si>
  <si>
    <t>match_mode 2 turns * and ? on. * = any run of characters, ? = one character, ~ escapes a literal * or ?.</t>
  </si>
  <si>
    <t>Pattern</t>
  </si>
  <si>
    <t>E-100*</t>
  </si>
  <si>
    <t>First ID match</t>
  </si>
  <si>
    <t>Name of that ID</t>
  </si>
  <si>
    <t>'=XLOOKUP( "E-100*" ,  IDs ,  Names ,  "none" ,  2 )     ← 5th argument is match_mode</t>
  </si>
  <si>
    <t>Default search is first-to-last, so E-100* returns E-1001 (Ananya), not E-1009. To get the last 100-series ID, set search_mode to −1 (next sheet).</t>
  </si>
  <si>
    <t>EXAMPLE 6  ·  SAME KEY, SEVERAL RETURN COLUMNS</t>
  </si>
  <si>
    <t>In Excel 365 you can return a block and let it spill: =XLOOKUP(id, IDs, C6:H19). Here we keep one field per cell so the file stays compatible and interview-safe on a shared screen.</t>
  </si>
  <si>
    <t>CTC</t>
  </si>
  <si>
    <t>Spill form (365):  =XLOOKUP($C$53,$B$6:$B$19,$C$6:$H$19,"—")   → Name, Dept, Band, Location, Manager ID, CTC</t>
  </si>
  <si>
    <t>Next: 05_XLOOKUP_Advanced  ·  last-to-first, match modes −1 / 1, multi-criteria, binary search talk-track.</t>
  </si>
  <si>
    <t>XLOOKUP ADVANCED  ·  SEARCH MODES  ·  APPROX  ·  MULTI-CRITERIA  ·  LOGS</t>
  </si>
  <si>
    <t>This is the sheet that wins interviews. Last-to-first + two-way + a clean not-found message is the expected senior-analyst answer.</t>
  </si>
  <si>
    <t>SOURCE  ·  STOCK MOVEMENT LOG  (duplicate SKUs — order is chronological)</t>
  </si>
  <si>
    <t>SOURCE  ·  FY26 INCOME TAX SLAB (new regime, illus.)</t>
  </si>
  <si>
    <t>Line</t>
  </si>
  <si>
    <t>Date</t>
  </si>
  <si>
    <t>SKU</t>
  </si>
  <si>
    <t>Event</t>
  </si>
  <si>
    <t>Qty</t>
  </si>
  <si>
    <t>Warehouse</t>
  </si>
  <si>
    <t>Unit Cost</t>
  </si>
  <si>
    <t>Income ≥</t>
  </si>
  <si>
    <t>Rate</t>
  </si>
  <si>
    <t>Cess on tax</t>
  </si>
  <si>
    <t>2026-01-06</t>
  </si>
  <si>
    <t>SKU-1042</t>
  </si>
  <si>
    <t>IN</t>
  </si>
  <si>
    <t>BHI</t>
  </si>
  <si>
    <t>2026-01-09</t>
  </si>
  <si>
    <t>SKU-1040</t>
  </si>
  <si>
    <t>2026-01-12</t>
  </si>
  <si>
    <t>OUT</t>
  </si>
  <si>
    <t>2026-01-18</t>
  </si>
  <si>
    <t>SKU-1055</t>
  </si>
  <si>
    <t>PNQ</t>
  </si>
  <si>
    <t>2026-01-22</t>
  </si>
  <si>
    <t>2026-02-02</t>
  </si>
  <si>
    <t>2026-02-11</t>
  </si>
  <si>
    <t>Sorted ascending. XLOOKUP match_mode −1 = exact or next smaller — same idea as HLOOKUP TRUE, but the lookup array is a column.</t>
  </si>
  <si>
    <t>2026-02-14</t>
  </si>
  <si>
    <t>SKU-1071</t>
  </si>
  <si>
    <t>2026-02-20</t>
  </si>
  <si>
    <t>SOURCE  ·  COURIER SLAB  (next larger weight)</t>
  </si>
  <si>
    <t>2026-03-03</t>
  </si>
  <si>
    <t>Max kg</t>
  </si>
  <si>
    <t>Charge ₹</t>
  </si>
  <si>
    <t>2026-03-15</t>
  </si>
  <si>
    <t>2026-03-28</t>
  </si>
  <si>
    <t>PATTERN 1  ·  LAST MATCH  search_mode = −1</t>
  </si>
  <si>
    <t>SKU-1042 appears on lines 1,3,5,7,9,11. First-to-last returns the January receipt. Last-to-first returns the 15-Mar outbound — “current state” from a log.</t>
  </si>
  <si>
    <t>First event date</t>
  </si>
  <si>
    <t>Last event date</t>
  </si>
  <si>
    <t>Last event type</t>
  </si>
  <si>
    <t>Last warehouse</t>
  </si>
  <si>
    <t>Last unit cost</t>
  </si>
  <si>
    <t>'=XLOOKUP( sku ,  SKU_col ,  Date_col ,  "none" ,  0 ,  -1 )</t>
  </si>
  <si>
    <t>Argument order you must not swap: match_mode is 5th, search_mode is 6th. Passing −1 in the 5th slot means “next smaller”, not “search backwards”.</t>
  </si>
  <si>
    <t>PATTERN 2  ·  NEXT SMALLER  match_mode = −1   (tax slab)</t>
  </si>
  <si>
    <t>Taxable income ₹</t>
  </si>
  <si>
    <t>Marginal rate</t>
  </si>
  <si>
    <t>Cess rate</t>
  </si>
  <si>
    <t>'=XLOOKUP( income ,  breakpoints ,  rates ,  "check slab" ,  -1 )</t>
  </si>
  <si>
    <t>950,000 is not in the list. Next smaller breakpoint is 700,000 → 10%. This is the XLOOKUP equivalent of VLOOKUP/HLOOKUP TRUE.</t>
  </si>
  <si>
    <t>PATTERN 3  ·  NEXT LARGER  match_mode = 1   (courier billable weight)</t>
  </si>
  <si>
    <t>A 1.2 kg parcel is not 1 kg and not 2 kg. Billing rule: charge the next band up. match_mode 1 = exact or next larger.</t>
  </si>
  <si>
    <t>Actual kg</t>
  </si>
  <si>
    <t>Billable band kg</t>
  </si>
  <si>
    <t>'=XLOOKUP( kg ,  max_kg ,  charge ,  "Over 20kg desk" ,  1 )</t>
  </si>
  <si>
    <t>If actual kg exceeds the last breakpoint, XLOOKUP with match_mode 1 returns if_not_found. That is the correct behaviour — do not let it silently pick 20 kg.</t>
  </si>
  <si>
    <t>PATTERN 4  ·  TWO CRITERIA WITHOUT HELPER COLUMN</t>
  </si>
  <si>
    <t>Find Qty for SKU-1042 AND Event = OUT AND we want the LAST such outbound. Helper-column people concatenate SKU&amp;Event. Array people multiply booleans. Both are acceptable; say both.</t>
  </si>
  <si>
    <t>Helper-style key</t>
  </si>
  <si>
    <t>Last date (array AND)</t>
  </si>
  <si>
    <t>Last qty</t>
  </si>
  <si>
    <t>'=XLOOKUP( 1 ,  (SKU=C47)*(Event=C48) ,  return_col ,  "no row" ,  0 ,  -1 )</t>
  </si>
  <si>
    <t>This formula is an array formula. In Excel 365 it just works. In Excel 2019 you may need Ctrl+Shift+Enter. If the interviewer is on 2016, build a helper column D&amp;E and XLOOKUP / INDEX-MATCH that.</t>
  </si>
  <si>
    <t>PATTERN 5  ·  BINARY SEARCH TALK-TRACK  (search_mode ±2)</t>
  </si>
  <si>
    <t>search_mode 2 / −2 uses binary search. It is faster on 100k+ sorted rows and WRONG on unsorted rows (silent bad answer, same family of bug as HLOOKUP TRUE). In interviews: “I only use binary mode when I control the sort and the file is large enough that scan cost shows up.” For Apex Retail’s 12-line log, search_mode 1 or −1 is the professional choice.</t>
  </si>
  <si>
    <t>PATTERN 6  ·  WHAT TO SAY WHEN THEY ASK 'WHY NOT IFERROR + VLOOKUP?'</t>
  </si>
  <si>
    <t>VLOOKUP column index breaks when a column is inserted. XLOOKUP return_array does not.</t>
  </si>
  <si>
    <t>VLOOKUP cannot return left. XLOOKUP can.</t>
  </si>
  <si>
    <t>IFERROR swallows #REF! and #DIV/0!. XLOOKUP’s if_not_found does not.</t>
  </si>
  <si>
    <t>VLOOKUP defaults to approximate match. XLOOKUP defaults to exact.</t>
  </si>
  <si>
    <t>Last-match and next-larger are one argument in XLOOKUP; they are a redesign in VLOOKUP.</t>
  </si>
  <si>
    <t>Next: 06_Practice_Lab  ·  15 problems. Timer starts when you open that sheet. No Solutions until you have a result in every yellow cell.</t>
  </si>
  <si>
    <t>PRACTICE LAB  ·  15 PROBLEMS  ·  ATTEMPT BEFORE YOU OPEN 07_Solutions</t>
  </si>
  <si>
    <t>Yellow = your formula. Grey = locked prompt. Data lives on this sheet so you are not hunting tabs under time pressure.</t>
  </si>
  <si>
    <t>LAB DATA  ·  do not edit  ·  ranges are named in the prompts</t>
  </si>
  <si>
    <t>Metric</t>
  </si>
  <si>
    <t>Sales</t>
  </si>
  <si>
    <t>Returns</t>
  </si>
  <si>
    <t>NPS</t>
  </si>
  <si>
    <t>Code</t>
  </si>
  <si>
    <t>Rep</t>
  </si>
  <si>
    <t>Q1 sales</t>
  </si>
  <si>
    <t>Q2 sales</t>
  </si>
  <si>
    <t>Status</t>
  </si>
  <si>
    <t>R01</t>
  </si>
  <si>
    <t>A. Rao</t>
  </si>
  <si>
    <t>Active</t>
  </si>
  <si>
    <t>R02</t>
  </si>
  <si>
    <t>V. Shah</t>
  </si>
  <si>
    <t>R03</t>
  </si>
  <si>
    <t>M. Iyer</t>
  </si>
  <si>
    <t>R04</t>
  </si>
  <si>
    <t>R. Nair</t>
  </si>
  <si>
    <t>Exited</t>
  </si>
  <si>
    <t>R05</t>
  </si>
  <si>
    <t>S. Khan</t>
  </si>
  <si>
    <t>R06</t>
  </si>
  <si>
    <t>P. Das</t>
  </si>
  <si>
    <t>R07</t>
  </si>
  <si>
    <t>K. Mehta</t>
  </si>
  <si>
    <t>R08</t>
  </si>
  <si>
    <t>F. Ali</t>
  </si>
  <si>
    <t>Q2 sales ≥</t>
  </si>
  <si>
    <t>Bonus %</t>
  </si>
  <si>
    <t>Badge</t>
  </si>
  <si>
    <t>—</t>
  </si>
  <si>
    <t>Bronze</t>
  </si>
  <si>
    <t>Silver</t>
  </si>
  <si>
    <t>Gold</t>
  </si>
  <si>
    <t>Platinum</t>
  </si>
  <si>
    <t>Diamond</t>
  </si>
  <si>
    <t>Tkt</t>
  </si>
  <si>
    <t>Opened</t>
  </si>
  <si>
    <t>Issue</t>
  </si>
  <si>
    <t>State</t>
  </si>
  <si>
    <t>T-01</t>
  </si>
  <si>
    <t>2026-04-02</t>
  </si>
  <si>
    <t>Late delivery</t>
  </si>
  <si>
    <t>Closed</t>
  </si>
  <si>
    <t>T-02</t>
  </si>
  <si>
    <t>2026-04-03</t>
  </si>
  <si>
    <t>Size swap</t>
  </si>
  <si>
    <t>T-03</t>
  </si>
  <si>
    <t>2026-04-10</t>
  </si>
  <si>
    <t>Refund</t>
  </si>
  <si>
    <t>Open</t>
  </si>
  <si>
    <t>T-04</t>
  </si>
  <si>
    <t>2026-04-12</t>
  </si>
  <si>
    <t>T-05</t>
  </si>
  <si>
    <t>2026-04-18</t>
  </si>
  <si>
    <t>T-06</t>
  </si>
  <si>
    <t>2026-04-21</t>
  </si>
  <si>
    <t>Missing item</t>
  </si>
  <si>
    <t>T-07</t>
  </si>
  <si>
    <t>2026-04-22</t>
  </si>
  <si>
    <t>T-08</t>
  </si>
  <si>
    <t>2026-04-28</t>
  </si>
  <si>
    <t>PROBLEMS  ·  type formulas in column F  ·  inputs in column E are already filled — change them to test</t>
  </si>
  <si>
    <t>#</t>
  </si>
  <si>
    <t>Level</t>
  </si>
  <si>
    <t>Prompt</t>
  </si>
  <si>
    <t>Input</t>
  </si>
  <si>
    <t>YOUR FORMULA →</t>
  </si>
  <si>
    <t>Hint (not the answer)</t>
  </si>
  <si>
    <t>01</t>
  </si>
  <si>
    <t>★ H</t>
  </si>
  <si>
    <t>Exact HLOOKUP: Sales for month in E36. Table B5:H8.</t>
  </si>
  <si>
    <t>Month headers must be the first row of table_array.</t>
  </si>
  <si>
    <t>02</t>
  </si>
  <si>
    <t>Exact HLOOKUP: NPS for month in E37.</t>
  </si>
  <si>
    <t>Count rows from the first row of the range you pass.</t>
  </si>
  <si>
    <t>03</t>
  </si>
  <si>
    <t>★★ H</t>
  </si>
  <si>
    <t>HLOOKUP+MATCH: return the metric named in E38 for month in E39.</t>
  </si>
  <si>
    <t>MATCH metric against B5:B8. Month sits in E39.</t>
  </si>
  <si>
    <t>↑ month input for Q03 is E39</t>
  </si>
  <si>
    <t>Do not put the Q03 formula here. E39 is an input only.</t>
  </si>
  <si>
    <t>04</t>
  </si>
  <si>
    <t>Approx HLOOKUP: Bonus % for Q2 sales figure in E40. Slab rows 20-22.</t>
  </si>
  <si>
    <t>TRUE / sorted breakpoints C20:H20. row_index of Bonus %.</t>
  </si>
  <si>
    <t>05</t>
  </si>
  <si>
    <t>Approx HLOOKUP: Badge for Q2 sales in E41.</t>
  </si>
  <si>
    <t>Same slab, different row_index.</t>
  </si>
  <si>
    <t>06</t>
  </si>
  <si>
    <t>IFNA + exact HLOOKUP: Sales for month in E42. Fake months → Missing month</t>
  </si>
  <si>
    <t>Nov</t>
  </si>
  <si>
    <t>IFNA wraps HLOOKUP, not IFERROR.</t>
  </si>
  <si>
    <t>07</t>
  </si>
  <si>
    <t>★ X</t>
  </si>
  <si>
    <t>XLOOKUP: Rep name for code in E43. Staff B11:C18.</t>
  </si>
  <si>
    <t>lookup B11:B18, return C11:C18.</t>
  </si>
  <si>
    <t>08</t>
  </si>
  <si>
    <t>XLOOKUP + if_not_found: name for code in E44.</t>
  </si>
  <si>
    <t>R99</t>
  </si>
  <si>
    <t>4th argument "No such rep".</t>
  </si>
  <si>
    <t>09</t>
  </si>
  <si>
    <t>★★ X</t>
  </si>
  <si>
    <t>Horizontal XLOOKUP: Sales for month in E45.</t>
  </si>
  <si>
    <t>lookup C5:H5, return C6:H6.</t>
  </si>
  <si>
    <t>10</t>
  </si>
  <si>
    <t>Last ticket State for rep in E46. Log C25:F32.</t>
  </si>
  <si>
    <t>search_mode -1. lookup C25:C32, return F25:F32.</t>
  </si>
  <si>
    <t>11</t>
  </si>
  <si>
    <t>★★★ X</t>
  </si>
  <si>
    <t>Last OPEN ticket Issue for rep in E47. Two criteria.</t>
  </si>
  <si>
    <t>(Rep=E47)*(State="Open"), return Issue col, search -1.</t>
  </si>
  <si>
    <t>12</t>
  </si>
  <si>
    <t>Bonus % for Q2 sales of rep code E48. Nest lookups. Do not type 57.</t>
  </si>
  <si>
    <t>Inner XLOOKUP → Q2 sales; outer XLOOKUP match_mode -1 on slab.</t>
  </si>
  <si>
    <t>13</t>
  </si>
  <si>
    <t>Region of the rep who last logged issue type E49.</t>
  </si>
  <si>
    <t>Last Refund → Rep code → Region. Two XLOOKUPs.</t>
  </si>
  <si>
    <t>14</t>
  </si>
  <si>
    <t>★★★ Both</t>
  </si>
  <si>
    <t>Rewrite Q01 with XLOOKUP. Month input is E50.</t>
  </si>
  <si>
    <t>Zero row_index in the formula.</t>
  </si>
  <si>
    <t>15</t>
  </si>
  <si>
    <t>★★★★</t>
  </si>
  <si>
    <t>Two-way: metric E51, month E52. One formula.</t>
  </si>
  <si>
    <t>Nested XLOOKUP or INDEX + MATCH + MATCH.</t>
  </si>
  <si>
    <t>↑ month input for Q15 is E52</t>
  </si>
  <si>
    <t>Do not put the Q15 formula here.</t>
  </si>
  <si>
    <t>SCORING  ·  15 formulas, 2 points each, −1 if it works only because you hardcoded a number from the table</t>
  </si>
  <si>
    <t>13–15  interview-ready   ·   10–12  one more pass on two-way and last-match   ·   7–9  re-do sheets 03 and 05   ·   below 7  start again from the cheatsheet and say the 8 sentences out loud.</t>
  </si>
  <si>
    <t>When every F cell has a formula, open 07_Solutions and mark in column G of that sheet. Then read 08_Interview_QA once, closed-book on the formulas.</t>
  </si>
  <si>
    <t>Apex Retail Lookup Mastery Lab  ·  Practice under time. 25 minutes is a strong score window.</t>
  </si>
  <si>
    <t>SOLUTIONS  ·  COMPARE AFTER YOU ATTEMPT  ·  LIVE FORMULAS POINT AT 06_Practice_Lab</t>
  </si>
  <si>
    <t>Each solution uses the lab sheet inputs, so if you change a yellow input on the lab, the solution result here updates.</t>
  </si>
  <si>
    <t>ANSWER KEY</t>
  </si>
  <si>
    <t>Type</t>
  </si>
  <si>
    <t>Formula (study this)</t>
  </si>
  <si>
    <t>Live result</t>
  </si>
  <si>
    <t>Why this shape</t>
  </si>
  <si>
    <t>'=HLOOKUP('06_Practice_Lab'!E36,'06_Practice_Lab'!$C$5:$H$8,2,FALSE)</t>
  </si>
  <si>
    <t>Row 2 of C5:H8 is Sales. FALSE because month names are not a sorted numeric slab.</t>
  </si>
  <si>
    <t>'=HLOOKUP('06_Practice_Lab'!E37,'06_Practice_Lab'!$C$5:$H$8,4,FALSE)</t>
  </si>
  <si>
    <t>Header=1, Sales=2, Returns=3, NPS=4. Off-by-one is the usual miss.</t>
  </si>
  <si>
    <t>HLOOKUP+MATCH</t>
  </si>
  <si>
    <t>'=HLOOKUP('06_Practice_Lab'!E39,'06_Practice_Lab'!$C$5:$H$8,MATCH('06_Practice_Lab'!E38,'06_Practice_Lab'!$B$5:$B$8,0),FALSE)</t>
  </si>
  <si>
    <t>MATCH and HLOOKUP ranges share the same top row (row 5). That keeps row_index aligned.</t>
  </si>
  <si>
    <t>HLOOKUP TRUE</t>
  </si>
  <si>
    <t>'=HLOOKUP('06_Practice_Lab'!E40,'06_Practice_Lab'!$C$20:$H$21,2,TRUE)</t>
  </si>
  <si>
    <t>Slab first row is breakpoints, second is bonus %. 48 sits in ≥40 and &lt;50 → 6%.</t>
  </si>
  <si>
    <t>'=HLOOKUP('06_Practice_Lab'!E41,'06_Practice_Lab'!$C$20:$H$22,3,TRUE)</t>
  </si>
  <si>
    <t>Badge is the third row of the slab block C20:H22. 55 → Platinum.</t>
  </si>
  <si>
    <t>IFNA+HLOOKUP</t>
  </si>
  <si>
    <t>'=IF(ISNA(HLOOKUP('06_Practice_Lab'!E42,'06_Practice_Lab'!$C$5:$H$8,2,FALSE)),"Missing month",HLOOKUP('06_Practice_Lab'!E42,'06_Practice_Lab'!$C$5:$H$8,2,FALSE))</t>
  </si>
  <si>
    <t>Nov is absent. In Excel prefer IFNA(HLOOKUP(...),"Missing month"). IFERROR would also hide a bad row_index.</t>
  </si>
  <si>
    <t>'=XLOOKUP('06_Practice_Lab'!E43,'06_Practice_Lab'!$B$11:$B$18,'06_Practice_Lab'!$C$11:$C$18)</t>
  </si>
  <si>
    <t>Classic VLOOKUP replacement. Return array is independent of column position.</t>
  </si>
  <si>
    <t>XLOOKUP 4th</t>
  </si>
  <si>
    <t>'=XLOOKUP('06_Practice_Lab'!E44,'06_Practice_Lab'!$B$11:$B$18,'06_Practice_Lab'!$C$11:$C$18,"No such rep")</t>
  </si>
  <si>
    <t>R99 is not in the list. 4th argument fires. No IFERROR needed.</t>
  </si>
  <si>
    <t>XLOOKUP horiz</t>
  </si>
  <si>
    <t>'=XLOOKUP('06_Practice_Lab'!E45,'06_Practice_Lab'!$C$5:$H$5,'06_Practice_Lab'!$C$6:$H$6)</t>
  </si>
  <si>
    <t>This is the one-line HLOOKUP replacement. No row_index.</t>
  </si>
  <si>
    <t>XLOOKUP −1</t>
  </si>
  <si>
    <t>'=XLOOKUP('06_Practice_Lab'!E46,'06_Practice_Lab'!$C$25:$C$32,'06_Practice_Lab'!$F$25:$F$32,"none",0,-1)</t>
  </si>
  <si>
    <t>R01 tickets: T-01 Closed, T-03 Open, T-06 Open. Last match = Open.</t>
  </si>
  <si>
    <t>XLOOKUP 2-crit</t>
  </si>
  <si>
    <t>'=XLOOKUP(1,('06_Practice_Lab'!$C$25:$C$32='06_Practice_Lab'!E47)*('06_Practice_Lab'!$F$25:$F$32="Open"),'06_Practice_Lab'!$E$25:$E$32,"none",0,-1)</t>
  </si>
  <si>
    <t>Boolean AND produces 1/0. Search for 1 from the bottom. R01 last open issue = Missing item.</t>
  </si>
  <si>
    <t>Nested XLOOKUP</t>
  </si>
  <si>
    <t>'=XLOOKUP(XLOOKUP('06_Practice_Lab'!E48,'06_Practice_Lab'!$B$11:$B$18,'06_Practice_Lab'!$F$11:$F$18),'06_Practice_Lab'!$C$20:$H$20,'06_Practice_Lab'!$C$21:$H$21,"—",-1)</t>
  </si>
  <si>
    <t>R03 Q2 = 57 → next-smaller breakpoint 50 → 9%. Inner lookup must be Q2 column F, not Q1.</t>
  </si>
  <si>
    <t>Double XLOOKUP</t>
  </si>
  <si>
    <t>'=XLOOKUP(XLOOKUP('06_Practice_Lab'!E49,'06_Practice_Lab'!$E$25:$E$32,'06_Practice_Lab'!$C$25:$C$32,"none",0,-1),'06_Practice_Lab'!$B$11:$B$18,'06_Practice_Lab'!$D$11:$D$18,"none")</t>
  </si>
  <si>
    <t>Last Refund ticket is T-08 (R05). R05 region = North.</t>
  </si>
  <si>
    <t>XLOOKUP rewrite</t>
  </si>
  <si>
    <t>'=XLOOKUP('06_Practice_Lab'!E50,'06_Practice_Lab'!$C$5:$H$5,'06_Practice_Lab'!$C$6:$H$6,"Missing month")</t>
  </si>
  <si>
    <t>Same question as 01. If your Q01 and Q14 results differ for the same month, one of them is wrong.</t>
  </si>
  <si>
    <t>Two-way XLOOKUP</t>
  </si>
  <si>
    <t>'=XLOOKUP('06_Practice_Lab'!E52,'06_Practice_Lab'!$C$5:$H$5,XLOOKUP('06_Practice_Lab'!E51,'06_Practice_Lab'!$B$6:$B$8,'06_Practice_Lab'!$C$6:$H$8))</t>
  </si>
  <si>
    <t>Inner returns the whole metric row (3 months? 6 months). Outer picks the month. INDEX/MATCH/MATCH is equally valid.</t>
  </si>
  <si>
    <t>ALTERNATE ANSWER FOR Q15  (INDEX / MATCH / MATCH)  — equally interview-valid</t>
  </si>
  <si>
    <t>'=INDEX('06_Practice_Lab'!$C$6:$H$8, MATCH(E51,'06_Practice_Lab'!$B$6:$B$8,0), MATCH(E52,'06_Practice_Lab'!$C$5:$H$5,0))</t>
  </si>
  <si>
    <t>Live INDEX/MATCH/MATCH result →</t>
  </si>
  <si>
    <t>If XLOOKUP is disabled by IT policy or the file must open in Excel 2016, this is the answer you write on the whiteboard.</t>
  </si>
  <si>
    <t>EXPECTED LIVE RESULTS WITH THE DEFAULT INPUTS</t>
  </si>
  <si>
    <t>01 May Sales</t>
  </si>
  <si>
    <t>155</t>
  </si>
  <si>
    <t>09 Apr Sales</t>
  </si>
  <si>
    <t>141</t>
  </si>
  <si>
    <t>02 Feb NPS</t>
  </si>
  <si>
    <t>44</t>
  </si>
  <si>
    <t>10 R01 last state</t>
  </si>
  <si>
    <t>03 Returns / Mar</t>
  </si>
  <si>
    <t>9</t>
  </si>
  <si>
    <t>11 R01 last open issue</t>
  </si>
  <si>
    <t>04 Bonus on 48</t>
  </si>
  <si>
    <t>6%</t>
  </si>
  <si>
    <t>12 R03 bonus %</t>
  </si>
  <si>
    <t>9%</t>
  </si>
  <si>
    <t>05 Badge on 55</t>
  </si>
  <si>
    <t>13 Last Refund region</t>
  </si>
  <si>
    <t>06 Nov Sales</t>
  </si>
  <si>
    <t>Missing month</t>
  </si>
  <si>
    <t>14 Jun Sales</t>
  </si>
  <si>
    <t>160</t>
  </si>
  <si>
    <t>07 R05 name</t>
  </si>
  <si>
    <t>15 NPS / Mar</t>
  </si>
  <si>
    <t>39</t>
  </si>
  <si>
    <t>08 R99 name</t>
  </si>
  <si>
    <t>No such rep</t>
  </si>
  <si>
    <t>If a live result shows #NAME?, you are not in Excel 365/2021. Use the HLOOKUP / INDEX answers only and read the XLOOKUP formulas as syntax study.</t>
  </si>
  <si>
    <t>INTERVIEW Q&amp;A  ·  20 QUESTIONS  ·  MODEL ANSWERS YOU CAN SAY OUT LOUD</t>
  </si>
  <si>
    <t>Cover this sheet and try to answer in one or two sentences. Then reveal. The sentences match the eight talking points on the cheatsheet.</t>
  </si>
  <si>
    <t>BANK OF QUESTIONS</t>
  </si>
  <si>
    <t>Theme</t>
  </si>
  <si>
    <t>Question + model answer</t>
  </si>
  <si>
    <t>Q01</t>
  </si>
  <si>
    <t>Basics</t>
  </si>
  <si>
    <t>What does HLOOKUP actually search?</t>
  </si>
  <si>
    <t>The first row of table_array only. row_index_num then counts down from that first row, starting at 1. It cannot search a middle row and it cannot return a row above the first row.</t>
  </si>
  <si>
    <t>Q02</t>
  </si>
  <si>
    <t>Why is HLOOKUP’s last argument a trap?</t>
  </si>
  <si>
    <t>It defaults to TRUE (approximate). If you omit it, Excel will not error — it will return a nearby value from a range it treats as sorted. Always pass FALSE unless you have sorted numeric breakpoints.</t>
  </si>
  <si>
    <t>Q03</t>
  </si>
  <si>
    <t>When is approximate match the correct tool?</t>
  </si>
  <si>
    <t>Slabs: tax bands, exam grades, commission tiers, shipping weight bands. The breakpoint row/column must be sorted ascending. Say “sorted algorithm, not nearest neighbour”.</t>
  </si>
  <si>
    <t>Q04</t>
  </si>
  <si>
    <t>HLOOKUP vs VLOOKUP in one line.</t>
  </si>
  <si>
    <t>HLOOKUP looks across the top and returns from a row below. VLOOKUP looks down the left and returns from a column to the right. Same four arguments, same default-TRUE trap.</t>
  </si>
  <si>
    <t>Q05</t>
  </si>
  <si>
    <t>Design</t>
  </si>
  <si>
    <t>Why do seniors tell you not to ship HLOOKUP?</t>
  </si>
  <si>
    <t>row_index_num is a magic number. Insert a row inside the table and every formula below the insertion is silently wrong. MATCH or XLOOKUP removes that class of bug.</t>
  </si>
  <si>
    <t>Q06</t>
  </si>
  <si>
    <t>How do you make HLOOKUP insertion-safe?</t>
  </si>
  <si>
    <t>Replace the hardcoded row_index with MATCH(kpi_name, kpi_labels, 0), and make sure MATCH’s range and HLOOKUP’s table_array start on the same row so the index stays aligned.</t>
  </si>
  <si>
    <t>Q07</t>
  </si>
  <si>
    <t>Write a two-way lookup three ways.</t>
  </si>
  <si>
    <t>1) INDEX(matrix, MATCH(row_key, row_heads,0), MATCH(col_key, col_heads,0)). 2) HLOOKUP(col_key, values, MATCH(row_key, row_heads,0), FALSE). 3) XLOOKUP(col_key, col_heads, XLOOKUP(row_key, row_heads, matrix)).</t>
  </si>
  <si>
    <t>Q08</t>
  </si>
  <si>
    <t>Name all six XLOOKUP arguments in order.</t>
  </si>
  <si>
    <t>lookup_value, lookup_array, return_array, if_not_found, match_mode, search_mode. Mixing up 5 and 6 is the most common XLOOKUP bug — −1 in slot 5 means next-smaller, not last-to-first.</t>
  </si>
  <si>
    <t>Q09</t>
  </si>
  <si>
    <t>Default match_mode and search_mode?</t>
  </si>
  <si>
    <t>0 (exact) and 1 (first-to-last). That is the opposite default to VLOOKUP/HLOOKUP, and it is why XLOOKUP is safer in messy data.</t>
  </si>
  <si>
    <t>Q10</t>
  </si>
  <si>
    <t>How do you return the most recent transaction for an ID?</t>
  </si>
  <si>
    <t>Keep the log in chronological order and use search_mode −1. Do not sort the sheet descending just to make a first-match work — that breaks everyone else.</t>
  </si>
  <si>
    <t>Q11</t>
  </si>
  <si>
    <t>Exact or next smaller vs next larger — when each?</t>
  </si>
  <si>
    <t>−1 next smaller: income tax, grades, “sales ≥ breakpoint”. 1 next larger: courier bands billed to the next weight up, “capacity must be at least X”.</t>
  </si>
  <si>
    <t>Q12</t>
  </si>
  <si>
    <t>Why is if_not_found better than IFERROR?</t>
  </si>
  <si>
    <t>if_not_found runs only when the key is missing. IFERROR also hides #REF!, #DIV/0!, #VALUE!, so a broken range looks like a missing employee. I use IFNA if I must wrap an older function.</t>
  </si>
  <si>
    <t>Q13</t>
  </si>
  <si>
    <t>Can XLOOKUP look left?</t>
  </si>
  <si>
    <t>Yes. lookup_array and return_array are independent. The return column can sit anywhere. That is the headline advantage over VLOOKUP.</t>
  </si>
  <si>
    <t>Q14</t>
  </si>
  <si>
    <t>How do you do two criteria with no helper column?</t>
  </si>
  <si>
    <t>'=XLOOKUP(1, (A:A=id)*(B:B=status), C:C, "none", 0, -1). The boolean product is the lookup_array. Mention that Excel 365 handles the array natively; 2016 needs a helper column.</t>
  </si>
  <si>
    <t>Q15</t>
  </si>
  <si>
    <t>Compare</t>
  </si>
  <si>
    <t>XLOOKUP vs INDEX/MATCH — when do you still use INDEX/MATCH?</t>
  </si>
  <si>
    <t>When the workbook must open in Excel 2016/2019, when a shared Sheets user is in the loop and you want the older common subset, or when you already have MATCH results reused across several INDEX calls (one MATCH, many INDEX).</t>
  </si>
  <si>
    <t>Q16</t>
  </si>
  <si>
    <t>Does XLOOKUP make INDEX/MATCH obsolete for two-way work?</t>
  </si>
  <si>
    <t>No. INDEX/MATCH/MATCH is still the most portable two-way pattern and many banking model standards still require it. Nested XLOOKUP is cleaner in 365 and I use it when the file standard allows.</t>
  </si>
  <si>
    <t>Q17</t>
  </si>
  <si>
    <t>Traps</t>
  </si>
  <si>
    <t>A candidate writes HLOOKUP(A1, C5:H12, 2) and gets a plausible but wrong number. Diagnose.</t>
  </si>
  <si>
    <t>Fourth argument omitted → approximate match. Month text is not sorted the way the algorithm expects, so Excel returned an adjacent month’s revenue. Fix: add FALSE, or switch to XLOOKUP.</t>
  </si>
  <si>
    <t>Q18</t>
  </si>
  <si>
    <t>Approximate HLOOKUP on unsorted breakpoints. What happens?</t>
  </si>
  <si>
    <t>No error. Wrong grade / wrong tax / wrong commission. I treat unsorted + TRUE as a production incident, not a style issue.</t>
  </si>
  <si>
    <t>Q19</t>
  </si>
  <si>
    <t>XLOOKUP returns #N/A but you can see the ID. Name three causes.</t>
  </si>
  <si>
    <t>Trailing space or non-breaking space; number stored as text vs real number; lookup_array and return_array different heights/widths so the function refuses the call. TRIM + VALUE + check COUNTA of both arrays.</t>
  </si>
  <si>
    <t>Q20</t>
  </si>
  <si>
    <t>Judgement</t>
  </si>
  <si>
    <t>You inherit a 40-sheet model full of VLOOKUP. Do you rewrite to XLOOKUP on day one?</t>
  </si>
  <si>
    <t>No. I leave stable legacy alone, put XLOOKUP in every new tab, and convert a VLOOKUP only when I am already touching that formula for another reason. A mass rewrite with no test pack is how you manufacture silent differences on approximate matches.</t>
  </si>
  <si>
    <t>WHITEBOARD DRILL  (they hand you a marker)</t>
  </si>
  <si>
    <t>1. Draw a 4×6 monthly matrix. Write INDEX/MATCH/MATCH for “South / Mar”.  2. Rewrite it as nested XLOOKUP.  3. Write the last-match XLOOKUP for a log.  4. State the default of VLOOKUP’s last argument.  If you can do those four without looking, you will not fail a lookup round.</t>
  </si>
  <si>
    <t>END OF LAB</t>
  </si>
  <si>
    <t>You now have syntax, worked examples, traps, a timed lab, live solutions, and spoken answers. The remaining skill is speed under someone watching the formula bar. Re-run the Practice Lab weekly until Q11–Q15 are automatic.</t>
  </si>
  <si>
    <t>=XLOOKUP( C22 ,  $B$6:$B$19 ,  $C$6:$C$19 )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</si>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</sst>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₹#,##0"/>
    <numFmt numFmtId="167" formatCode="yyyy\-mm\-dd"/>
  </numFmts>
  <fonts count="16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sz val="11"/>
      <color rgb="FF1A1A1A"/>
      <name val="Calibri"/>
      <charset val="1"/>
    </font>
    <font>
      <b/>
      <sz val="11"/>
      <color rgb="FFFFFFFF"/>
      <name val="Calibri"/>
      <charset val="1"/>
    </font>
    <font>
      <b/>
      <sz val="11"/>
      <color rgb="FF1B365D"/>
      <name val="Calibri"/>
      <charset val="1"/>
    </font>
    <font>
      <i/>
      <sz val="9"/>
      <color rgb="FF5C6570"/>
      <name val="Calibri"/>
      <charset val="1"/>
    </font>
    <font>
      <b/>
      <sz val="18"/>
      <color rgb="FFFFFFFF"/>
      <name val="Calibri"/>
      <charset val="1"/>
    </font>
    <font>
      <b/>
      <sz val="16"/>
      <color rgb="FF1B365D"/>
      <name val="Calibri"/>
      <charset val="1"/>
    </font>
    <font>
      <sz val="10"/>
      <color rgb="FF1B365D"/>
      <name val="Consolas"/>
      <charset val="1"/>
    </font>
    <font>
      <b/>
      <sz val="12"/>
      <color rgb="FF1B365D"/>
      <name val="Calibri"/>
      <charset val="1"/>
    </font>
    <font>
      <sz val="11"/>
      <color rgb="FF000000"/>
      <name val="Calibri"/>
      <charset val="1"/>
    </font>
    <font>
      <b/>
      <sz val="11"/>
      <color rgb="FF0000FF"/>
      <name val="Calibri"/>
      <charset val="1"/>
    </font>
    <font>
      <sz val="10"/>
      <name val="Arial"/>
      <family val="2"/>
    </font>
    <font>
      <b/>
      <sz val="14"/>
      <color rgb="FFC05621"/>
      <name val="Calibri"/>
      <charset val="1"/>
    </font>
    <font>
      <sz val="9"/>
      <color rgb="FF1A1A1A"/>
      <name val="Consolas"/>
      <charset val="1"/>
    </font>
    <font>
      <sz val="12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2E75B6"/>
        <bgColor rgb="FF1F6F6F"/>
      </patternFill>
    </fill>
    <fill>
      <patternFill patternType="solid">
        <fgColor rgb="FF1B365D"/>
        <bgColor rgb="FF333399"/>
      </patternFill>
    </fill>
    <fill>
      <patternFill patternType="solid">
        <fgColor rgb="FFF7F5F2"/>
        <bgColor rgb="FFEEF1F4"/>
      </patternFill>
    </fill>
    <fill>
      <patternFill patternType="solid">
        <fgColor rgb="FFFFF3C4"/>
        <bgColor rgb="FFFDE8D0"/>
      </patternFill>
    </fill>
    <fill>
      <patternFill patternType="solid">
        <fgColor rgb="FFE8F1F8"/>
        <bgColor rgb="FFEEF1F4"/>
      </patternFill>
    </fill>
    <fill>
      <patternFill patternType="solid">
        <fgColor rgb="FFE3F2E6"/>
        <bgColor rgb="FFE8F1F8"/>
      </patternFill>
    </fill>
    <fill>
      <patternFill patternType="solid">
        <fgColor rgb="FFEEF1F4"/>
        <bgColor rgb="FFE8F1F8"/>
      </patternFill>
    </fill>
    <fill>
      <patternFill patternType="solid">
        <fgColor rgb="FFFDE8D0"/>
        <bgColor rgb="FFFFF3C4"/>
      </patternFill>
    </fill>
    <fill>
      <patternFill patternType="solid">
        <fgColor rgb="FFC9A227"/>
        <bgColor rgb="FF99CC00"/>
      </patternFill>
    </fill>
    <fill>
      <patternFill patternType="solid">
        <fgColor rgb="FF1F6F6F"/>
        <bgColor rgb="FF2D6A4F"/>
      </patternFill>
    </fill>
    <fill>
      <patternFill patternType="solid">
        <fgColor rgb="FFFFFFFF"/>
        <bgColor rgb="FFF7F5F2"/>
      </patternFill>
    </fill>
    <fill>
      <patternFill patternType="solid">
        <fgColor rgb="FF9B2226"/>
        <bgColor rgb="FF993366"/>
      </patternFill>
    </fill>
    <fill>
      <patternFill patternType="solid">
        <fgColor rgb="FFFDECEC"/>
        <bgColor rgb="FFF7F5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1" fillId="6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9" fontId="2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11" fillId="6" borderId="1" xfId="0" applyNumberFormat="1" applyFont="1" applyFill="1" applyBorder="1" applyAlignment="1">
      <alignment horizontal="center" vertical="center" wrapText="1"/>
    </xf>
    <xf numFmtId="2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 wrapText="1"/>
    </xf>
    <xf numFmtId="166" fontId="10" fillId="7" borderId="1" xfId="0" applyNumberFormat="1" applyFont="1" applyFill="1" applyBorder="1" applyAlignment="1">
      <alignment horizontal="center" vertical="center" wrapText="1"/>
    </xf>
    <xf numFmtId="9" fontId="10" fillId="7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167" fontId="2" fillId="8" borderId="1" xfId="0" applyNumberFormat="1" applyFont="1" applyFill="1" applyBorder="1" applyAlignment="1">
      <alignment horizontal="center" vertical="center" wrapText="1"/>
    </xf>
    <xf numFmtId="166" fontId="2" fillId="8" borderId="1" xfId="0" applyNumberFormat="1" applyFont="1" applyFill="1" applyBorder="1" applyAlignment="1">
      <alignment horizontal="center" vertical="center" wrapText="1"/>
    </xf>
    <xf numFmtId="3" fontId="11" fillId="6" borderId="1" xfId="0" applyNumberFormat="1" applyFont="1" applyFill="1" applyBorder="1" applyAlignment="1">
      <alignment horizontal="center" vertical="center" wrapText="1"/>
    </xf>
    <xf numFmtId="2" fontId="11" fillId="6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3" fillId="12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indent="1"/>
    </xf>
    <xf numFmtId="0" fontId="11" fillId="6" borderId="1" xfId="0" applyFont="1" applyFill="1" applyBorder="1" applyAlignment="1">
      <alignment horizontal="center" vertical="center" wrapText="1"/>
    </xf>
    <xf numFmtId="0" fontId="8" fillId="9" borderId="1" xfId="0" quotePrefix="1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10" fontId="10" fillId="6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15" fillId="1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F"/>
      <rgbColor rgb="FFC5CDD6"/>
      <rgbColor rgb="FF808080"/>
      <rgbColor rgb="FF9999FF"/>
      <rgbColor rgb="FF993366"/>
      <rgbColor rgb="FFFFF3C4"/>
      <rgbColor rgb="FFE3F2E6"/>
      <rgbColor rgb="FF660066"/>
      <rgbColor rgb="FFFF8080"/>
      <rgbColor rgb="FF0066CC"/>
      <rgbColor rgb="FFF7F5F2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8F1F8"/>
      <rgbColor rgb="FFEEF1F4"/>
      <rgbColor rgb="FFFDE8D0"/>
      <rgbColor rgb="FF99CCFF"/>
      <rgbColor rgb="FFFF99CC"/>
      <rgbColor rgb="FFCC99FF"/>
      <rgbColor rgb="FFFDECEC"/>
      <rgbColor rgb="FF2E75B6"/>
      <rgbColor rgb="FF33CCCC"/>
      <rgbColor rgb="FF99CC00"/>
      <rgbColor rgb="FFFFCC00"/>
      <rgbColor rgb="FFC9A227"/>
      <rgbColor rgb="FFC05621"/>
      <rgbColor rgb="FF5C6570"/>
      <rgbColor rgb="FF969696"/>
      <rgbColor rgb="FF1B365D"/>
      <rgbColor rgb="FF339966"/>
      <rgbColor rgb="FF0D1B2A"/>
      <rgbColor rgb="FF333300"/>
      <rgbColor rgb="FF9B2226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1</xdr:row>
      <xdr:rowOff>180975</xdr:rowOff>
    </xdr:from>
    <xdr:to>
      <xdr:col>9</xdr:col>
      <xdr:colOff>552933</xdr:colOff>
      <xdr:row>6</xdr:row>
      <xdr:rowOff>28692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A7F79-2A76-16F6-F1BB-2F7FC1C2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371475"/>
          <a:ext cx="3458058" cy="83831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12</xdr:col>
      <xdr:colOff>267078</xdr:colOff>
      <xdr:row>11</xdr:row>
      <xdr:rowOff>47687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8BF4F-D6AB-E224-4D29-892D8F0B3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1781175"/>
          <a:ext cx="2705478" cy="447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B1:J69"/>
  <sheetViews>
    <sheetView showGridLines="0" zoomScale="110" zoomScaleNormal="110" workbookViewId="0">
      <pane ySplit="2" topLeftCell="A44" activePane="bottomLeft" state="frozen"/>
      <selection pane="bottomLeft" activeCell="C17" sqref="C17"/>
    </sheetView>
  </sheetViews>
  <sheetFormatPr defaultColWidth="8.7109375" defaultRowHeight="15" x14ac:dyDescent="0.25"/>
  <cols>
    <col min="1" max="1" width="3" customWidth="1"/>
    <col min="2" max="2" width="22" customWidth="1"/>
    <col min="3" max="3" width="38" customWidth="1"/>
    <col min="4" max="4" width="28" customWidth="1"/>
    <col min="5" max="7" width="22" customWidth="1"/>
    <col min="8" max="8" width="24" customWidth="1"/>
    <col min="9" max="9" width="18" customWidth="1"/>
    <col min="10" max="10" width="16" customWidth="1"/>
  </cols>
  <sheetData>
    <row r="1" spans="2:10" ht="31.5" customHeight="1" x14ac:dyDescent="0.25">
      <c r="B1" s="50" t="s">
        <v>7</v>
      </c>
      <c r="C1" s="50"/>
      <c r="D1" s="50"/>
      <c r="E1" s="50"/>
      <c r="F1" s="50"/>
      <c r="G1" s="50"/>
      <c r="H1" s="50"/>
      <c r="I1" s="50"/>
      <c r="J1" s="50"/>
    </row>
    <row r="2" spans="2:10" ht="18" customHeight="1" x14ac:dyDescent="0.25">
      <c r="B2" s="51"/>
      <c r="C2" s="51"/>
      <c r="D2" s="51"/>
      <c r="E2" s="51"/>
      <c r="F2" s="51"/>
      <c r="G2" s="51"/>
      <c r="H2" s="51"/>
      <c r="I2" s="51"/>
      <c r="J2" s="51"/>
    </row>
    <row r="4" spans="2:10" ht="21.75" customHeight="1" x14ac:dyDescent="0.25">
      <c r="B4" s="48" t="s">
        <v>8</v>
      </c>
      <c r="C4" s="48"/>
      <c r="D4" s="48"/>
      <c r="E4" s="48"/>
      <c r="F4" s="48"/>
      <c r="G4" s="48"/>
      <c r="H4" s="48"/>
      <c r="I4" s="48"/>
      <c r="J4" s="48"/>
    </row>
    <row r="5" spans="2:10" ht="21" x14ac:dyDescent="0.25">
      <c r="B5" s="6" t="s">
        <v>9</v>
      </c>
    </row>
    <row r="6" spans="2:10" ht="21" x14ac:dyDescent="0.25">
      <c r="B6" s="6"/>
    </row>
    <row r="7" spans="2:10" ht="21" x14ac:dyDescent="0.25">
      <c r="B7" s="6"/>
    </row>
    <row r="8" spans="2:10" ht="21.75" customHeight="1" x14ac:dyDescent="0.25">
      <c r="B8" s="57" t="s">
        <v>10</v>
      </c>
      <c r="C8" s="57"/>
      <c r="D8" s="57"/>
      <c r="E8" s="57"/>
      <c r="F8" s="57"/>
      <c r="G8" s="57"/>
      <c r="H8" s="57"/>
      <c r="I8" s="57"/>
      <c r="J8" s="57"/>
    </row>
    <row r="9" spans="2:10" ht="21.75" customHeight="1" x14ac:dyDescent="0.25"/>
    <row r="10" spans="2:10" ht="21.75" customHeight="1" x14ac:dyDescent="0.25"/>
    <row r="11" spans="2:10" ht="27.75" customHeight="1" x14ac:dyDescent="0.25">
      <c r="B11" s="7" t="s">
        <v>11</v>
      </c>
      <c r="C11" s="55" t="s">
        <v>12</v>
      </c>
      <c r="D11" s="55"/>
      <c r="E11" s="55"/>
      <c r="F11" s="55"/>
      <c r="G11" s="55"/>
      <c r="H11" s="55"/>
      <c r="I11" s="55"/>
      <c r="J11" s="55"/>
    </row>
    <row r="12" spans="2:10" ht="27.75" customHeight="1" x14ac:dyDescent="0.25">
      <c r="B12" s="7" t="s">
        <v>13</v>
      </c>
      <c r="C12" s="55" t="s">
        <v>14</v>
      </c>
      <c r="D12" s="55"/>
      <c r="E12" s="55"/>
      <c r="F12" s="55"/>
      <c r="G12" s="55"/>
      <c r="H12" s="55"/>
      <c r="I12" s="55"/>
      <c r="J12" s="55"/>
    </row>
    <row r="13" spans="2:10" ht="27.75" customHeight="1" x14ac:dyDescent="0.25">
      <c r="B13" s="7" t="s">
        <v>15</v>
      </c>
      <c r="C13" s="55" t="s">
        <v>16</v>
      </c>
      <c r="D13" s="55"/>
      <c r="E13" s="55"/>
      <c r="F13" s="55"/>
      <c r="G13" s="55"/>
      <c r="H13" s="55"/>
      <c r="I13" s="55"/>
      <c r="J13" s="55"/>
    </row>
    <row r="14" spans="2:10" ht="27.75" customHeight="1" x14ac:dyDescent="0.25">
      <c r="B14" s="7" t="s">
        <v>17</v>
      </c>
      <c r="C14" s="55" t="s">
        <v>18</v>
      </c>
      <c r="D14" s="55"/>
      <c r="E14" s="55"/>
      <c r="F14" s="55"/>
      <c r="G14" s="55"/>
      <c r="H14" s="55"/>
      <c r="I14" s="55"/>
      <c r="J14" s="55"/>
    </row>
    <row r="16" spans="2:10" ht="21" x14ac:dyDescent="0.25">
      <c r="B16" s="6" t="s">
        <v>19</v>
      </c>
    </row>
    <row r="17" spans="2:10" ht="21" x14ac:dyDescent="0.25">
      <c r="B17" s="6"/>
    </row>
    <row r="18" spans="2:10" ht="21" x14ac:dyDescent="0.25">
      <c r="B18" s="6"/>
    </row>
    <row r="19" spans="2:10" ht="21.75" customHeight="1" x14ac:dyDescent="0.25">
      <c r="B19" s="57" t="s">
        <v>20</v>
      </c>
      <c r="C19" s="57"/>
      <c r="D19" s="57"/>
      <c r="E19" s="57"/>
      <c r="F19" s="57"/>
      <c r="G19" s="57"/>
      <c r="H19" s="57"/>
      <c r="I19" s="57"/>
      <c r="J19" s="57"/>
    </row>
    <row r="20" spans="2:10" ht="21.75" customHeight="1" x14ac:dyDescent="0.25"/>
    <row r="21" spans="2:10" ht="21.75" customHeight="1" x14ac:dyDescent="0.25"/>
    <row r="22" spans="2:10" ht="27.75" customHeight="1" x14ac:dyDescent="0.25">
      <c r="B22" s="8" t="s">
        <v>11</v>
      </c>
      <c r="C22" s="55" t="s">
        <v>21</v>
      </c>
      <c r="D22" s="55"/>
      <c r="E22" s="55"/>
      <c r="F22" s="55"/>
      <c r="G22" s="55"/>
      <c r="H22" s="55"/>
      <c r="I22" s="55"/>
      <c r="J22" s="55"/>
    </row>
    <row r="23" spans="2:10" ht="27.75" customHeight="1" x14ac:dyDescent="0.25">
      <c r="B23" s="8" t="s">
        <v>22</v>
      </c>
      <c r="C23" s="55" t="s">
        <v>23</v>
      </c>
      <c r="D23" s="55"/>
      <c r="E23" s="55"/>
      <c r="F23" s="55"/>
      <c r="G23" s="55"/>
      <c r="H23" s="55"/>
      <c r="I23" s="55"/>
      <c r="J23" s="55"/>
    </row>
    <row r="24" spans="2:10" ht="27.75" customHeight="1" x14ac:dyDescent="0.25">
      <c r="B24" s="8" t="s">
        <v>24</v>
      </c>
      <c r="C24" s="55" t="s">
        <v>25</v>
      </c>
      <c r="D24" s="55"/>
      <c r="E24" s="55"/>
      <c r="F24" s="55"/>
      <c r="G24" s="55"/>
      <c r="H24" s="55"/>
      <c r="I24" s="55"/>
      <c r="J24" s="55"/>
    </row>
    <row r="25" spans="2:10" ht="27.75" customHeight="1" x14ac:dyDescent="0.25">
      <c r="B25" s="8" t="s">
        <v>26</v>
      </c>
      <c r="C25" s="55" t="s">
        <v>27</v>
      </c>
      <c r="D25" s="55"/>
      <c r="E25" s="55"/>
      <c r="F25" s="55"/>
      <c r="G25" s="55"/>
      <c r="H25" s="55"/>
      <c r="I25" s="55"/>
      <c r="J25" s="55"/>
    </row>
    <row r="26" spans="2:10" ht="27.75" customHeight="1" x14ac:dyDescent="0.25">
      <c r="B26" s="8" t="s">
        <v>28</v>
      </c>
      <c r="C26" s="55" t="s">
        <v>29</v>
      </c>
      <c r="D26" s="55"/>
      <c r="E26" s="55"/>
      <c r="F26" s="55"/>
      <c r="G26" s="55"/>
      <c r="H26" s="55"/>
      <c r="I26" s="55"/>
      <c r="J26" s="55"/>
    </row>
    <row r="27" spans="2:10" ht="27.75" customHeight="1" x14ac:dyDescent="0.25">
      <c r="B27" s="8" t="s">
        <v>30</v>
      </c>
      <c r="C27" s="55" t="s">
        <v>31</v>
      </c>
      <c r="D27" s="55"/>
      <c r="E27" s="55"/>
      <c r="F27" s="55"/>
      <c r="G27" s="55"/>
      <c r="H27" s="55"/>
      <c r="I27" s="55"/>
      <c r="J27" s="55"/>
    </row>
    <row r="29" spans="2:10" ht="105" x14ac:dyDescent="0.25">
      <c r="B29" s="6" t="s">
        <v>32</v>
      </c>
    </row>
    <row r="30" spans="2:10" ht="21.75" customHeight="1" x14ac:dyDescent="0.25">
      <c r="B30" s="57" t="s">
        <v>33</v>
      </c>
      <c r="C30" s="57"/>
      <c r="D30" s="57"/>
      <c r="E30" s="57"/>
      <c r="F30" s="57"/>
      <c r="G30" s="57"/>
      <c r="H30" s="57"/>
      <c r="I30" s="57"/>
      <c r="J30" s="57"/>
    </row>
    <row r="31" spans="2:10" ht="21.75" customHeight="1" x14ac:dyDescent="0.25">
      <c r="B31" s="57" t="s">
        <v>34</v>
      </c>
      <c r="C31" s="57"/>
      <c r="D31" s="57"/>
      <c r="E31" s="57"/>
      <c r="F31" s="57"/>
      <c r="G31" s="57"/>
      <c r="H31" s="57"/>
      <c r="I31" s="57"/>
      <c r="J31" s="57"/>
    </row>
    <row r="33" spans="2:10" ht="21.75" customHeight="1" x14ac:dyDescent="0.25">
      <c r="B33" s="48" t="s">
        <v>35</v>
      </c>
      <c r="C33" s="48"/>
      <c r="D33" s="48"/>
      <c r="E33" s="48"/>
      <c r="F33" s="48"/>
      <c r="G33" s="48"/>
      <c r="H33" s="48"/>
      <c r="I33" s="48"/>
      <c r="J33" s="48"/>
    </row>
    <row r="34" spans="2:10" ht="15" customHeight="1" x14ac:dyDescent="0.25">
      <c r="B34" s="3" t="s">
        <v>36</v>
      </c>
      <c r="C34" s="3" t="s">
        <v>9</v>
      </c>
      <c r="D34" s="3" t="s">
        <v>37</v>
      </c>
      <c r="E34" s="3" t="s">
        <v>19</v>
      </c>
      <c r="F34" s="53" t="s">
        <v>38</v>
      </c>
      <c r="G34" s="53"/>
      <c r="H34" s="53"/>
      <c r="I34" s="53"/>
      <c r="J34" s="53"/>
    </row>
    <row r="35" spans="2:10" ht="25.5" customHeight="1" x14ac:dyDescent="0.25">
      <c r="B35" s="9" t="s">
        <v>39</v>
      </c>
      <c r="C35" s="2" t="s">
        <v>40</v>
      </c>
      <c r="D35" s="2" t="s">
        <v>41</v>
      </c>
      <c r="E35" s="2" t="s">
        <v>42</v>
      </c>
      <c r="F35" s="56" t="s">
        <v>42</v>
      </c>
      <c r="G35" s="56"/>
      <c r="H35" s="56"/>
      <c r="I35" s="56"/>
      <c r="J35" s="56"/>
    </row>
    <row r="36" spans="2:10" ht="25.5" customHeight="1" x14ac:dyDescent="0.25">
      <c r="B36" s="9" t="s">
        <v>43</v>
      </c>
      <c r="C36" s="4" t="s">
        <v>44</v>
      </c>
      <c r="D36" s="4" t="s">
        <v>45</v>
      </c>
      <c r="E36" s="4" t="s">
        <v>46</v>
      </c>
      <c r="F36" s="55" t="s">
        <v>46</v>
      </c>
      <c r="G36" s="55"/>
      <c r="H36" s="55"/>
      <c r="I36" s="55"/>
      <c r="J36" s="55"/>
    </row>
    <row r="37" spans="2:10" ht="25.5" customHeight="1" x14ac:dyDescent="0.25">
      <c r="B37" s="9" t="s">
        <v>47</v>
      </c>
      <c r="C37" s="2" t="s">
        <v>48</v>
      </c>
      <c r="D37" s="2" t="s">
        <v>48</v>
      </c>
      <c r="E37" s="2" t="s">
        <v>49</v>
      </c>
      <c r="F37" s="56" t="s">
        <v>50</v>
      </c>
      <c r="G37" s="56"/>
      <c r="H37" s="56"/>
      <c r="I37" s="56"/>
      <c r="J37" s="56"/>
    </row>
    <row r="38" spans="2:10" ht="25.5" customHeight="1" x14ac:dyDescent="0.25">
      <c r="B38" s="9" t="s">
        <v>51</v>
      </c>
      <c r="C38" s="4" t="s">
        <v>52</v>
      </c>
      <c r="D38" s="4" t="s">
        <v>52</v>
      </c>
      <c r="E38" s="4" t="s">
        <v>53</v>
      </c>
      <c r="F38" s="55" t="s">
        <v>54</v>
      </c>
      <c r="G38" s="55"/>
      <c r="H38" s="55"/>
      <c r="I38" s="55"/>
      <c r="J38" s="55"/>
    </row>
    <row r="39" spans="2:10" ht="25.5" customHeight="1" x14ac:dyDescent="0.25">
      <c r="B39" s="9" t="s">
        <v>55</v>
      </c>
      <c r="C39" s="2" t="s">
        <v>56</v>
      </c>
      <c r="D39" s="2" t="s">
        <v>56</v>
      </c>
      <c r="E39" s="2" t="s">
        <v>57</v>
      </c>
      <c r="F39" s="56" t="s">
        <v>58</v>
      </c>
      <c r="G39" s="56"/>
      <c r="H39" s="56"/>
      <c r="I39" s="56"/>
      <c r="J39" s="56"/>
    </row>
    <row r="40" spans="2:10" ht="25.5" customHeight="1" x14ac:dyDescent="0.25">
      <c r="B40" s="9" t="s">
        <v>59</v>
      </c>
      <c r="C40" s="4" t="s">
        <v>60</v>
      </c>
      <c r="D40" s="4" t="s">
        <v>60</v>
      </c>
      <c r="E40" s="4" t="s">
        <v>61</v>
      </c>
      <c r="F40" s="55" t="s">
        <v>62</v>
      </c>
      <c r="G40" s="55"/>
      <c r="H40" s="55"/>
      <c r="I40" s="55"/>
      <c r="J40" s="55"/>
    </row>
    <row r="41" spans="2:10" ht="25.5" customHeight="1" x14ac:dyDescent="0.25">
      <c r="B41" s="9" t="s">
        <v>63</v>
      </c>
      <c r="C41" s="2" t="s">
        <v>64</v>
      </c>
      <c r="D41" s="2" t="s">
        <v>65</v>
      </c>
      <c r="E41" s="2" t="s">
        <v>66</v>
      </c>
      <c r="F41" s="56" t="s">
        <v>67</v>
      </c>
      <c r="G41" s="56"/>
      <c r="H41" s="56"/>
      <c r="I41" s="56"/>
      <c r="J41" s="56"/>
    </row>
    <row r="42" spans="2:10" ht="25.5" customHeight="1" x14ac:dyDescent="0.25">
      <c r="B42" s="9" t="s">
        <v>68</v>
      </c>
      <c r="C42" s="4" t="s">
        <v>69</v>
      </c>
      <c r="D42" s="4" t="s">
        <v>70</v>
      </c>
      <c r="E42" s="4" t="s">
        <v>71</v>
      </c>
      <c r="F42" s="55" t="s">
        <v>72</v>
      </c>
      <c r="G42" s="55"/>
      <c r="H42" s="55"/>
      <c r="I42" s="55"/>
      <c r="J42" s="55"/>
    </row>
    <row r="43" spans="2:10" ht="25.5" customHeight="1" x14ac:dyDescent="0.25">
      <c r="B43" s="9" t="s">
        <v>73</v>
      </c>
      <c r="C43" s="2" t="s">
        <v>74</v>
      </c>
      <c r="D43" s="2" t="s">
        <v>75</v>
      </c>
      <c r="E43" s="2" t="s">
        <v>76</v>
      </c>
      <c r="F43" s="56" t="s">
        <v>77</v>
      </c>
      <c r="G43" s="56"/>
      <c r="H43" s="56"/>
      <c r="I43" s="56"/>
      <c r="J43" s="56"/>
    </row>
    <row r="44" spans="2:10" ht="25.5" customHeight="1" x14ac:dyDescent="0.25">
      <c r="B44" s="9" t="s">
        <v>78</v>
      </c>
      <c r="C44" s="4" t="s">
        <v>46</v>
      </c>
      <c r="D44" s="4" t="s">
        <v>46</v>
      </c>
      <c r="E44" s="4" t="s">
        <v>79</v>
      </c>
      <c r="F44" s="55" t="s">
        <v>46</v>
      </c>
      <c r="G44" s="55"/>
      <c r="H44" s="55"/>
      <c r="I44" s="55"/>
      <c r="J44" s="55"/>
    </row>
    <row r="45" spans="2:10" ht="25.5" customHeight="1" x14ac:dyDescent="0.25">
      <c r="B45" s="9" t="s">
        <v>80</v>
      </c>
      <c r="C45" s="2" t="s">
        <v>81</v>
      </c>
      <c r="D45" s="2" t="s">
        <v>82</v>
      </c>
      <c r="E45" s="2" t="s">
        <v>83</v>
      </c>
      <c r="F45" s="56" t="s">
        <v>84</v>
      </c>
      <c r="G45" s="56"/>
      <c r="H45" s="56"/>
      <c r="I45" s="56"/>
      <c r="J45" s="56"/>
    </row>
    <row r="47" spans="2:10" ht="27.75" customHeight="1" x14ac:dyDescent="0.25">
      <c r="B47" s="46" t="s">
        <v>85</v>
      </c>
      <c r="C47" s="46"/>
      <c r="D47" s="46"/>
      <c r="E47" s="46"/>
      <c r="F47" s="46"/>
      <c r="G47" s="46"/>
      <c r="H47" s="46"/>
      <c r="I47" s="46"/>
      <c r="J47" s="46"/>
    </row>
    <row r="49" spans="2:10" ht="21.75" customHeight="1" x14ac:dyDescent="0.25">
      <c r="B49" s="52" t="s">
        <v>86</v>
      </c>
      <c r="C49" s="52"/>
      <c r="D49" s="52"/>
      <c r="E49" s="52"/>
      <c r="F49" s="52"/>
      <c r="G49" s="52"/>
      <c r="H49" s="52"/>
      <c r="I49" s="52"/>
      <c r="J49" s="52"/>
    </row>
    <row r="50" spans="2:10" ht="27.75" customHeight="1" x14ac:dyDescent="0.25">
      <c r="B50" s="10" t="s">
        <v>0</v>
      </c>
      <c r="C50" s="55" t="s">
        <v>87</v>
      </c>
      <c r="D50" s="55"/>
      <c r="E50" s="55"/>
      <c r="F50" s="55"/>
      <c r="G50" s="55"/>
      <c r="H50" s="55"/>
      <c r="I50" s="55"/>
      <c r="J50" s="55"/>
    </row>
    <row r="51" spans="2:10" ht="27.75" customHeight="1" x14ac:dyDescent="0.25">
      <c r="B51" s="10" t="s">
        <v>1</v>
      </c>
      <c r="C51" s="55" t="s">
        <v>88</v>
      </c>
      <c r="D51" s="55"/>
      <c r="E51" s="55"/>
      <c r="F51" s="55"/>
      <c r="G51" s="55"/>
      <c r="H51" s="55"/>
      <c r="I51" s="55"/>
      <c r="J51" s="55"/>
    </row>
    <row r="52" spans="2:10" ht="27.75" customHeight="1" x14ac:dyDescent="0.25">
      <c r="B52" s="10" t="s">
        <v>2</v>
      </c>
      <c r="C52" s="55" t="s">
        <v>89</v>
      </c>
      <c r="D52" s="55"/>
      <c r="E52" s="55"/>
      <c r="F52" s="55"/>
      <c r="G52" s="55"/>
      <c r="H52" s="55"/>
      <c r="I52" s="55"/>
      <c r="J52" s="55"/>
    </row>
    <row r="53" spans="2:10" ht="27.75" customHeight="1" x14ac:dyDescent="0.25">
      <c r="B53" s="10" t="s">
        <v>3</v>
      </c>
      <c r="C53" s="55" t="s">
        <v>90</v>
      </c>
      <c r="D53" s="55"/>
      <c r="E53" s="55"/>
      <c r="F53" s="55"/>
      <c r="G53" s="55"/>
      <c r="H53" s="55"/>
      <c r="I53" s="55"/>
      <c r="J53" s="55"/>
    </row>
    <row r="54" spans="2:10" ht="27.75" customHeight="1" x14ac:dyDescent="0.25">
      <c r="B54" s="10" t="s">
        <v>4</v>
      </c>
      <c r="C54" s="55" t="s">
        <v>91</v>
      </c>
      <c r="D54" s="55"/>
      <c r="E54" s="55"/>
      <c r="F54" s="55"/>
      <c r="G54" s="55"/>
      <c r="H54" s="55"/>
      <c r="I54" s="55"/>
      <c r="J54" s="55"/>
    </row>
    <row r="55" spans="2:10" ht="27.75" customHeight="1" x14ac:dyDescent="0.25">
      <c r="B55" s="10" t="s">
        <v>5</v>
      </c>
      <c r="C55" s="55" t="s">
        <v>92</v>
      </c>
      <c r="D55" s="55"/>
      <c r="E55" s="55"/>
      <c r="F55" s="55"/>
      <c r="G55" s="55"/>
      <c r="H55" s="55"/>
      <c r="I55" s="55"/>
      <c r="J55" s="55"/>
    </row>
    <row r="56" spans="2:10" ht="27.75" customHeight="1" x14ac:dyDescent="0.25">
      <c r="B56" s="10" t="s">
        <v>6</v>
      </c>
      <c r="C56" s="55" t="s">
        <v>93</v>
      </c>
      <c r="D56" s="55"/>
      <c r="E56" s="55"/>
      <c r="F56" s="55"/>
      <c r="G56" s="55"/>
      <c r="H56" s="55"/>
      <c r="I56" s="55"/>
      <c r="J56" s="55"/>
    </row>
    <row r="57" spans="2:10" ht="27.75" customHeight="1" x14ac:dyDescent="0.25">
      <c r="B57" s="10" t="s">
        <v>94</v>
      </c>
      <c r="C57" s="55" t="s">
        <v>95</v>
      </c>
      <c r="D57" s="55"/>
      <c r="E57" s="55"/>
      <c r="F57" s="55"/>
      <c r="G57" s="55"/>
      <c r="H57" s="55"/>
      <c r="I57" s="55"/>
      <c r="J57" s="55"/>
    </row>
    <row r="59" spans="2:10" ht="21.75" customHeight="1" x14ac:dyDescent="0.25">
      <c r="B59" s="48" t="s">
        <v>96</v>
      </c>
      <c r="C59" s="48"/>
      <c r="D59" s="48"/>
      <c r="E59" s="48"/>
      <c r="F59" s="48"/>
      <c r="G59" s="48"/>
      <c r="H59" s="48"/>
      <c r="I59" s="48"/>
      <c r="J59" s="48"/>
    </row>
    <row r="60" spans="2:10" ht="25.5" customHeight="1" x14ac:dyDescent="0.25">
      <c r="B60" s="54" t="s">
        <v>97</v>
      </c>
      <c r="C60" s="54"/>
      <c r="D60" s="54"/>
      <c r="E60" s="55" t="s">
        <v>98</v>
      </c>
      <c r="F60" s="55"/>
      <c r="G60" s="55"/>
      <c r="H60" s="55"/>
      <c r="I60" s="55"/>
      <c r="J60" s="55"/>
    </row>
    <row r="61" spans="2:10" ht="25.5" customHeight="1" x14ac:dyDescent="0.25">
      <c r="B61" s="54" t="s">
        <v>99</v>
      </c>
      <c r="C61" s="54"/>
      <c r="D61" s="54"/>
      <c r="E61" s="55" t="s">
        <v>100</v>
      </c>
      <c r="F61" s="55"/>
      <c r="G61" s="55"/>
      <c r="H61" s="55"/>
      <c r="I61" s="55"/>
      <c r="J61" s="55"/>
    </row>
    <row r="62" spans="2:10" ht="25.5" customHeight="1" x14ac:dyDescent="0.25">
      <c r="B62" s="54" t="s">
        <v>101</v>
      </c>
      <c r="C62" s="54"/>
      <c r="D62" s="54"/>
      <c r="E62" s="55" t="s">
        <v>102</v>
      </c>
      <c r="F62" s="55"/>
      <c r="G62" s="55"/>
      <c r="H62" s="55"/>
      <c r="I62" s="55"/>
      <c r="J62" s="55"/>
    </row>
    <row r="63" spans="2:10" ht="25.5" customHeight="1" x14ac:dyDescent="0.25">
      <c r="B63" s="54" t="s">
        <v>103</v>
      </c>
      <c r="C63" s="54"/>
      <c r="D63" s="54"/>
      <c r="E63" s="55" t="s">
        <v>104</v>
      </c>
      <c r="F63" s="55"/>
      <c r="G63" s="55"/>
      <c r="H63" s="55"/>
      <c r="I63" s="55"/>
      <c r="J63" s="55"/>
    </row>
    <row r="64" spans="2:10" ht="25.5" customHeight="1" x14ac:dyDescent="0.25">
      <c r="B64" s="54" t="s">
        <v>105</v>
      </c>
      <c r="C64" s="54"/>
      <c r="D64" s="54"/>
      <c r="E64" s="55" t="s">
        <v>106</v>
      </c>
      <c r="F64" s="55"/>
      <c r="G64" s="55"/>
      <c r="H64" s="55"/>
      <c r="I64" s="55"/>
      <c r="J64" s="55"/>
    </row>
    <row r="65" spans="2:10" ht="25.5" customHeight="1" x14ac:dyDescent="0.25">
      <c r="B65" s="54" t="s">
        <v>107</v>
      </c>
      <c r="C65" s="54"/>
      <c r="D65" s="54"/>
      <c r="E65" s="55" t="s">
        <v>108</v>
      </c>
      <c r="F65" s="55"/>
      <c r="G65" s="55"/>
      <c r="H65" s="55"/>
      <c r="I65" s="55"/>
      <c r="J65" s="55"/>
    </row>
    <row r="66" spans="2:10" ht="25.5" customHeight="1" x14ac:dyDescent="0.25">
      <c r="B66" s="54" t="s">
        <v>109</v>
      </c>
      <c r="C66" s="54"/>
      <c r="D66" s="54"/>
      <c r="E66" s="55" t="s">
        <v>110</v>
      </c>
      <c r="F66" s="55"/>
      <c r="G66" s="55"/>
      <c r="H66" s="55"/>
      <c r="I66" s="55"/>
      <c r="J66" s="55"/>
    </row>
    <row r="67" spans="2:10" ht="25.5" customHeight="1" x14ac:dyDescent="0.25">
      <c r="B67" s="54" t="s">
        <v>111</v>
      </c>
      <c r="C67" s="54"/>
      <c r="D67" s="54"/>
      <c r="E67" s="55" t="s">
        <v>112</v>
      </c>
      <c r="F67" s="55"/>
      <c r="G67" s="55"/>
      <c r="H67" s="55"/>
      <c r="I67" s="55"/>
      <c r="J67" s="55"/>
    </row>
    <row r="69" spans="2:10" ht="15" customHeight="1" x14ac:dyDescent="0.25">
      <c r="B69" s="46" t="s">
        <v>113</v>
      </c>
      <c r="C69" s="46"/>
      <c r="D69" s="46"/>
      <c r="E69" s="46"/>
      <c r="F69" s="46"/>
      <c r="G69" s="46"/>
      <c r="H69" s="46"/>
      <c r="I69" s="46"/>
      <c r="J69" s="46"/>
    </row>
  </sheetData>
  <mergeCells count="58">
    <mergeCell ref="B1:J1"/>
    <mergeCell ref="B2:J2"/>
    <mergeCell ref="B4:J4"/>
    <mergeCell ref="B8:J8"/>
    <mergeCell ref="C11:J11"/>
    <mergeCell ref="C12:J12"/>
    <mergeCell ref="C13:J13"/>
    <mergeCell ref="C14:J14"/>
    <mergeCell ref="B19:J19"/>
    <mergeCell ref="C22:J22"/>
    <mergeCell ref="C23:J23"/>
    <mergeCell ref="C24:J24"/>
    <mergeCell ref="C25:J25"/>
    <mergeCell ref="C26:J26"/>
    <mergeCell ref="C27:J27"/>
    <mergeCell ref="B30:J30"/>
    <mergeCell ref="B31:J31"/>
    <mergeCell ref="B33:J33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F43:J43"/>
    <mergeCell ref="F44:J44"/>
    <mergeCell ref="F45:J45"/>
    <mergeCell ref="B47:J47"/>
    <mergeCell ref="B49:J49"/>
    <mergeCell ref="C50:J50"/>
    <mergeCell ref="C51:J51"/>
    <mergeCell ref="C52:J52"/>
    <mergeCell ref="C53:J53"/>
    <mergeCell ref="C54:J54"/>
    <mergeCell ref="C55:J55"/>
    <mergeCell ref="C56:J56"/>
    <mergeCell ref="C57:J57"/>
    <mergeCell ref="B59:J59"/>
    <mergeCell ref="B60:D60"/>
    <mergeCell ref="E60:J60"/>
    <mergeCell ref="B61:D61"/>
    <mergeCell ref="E61:J61"/>
    <mergeCell ref="B62:D62"/>
    <mergeCell ref="E62:J62"/>
    <mergeCell ref="B63:D63"/>
    <mergeCell ref="E63:J63"/>
    <mergeCell ref="B64:D64"/>
    <mergeCell ref="E64:J64"/>
    <mergeCell ref="B69:J69"/>
    <mergeCell ref="B65:D65"/>
    <mergeCell ref="E65:J65"/>
    <mergeCell ref="B66:D66"/>
    <mergeCell ref="E66:J66"/>
    <mergeCell ref="B67:D67"/>
    <mergeCell ref="E67:J67"/>
  </mergeCell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97AD-C544-4C2D-A297-8CE6D5C6F0FA}">
  <sheetPr>
    <tabColor rgb="FF2E75B6"/>
  </sheetPr>
  <dimension ref="A4:B20"/>
  <sheetViews>
    <sheetView workbookViewId="0">
      <selection activeCell="A4" sqref="A4:A20"/>
    </sheetView>
  </sheetViews>
  <sheetFormatPr defaultRowHeight="15" x14ac:dyDescent="0.25"/>
  <cols>
    <col min="2" max="2" width="16.28515625" customWidth="1"/>
  </cols>
  <sheetData>
    <row r="4" spans="1:2" x14ac:dyDescent="0.25">
      <c r="A4" s="65" t="s">
        <v>696</v>
      </c>
      <c r="B4" s="65" t="s">
        <v>193</v>
      </c>
    </row>
    <row r="5" spans="1:2" x14ac:dyDescent="0.25">
      <c r="A5" s="64">
        <v>1</v>
      </c>
      <c r="B5" s="64" t="s">
        <v>201</v>
      </c>
    </row>
    <row r="6" spans="1:2" x14ac:dyDescent="0.25">
      <c r="A6" s="64">
        <v>2</v>
      </c>
      <c r="B6" s="64" t="s">
        <v>201</v>
      </c>
    </row>
    <row r="7" spans="1:2" x14ac:dyDescent="0.25">
      <c r="A7" s="64">
        <v>3</v>
      </c>
      <c r="B7" s="64" t="s">
        <v>201</v>
      </c>
    </row>
    <row r="8" spans="1:2" x14ac:dyDescent="0.25">
      <c r="A8" s="64">
        <v>4</v>
      </c>
      <c r="B8" s="64" t="s">
        <v>201</v>
      </c>
    </row>
    <row r="9" spans="1:2" x14ac:dyDescent="0.25">
      <c r="A9" s="64">
        <v>5</v>
      </c>
      <c r="B9" s="64" t="s">
        <v>197</v>
      </c>
    </row>
    <row r="10" spans="1:2" x14ac:dyDescent="0.25">
      <c r="A10" s="64">
        <v>6</v>
      </c>
      <c r="B10" s="64" t="s">
        <v>197</v>
      </c>
    </row>
    <row r="11" spans="1:2" x14ac:dyDescent="0.25">
      <c r="A11" s="64">
        <v>7</v>
      </c>
      <c r="B11" s="64" t="s">
        <v>197</v>
      </c>
    </row>
    <row r="12" spans="1:2" x14ac:dyDescent="0.25">
      <c r="A12" s="64">
        <v>8</v>
      </c>
      <c r="B12" s="64" t="s">
        <v>197</v>
      </c>
    </row>
    <row r="13" spans="1:2" x14ac:dyDescent="0.25">
      <c r="A13" s="64">
        <v>9</v>
      </c>
      <c r="B13" s="64" t="s">
        <v>195</v>
      </c>
    </row>
    <row r="14" spans="1:2" x14ac:dyDescent="0.25">
      <c r="A14" s="64">
        <v>10</v>
      </c>
      <c r="B14" s="64" t="s">
        <v>195</v>
      </c>
    </row>
    <row r="15" spans="1:2" x14ac:dyDescent="0.25">
      <c r="A15" s="64">
        <v>11</v>
      </c>
      <c r="B15" s="64" t="s">
        <v>195</v>
      </c>
    </row>
    <row r="16" spans="1:2" x14ac:dyDescent="0.25">
      <c r="A16" s="64">
        <v>12</v>
      </c>
      <c r="B16" s="64" t="s">
        <v>195</v>
      </c>
    </row>
    <row r="17" spans="1:2" x14ac:dyDescent="0.25">
      <c r="A17" s="64">
        <v>13</v>
      </c>
      <c r="B17" s="64" t="s">
        <v>199</v>
      </c>
    </row>
    <row r="18" spans="1:2" x14ac:dyDescent="0.25">
      <c r="A18" s="64">
        <v>14</v>
      </c>
      <c r="B18" s="64" t="s">
        <v>199</v>
      </c>
    </row>
    <row r="19" spans="1:2" x14ac:dyDescent="0.25">
      <c r="A19" s="64">
        <v>15</v>
      </c>
      <c r="B19" s="64" t="s">
        <v>199</v>
      </c>
    </row>
    <row r="20" spans="1:2" x14ac:dyDescent="0.25">
      <c r="A20" s="64">
        <v>16</v>
      </c>
      <c r="B20" s="64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A3D8-208D-4477-9E3B-CA91D2E072BE}">
  <sheetPr>
    <tabColor rgb="FF2E75B6"/>
  </sheetPr>
  <dimension ref="A1:B19"/>
  <sheetViews>
    <sheetView workbookViewId="0">
      <selection activeCell="A3" sqref="A3:A19"/>
    </sheetView>
  </sheetViews>
  <sheetFormatPr defaultRowHeight="15" x14ac:dyDescent="0.25"/>
  <cols>
    <col min="2" max="2" width="14.42578125" customWidth="1"/>
  </cols>
  <sheetData>
    <row r="1" spans="1:2" x14ac:dyDescent="0.25">
      <c r="A1">
        <v>10000</v>
      </c>
    </row>
    <row r="3" spans="1:2" x14ac:dyDescent="0.25">
      <c r="A3" s="65" t="s">
        <v>696</v>
      </c>
      <c r="B3" s="65" t="s">
        <v>412</v>
      </c>
    </row>
    <row r="4" spans="1:2" x14ac:dyDescent="0.25">
      <c r="A4" s="64">
        <v>1</v>
      </c>
      <c r="B4" s="64">
        <f ca="1">RANDBETWEEN(10,10000)</f>
        <v>8636</v>
      </c>
    </row>
    <row r="5" spans="1:2" x14ac:dyDescent="0.25">
      <c r="A5" s="64">
        <v>2</v>
      </c>
      <c r="B5" s="64">
        <f t="shared" ref="B5:B19" ca="1" si="0">RANDBETWEEN(10,10000)</f>
        <v>9099</v>
      </c>
    </row>
    <row r="6" spans="1:2" x14ac:dyDescent="0.25">
      <c r="A6" s="64">
        <v>3</v>
      </c>
      <c r="B6" s="64">
        <f t="shared" ca="1" si="0"/>
        <v>7323</v>
      </c>
    </row>
    <row r="7" spans="1:2" x14ac:dyDescent="0.25">
      <c r="A7" s="64">
        <v>4</v>
      </c>
      <c r="B7" s="64">
        <f t="shared" ca="1" si="0"/>
        <v>2725</v>
      </c>
    </row>
    <row r="8" spans="1:2" x14ac:dyDescent="0.25">
      <c r="A8" s="64">
        <v>5</v>
      </c>
      <c r="B8" s="64">
        <f t="shared" ca="1" si="0"/>
        <v>6441</v>
      </c>
    </row>
    <row r="9" spans="1:2" x14ac:dyDescent="0.25">
      <c r="A9" s="64">
        <v>6</v>
      </c>
      <c r="B9" s="64">
        <f t="shared" ca="1" si="0"/>
        <v>4486</v>
      </c>
    </row>
    <row r="10" spans="1:2" x14ac:dyDescent="0.25">
      <c r="A10" s="64">
        <v>7</v>
      </c>
      <c r="B10" s="64">
        <f t="shared" ca="1" si="0"/>
        <v>6614</v>
      </c>
    </row>
    <row r="11" spans="1:2" x14ac:dyDescent="0.25">
      <c r="A11" s="64">
        <v>8</v>
      </c>
      <c r="B11" s="64">
        <f t="shared" ca="1" si="0"/>
        <v>488</v>
      </c>
    </row>
    <row r="12" spans="1:2" x14ac:dyDescent="0.25">
      <c r="A12" s="64">
        <v>9</v>
      </c>
      <c r="B12" s="64">
        <f t="shared" ca="1" si="0"/>
        <v>7405</v>
      </c>
    </row>
    <row r="13" spans="1:2" x14ac:dyDescent="0.25">
      <c r="A13" s="64">
        <v>10</v>
      </c>
      <c r="B13" s="64">
        <f t="shared" ca="1" si="0"/>
        <v>904</v>
      </c>
    </row>
    <row r="14" spans="1:2" x14ac:dyDescent="0.25">
      <c r="A14" s="64">
        <v>11</v>
      </c>
      <c r="B14" s="64">
        <f t="shared" ca="1" si="0"/>
        <v>8495</v>
      </c>
    </row>
    <row r="15" spans="1:2" x14ac:dyDescent="0.25">
      <c r="A15" s="64">
        <v>12</v>
      </c>
      <c r="B15" s="64">
        <f t="shared" ca="1" si="0"/>
        <v>9773</v>
      </c>
    </row>
    <row r="16" spans="1:2" x14ac:dyDescent="0.25">
      <c r="A16" s="64">
        <v>13</v>
      </c>
      <c r="B16" s="64">
        <f ca="1">RANDBETWEEN(10,10000)</f>
        <v>702</v>
      </c>
    </row>
    <row r="17" spans="1:2" x14ac:dyDescent="0.25">
      <c r="A17" s="64">
        <v>14</v>
      </c>
      <c r="B17" s="64">
        <f t="shared" ca="1" si="0"/>
        <v>8752</v>
      </c>
    </row>
    <row r="18" spans="1:2" x14ac:dyDescent="0.25">
      <c r="A18" s="64">
        <v>15</v>
      </c>
      <c r="B18" s="64">
        <f t="shared" ca="1" si="0"/>
        <v>1533</v>
      </c>
    </row>
    <row r="19" spans="1:2" x14ac:dyDescent="0.25">
      <c r="A19" s="64">
        <v>16</v>
      </c>
      <c r="B19" s="64">
        <f t="shared" ca="1" si="0"/>
        <v>5184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886D-5A7F-4CDF-BAD7-CA1324159084}">
  <sheetPr>
    <tabColor rgb="FF2E75B6"/>
  </sheetPr>
  <dimension ref="A3:G26"/>
  <sheetViews>
    <sheetView tabSelected="1" workbookViewId="0">
      <selection activeCell="D26" sqref="D26"/>
    </sheetView>
  </sheetViews>
  <sheetFormatPr defaultRowHeight="15" x14ac:dyDescent="0.25"/>
  <cols>
    <col min="2" max="2" width="14.42578125" customWidth="1"/>
    <col min="3" max="3" width="14.7109375" customWidth="1"/>
  </cols>
  <sheetData>
    <row r="3" spans="1:7" ht="15.75" x14ac:dyDescent="0.25">
      <c r="A3" s="65" t="s">
        <v>696</v>
      </c>
      <c r="B3" s="66" t="s">
        <v>193</v>
      </c>
      <c r="C3" s="66" t="s">
        <v>412</v>
      </c>
    </row>
    <row r="4" spans="1:7" ht="15.75" x14ac:dyDescent="0.25">
      <c r="A4" s="64">
        <v>1</v>
      </c>
      <c r="B4" s="67" t="str">
        <f>Sheet1!B5</f>
        <v>East</v>
      </c>
      <c r="C4" s="67">
        <f ca="1">Sheet2!B4</f>
        <v>8636</v>
      </c>
    </row>
    <row r="5" spans="1:7" ht="15.75" x14ac:dyDescent="0.25">
      <c r="A5" s="64">
        <v>2</v>
      </c>
      <c r="B5" s="67" t="str">
        <f>Sheet1!B6</f>
        <v>East</v>
      </c>
      <c r="C5" s="67">
        <f ca="1">Sheet2!B5</f>
        <v>9099</v>
      </c>
    </row>
    <row r="6" spans="1:7" ht="15.75" x14ac:dyDescent="0.25">
      <c r="A6" s="64">
        <v>3</v>
      </c>
      <c r="B6" s="67" t="str">
        <f>Sheet1!B7</f>
        <v>East</v>
      </c>
      <c r="C6" s="67">
        <f ca="1">Sheet2!B6</f>
        <v>7323</v>
      </c>
    </row>
    <row r="7" spans="1:7" ht="15.75" x14ac:dyDescent="0.25">
      <c r="A7" s="64">
        <v>4</v>
      </c>
      <c r="B7" s="67" t="str">
        <f>Sheet1!B8</f>
        <v>East</v>
      </c>
      <c r="C7" s="67">
        <f ca="1">Sheet2!B7</f>
        <v>2725</v>
      </c>
    </row>
    <row r="8" spans="1:7" ht="15.75" x14ac:dyDescent="0.25">
      <c r="A8" s="64">
        <v>5</v>
      </c>
      <c r="B8" s="67" t="str">
        <f>Sheet1!B9</f>
        <v>West</v>
      </c>
      <c r="C8" s="67">
        <f ca="1">Sheet2!B8</f>
        <v>6441</v>
      </c>
    </row>
    <row r="9" spans="1:7" ht="15.75" x14ac:dyDescent="0.25">
      <c r="A9" s="64">
        <v>6</v>
      </c>
      <c r="B9" s="67" t="str">
        <f>Sheet1!B10</f>
        <v>West</v>
      </c>
      <c r="C9" s="67">
        <f ca="1">Sheet2!B9</f>
        <v>4486</v>
      </c>
    </row>
    <row r="10" spans="1:7" ht="15.75" x14ac:dyDescent="0.25">
      <c r="A10" s="64">
        <v>7</v>
      </c>
      <c r="B10" s="67" t="str">
        <f>Sheet1!B11</f>
        <v>West</v>
      </c>
      <c r="C10" s="67">
        <f ca="1">Sheet2!B10</f>
        <v>6614</v>
      </c>
      <c r="E10" s="65" t="s">
        <v>696</v>
      </c>
      <c r="F10" s="66" t="s">
        <v>193</v>
      </c>
      <c r="G10" s="66" t="s">
        <v>412</v>
      </c>
    </row>
    <row r="11" spans="1:7" ht="15.75" x14ac:dyDescent="0.25">
      <c r="A11" s="64">
        <v>8</v>
      </c>
      <c r="B11" s="67" t="str">
        <f>Sheet1!B12</f>
        <v>West</v>
      </c>
      <c r="C11" s="67">
        <f ca="1">Sheet2!B11</f>
        <v>488</v>
      </c>
      <c r="E11" s="64">
        <v>1</v>
      </c>
      <c r="F11" s="67" t="str">
        <f>VLOOKUP(E11,Sheet1!A4:B20,2,FALSE)</f>
        <v>East</v>
      </c>
      <c r="G11" s="67">
        <f ca="1">VLOOKUP(E11,Sheet2!A3:B19,2,FALSE)</f>
        <v>8636</v>
      </c>
    </row>
    <row r="12" spans="1:7" ht="15.75" x14ac:dyDescent="0.25">
      <c r="A12" s="64">
        <v>9</v>
      </c>
      <c r="B12" s="67" t="str">
        <f>Sheet1!B13</f>
        <v>North</v>
      </c>
      <c r="C12" s="67">
        <f ca="1">Sheet2!B12</f>
        <v>7405</v>
      </c>
      <c r="E12" s="64">
        <v>2</v>
      </c>
      <c r="F12" s="67" t="str">
        <f>VLOOKUP(E12,Sheet1!A5:B21,2,FALSE)</f>
        <v>East</v>
      </c>
      <c r="G12" s="67">
        <f ca="1">VLOOKUP(E12,Sheet2!A4:B20,2,FALSE)</f>
        <v>9099</v>
      </c>
    </row>
    <row r="13" spans="1:7" ht="15.75" x14ac:dyDescent="0.25">
      <c r="A13" s="64">
        <v>10</v>
      </c>
      <c r="B13" s="67" t="str">
        <f>Sheet1!B14</f>
        <v>North</v>
      </c>
      <c r="C13" s="67">
        <f ca="1">Sheet2!B13</f>
        <v>904</v>
      </c>
      <c r="E13" s="64">
        <v>3</v>
      </c>
      <c r="F13" s="67" t="str">
        <f>VLOOKUP(E13,Sheet1!A6:B22,2,FALSE)</f>
        <v>East</v>
      </c>
      <c r="G13" s="67">
        <f ca="1">VLOOKUP(E13,Sheet2!A5:B21,2,FALSE)</f>
        <v>7323</v>
      </c>
    </row>
    <row r="14" spans="1:7" ht="15.75" x14ac:dyDescent="0.25">
      <c r="A14" s="64">
        <v>11</v>
      </c>
      <c r="B14" s="67" t="str">
        <f>Sheet1!B15</f>
        <v>North</v>
      </c>
      <c r="C14" s="67">
        <f ca="1">Sheet2!B14</f>
        <v>8495</v>
      </c>
      <c r="E14" s="64">
        <v>4</v>
      </c>
      <c r="F14" s="67" t="str">
        <f>VLOOKUP(E14,Sheet1!A7:B23,2,FALSE)</f>
        <v>East</v>
      </c>
      <c r="G14" s="67">
        <f ca="1">VLOOKUP(E14,Sheet2!A6:B22,2,FALSE)</f>
        <v>2725</v>
      </c>
    </row>
    <row r="15" spans="1:7" ht="15.75" x14ac:dyDescent="0.25">
      <c r="A15" s="64">
        <v>12</v>
      </c>
      <c r="B15" s="67" t="str">
        <f>Sheet1!B16</f>
        <v>North</v>
      </c>
      <c r="C15" s="67">
        <f ca="1">Sheet2!B15</f>
        <v>9773</v>
      </c>
      <c r="E15" s="64">
        <v>5</v>
      </c>
      <c r="F15" s="67" t="str">
        <f>VLOOKUP(E15,Sheet1!A8:B24,2,FALSE)</f>
        <v>West</v>
      </c>
      <c r="G15" s="67">
        <f ca="1">VLOOKUP(E15,Sheet2!A7:B23,2,FALSE)</f>
        <v>6441</v>
      </c>
    </row>
    <row r="16" spans="1:7" ht="15.75" x14ac:dyDescent="0.25">
      <c r="A16" s="64">
        <v>13</v>
      </c>
      <c r="B16" s="67" t="str">
        <f>Sheet1!B17</f>
        <v>South</v>
      </c>
      <c r="C16" s="67">
        <f ca="1">Sheet2!B16</f>
        <v>702</v>
      </c>
      <c r="E16" s="64">
        <v>6</v>
      </c>
      <c r="F16" s="67" t="str">
        <f>VLOOKUP(E16,Sheet1!A9:B25,2,FALSE)</f>
        <v>West</v>
      </c>
      <c r="G16" s="67">
        <f ca="1">VLOOKUP(E16,Sheet2!A8:B24,2,FALSE)</f>
        <v>4486</v>
      </c>
    </row>
    <row r="17" spans="1:7" ht="15.75" x14ac:dyDescent="0.25">
      <c r="A17" s="64">
        <v>14</v>
      </c>
      <c r="B17" s="67" t="str">
        <f>Sheet1!B18</f>
        <v>South</v>
      </c>
      <c r="C17" s="67">
        <f ca="1">Sheet2!B17</f>
        <v>8752</v>
      </c>
      <c r="E17" s="64">
        <v>7</v>
      </c>
      <c r="F17" s="67" t="str">
        <f>VLOOKUP(E17,Sheet1!A10:B26,2,FALSE)</f>
        <v>West</v>
      </c>
      <c r="G17" s="67">
        <f ca="1">VLOOKUP(E17,Sheet2!A9:B25,2,FALSE)</f>
        <v>6614</v>
      </c>
    </row>
    <row r="18" spans="1:7" ht="15.75" x14ac:dyDescent="0.25">
      <c r="A18" s="64">
        <v>15</v>
      </c>
      <c r="B18" s="67" t="str">
        <f>Sheet1!B19</f>
        <v>South</v>
      </c>
      <c r="C18" s="67">
        <f ca="1">Sheet2!B18</f>
        <v>1533</v>
      </c>
      <c r="E18" s="64">
        <v>8</v>
      </c>
      <c r="F18" s="67" t="str">
        <f>VLOOKUP(E18,Sheet1!A11:B27,2,FALSE)</f>
        <v>West</v>
      </c>
      <c r="G18" s="67">
        <f ca="1">VLOOKUP(E18,Sheet2!A10:B26,2,FALSE)</f>
        <v>488</v>
      </c>
    </row>
    <row r="19" spans="1:7" ht="15.75" x14ac:dyDescent="0.25">
      <c r="A19" s="64">
        <v>16</v>
      </c>
      <c r="B19" s="67" t="str">
        <f>Sheet1!B20</f>
        <v>South</v>
      </c>
      <c r="C19" s="67">
        <f ca="1">Sheet2!B19</f>
        <v>5184</v>
      </c>
      <c r="E19" s="64">
        <v>9</v>
      </c>
      <c r="F19" s="67" t="str">
        <f>VLOOKUP(E19,Sheet1!A12:B28,2,FALSE)</f>
        <v>North</v>
      </c>
      <c r="G19" s="67">
        <f ca="1">VLOOKUP(E19,Sheet2!A11:B27,2,FALSE)</f>
        <v>7405</v>
      </c>
    </row>
    <row r="20" spans="1:7" ht="15.75" x14ac:dyDescent="0.25">
      <c r="E20" s="64">
        <v>10</v>
      </c>
      <c r="F20" s="67" t="str">
        <f>VLOOKUP(E20,Sheet1!A13:B29,2,FALSE)</f>
        <v>North</v>
      </c>
      <c r="G20" s="67">
        <f ca="1">VLOOKUP(E20,Sheet2!A12:B28,2,FALSE)</f>
        <v>904</v>
      </c>
    </row>
    <row r="21" spans="1:7" ht="15.75" x14ac:dyDescent="0.25">
      <c r="E21" s="64">
        <v>11</v>
      </c>
      <c r="F21" s="67" t="str">
        <f>VLOOKUP(E21,Sheet1!A14:B30,2,FALSE)</f>
        <v>North</v>
      </c>
      <c r="G21" s="67">
        <f ca="1">VLOOKUP(E21,Sheet2!A13:B29,2,FALSE)</f>
        <v>8495</v>
      </c>
    </row>
    <row r="22" spans="1:7" ht="15.75" x14ac:dyDescent="0.25">
      <c r="E22" s="64">
        <v>12</v>
      </c>
      <c r="F22" s="67" t="str">
        <f>VLOOKUP(E22,Sheet1!A15:B31,2,FALSE)</f>
        <v>North</v>
      </c>
      <c r="G22" s="67">
        <f ca="1">VLOOKUP(E22,Sheet2!A14:B30,2,FALSE)</f>
        <v>9773</v>
      </c>
    </row>
    <row r="23" spans="1:7" ht="15.75" x14ac:dyDescent="0.25">
      <c r="E23" s="64">
        <v>13</v>
      </c>
      <c r="F23" s="67" t="str">
        <f>VLOOKUP(E23,Sheet1!A16:B32,2,FALSE)</f>
        <v>South</v>
      </c>
      <c r="G23" s="67">
        <f ca="1">VLOOKUP(E23,Sheet2!A15:B31,2,FALSE)</f>
        <v>702</v>
      </c>
    </row>
    <row r="24" spans="1:7" ht="15.75" x14ac:dyDescent="0.25">
      <c r="E24" s="64">
        <v>14</v>
      </c>
      <c r="F24" s="67" t="str">
        <f>VLOOKUP(E24,Sheet1!A17:B33,2,FALSE)</f>
        <v>South</v>
      </c>
      <c r="G24" s="67">
        <f ca="1">VLOOKUP(E24,Sheet2!A16:B32,2,FALSE)</f>
        <v>8752</v>
      </c>
    </row>
    <row r="25" spans="1:7" ht="15.75" x14ac:dyDescent="0.25">
      <c r="E25" s="64">
        <v>15</v>
      </c>
      <c r="F25" s="67" t="str">
        <f>VLOOKUP(E25,Sheet1!A18:B34,2,FALSE)</f>
        <v>South</v>
      </c>
      <c r="G25" s="67">
        <f ca="1">VLOOKUP(E25,Sheet2!A17:B33,2,FALSE)</f>
        <v>1533</v>
      </c>
    </row>
    <row r="26" spans="1:7" ht="15.75" x14ac:dyDescent="0.25">
      <c r="E26" s="64">
        <v>16</v>
      </c>
      <c r="F26" s="67" t="str">
        <f>VLOOKUP(E26,Sheet1!A19:B35,2,FALSE)</f>
        <v>South</v>
      </c>
      <c r="G26" s="67">
        <f ca="1">VLOOKUP(E26,Sheet2!A18:B34,2,FALSE)</f>
        <v>5184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B1:O61"/>
  <sheetViews>
    <sheetView showGridLines="0" zoomScale="110" zoomScaleNormal="110" workbookViewId="0">
      <pane ySplit="3" topLeftCell="A4" activePane="bottomLeft" state="frozen"/>
      <selection pane="bottomLeft" activeCell="B21" sqref="B21:I21"/>
    </sheetView>
  </sheetViews>
  <sheetFormatPr defaultColWidth="8.7109375" defaultRowHeight="15" x14ac:dyDescent="0.25"/>
  <cols>
    <col min="1" max="1" width="3" customWidth="1"/>
    <col min="2" max="2" width="26" customWidth="1"/>
    <col min="3" max="9" width="13" customWidth="1"/>
    <col min="10" max="10" width="14" customWidth="1"/>
    <col min="11" max="11" width="16" customWidth="1"/>
    <col min="12" max="12" width="18" customWidth="1"/>
    <col min="13" max="13" width="16" customWidth="1"/>
    <col min="14" max="15" width="14" customWidth="1"/>
  </cols>
  <sheetData>
    <row r="1" spans="2:15" ht="31.5" customHeight="1" x14ac:dyDescent="0.25">
      <c r="B1" s="50" t="s">
        <v>114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2:15" ht="18" customHeight="1" x14ac:dyDescent="0.25">
      <c r="B2" s="51" t="s">
        <v>115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spans="2:15" ht="21.75" customHeight="1" x14ac:dyDescent="0.25">
      <c r="B4" s="52" t="s">
        <v>116</v>
      </c>
      <c r="C4" s="52"/>
      <c r="D4" s="52"/>
      <c r="E4" s="52"/>
      <c r="F4" s="52"/>
      <c r="G4" s="52"/>
      <c r="H4" s="52"/>
      <c r="I4" s="52"/>
      <c r="K4" s="48" t="s">
        <v>117</v>
      </c>
      <c r="L4" s="48"/>
      <c r="M4" s="48"/>
      <c r="N4" s="48"/>
      <c r="O4" s="48"/>
    </row>
    <row r="5" spans="2:15" ht="15" customHeight="1" x14ac:dyDescent="0.25">
      <c r="B5" s="3" t="s">
        <v>118</v>
      </c>
      <c r="C5" s="3" t="s">
        <v>119</v>
      </c>
      <c r="D5" s="3" t="s">
        <v>120</v>
      </c>
      <c r="E5" s="3" t="s">
        <v>121</v>
      </c>
      <c r="F5" s="3" t="s">
        <v>122</v>
      </c>
      <c r="G5" s="3" t="s">
        <v>123</v>
      </c>
      <c r="H5" s="3" t="s">
        <v>124</v>
      </c>
      <c r="K5" s="3" t="s">
        <v>125</v>
      </c>
      <c r="L5" s="3" t="s">
        <v>126</v>
      </c>
      <c r="M5" s="53" t="s">
        <v>127</v>
      </c>
      <c r="N5" s="53"/>
      <c r="O5" s="53"/>
    </row>
    <row r="6" spans="2:15" ht="15" customHeight="1" x14ac:dyDescent="0.25">
      <c r="B6" s="8" t="s">
        <v>128</v>
      </c>
      <c r="C6" s="11">
        <v>42.5</v>
      </c>
      <c r="D6" s="11">
        <v>38</v>
      </c>
      <c r="E6" s="11">
        <v>51.2</v>
      </c>
      <c r="F6" s="11">
        <v>47.8</v>
      </c>
      <c r="G6" s="11">
        <v>55</v>
      </c>
      <c r="H6" s="11">
        <v>61.4</v>
      </c>
      <c r="K6" s="12">
        <v>1</v>
      </c>
      <c r="L6" s="13">
        <v>5</v>
      </c>
      <c r="M6" s="55" t="s">
        <v>129</v>
      </c>
      <c r="N6" s="55"/>
      <c r="O6" s="55"/>
    </row>
    <row r="7" spans="2:15" ht="15" customHeight="1" x14ac:dyDescent="0.25">
      <c r="B7" s="8" t="s">
        <v>130</v>
      </c>
      <c r="C7" s="11">
        <v>25.5</v>
      </c>
      <c r="D7" s="11">
        <v>22.4</v>
      </c>
      <c r="E7" s="11">
        <v>29.7</v>
      </c>
      <c r="F7" s="11">
        <v>27.9</v>
      </c>
      <c r="G7" s="11">
        <v>31.4</v>
      </c>
      <c r="H7" s="11">
        <v>35</v>
      </c>
      <c r="K7" s="7">
        <v>2</v>
      </c>
      <c r="L7" s="13">
        <v>6</v>
      </c>
      <c r="M7" s="55" t="s">
        <v>128</v>
      </c>
      <c r="N7" s="55"/>
      <c r="O7" s="55"/>
    </row>
    <row r="8" spans="2:15" ht="15" customHeight="1" x14ac:dyDescent="0.25">
      <c r="B8" s="8" t="s">
        <v>131</v>
      </c>
      <c r="C8" s="14">
        <f t="shared" ref="C8:H8" si="0">C6-C7</f>
        <v>17</v>
      </c>
      <c r="D8" s="14">
        <f t="shared" si="0"/>
        <v>15.600000000000001</v>
      </c>
      <c r="E8" s="14">
        <f t="shared" si="0"/>
        <v>21.500000000000004</v>
      </c>
      <c r="F8" s="14">
        <f t="shared" si="0"/>
        <v>19.899999999999999</v>
      </c>
      <c r="G8" s="14">
        <f t="shared" si="0"/>
        <v>23.6</v>
      </c>
      <c r="H8" s="14">
        <f t="shared" si="0"/>
        <v>26.4</v>
      </c>
      <c r="K8" s="7">
        <v>3</v>
      </c>
      <c r="L8" s="13">
        <v>7</v>
      </c>
      <c r="M8" s="55" t="s">
        <v>130</v>
      </c>
      <c r="N8" s="55"/>
      <c r="O8" s="55"/>
    </row>
    <row r="9" spans="2:15" ht="15" customHeight="1" x14ac:dyDescent="0.25">
      <c r="B9" s="8" t="s">
        <v>132</v>
      </c>
      <c r="C9" s="11">
        <v>18.2</v>
      </c>
      <c r="D9" s="11">
        <v>16</v>
      </c>
      <c r="E9" s="11">
        <v>21.5</v>
      </c>
      <c r="F9" s="11">
        <v>19.8</v>
      </c>
      <c r="G9" s="11">
        <v>23</v>
      </c>
      <c r="H9" s="11">
        <v>25.6</v>
      </c>
      <c r="K9" s="7">
        <v>4</v>
      </c>
      <c r="L9" s="13">
        <v>8</v>
      </c>
      <c r="M9" s="55" t="s">
        <v>131</v>
      </c>
      <c r="N9" s="55"/>
      <c r="O9" s="55"/>
    </row>
    <row r="10" spans="2:15" ht="15" customHeight="1" x14ac:dyDescent="0.25">
      <c r="B10" s="8" t="s">
        <v>133</v>
      </c>
      <c r="C10" s="14">
        <f t="shared" ref="C10:H10" si="1">IF(C9=0,0,C6*100/C9)</f>
        <v>233.51648351648353</v>
      </c>
      <c r="D10" s="14">
        <f t="shared" si="1"/>
        <v>237.5</v>
      </c>
      <c r="E10" s="14">
        <f t="shared" si="1"/>
        <v>238.13953488372093</v>
      </c>
      <c r="F10" s="14">
        <f t="shared" si="1"/>
        <v>241.4141414141414</v>
      </c>
      <c r="G10" s="14">
        <f t="shared" si="1"/>
        <v>239.13043478260869</v>
      </c>
      <c r="H10" s="14">
        <f t="shared" si="1"/>
        <v>239.84375</v>
      </c>
      <c r="K10" s="7">
        <v>5</v>
      </c>
      <c r="L10" s="13">
        <v>9</v>
      </c>
      <c r="M10" s="55" t="s">
        <v>132</v>
      </c>
      <c r="N10" s="55"/>
      <c r="O10" s="55"/>
    </row>
    <row r="11" spans="2:15" ht="15" customHeight="1" x14ac:dyDescent="0.25">
      <c r="B11" s="8" t="s">
        <v>134</v>
      </c>
      <c r="C11" s="11">
        <v>40</v>
      </c>
      <c r="D11" s="11">
        <v>40</v>
      </c>
      <c r="E11" s="11">
        <v>48</v>
      </c>
      <c r="F11" s="11">
        <v>48</v>
      </c>
      <c r="G11" s="11">
        <v>52</v>
      </c>
      <c r="H11" s="11">
        <v>58</v>
      </c>
      <c r="K11" s="7">
        <v>6</v>
      </c>
      <c r="L11" s="13">
        <v>10</v>
      </c>
      <c r="M11" s="55" t="s">
        <v>133</v>
      </c>
      <c r="N11" s="55"/>
      <c r="O11" s="55"/>
    </row>
    <row r="12" spans="2:15" ht="15" customHeight="1" x14ac:dyDescent="0.25">
      <c r="B12" s="8" t="s">
        <v>135</v>
      </c>
      <c r="C12" s="15">
        <v>0.08</v>
      </c>
      <c r="D12" s="15">
        <v>0.1</v>
      </c>
      <c r="E12" s="15">
        <v>7.0000000000000007E-2</v>
      </c>
      <c r="F12" s="15">
        <v>0.09</v>
      </c>
      <c r="G12" s="15">
        <v>0.06</v>
      </c>
      <c r="H12" s="15">
        <v>0.05</v>
      </c>
      <c r="K12" s="7">
        <v>7</v>
      </c>
      <c r="L12" s="13">
        <v>11</v>
      </c>
      <c r="M12" s="55" t="s">
        <v>134</v>
      </c>
      <c r="N12" s="55"/>
      <c r="O12" s="55"/>
    </row>
    <row r="13" spans="2:15" ht="15" customHeight="1" x14ac:dyDescent="0.25">
      <c r="B13" s="16" t="s">
        <v>136</v>
      </c>
      <c r="C13" s="17"/>
      <c r="D13" s="17"/>
      <c r="E13" s="17"/>
      <c r="F13" s="17"/>
      <c r="G13" s="17"/>
      <c r="H13" s="17"/>
      <c r="K13" s="7">
        <v>8</v>
      </c>
      <c r="L13" s="13">
        <v>12</v>
      </c>
      <c r="M13" s="55" t="s">
        <v>135</v>
      </c>
      <c r="N13" s="55"/>
      <c r="O13" s="55"/>
    </row>
    <row r="14" spans="2:15" ht="39.75" customHeight="1" x14ac:dyDescent="0.25">
      <c r="K14" s="46" t="s">
        <v>137</v>
      </c>
      <c r="L14" s="46"/>
      <c r="M14" s="46"/>
      <c r="N14" s="46"/>
      <c r="O14" s="46"/>
    </row>
    <row r="16" spans="2:15" ht="21.75" customHeight="1" x14ac:dyDescent="0.25">
      <c r="B16" s="48" t="s">
        <v>138</v>
      </c>
      <c r="C16" s="48"/>
      <c r="D16" s="48"/>
      <c r="E16" s="48"/>
      <c r="F16" s="48"/>
      <c r="G16" s="48"/>
      <c r="H16" s="48"/>
      <c r="I16" s="48"/>
    </row>
    <row r="17" spans="2:15" ht="15" customHeight="1" x14ac:dyDescent="0.25">
      <c r="B17" s="49" t="s">
        <v>139</v>
      </c>
      <c r="C17" s="49"/>
      <c r="D17" s="49"/>
      <c r="E17" s="49"/>
      <c r="F17" s="49"/>
      <c r="G17" s="49"/>
      <c r="H17" s="49"/>
      <c r="I17" s="49"/>
    </row>
    <row r="18" spans="2:15" x14ac:dyDescent="0.25">
      <c r="B18" s="12" t="s">
        <v>140</v>
      </c>
      <c r="C18" s="1" t="s">
        <v>119</v>
      </c>
    </row>
    <row r="19" spans="2:15" x14ac:dyDescent="0.25">
      <c r="B19" s="12" t="s">
        <v>141</v>
      </c>
      <c r="C19" s="18">
        <v>2</v>
      </c>
    </row>
    <row r="20" spans="2:15" x14ac:dyDescent="0.25">
      <c r="B20" s="12" t="s">
        <v>142</v>
      </c>
      <c r="C20" s="19">
        <f>HLOOKUP(C18,$C$5:$H$12,C19,FALSE())</f>
        <v>42.5</v>
      </c>
    </row>
    <row r="21" spans="2:15" ht="15" customHeight="1" x14ac:dyDescent="0.25">
      <c r="B21" s="57"/>
      <c r="C21" s="57"/>
      <c r="D21" s="57"/>
      <c r="E21" s="57"/>
      <c r="F21" s="57"/>
      <c r="G21" s="57"/>
      <c r="H21" s="57"/>
      <c r="I21" s="57"/>
    </row>
    <row r="22" spans="2:15" ht="36" customHeight="1" x14ac:dyDescent="0.25">
      <c r="B22" s="46" t="s">
        <v>143</v>
      </c>
      <c r="C22" s="46"/>
      <c r="D22" s="46"/>
      <c r="E22" s="46"/>
      <c r="F22" s="46"/>
      <c r="G22" s="46"/>
      <c r="H22" s="46"/>
      <c r="I22" s="46"/>
    </row>
    <row r="24" spans="2:15" ht="21.75" customHeight="1" x14ac:dyDescent="0.25">
      <c r="B24" s="48" t="s">
        <v>144</v>
      </c>
      <c r="C24" s="48"/>
      <c r="D24" s="48"/>
      <c r="E24" s="48"/>
      <c r="F24" s="48"/>
      <c r="G24" s="48"/>
      <c r="H24" s="48"/>
      <c r="I24" s="48"/>
    </row>
    <row r="25" spans="2:15" x14ac:dyDescent="0.25">
      <c r="B25" s="12" t="s">
        <v>140</v>
      </c>
      <c r="C25" s="1" t="s">
        <v>145</v>
      </c>
    </row>
    <row r="26" spans="2:15" x14ac:dyDescent="0.25">
      <c r="B26" s="12" t="s">
        <v>146</v>
      </c>
      <c r="C26" s="19" t="e">
        <f>HLOOKUP(C25,$C$5:$H$12,2,FALSE())</f>
        <v>#N/A</v>
      </c>
    </row>
    <row r="27" spans="2:15" ht="30" x14ac:dyDescent="0.25">
      <c r="B27" s="12" t="s">
        <v>147</v>
      </c>
      <c r="C27" s="20" t="str">
        <f>IF(ISNA(HLOOKUP(C25,$C$5:$H$12,2,FALSE())),"No month in pack",HLOOKUP(C25,$C$5:$H$12,2,FALSE()))</f>
        <v>No month in pack</v>
      </c>
    </row>
    <row r="28" spans="2:15" ht="15" customHeight="1" x14ac:dyDescent="0.25">
      <c r="B28" s="57" t="s">
        <v>148</v>
      </c>
      <c r="C28" s="57"/>
      <c r="D28" s="57"/>
      <c r="E28" s="57"/>
      <c r="F28" s="57"/>
      <c r="G28" s="57"/>
      <c r="H28" s="57"/>
      <c r="I28" s="57"/>
    </row>
    <row r="29" spans="2:15" ht="31.5" customHeight="1" x14ac:dyDescent="0.25">
      <c r="B29" s="46" t="s">
        <v>149</v>
      </c>
      <c r="C29" s="46"/>
      <c r="D29" s="46"/>
      <c r="E29" s="46"/>
      <c r="F29" s="46"/>
      <c r="G29" s="46"/>
      <c r="H29" s="46"/>
      <c r="I29" s="46"/>
    </row>
    <row r="31" spans="2:15" ht="21.75" customHeight="1" x14ac:dyDescent="0.25">
      <c r="B31" s="48" t="s">
        <v>150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2:15" ht="31.5" customHeight="1" x14ac:dyDescent="0.25">
      <c r="B32" s="49" t="s">
        <v>151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2:15" x14ac:dyDescent="0.25">
      <c r="B33" s="3" t="s">
        <v>152</v>
      </c>
      <c r="C33" s="21">
        <v>0</v>
      </c>
      <c r="D33" s="21">
        <v>40</v>
      </c>
      <c r="E33" s="21">
        <v>50</v>
      </c>
      <c r="F33" s="21">
        <v>60</v>
      </c>
      <c r="G33" s="21">
        <v>75</v>
      </c>
      <c r="H33" s="21">
        <v>90</v>
      </c>
    </row>
    <row r="34" spans="2:15" x14ac:dyDescent="0.25">
      <c r="B34" s="8" t="s">
        <v>153</v>
      </c>
      <c r="C34" s="8" t="s">
        <v>154</v>
      </c>
      <c r="D34" s="8" t="s">
        <v>155</v>
      </c>
      <c r="E34" s="8" t="s">
        <v>156</v>
      </c>
      <c r="F34" s="8" t="s">
        <v>157</v>
      </c>
      <c r="G34" s="8" t="s">
        <v>158</v>
      </c>
      <c r="H34" s="8" t="s">
        <v>159</v>
      </c>
    </row>
    <row r="35" spans="2:15" x14ac:dyDescent="0.25">
      <c r="B35" s="22" t="s">
        <v>160</v>
      </c>
      <c r="C35" s="22" t="s">
        <v>161</v>
      </c>
      <c r="D35" s="22" t="s">
        <v>162</v>
      </c>
      <c r="E35" s="22" t="s">
        <v>163</v>
      </c>
      <c r="F35" s="22" t="s">
        <v>164</v>
      </c>
      <c r="G35" s="22" t="s">
        <v>165</v>
      </c>
      <c r="H35" s="22" t="s">
        <v>166</v>
      </c>
    </row>
    <row r="37" spans="2:15" x14ac:dyDescent="0.25">
      <c r="B37" s="12" t="s">
        <v>167</v>
      </c>
      <c r="C37" s="18">
        <v>76</v>
      </c>
    </row>
    <row r="38" spans="2:15" x14ac:dyDescent="0.25">
      <c r="B38" s="12" t="s">
        <v>153</v>
      </c>
      <c r="C38" s="20" t="str">
        <f>HLOOKUP(C37,$C$33:$H$35,2,TRUE())</f>
        <v>A</v>
      </c>
    </row>
    <row r="39" spans="2:15" x14ac:dyDescent="0.25">
      <c r="B39" s="12" t="s">
        <v>160</v>
      </c>
      <c r="C39" s="20" t="str">
        <f>HLOOKUP(C37,$C$33:$H$35,3,TRUE())</f>
        <v>Excellent</v>
      </c>
    </row>
    <row r="40" spans="2:15" ht="15" customHeight="1" x14ac:dyDescent="0.25">
      <c r="B40" s="57" t="s">
        <v>168</v>
      </c>
      <c r="C40" s="57"/>
      <c r="D40" s="57"/>
      <c r="E40" s="57"/>
      <c r="F40" s="57"/>
      <c r="G40" s="57"/>
      <c r="H40" s="57"/>
      <c r="I40" s="57"/>
    </row>
    <row r="41" spans="2:15" ht="27.75" customHeight="1" x14ac:dyDescent="0.25">
      <c r="B41" s="46" t="s">
        <v>169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3" spans="2:15" ht="21.75" customHeight="1" x14ac:dyDescent="0.25">
      <c r="B43" s="58" t="s">
        <v>170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  <row r="44" spans="2:15" ht="27.75" customHeight="1" x14ac:dyDescent="0.25">
      <c r="B44" s="49" t="s">
        <v>171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spans="2:15" x14ac:dyDescent="0.25">
      <c r="B45" s="7" t="s">
        <v>152</v>
      </c>
      <c r="C45" s="23">
        <v>0</v>
      </c>
      <c r="D45" s="23">
        <v>90</v>
      </c>
      <c r="E45" s="23">
        <v>50</v>
      </c>
      <c r="F45" s="23">
        <v>75</v>
      </c>
      <c r="G45" s="23">
        <v>40</v>
      </c>
      <c r="H45" s="23">
        <v>60</v>
      </c>
    </row>
    <row r="46" spans="2:15" x14ac:dyDescent="0.25">
      <c r="B46" s="7" t="s">
        <v>153</v>
      </c>
      <c r="C46" s="7" t="s">
        <v>154</v>
      </c>
      <c r="D46" s="7" t="s">
        <v>159</v>
      </c>
      <c r="E46" s="7" t="s">
        <v>156</v>
      </c>
      <c r="F46" s="7" t="s">
        <v>158</v>
      </c>
      <c r="G46" s="7" t="s">
        <v>155</v>
      </c>
      <c r="H46" s="7" t="s">
        <v>157</v>
      </c>
    </row>
    <row r="48" spans="2:15" x14ac:dyDescent="0.25">
      <c r="B48" s="12" t="s">
        <v>172</v>
      </c>
      <c r="C48" s="24">
        <f>C37</f>
        <v>76</v>
      </c>
    </row>
    <row r="49" spans="2:15" x14ac:dyDescent="0.25">
      <c r="B49" s="12" t="s">
        <v>173</v>
      </c>
      <c r="C49" s="20" t="str">
        <f>HLOOKUP(C48,$C$45:$H$46,2,TRUE())</f>
        <v>B</v>
      </c>
    </row>
    <row r="50" spans="2:15" x14ac:dyDescent="0.25">
      <c r="B50" s="12" t="s">
        <v>174</v>
      </c>
      <c r="C50" s="20" t="str">
        <f>C38</f>
        <v>A</v>
      </c>
    </row>
    <row r="51" spans="2:15" ht="21.75" customHeight="1" x14ac:dyDescent="0.25">
      <c r="B51" s="57" t="s">
        <v>175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  <row r="52" spans="2:15" ht="31.5" customHeight="1" x14ac:dyDescent="0.25">
      <c r="B52" s="46" t="s">
        <v>176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</row>
    <row r="54" spans="2:15" ht="21.75" customHeight="1" x14ac:dyDescent="0.25">
      <c r="B54" s="48" t="s">
        <v>177</v>
      </c>
      <c r="C54" s="48"/>
      <c r="D54" s="48"/>
      <c r="E54" s="48"/>
      <c r="F54" s="48"/>
      <c r="G54" s="48"/>
      <c r="H54" s="48"/>
      <c r="I54" s="48"/>
    </row>
    <row r="55" spans="2:15" ht="36" customHeight="1" x14ac:dyDescent="0.25">
      <c r="B55" s="49" t="s">
        <v>178</v>
      </c>
      <c r="C55" s="49"/>
      <c r="D55" s="49"/>
      <c r="E55" s="49"/>
      <c r="F55" s="49"/>
      <c r="G55" s="49"/>
      <c r="H55" s="49"/>
      <c r="I55" s="49"/>
    </row>
    <row r="56" spans="2:15" x14ac:dyDescent="0.25">
      <c r="B56" s="12" t="s">
        <v>179</v>
      </c>
      <c r="C56" s="1" t="s">
        <v>121</v>
      </c>
    </row>
    <row r="57" spans="2:15" x14ac:dyDescent="0.25">
      <c r="B57" s="12" t="s">
        <v>180</v>
      </c>
      <c r="C57" s="19">
        <f>HLOOKUP(C56,$C$5:$H$12,2)</f>
        <v>51.2</v>
      </c>
    </row>
    <row r="58" spans="2:15" x14ac:dyDescent="0.25">
      <c r="B58" s="12" t="s">
        <v>181</v>
      </c>
      <c r="C58" s="19">
        <f>HLOOKUP(C56,$C$5:$H$12,2,FALSE())</f>
        <v>51.2</v>
      </c>
    </row>
    <row r="59" spans="2:15" ht="23.85" customHeight="1" x14ac:dyDescent="0.25">
      <c r="B59" s="57" t="s">
        <v>182</v>
      </c>
      <c r="C59" s="57"/>
      <c r="D59" s="57"/>
      <c r="E59" s="57"/>
      <c r="F59" s="57"/>
      <c r="G59" s="57"/>
      <c r="H59" s="57"/>
      <c r="I59" s="57"/>
    </row>
    <row r="61" spans="2:15" ht="15" customHeight="1" x14ac:dyDescent="0.25">
      <c r="B61" s="46" t="s">
        <v>183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</row>
  </sheetData>
  <mergeCells count="33">
    <mergeCell ref="B1:O1"/>
    <mergeCell ref="B2:O2"/>
    <mergeCell ref="B4:I4"/>
    <mergeCell ref="K4:O4"/>
    <mergeCell ref="M5:O5"/>
    <mergeCell ref="M6:O6"/>
    <mergeCell ref="M7:O7"/>
    <mergeCell ref="M8:O8"/>
    <mergeCell ref="M9:O9"/>
    <mergeCell ref="M10:O10"/>
    <mergeCell ref="M11:O11"/>
    <mergeCell ref="M12:O12"/>
    <mergeCell ref="M13:O13"/>
    <mergeCell ref="K14:O14"/>
    <mergeCell ref="B16:I16"/>
    <mergeCell ref="B17:I17"/>
    <mergeCell ref="B21:I21"/>
    <mergeCell ref="B22:I22"/>
    <mergeCell ref="B24:I24"/>
    <mergeCell ref="B28:I28"/>
    <mergeCell ref="B29:I29"/>
    <mergeCell ref="B31:O31"/>
    <mergeCell ref="B32:O32"/>
    <mergeCell ref="B40:I40"/>
    <mergeCell ref="B41:O41"/>
    <mergeCell ref="B55:I55"/>
    <mergeCell ref="B59:I59"/>
    <mergeCell ref="B61:O61"/>
    <mergeCell ref="B43:O43"/>
    <mergeCell ref="B44:O44"/>
    <mergeCell ref="B51:O51"/>
    <mergeCell ref="B52:O52"/>
    <mergeCell ref="B54:I54"/>
  </mergeCells>
  <dataValidations count="2">
    <dataValidation type="list" errorTitle="Month" error="Pick a month" promptTitle="Input" prompt="Select month" sqref="C18 C25 C56" xr:uid="{00000000-0002-0000-0200-000000000000}">
      <formula1>"Jan,Feb,Mar,Apr,May,Jun,Jul,Dec"</formula1>
      <formula2>0</formula2>
    </dataValidation>
    <dataValidation type="whole" sqref="C19" xr:uid="{00000000-0002-0000-0200-000001000000}">
      <formula1>1</formula1>
      <formula2>8</formula2>
    </dataValidation>
  </dataValidation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F6F"/>
    <pageSetUpPr fitToPage="1"/>
  </sheetPr>
  <dimension ref="B1:O62"/>
  <sheetViews>
    <sheetView showGridLines="0" zoomScale="97" zoomScaleNormal="97" workbookViewId="0">
      <pane ySplit="3" topLeftCell="A32" activePane="bottomLeft" state="frozen"/>
      <selection pane="bottomLeft" activeCell="E29" sqref="E29"/>
    </sheetView>
  </sheetViews>
  <sheetFormatPr defaultColWidth="8.7109375" defaultRowHeight="15" x14ac:dyDescent="0.25"/>
  <cols>
    <col min="1" max="1" width="3" customWidth="1"/>
    <col min="2" max="2" width="28" customWidth="1"/>
    <col min="3" max="10" width="14" customWidth="1"/>
    <col min="11" max="15" width="16" customWidth="1"/>
  </cols>
  <sheetData>
    <row r="1" spans="2:15" ht="31.5" customHeight="1" x14ac:dyDescent="0.25">
      <c r="B1" s="50" t="s">
        <v>184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2:15" ht="18" customHeight="1" x14ac:dyDescent="0.25">
      <c r="B2" s="51" t="s">
        <v>185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spans="2:15" ht="21.75" customHeight="1" x14ac:dyDescent="0.25">
      <c r="B4" s="52" t="s">
        <v>186</v>
      </c>
      <c r="C4" s="52"/>
      <c r="D4" s="52"/>
      <c r="E4" s="52"/>
      <c r="F4" s="52"/>
      <c r="G4" s="52"/>
      <c r="H4" s="52"/>
      <c r="I4" s="52"/>
      <c r="K4" s="52" t="s">
        <v>187</v>
      </c>
      <c r="L4" s="52"/>
      <c r="M4" s="52"/>
      <c r="N4" s="52"/>
      <c r="O4" s="52"/>
    </row>
    <row r="5" spans="2:15" x14ac:dyDescent="0.25">
      <c r="B5" s="3" t="s">
        <v>188</v>
      </c>
      <c r="C5" s="3" t="s">
        <v>189</v>
      </c>
      <c r="D5" s="3" t="s">
        <v>190</v>
      </c>
      <c r="E5" s="3" t="s">
        <v>191</v>
      </c>
      <c r="F5" s="3" t="s">
        <v>192</v>
      </c>
      <c r="K5" s="3" t="s">
        <v>193</v>
      </c>
      <c r="L5" s="3" t="s">
        <v>119</v>
      </c>
      <c r="M5" s="3" t="s">
        <v>120</v>
      </c>
      <c r="N5" s="3" t="s">
        <v>121</v>
      </c>
      <c r="O5" s="3" t="s">
        <v>122</v>
      </c>
    </row>
    <row r="6" spans="2:15" x14ac:dyDescent="0.25">
      <c r="B6" s="25" t="s">
        <v>194</v>
      </c>
      <c r="C6" s="26">
        <v>399</v>
      </c>
      <c r="D6" s="26">
        <v>379</v>
      </c>
      <c r="E6" s="26">
        <v>349</v>
      </c>
      <c r="F6" s="26">
        <v>399</v>
      </c>
      <c r="K6" s="22" t="s">
        <v>195</v>
      </c>
      <c r="L6" s="26">
        <v>420</v>
      </c>
      <c r="M6" s="26">
        <v>390</v>
      </c>
      <c r="N6" s="26">
        <v>510</v>
      </c>
      <c r="O6" s="26">
        <v>470</v>
      </c>
    </row>
    <row r="7" spans="2:15" x14ac:dyDescent="0.25">
      <c r="B7" s="25" t="s">
        <v>196</v>
      </c>
      <c r="C7" s="26">
        <v>2499</v>
      </c>
      <c r="D7" s="26">
        <v>2299</v>
      </c>
      <c r="E7" s="26">
        <v>2199</v>
      </c>
      <c r="F7" s="26">
        <v>2599</v>
      </c>
      <c r="K7" s="22" t="s">
        <v>197</v>
      </c>
      <c r="L7" s="26">
        <v>380</v>
      </c>
      <c r="M7" s="26">
        <v>360</v>
      </c>
      <c r="N7" s="26">
        <v>440</v>
      </c>
      <c r="O7" s="26">
        <v>455</v>
      </c>
    </row>
    <row r="8" spans="2:15" x14ac:dyDescent="0.25">
      <c r="B8" s="25" t="s">
        <v>198</v>
      </c>
      <c r="C8" s="26">
        <v>3199</v>
      </c>
      <c r="D8" s="26">
        <v>3199</v>
      </c>
      <c r="E8" s="26">
        <v>2899</v>
      </c>
      <c r="F8" s="26">
        <v>3499</v>
      </c>
      <c r="K8" s="22" t="s">
        <v>199</v>
      </c>
      <c r="L8" s="26">
        <v>510</v>
      </c>
      <c r="M8" s="26">
        <v>495</v>
      </c>
      <c r="N8" s="26">
        <v>560</v>
      </c>
      <c r="O8" s="26">
        <v>530</v>
      </c>
    </row>
    <row r="9" spans="2:15" x14ac:dyDescent="0.25">
      <c r="B9" s="25" t="s">
        <v>200</v>
      </c>
      <c r="C9" s="26">
        <v>799</v>
      </c>
      <c r="D9" s="26">
        <v>749</v>
      </c>
      <c r="E9" s="26">
        <v>699</v>
      </c>
      <c r="F9" s="26">
        <v>849</v>
      </c>
      <c r="K9" s="22" t="s">
        <v>201</v>
      </c>
      <c r="L9" s="26">
        <v>240</v>
      </c>
      <c r="M9" s="26">
        <v>220</v>
      </c>
      <c r="N9" s="26">
        <v>265</v>
      </c>
      <c r="O9" s="26">
        <v>250</v>
      </c>
    </row>
    <row r="10" spans="2:15" x14ac:dyDescent="0.25">
      <c r="B10" s="25" t="s">
        <v>202</v>
      </c>
      <c r="C10" s="26">
        <v>1299</v>
      </c>
      <c r="D10" s="26">
        <v>999</v>
      </c>
      <c r="E10" s="26">
        <v>899</v>
      </c>
      <c r="F10" s="26">
        <v>1499</v>
      </c>
      <c r="K10" s="22" t="s">
        <v>203</v>
      </c>
      <c r="L10" s="26">
        <v>180</v>
      </c>
      <c r="M10" s="26">
        <v>175</v>
      </c>
      <c r="N10" s="26">
        <v>210</v>
      </c>
      <c r="O10" s="26">
        <v>198</v>
      </c>
    </row>
    <row r="12" spans="2:15" ht="21.75" customHeight="1" x14ac:dyDescent="0.25">
      <c r="B12" s="52" t="s">
        <v>204</v>
      </c>
      <c r="C12" s="52"/>
      <c r="D12" s="52"/>
      <c r="E12" s="52"/>
      <c r="F12" s="52"/>
      <c r="G12" s="52"/>
      <c r="H12" s="52"/>
      <c r="I12" s="52"/>
    </row>
    <row r="13" spans="2:15" x14ac:dyDescent="0.25">
      <c r="B13" s="3" t="s">
        <v>205</v>
      </c>
      <c r="C13" s="21">
        <v>0</v>
      </c>
      <c r="D13" s="21">
        <v>20</v>
      </c>
      <c r="E13" s="21">
        <v>35</v>
      </c>
      <c r="F13" s="21">
        <v>50</v>
      </c>
      <c r="G13" s="21">
        <v>75</v>
      </c>
      <c r="H13" s="21">
        <v>100</v>
      </c>
    </row>
    <row r="14" spans="2:15" x14ac:dyDescent="0.25">
      <c r="B14" s="8" t="s">
        <v>206</v>
      </c>
      <c r="C14" s="27">
        <v>0.02</v>
      </c>
      <c r="D14" s="27">
        <v>0.03</v>
      </c>
      <c r="E14" s="27">
        <v>0.04</v>
      </c>
      <c r="F14" s="27">
        <v>5.5E-2</v>
      </c>
      <c r="G14" s="27">
        <v>7.0000000000000007E-2</v>
      </c>
      <c r="H14" s="27">
        <v>0.09</v>
      </c>
    </row>
    <row r="15" spans="2:15" x14ac:dyDescent="0.25">
      <c r="B15" s="22" t="s">
        <v>207</v>
      </c>
      <c r="C15" s="22" t="s">
        <v>122</v>
      </c>
      <c r="D15" s="22" t="s">
        <v>122</v>
      </c>
      <c r="E15" s="22" t="s">
        <v>145</v>
      </c>
      <c r="F15" s="22" t="s">
        <v>145</v>
      </c>
      <c r="G15" s="22" t="s">
        <v>208</v>
      </c>
      <c r="H15" s="22" t="s">
        <v>119</v>
      </c>
    </row>
    <row r="17" spans="2:9" ht="21.75" customHeight="1" x14ac:dyDescent="0.25">
      <c r="B17" s="48" t="s">
        <v>209</v>
      </c>
      <c r="C17" s="48"/>
      <c r="D17" s="48"/>
      <c r="E17" s="48"/>
      <c r="F17" s="48"/>
      <c r="G17" s="48"/>
      <c r="H17" s="48"/>
      <c r="I17" s="48"/>
    </row>
    <row r="18" spans="2:9" ht="27.75" customHeight="1" x14ac:dyDescent="0.25">
      <c r="B18" s="49" t="s">
        <v>210</v>
      </c>
      <c r="C18" s="49"/>
      <c r="D18" s="49"/>
      <c r="E18" s="49"/>
      <c r="F18" s="49"/>
      <c r="G18" s="49"/>
      <c r="H18" s="49"/>
      <c r="I18" s="49"/>
    </row>
    <row r="19" spans="2:9" x14ac:dyDescent="0.25">
      <c r="B19" s="12" t="s">
        <v>211</v>
      </c>
      <c r="C19" s="1" t="s">
        <v>122</v>
      </c>
    </row>
    <row r="20" spans="2:9" x14ac:dyDescent="0.25">
      <c r="B20" s="12" t="s">
        <v>212</v>
      </c>
      <c r="C20" s="1" t="s">
        <v>131</v>
      </c>
    </row>
    <row r="21" spans="2:9" x14ac:dyDescent="0.25">
      <c r="B21" s="12" t="s">
        <v>213</v>
      </c>
      <c r="C21" s="24">
        <f>MATCH(C20,'02-HLOOKUP-Basics'!$B$5:$B$12,0)</f>
        <v>4</v>
      </c>
    </row>
    <row r="22" spans="2:9" x14ac:dyDescent="0.25">
      <c r="B22" s="12" t="s">
        <v>214</v>
      </c>
      <c r="C22" s="19">
        <f>HLOOKUP(C19,'02-HLOOKUP-Basics'!$C$5:$H$12,C21,FALSE())</f>
        <v>19.899999999999999</v>
      </c>
    </row>
    <row r="23" spans="2:9" ht="15" customHeight="1" x14ac:dyDescent="0.25">
      <c r="B23" s="60">
        <f>HLOOKUP(C19,'02-HLOOKUP-Basics'!B5:H12,4,FALSE)</f>
        <v>19.899999999999999</v>
      </c>
      <c r="C23" s="57"/>
      <c r="D23" s="57"/>
      <c r="E23" s="57"/>
      <c r="F23" s="57"/>
      <c r="G23" s="57"/>
      <c r="H23" s="57"/>
      <c r="I23" s="57"/>
    </row>
    <row r="24" spans="2:9" ht="27.75" customHeight="1" x14ac:dyDescent="0.25">
      <c r="B24" s="46" t="s">
        <v>215</v>
      </c>
      <c r="C24" s="46"/>
      <c r="D24" s="46"/>
      <c r="E24" s="46"/>
      <c r="F24" s="46"/>
      <c r="G24" s="46"/>
      <c r="H24" s="46"/>
      <c r="I24" s="46"/>
    </row>
    <row r="26" spans="2:9" ht="21.75" customHeight="1" x14ac:dyDescent="0.25">
      <c r="B26" s="48" t="s">
        <v>216</v>
      </c>
      <c r="C26" s="48"/>
      <c r="D26" s="48"/>
      <c r="E26" s="48"/>
      <c r="F26" s="48"/>
      <c r="G26" s="48"/>
      <c r="H26" s="48"/>
      <c r="I26" s="48"/>
    </row>
    <row r="27" spans="2:9" ht="15" customHeight="1" x14ac:dyDescent="0.25">
      <c r="B27" s="49" t="s">
        <v>217</v>
      </c>
      <c r="C27" s="49"/>
      <c r="D27" s="49"/>
      <c r="E27" s="49"/>
      <c r="F27" s="49"/>
      <c r="G27" s="49"/>
      <c r="H27" s="49"/>
      <c r="I27" s="49"/>
    </row>
    <row r="28" spans="2:9" x14ac:dyDescent="0.25">
      <c r="B28" s="12" t="s">
        <v>193</v>
      </c>
      <c r="C28" s="1" t="s">
        <v>199</v>
      </c>
    </row>
    <row r="29" spans="2:9" x14ac:dyDescent="0.25">
      <c r="B29" s="12" t="s">
        <v>211</v>
      </c>
      <c r="C29" s="1" t="s">
        <v>121</v>
      </c>
    </row>
    <row r="30" spans="2:9" x14ac:dyDescent="0.25">
      <c r="B30" s="12" t="s">
        <v>213</v>
      </c>
      <c r="C30" s="24">
        <f>MATCH(C28,$K$5:$K$10,0)</f>
        <v>4</v>
      </c>
    </row>
    <row r="31" spans="2:9" x14ac:dyDescent="0.25">
      <c r="B31" s="12" t="s">
        <v>218</v>
      </c>
      <c r="C31" s="28">
        <f>HLOOKUP(C29,$L$5:$O$10,C30,FALSE())</f>
        <v>560</v>
      </c>
    </row>
    <row r="32" spans="2:9" ht="15" customHeight="1" x14ac:dyDescent="0.25">
      <c r="B32" s="57">
        <f>HLOOKUP(C29,K5:O10,MATCH(C28,K5:K10,0),FALSE)</f>
        <v>560</v>
      </c>
      <c r="C32" s="57"/>
      <c r="D32" s="57"/>
      <c r="E32" s="57"/>
      <c r="F32" s="57"/>
      <c r="G32" s="57"/>
      <c r="H32" s="57"/>
      <c r="I32" s="57"/>
    </row>
    <row r="33" spans="2:9" ht="36" customHeight="1" x14ac:dyDescent="0.25">
      <c r="B33" s="46" t="s">
        <v>219</v>
      </c>
      <c r="C33" s="46"/>
      <c r="D33" s="46"/>
      <c r="E33" s="46"/>
      <c r="F33" s="46"/>
      <c r="G33" s="46"/>
      <c r="H33" s="46"/>
      <c r="I33" s="46"/>
    </row>
    <row r="34" spans="2:9" x14ac:dyDescent="0.25">
      <c r="B34" s="12" t="s">
        <v>220</v>
      </c>
      <c r="C34" s="28">
        <f>INDEX($L$6:$O$10,MATCH(C28,$K$6:$K$10,0),MATCH(C29,$L$5:$O$5,0))</f>
        <v>560</v>
      </c>
    </row>
    <row r="35" spans="2:9" ht="21.75" customHeight="1" x14ac:dyDescent="0.25">
      <c r="B35" s="57" t="s">
        <v>221</v>
      </c>
      <c r="C35" s="57"/>
      <c r="D35" s="57"/>
      <c r="E35" s="57"/>
      <c r="F35" s="57"/>
      <c r="G35" s="57"/>
      <c r="H35" s="57"/>
      <c r="I35" s="57"/>
    </row>
    <row r="37" spans="2:9" ht="21.75" customHeight="1" x14ac:dyDescent="0.25">
      <c r="B37" s="48" t="s">
        <v>222</v>
      </c>
      <c r="C37" s="48"/>
      <c r="D37" s="48"/>
      <c r="E37" s="48"/>
      <c r="F37" s="48"/>
      <c r="G37" s="48"/>
      <c r="H37" s="48"/>
      <c r="I37" s="48"/>
    </row>
    <row r="38" spans="2:9" x14ac:dyDescent="0.25">
      <c r="B38" s="12" t="s">
        <v>223</v>
      </c>
      <c r="C38" s="29">
        <v>58</v>
      </c>
    </row>
    <row r="39" spans="2:9" x14ac:dyDescent="0.25">
      <c r="B39" s="12" t="s">
        <v>206</v>
      </c>
      <c r="C39" s="30">
        <f>HLOOKUP(C38,$C$13:$H$15,2,TRUE())</f>
        <v>5.5E-2</v>
      </c>
    </row>
    <row r="40" spans="2:9" x14ac:dyDescent="0.25">
      <c r="B40" s="12" t="s">
        <v>207</v>
      </c>
      <c r="C40" s="20" t="str">
        <f>HLOOKUP(C38,$C$13:$H$15,3,TRUE())</f>
        <v>Jul</v>
      </c>
    </row>
    <row r="41" spans="2:9" x14ac:dyDescent="0.25">
      <c r="B41" s="12" t="s">
        <v>224</v>
      </c>
      <c r="C41" s="19">
        <f>C38*C39</f>
        <v>3.19</v>
      </c>
    </row>
    <row r="42" spans="2:9" ht="15" customHeight="1" x14ac:dyDescent="0.25">
      <c r="B42" s="57" t="s">
        <v>225</v>
      </c>
      <c r="C42" s="57"/>
      <c r="D42" s="57"/>
      <c r="E42" s="57"/>
      <c r="F42" s="57"/>
      <c r="G42" s="57"/>
      <c r="H42" s="57"/>
      <c r="I42" s="57"/>
    </row>
    <row r="44" spans="2:9" ht="21.75" customHeight="1" x14ac:dyDescent="0.25">
      <c r="B44" s="48" t="s">
        <v>226</v>
      </c>
      <c r="C44" s="48"/>
      <c r="D44" s="48"/>
      <c r="E44" s="48"/>
      <c r="F44" s="48"/>
      <c r="G44" s="48"/>
      <c r="H44" s="48"/>
      <c r="I44" s="48"/>
    </row>
    <row r="45" spans="2:9" ht="27.75" customHeight="1" x14ac:dyDescent="0.25">
      <c r="B45" s="49" t="s">
        <v>227</v>
      </c>
      <c r="C45" s="49"/>
      <c r="D45" s="49"/>
      <c r="E45" s="49"/>
      <c r="F45" s="49"/>
      <c r="G45" s="49"/>
      <c r="H45" s="49"/>
      <c r="I45" s="49"/>
    </row>
    <row r="46" spans="2:9" ht="15" customHeight="1" x14ac:dyDescent="0.25">
      <c r="B46" s="12" t="s">
        <v>228</v>
      </c>
      <c r="C46" s="59" t="s">
        <v>196</v>
      </c>
      <c r="D46" s="59"/>
      <c r="E46" s="59"/>
      <c r="F46" s="59"/>
    </row>
    <row r="47" spans="2:9" x14ac:dyDescent="0.25">
      <c r="B47" s="12" t="s">
        <v>229</v>
      </c>
      <c r="C47" s="1" t="s">
        <v>191</v>
      </c>
    </row>
    <row r="48" spans="2:9" x14ac:dyDescent="0.25">
      <c r="B48" s="12" t="s">
        <v>230</v>
      </c>
      <c r="C48" s="31">
        <f>HLOOKUP(C47,$C$5:$F$10,MATCH(C46,$B$5:$B$10,0),FALSE())</f>
        <v>2199</v>
      </c>
    </row>
    <row r="49" spans="2:15" x14ac:dyDescent="0.25">
      <c r="B49" s="12" t="s">
        <v>231</v>
      </c>
      <c r="C49" s="32">
        <f>IF(C47="Q3",0.08,0)</f>
        <v>0.08</v>
      </c>
    </row>
    <row r="50" spans="2:15" x14ac:dyDescent="0.25">
      <c r="B50" s="12" t="s">
        <v>232</v>
      </c>
      <c r="C50" s="31">
        <f>C48*(1-C49)</f>
        <v>2023.0800000000002</v>
      </c>
    </row>
    <row r="51" spans="2:15" ht="15" customHeight="1" x14ac:dyDescent="0.25">
      <c r="B51" s="57" t="s">
        <v>233</v>
      </c>
      <c r="C51" s="57"/>
      <c r="D51" s="57"/>
      <c r="E51" s="57"/>
      <c r="F51" s="57"/>
      <c r="G51" s="57"/>
      <c r="H51" s="57"/>
      <c r="I51" s="57"/>
    </row>
    <row r="53" spans="2:15" ht="21.75" customHeight="1" x14ac:dyDescent="0.25">
      <c r="B53" s="58" t="s">
        <v>234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</row>
    <row r="54" spans="2:15" ht="27.75" customHeight="1" x14ac:dyDescent="0.25">
      <c r="B54" s="33" t="s">
        <v>235</v>
      </c>
      <c r="C54" s="55" t="s">
        <v>236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</row>
    <row r="55" spans="2:15" ht="27.75" customHeight="1" x14ac:dyDescent="0.25">
      <c r="B55" s="33" t="s">
        <v>235</v>
      </c>
      <c r="C55" s="55" t="s">
        <v>237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</row>
    <row r="56" spans="2:15" ht="27.75" customHeight="1" x14ac:dyDescent="0.25">
      <c r="B56" s="33" t="s">
        <v>235</v>
      </c>
      <c r="C56" s="55" t="s">
        <v>238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</row>
    <row r="57" spans="2:15" ht="27.75" customHeight="1" x14ac:dyDescent="0.25">
      <c r="B57" s="33" t="s">
        <v>235</v>
      </c>
      <c r="C57" s="55" t="s">
        <v>239</v>
      </c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</row>
    <row r="58" spans="2:15" ht="27.75" customHeight="1" x14ac:dyDescent="0.25">
      <c r="B58" s="33" t="s">
        <v>235</v>
      </c>
      <c r="C58" s="55" t="s">
        <v>240</v>
      </c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</row>
    <row r="59" spans="2:15" ht="27.75" customHeight="1" x14ac:dyDescent="0.25">
      <c r="B59" s="33" t="s">
        <v>235</v>
      </c>
      <c r="C59" s="55" t="s">
        <v>241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</row>
    <row r="60" spans="2:15" ht="27.75" customHeight="1" x14ac:dyDescent="0.25">
      <c r="B60" s="33" t="s">
        <v>235</v>
      </c>
      <c r="C60" s="55" t="s">
        <v>242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</row>
    <row r="62" spans="2:15" ht="15" customHeight="1" x14ac:dyDescent="0.25">
      <c r="B62" s="46" t="s">
        <v>243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</row>
  </sheetData>
  <mergeCells count="29">
    <mergeCell ref="B1:O1"/>
    <mergeCell ref="B2:O2"/>
    <mergeCell ref="B4:I4"/>
    <mergeCell ref="K4:O4"/>
    <mergeCell ref="B12:I12"/>
    <mergeCell ref="B17:I17"/>
    <mergeCell ref="B18:I18"/>
    <mergeCell ref="B23:I23"/>
    <mergeCell ref="B24:I24"/>
    <mergeCell ref="B26:I26"/>
    <mergeCell ref="B27:I27"/>
    <mergeCell ref="B32:I32"/>
    <mergeCell ref="B33:I33"/>
    <mergeCell ref="B35:I35"/>
    <mergeCell ref="B37:I37"/>
    <mergeCell ref="B42:I42"/>
    <mergeCell ref="B44:I44"/>
    <mergeCell ref="B45:I45"/>
    <mergeCell ref="C46:F46"/>
    <mergeCell ref="B51:I51"/>
    <mergeCell ref="C58:O58"/>
    <mergeCell ref="C59:O59"/>
    <mergeCell ref="C60:O60"/>
    <mergeCell ref="B62:O62"/>
    <mergeCell ref="B53:O53"/>
    <mergeCell ref="C54:O54"/>
    <mergeCell ref="C55:O55"/>
    <mergeCell ref="C56:O56"/>
    <mergeCell ref="C57:O57"/>
  </mergeCells>
  <dataValidations count="6">
    <dataValidation type="list" sqref="C19" xr:uid="{00000000-0002-0000-0300-000000000000}">
      <formula1>"Jan,Feb,Mar,Apr,May,Jun"</formula1>
      <formula2>0</formula2>
    </dataValidation>
    <dataValidation type="list" sqref="C20" xr:uid="{00000000-0002-0000-0300-000001000000}">
      <formula1>"Revenue,COGS,Gross Profit,Units ('000),ASP (₹),Target Rev,Discount %"</formula1>
      <formula2>0</formula2>
    </dataValidation>
    <dataValidation type="list" sqref="C28" xr:uid="{00000000-0002-0000-0300-000002000000}">
      <formula1>"North,West,South,East,Export,Central"</formula1>
      <formula2>0</formula2>
    </dataValidation>
    <dataValidation type="list" sqref="C29" xr:uid="{00000000-0002-0000-0300-000003000000}">
      <formula1>"Jan,Feb,Mar,Apr,May"</formula1>
      <formula2>0</formula2>
    </dataValidation>
    <dataValidation type="list" sqref="C46" xr:uid="{00000000-0002-0000-0300-000004000000}">
      <formula1>"SKU-1040  Cotton Tee,SKU-1042  Denim Jacket,SKU-1055  Runner Shoe,SKU-1071  Canvas Tote,SKU-1088  Wool Scarf"</formula1>
      <formula2>0</formula2>
    </dataValidation>
    <dataValidation type="list" sqref="C47" xr:uid="{00000000-0002-0000-0300-000005000000}">
      <formula1>"Q1,Q2,Q3,Q4"</formula1>
      <formula2>0</formula2>
    </dataValidation>
  </dataValidation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D6A4F"/>
    <pageSetUpPr fitToPage="1"/>
  </sheetPr>
  <dimension ref="B1:O61"/>
  <sheetViews>
    <sheetView showGridLines="0" zoomScale="110" zoomScaleNormal="110" workbookViewId="0">
      <pane ySplit="3" topLeftCell="A28" activePane="bottomLeft" state="frozen"/>
      <selection pane="bottomLeft" activeCell="E25" sqref="E25"/>
    </sheetView>
  </sheetViews>
  <sheetFormatPr defaultColWidth="8.7109375" defaultRowHeight="15" x14ac:dyDescent="0.25"/>
  <cols>
    <col min="1" max="1" width="3" customWidth="1"/>
    <col min="2" max="2" width="26" customWidth="1"/>
    <col min="3" max="5" width="16" customWidth="1"/>
    <col min="6" max="10" width="14" customWidth="1"/>
    <col min="11" max="14" width="16" customWidth="1"/>
    <col min="15" max="15" width="18" customWidth="1"/>
  </cols>
  <sheetData>
    <row r="1" spans="2:15" ht="31.5" customHeight="1" x14ac:dyDescent="0.25">
      <c r="B1" s="50" t="s">
        <v>244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2:15" ht="18" customHeight="1" x14ac:dyDescent="0.25">
      <c r="B2" s="51" t="s">
        <v>245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spans="2:15" ht="21.75" customHeight="1" x14ac:dyDescent="0.25">
      <c r="B4" s="52" t="s">
        <v>246</v>
      </c>
      <c r="C4" s="52"/>
      <c r="D4" s="52"/>
      <c r="E4" s="52"/>
      <c r="F4" s="52"/>
      <c r="G4" s="52"/>
      <c r="H4" s="52"/>
      <c r="K4" s="52" t="s">
        <v>247</v>
      </c>
      <c r="L4" s="52"/>
      <c r="M4" s="52"/>
      <c r="N4" s="52"/>
      <c r="O4" s="52"/>
    </row>
    <row r="5" spans="2:15" x14ac:dyDescent="0.25">
      <c r="B5" s="3" t="s">
        <v>248</v>
      </c>
      <c r="C5" s="3" t="s">
        <v>249</v>
      </c>
      <c r="D5" s="3" t="s">
        <v>250</v>
      </c>
      <c r="E5" s="3" t="s">
        <v>251</v>
      </c>
      <c r="F5" s="3" t="s">
        <v>252</v>
      </c>
      <c r="G5" s="3" t="s">
        <v>253</v>
      </c>
      <c r="H5" s="3" t="s">
        <v>254</v>
      </c>
      <c r="K5" s="3" t="s">
        <v>250</v>
      </c>
      <c r="L5" s="3" t="s">
        <v>119</v>
      </c>
      <c r="M5" s="3" t="s">
        <v>120</v>
      </c>
      <c r="N5" s="3" t="s">
        <v>121</v>
      </c>
      <c r="O5" s="3" t="s">
        <v>122</v>
      </c>
    </row>
    <row r="6" spans="2:15" x14ac:dyDescent="0.25">
      <c r="B6" s="22" t="s">
        <v>255</v>
      </c>
      <c r="C6" s="22" t="s">
        <v>256</v>
      </c>
      <c r="D6" s="22" t="s">
        <v>257</v>
      </c>
      <c r="E6" s="22" t="s">
        <v>258</v>
      </c>
      <c r="F6" s="22" t="s">
        <v>259</v>
      </c>
      <c r="G6" s="22" t="s">
        <v>260</v>
      </c>
      <c r="H6" s="11">
        <v>18.5</v>
      </c>
      <c r="K6" s="8" t="s">
        <v>257</v>
      </c>
      <c r="L6" s="11">
        <v>4</v>
      </c>
      <c r="M6" s="11">
        <v>4</v>
      </c>
      <c r="N6" s="11">
        <v>4.5</v>
      </c>
      <c r="O6" s="11">
        <v>4.5</v>
      </c>
    </row>
    <row r="7" spans="2:15" x14ac:dyDescent="0.25">
      <c r="B7" s="22" t="s">
        <v>261</v>
      </c>
      <c r="C7" s="22" t="s">
        <v>262</v>
      </c>
      <c r="D7" s="22" t="s">
        <v>263</v>
      </c>
      <c r="E7" s="22" t="s">
        <v>264</v>
      </c>
      <c r="F7" s="22" t="s">
        <v>265</v>
      </c>
      <c r="G7" s="22" t="s">
        <v>266</v>
      </c>
      <c r="H7" s="11">
        <v>12</v>
      </c>
      <c r="K7" s="8" t="s">
        <v>263</v>
      </c>
      <c r="L7" s="11">
        <v>12</v>
      </c>
      <c r="M7" s="11">
        <v>11.5</v>
      </c>
      <c r="N7" s="11">
        <v>13</v>
      </c>
      <c r="O7" s="11">
        <v>12.5</v>
      </c>
    </row>
    <row r="8" spans="2:15" x14ac:dyDescent="0.25">
      <c r="B8" s="22" t="s">
        <v>267</v>
      </c>
      <c r="C8" s="22" t="s">
        <v>268</v>
      </c>
      <c r="D8" s="22" t="s">
        <v>257</v>
      </c>
      <c r="E8" s="22" t="s">
        <v>264</v>
      </c>
      <c r="F8" s="22" t="s">
        <v>269</v>
      </c>
      <c r="G8" s="22" t="s">
        <v>260</v>
      </c>
      <c r="H8" s="11">
        <v>11.2</v>
      </c>
      <c r="K8" s="8" t="s">
        <v>270</v>
      </c>
      <c r="L8" s="11">
        <v>18</v>
      </c>
      <c r="M8" s="11">
        <v>17</v>
      </c>
      <c r="N8" s="11">
        <v>20</v>
      </c>
      <c r="O8" s="11">
        <v>19</v>
      </c>
    </row>
    <row r="9" spans="2:15" x14ac:dyDescent="0.25">
      <c r="B9" s="22" t="s">
        <v>271</v>
      </c>
      <c r="C9" s="22" t="s">
        <v>272</v>
      </c>
      <c r="D9" s="22" t="s">
        <v>270</v>
      </c>
      <c r="E9" s="22" t="s">
        <v>273</v>
      </c>
      <c r="F9" s="22" t="s">
        <v>259</v>
      </c>
      <c r="G9" s="22" t="s">
        <v>274</v>
      </c>
      <c r="H9" s="11">
        <v>8.4</v>
      </c>
      <c r="K9" s="8" t="s">
        <v>275</v>
      </c>
      <c r="L9" s="11">
        <v>6</v>
      </c>
      <c r="M9" s="11">
        <v>6</v>
      </c>
      <c r="N9" s="11">
        <v>6.5</v>
      </c>
      <c r="O9" s="11">
        <v>6.5</v>
      </c>
    </row>
    <row r="10" spans="2:15" x14ac:dyDescent="0.25">
      <c r="B10" s="22" t="s">
        <v>276</v>
      </c>
      <c r="C10" s="22" t="s">
        <v>277</v>
      </c>
      <c r="D10" s="22" t="s">
        <v>263</v>
      </c>
      <c r="E10" s="22" t="s">
        <v>258</v>
      </c>
      <c r="F10" s="22" t="s">
        <v>278</v>
      </c>
      <c r="G10" s="22" t="s">
        <v>266</v>
      </c>
      <c r="H10" s="11">
        <v>16.8</v>
      </c>
    </row>
    <row r="11" spans="2:15" x14ac:dyDescent="0.25">
      <c r="B11" s="22" t="s">
        <v>279</v>
      </c>
      <c r="C11" s="22" t="s">
        <v>280</v>
      </c>
      <c r="D11" s="22" t="s">
        <v>270</v>
      </c>
      <c r="E11" s="22" t="s">
        <v>264</v>
      </c>
      <c r="F11" s="22" t="s">
        <v>281</v>
      </c>
      <c r="G11" s="22" t="s">
        <v>274</v>
      </c>
      <c r="H11" s="11">
        <v>10.5</v>
      </c>
    </row>
    <row r="12" spans="2:15" x14ac:dyDescent="0.25">
      <c r="B12" s="22" t="s">
        <v>282</v>
      </c>
      <c r="C12" s="22" t="s">
        <v>283</v>
      </c>
      <c r="D12" s="22" t="s">
        <v>275</v>
      </c>
      <c r="E12" s="22" t="s">
        <v>284</v>
      </c>
      <c r="F12" s="22" t="s">
        <v>269</v>
      </c>
      <c r="G12" s="22" t="s">
        <v>285</v>
      </c>
      <c r="H12" s="11">
        <v>28</v>
      </c>
    </row>
    <row r="13" spans="2:15" x14ac:dyDescent="0.25">
      <c r="B13" s="22" t="s">
        <v>286</v>
      </c>
      <c r="C13" s="22" t="s">
        <v>287</v>
      </c>
      <c r="D13" s="22" t="s">
        <v>275</v>
      </c>
      <c r="E13" s="22" t="s">
        <v>258</v>
      </c>
      <c r="F13" s="22" t="s">
        <v>288</v>
      </c>
      <c r="G13" s="22" t="s">
        <v>285</v>
      </c>
      <c r="H13" s="11">
        <v>19.399999999999999</v>
      </c>
    </row>
    <row r="14" spans="2:15" x14ac:dyDescent="0.25">
      <c r="B14" s="22" t="s">
        <v>289</v>
      </c>
      <c r="C14" s="22" t="s">
        <v>290</v>
      </c>
      <c r="D14" s="22" t="s">
        <v>257</v>
      </c>
      <c r="E14" s="22" t="s">
        <v>273</v>
      </c>
      <c r="F14" s="22" t="s">
        <v>291</v>
      </c>
      <c r="G14" s="22" t="s">
        <v>260</v>
      </c>
      <c r="H14" s="11">
        <v>7.8</v>
      </c>
    </row>
    <row r="15" spans="2:15" x14ac:dyDescent="0.25">
      <c r="B15" s="22" t="s">
        <v>292</v>
      </c>
      <c r="C15" s="22" t="s">
        <v>293</v>
      </c>
      <c r="D15" s="22" t="s">
        <v>263</v>
      </c>
      <c r="E15" s="22" t="s">
        <v>273</v>
      </c>
      <c r="F15" s="22" t="s">
        <v>265</v>
      </c>
      <c r="G15" s="22" t="s">
        <v>266</v>
      </c>
      <c r="H15" s="11">
        <v>7.2</v>
      </c>
    </row>
    <row r="16" spans="2:15" x14ac:dyDescent="0.25">
      <c r="B16" s="22" t="s">
        <v>260</v>
      </c>
      <c r="C16" s="22" t="s">
        <v>294</v>
      </c>
      <c r="D16" s="22" t="s">
        <v>257</v>
      </c>
      <c r="E16" s="22" t="s">
        <v>295</v>
      </c>
      <c r="F16" s="22" t="s">
        <v>259</v>
      </c>
      <c r="G16" s="22" t="s">
        <v>296</v>
      </c>
      <c r="H16" s="11">
        <v>42</v>
      </c>
    </row>
    <row r="17" spans="2:15" x14ac:dyDescent="0.25">
      <c r="B17" s="22" t="s">
        <v>266</v>
      </c>
      <c r="C17" s="22" t="s">
        <v>297</v>
      </c>
      <c r="D17" s="22" t="s">
        <v>263</v>
      </c>
      <c r="E17" s="22" t="s">
        <v>295</v>
      </c>
      <c r="F17" s="22" t="s">
        <v>278</v>
      </c>
      <c r="G17" s="22" t="s">
        <v>296</v>
      </c>
      <c r="H17" s="11">
        <v>38.5</v>
      </c>
    </row>
    <row r="18" spans="2:15" x14ac:dyDescent="0.25">
      <c r="B18" s="22" t="s">
        <v>274</v>
      </c>
      <c r="C18" s="22" t="s">
        <v>298</v>
      </c>
      <c r="D18" s="22" t="s">
        <v>270</v>
      </c>
      <c r="E18" s="22" t="s">
        <v>284</v>
      </c>
      <c r="F18" s="22" t="s">
        <v>259</v>
      </c>
      <c r="G18" s="22" t="s">
        <v>296</v>
      </c>
      <c r="H18" s="11">
        <v>31</v>
      </c>
    </row>
    <row r="19" spans="2:15" x14ac:dyDescent="0.25">
      <c r="B19" s="22" t="s">
        <v>285</v>
      </c>
      <c r="C19" s="22" t="s">
        <v>299</v>
      </c>
      <c r="D19" s="22" t="s">
        <v>275</v>
      </c>
      <c r="E19" s="22" t="s">
        <v>295</v>
      </c>
      <c r="F19" s="22" t="s">
        <v>269</v>
      </c>
      <c r="G19" s="22" t="s">
        <v>296</v>
      </c>
      <c r="H19" s="11">
        <v>46</v>
      </c>
    </row>
    <row r="21" spans="2:15" ht="21.75" customHeight="1" x14ac:dyDescent="0.25">
      <c r="B21" s="48" t="s">
        <v>300</v>
      </c>
      <c r="C21" s="48"/>
      <c r="D21" s="48"/>
      <c r="E21" s="48"/>
      <c r="F21" s="48"/>
      <c r="G21" s="48"/>
      <c r="H21" s="48"/>
      <c r="K21" s="48" t="s">
        <v>301</v>
      </c>
      <c r="L21" s="48"/>
      <c r="M21" s="48"/>
      <c r="N21" s="48"/>
      <c r="O21" s="48"/>
    </row>
    <row r="22" spans="2:15" x14ac:dyDescent="0.25">
      <c r="B22" s="12" t="s">
        <v>248</v>
      </c>
      <c r="C22" s="1" t="s">
        <v>276</v>
      </c>
      <c r="K22" s="12" t="s">
        <v>250</v>
      </c>
      <c r="L22" s="1" t="s">
        <v>270</v>
      </c>
    </row>
    <row r="23" spans="2:15" x14ac:dyDescent="0.25">
      <c r="B23" s="12" t="s">
        <v>249</v>
      </c>
      <c r="C23" s="20" t="str">
        <f>_xlfn.XLOOKUP(C22,$B$6:$B$19,$C$6:$C$19)</f>
        <v>Sara Khan</v>
      </c>
      <c r="K23" s="12" t="s">
        <v>211</v>
      </c>
      <c r="L23" s="1" t="s">
        <v>121</v>
      </c>
    </row>
    <row r="24" spans="2:15" x14ac:dyDescent="0.25">
      <c r="B24" s="12" t="s">
        <v>250</v>
      </c>
      <c r="C24" s="20" t="str">
        <f>_xlfn.XLOOKUP(C22,$B$6:$B$19,$D$6:$D$19)</f>
        <v>Ops</v>
      </c>
      <c r="K24" s="12" t="s">
        <v>302</v>
      </c>
      <c r="L24" s="34" t="e">
        <f ca="1">_xludf.xlookup(L23,$L$5:$O$5,_xludf.xlookup(L22,$K$6:$K$9,$L$6:$O$9),"No combo")</f>
        <v>#NAME?</v>
      </c>
    </row>
    <row r="25" spans="2:15" ht="15" customHeight="1" x14ac:dyDescent="0.25">
      <c r="B25" s="12" t="s">
        <v>254</v>
      </c>
      <c r="C25" s="34">
        <f>_xlfn.XLOOKUP(C22,$B$6:$B$19,$H$6:$H$19)</f>
        <v>16.8</v>
      </c>
      <c r="K25" s="61" t="s">
        <v>303</v>
      </c>
      <c r="L25" s="61"/>
      <c r="M25" s="61"/>
      <c r="N25" s="61"/>
      <c r="O25" s="61"/>
    </row>
    <row r="26" spans="2:15" ht="48" customHeight="1" x14ac:dyDescent="0.25">
      <c r="B26" s="60" t="s">
        <v>695</v>
      </c>
      <c r="C26" s="57"/>
      <c r="D26" s="57"/>
      <c r="E26" s="57"/>
      <c r="F26" s="57"/>
      <c r="G26" s="57"/>
      <c r="H26" s="57"/>
      <c r="K26" s="46" t="s">
        <v>304</v>
      </c>
      <c r="L26" s="46"/>
      <c r="M26" s="46"/>
      <c r="N26" s="46"/>
      <c r="O26" s="46"/>
    </row>
    <row r="27" spans="2:15" ht="39.75" customHeight="1" x14ac:dyDescent="0.25">
      <c r="B27" s="46" t="s">
        <v>305</v>
      </c>
      <c r="C27" s="46"/>
      <c r="D27" s="46"/>
      <c r="E27" s="46"/>
      <c r="F27" s="46"/>
      <c r="G27" s="46"/>
      <c r="H27" s="46"/>
    </row>
    <row r="28" spans="2:15" ht="21.75" customHeight="1" x14ac:dyDescent="0.25">
      <c r="K28" s="48" t="s">
        <v>306</v>
      </c>
      <c r="L28" s="48"/>
      <c r="M28" s="48"/>
      <c r="N28" s="48"/>
      <c r="O28" s="48"/>
    </row>
    <row r="29" spans="2:15" ht="36" customHeight="1" x14ac:dyDescent="0.25">
      <c r="B29" s="48" t="s">
        <v>307</v>
      </c>
      <c r="C29" s="48"/>
      <c r="D29" s="48"/>
      <c r="E29" s="48"/>
      <c r="F29" s="48"/>
      <c r="G29" s="48"/>
      <c r="H29" s="48"/>
      <c r="K29" s="46" t="s">
        <v>308</v>
      </c>
      <c r="L29" s="46"/>
      <c r="M29" s="46"/>
      <c r="N29" s="46"/>
      <c r="O29" s="46"/>
    </row>
    <row r="30" spans="2:15" x14ac:dyDescent="0.25">
      <c r="B30" s="12" t="s">
        <v>248</v>
      </c>
      <c r="C30" s="1" t="s">
        <v>309</v>
      </c>
      <c r="K30" s="12" t="s">
        <v>211</v>
      </c>
      <c r="L30" s="1" t="s">
        <v>123</v>
      </c>
    </row>
    <row r="31" spans="2:15" ht="30" x14ac:dyDescent="0.25">
      <c r="B31" s="12" t="s">
        <v>310</v>
      </c>
      <c r="C31" s="20" t="e">
        <f ca="1">_xludf.xlookup(C30,$B$6:$B$19,$C$6:$C$19)</f>
        <v>#NAME?</v>
      </c>
      <c r="K31" s="12" t="s">
        <v>311</v>
      </c>
      <c r="L31" s="19" t="e">
        <f ca="1">_xludf.xlookup(L30,'02-HLOOKUP-Basics'!$C$5:$H$5,'02-HLOOKUP-Basics'!$C$6:$H$6,"No month")</f>
        <v>#NAME?</v>
      </c>
    </row>
    <row r="32" spans="2:15" ht="15" customHeight="1" x14ac:dyDescent="0.25">
      <c r="B32" s="12" t="s">
        <v>312</v>
      </c>
      <c r="C32" s="20" t="e">
        <f ca="1">_xludf.xlookup(C30,$B$6:$B$19,$C$6:$C$19,"ID not on roster")</f>
        <v>#NAME?</v>
      </c>
      <c r="K32" s="61" t="s">
        <v>313</v>
      </c>
      <c r="L32" s="61"/>
      <c r="M32" s="61"/>
      <c r="N32" s="61"/>
      <c r="O32" s="61"/>
    </row>
    <row r="33" spans="2:8" ht="15" customHeight="1" x14ac:dyDescent="0.25">
      <c r="B33" s="57" t="s">
        <v>314</v>
      </c>
      <c r="C33" s="57"/>
      <c r="D33" s="57"/>
      <c r="E33" s="57"/>
      <c r="F33" s="57"/>
      <c r="G33" s="57"/>
      <c r="H33" s="57"/>
    </row>
    <row r="34" spans="2:8" ht="27.75" customHeight="1" x14ac:dyDescent="0.25">
      <c r="B34" s="46" t="s">
        <v>315</v>
      </c>
      <c r="C34" s="46"/>
      <c r="D34" s="46"/>
      <c r="E34" s="46"/>
      <c r="F34" s="46"/>
      <c r="G34" s="46"/>
      <c r="H34" s="46"/>
    </row>
    <row r="36" spans="2:8" ht="21.75" customHeight="1" x14ac:dyDescent="0.25">
      <c r="B36" s="48" t="s">
        <v>316</v>
      </c>
      <c r="C36" s="48"/>
      <c r="D36" s="48"/>
      <c r="E36" s="48"/>
      <c r="F36" s="48"/>
      <c r="G36" s="48"/>
      <c r="H36" s="48"/>
    </row>
    <row r="37" spans="2:8" ht="31.5" customHeight="1" x14ac:dyDescent="0.25">
      <c r="B37" s="49" t="s">
        <v>317</v>
      </c>
      <c r="C37" s="49"/>
      <c r="D37" s="49"/>
      <c r="E37" s="49"/>
      <c r="F37" s="49"/>
      <c r="G37" s="49"/>
      <c r="H37" s="49"/>
    </row>
    <row r="38" spans="2:8" x14ac:dyDescent="0.25">
      <c r="B38" s="12" t="s">
        <v>248</v>
      </c>
      <c r="C38" s="1" t="s">
        <v>282</v>
      </c>
    </row>
    <row r="39" spans="2:8" x14ac:dyDescent="0.25">
      <c r="B39" s="12" t="s">
        <v>253</v>
      </c>
      <c r="C39" s="20" t="e">
        <f ca="1">_xludf.xlookup(C38,$B$6:$B$19,$G$6:$G$19,"—")</f>
        <v>#NAME?</v>
      </c>
    </row>
    <row r="40" spans="2:8" x14ac:dyDescent="0.25">
      <c r="B40" s="12" t="s">
        <v>318</v>
      </c>
      <c r="C40" s="20" t="e">
        <f ca="1">_xludf.xlookup(C39,$B$6:$B$19,$C$6:$C$19,"CEO / not listed")</f>
        <v>#NAME?</v>
      </c>
    </row>
    <row r="41" spans="2:8" ht="15" customHeight="1" x14ac:dyDescent="0.25">
      <c r="B41" s="57" t="s">
        <v>319</v>
      </c>
      <c r="C41" s="57"/>
      <c r="D41" s="57"/>
      <c r="E41" s="57"/>
      <c r="F41" s="57"/>
      <c r="G41" s="57"/>
      <c r="H41" s="57"/>
    </row>
    <row r="43" spans="2:8" ht="21.75" customHeight="1" x14ac:dyDescent="0.25">
      <c r="B43" s="48" t="s">
        <v>320</v>
      </c>
      <c r="C43" s="48"/>
      <c r="D43" s="48"/>
      <c r="E43" s="48"/>
      <c r="F43" s="48"/>
      <c r="G43" s="48"/>
      <c r="H43" s="48"/>
    </row>
    <row r="44" spans="2:8" ht="15" customHeight="1" x14ac:dyDescent="0.25">
      <c r="B44" s="49" t="s">
        <v>321</v>
      </c>
      <c r="C44" s="49"/>
      <c r="D44" s="49"/>
      <c r="E44" s="49"/>
      <c r="F44" s="49"/>
      <c r="G44" s="49"/>
      <c r="H44" s="49"/>
    </row>
    <row r="45" spans="2:8" x14ac:dyDescent="0.25">
      <c r="B45" s="12" t="s">
        <v>322</v>
      </c>
      <c r="C45" s="1" t="s">
        <v>323</v>
      </c>
    </row>
    <row r="46" spans="2:8" x14ac:dyDescent="0.25">
      <c r="B46" s="12" t="s">
        <v>324</v>
      </c>
      <c r="C46" s="20" t="e">
        <f ca="1">_xludf.xlookup(C45,$B$6:$B$19,$B$6:$B$19,"none",2)</f>
        <v>#NAME?</v>
      </c>
    </row>
    <row r="47" spans="2:8" x14ac:dyDescent="0.25">
      <c r="B47" s="12" t="s">
        <v>325</v>
      </c>
      <c r="C47" s="20" t="e">
        <f ca="1">_xludf.xlookup(C45,$B$6:$B$19,$C$6:$C$19,"none",2)</f>
        <v>#NAME?</v>
      </c>
    </row>
    <row r="48" spans="2:8" ht="15" customHeight="1" x14ac:dyDescent="0.25">
      <c r="B48" s="57" t="s">
        <v>326</v>
      </c>
      <c r="C48" s="57"/>
      <c r="D48" s="57"/>
      <c r="E48" s="57"/>
      <c r="F48" s="57"/>
      <c r="G48" s="57"/>
      <c r="H48" s="57"/>
    </row>
    <row r="49" spans="2:15" ht="31.5" customHeight="1" x14ac:dyDescent="0.25">
      <c r="B49" s="46" t="s">
        <v>327</v>
      </c>
      <c r="C49" s="46"/>
      <c r="D49" s="46"/>
      <c r="E49" s="46"/>
      <c r="F49" s="46"/>
      <c r="G49" s="46"/>
      <c r="H49" s="46"/>
    </row>
    <row r="51" spans="2:15" ht="21.75" customHeight="1" x14ac:dyDescent="0.25">
      <c r="B51" s="48" t="s">
        <v>328</v>
      </c>
      <c r="C51" s="48"/>
      <c r="D51" s="48"/>
      <c r="E51" s="48"/>
      <c r="F51" s="48"/>
      <c r="G51" s="48"/>
      <c r="H51" s="48"/>
    </row>
    <row r="52" spans="2:15" ht="31.5" customHeight="1" x14ac:dyDescent="0.25">
      <c r="B52" s="49" t="s">
        <v>329</v>
      </c>
      <c r="C52" s="49"/>
      <c r="D52" s="49"/>
      <c r="E52" s="49"/>
      <c r="F52" s="49"/>
      <c r="G52" s="49"/>
      <c r="H52" s="49"/>
    </row>
    <row r="53" spans="2:15" x14ac:dyDescent="0.25">
      <c r="B53" s="12" t="s">
        <v>248</v>
      </c>
      <c r="C53" s="1" t="s">
        <v>274</v>
      </c>
    </row>
    <row r="54" spans="2:15" x14ac:dyDescent="0.25">
      <c r="B54" s="12" t="s">
        <v>249</v>
      </c>
      <c r="C54" s="20" t="e">
        <f ca="1">_xludf.xlookup($C$53,$B$6:$B$19,$C$6:$C$19,"—")</f>
        <v>#NAME?</v>
      </c>
    </row>
    <row r="55" spans="2:15" x14ac:dyDescent="0.25">
      <c r="B55" s="12" t="s">
        <v>250</v>
      </c>
      <c r="C55" s="20" t="e">
        <f ca="1">_xludf.xlookup($C$53,$B$6:$B$19,$D$6:$D$19,"—")</f>
        <v>#NAME?</v>
      </c>
    </row>
    <row r="56" spans="2:15" x14ac:dyDescent="0.25">
      <c r="B56" s="12" t="s">
        <v>251</v>
      </c>
      <c r="C56" s="20" t="e">
        <f ca="1">_xludf.xlookup($C$53,$B$6:$B$19,$E$6:$E$19,"—")</f>
        <v>#NAME?</v>
      </c>
    </row>
    <row r="57" spans="2:15" x14ac:dyDescent="0.25">
      <c r="B57" s="12" t="s">
        <v>252</v>
      </c>
      <c r="C57" s="20" t="e">
        <f ca="1">_xludf.xlookup($C$53,$B$6:$B$19,$F$6:$F$19,"—")</f>
        <v>#NAME?</v>
      </c>
    </row>
    <row r="58" spans="2:15" x14ac:dyDescent="0.25">
      <c r="B58" s="12" t="s">
        <v>330</v>
      </c>
      <c r="C58" s="34" t="e">
        <f ca="1">_xludf.xlookup($C$53,$B$6:$B$19,$H$6:$H$19,"—")</f>
        <v>#NAME?</v>
      </c>
    </row>
    <row r="59" spans="2:15" ht="23.85" customHeight="1" x14ac:dyDescent="0.25">
      <c r="B59" s="57" t="s">
        <v>331</v>
      </c>
      <c r="C59" s="57"/>
      <c r="D59" s="57"/>
      <c r="E59" s="57"/>
      <c r="F59" s="57"/>
      <c r="G59" s="57"/>
      <c r="H59" s="57"/>
    </row>
    <row r="61" spans="2:15" ht="15" customHeight="1" x14ac:dyDescent="0.25">
      <c r="B61" s="46" t="s">
        <v>332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</row>
  </sheetData>
  <mergeCells count="27">
    <mergeCell ref="B1:O1"/>
    <mergeCell ref="B2:O2"/>
    <mergeCell ref="B4:H4"/>
    <mergeCell ref="K4:O4"/>
    <mergeCell ref="B21:H21"/>
    <mergeCell ref="K21:O21"/>
    <mergeCell ref="K25:O25"/>
    <mergeCell ref="B26:H26"/>
    <mergeCell ref="K26:O26"/>
    <mergeCell ref="B27:H27"/>
    <mergeCell ref="K28:O28"/>
    <mergeCell ref="B29:H29"/>
    <mergeCell ref="K29:O29"/>
    <mergeCell ref="K32:O32"/>
    <mergeCell ref="B33:H33"/>
    <mergeCell ref="B34:H34"/>
    <mergeCell ref="B36:H36"/>
    <mergeCell ref="B37:H37"/>
    <mergeCell ref="B41:H41"/>
    <mergeCell ref="B43:H43"/>
    <mergeCell ref="B44:H44"/>
    <mergeCell ref="B61:O61"/>
    <mergeCell ref="B48:H48"/>
    <mergeCell ref="B49:H49"/>
    <mergeCell ref="B51:H51"/>
    <mergeCell ref="B52:H52"/>
    <mergeCell ref="B59:H59"/>
  </mergeCells>
  <dataValidations count="3">
    <dataValidation type="list" sqref="C22 C30 C38 C53" xr:uid="{00000000-0002-0000-0400-000000000000}">
      <formula1>"E-1001,E-1002,E-1003,E-1004,E-1005,E-1006,E-1007,E-1008,E-1009,E-1010,E-1200,E-1201,E-1202,E-1203,E-1999"</formula1>
      <formula2>0</formula2>
    </dataValidation>
    <dataValidation type="list" sqref="L22" xr:uid="{00000000-0002-0000-0400-000001000000}">
      <formula1>"Finance,Ops,Merch,Tech,HR"</formula1>
      <formula2>0</formula2>
    </dataValidation>
    <dataValidation type="list" sqref="L23 L30" xr:uid="{00000000-0002-0000-0400-000002000000}">
      <formula1>"Jan,Feb,Mar,Apr,May"</formula1>
      <formula2>0</formula2>
    </dataValidation>
  </dataValidation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  <pageSetUpPr fitToPage="1"/>
  </sheetPr>
  <dimension ref="B1:O66"/>
  <sheetViews>
    <sheetView showGridLines="0" zoomScale="110" zoomScaleNormal="110" workbookViewId="0">
      <pane ySplit="3" topLeftCell="A15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24" customWidth="1"/>
    <col min="3" max="3" width="16" customWidth="1"/>
    <col min="4" max="6" width="14" customWidth="1"/>
    <col min="7" max="7" width="16" customWidth="1"/>
    <col min="8" max="8" width="14" customWidth="1"/>
    <col min="9" max="9" width="12" customWidth="1"/>
    <col min="10" max="10" width="14" customWidth="1"/>
    <col min="11" max="15" width="16" customWidth="1"/>
  </cols>
  <sheetData>
    <row r="1" spans="2:15" ht="31.5" customHeight="1" x14ac:dyDescent="0.25">
      <c r="B1" s="50" t="s">
        <v>333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2:15" ht="18" customHeight="1" x14ac:dyDescent="0.25">
      <c r="B2" s="51" t="s">
        <v>334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spans="2:15" ht="21.75" customHeight="1" x14ac:dyDescent="0.25">
      <c r="B4" s="52" t="s">
        <v>335</v>
      </c>
      <c r="C4" s="52"/>
      <c r="D4" s="52"/>
      <c r="E4" s="52"/>
      <c r="F4" s="52"/>
      <c r="G4" s="52"/>
      <c r="H4" s="52"/>
      <c r="K4" s="52" t="s">
        <v>336</v>
      </c>
      <c r="L4" s="52"/>
      <c r="M4" s="52"/>
      <c r="N4" s="52"/>
      <c r="O4" s="52"/>
    </row>
    <row r="5" spans="2:15" x14ac:dyDescent="0.25">
      <c r="B5" s="3" t="s">
        <v>337</v>
      </c>
      <c r="C5" s="3" t="s">
        <v>338</v>
      </c>
      <c r="D5" s="3" t="s">
        <v>339</v>
      </c>
      <c r="E5" s="3" t="s">
        <v>340</v>
      </c>
      <c r="F5" s="3" t="s">
        <v>341</v>
      </c>
      <c r="G5" s="3" t="s">
        <v>342</v>
      </c>
      <c r="H5" s="3" t="s">
        <v>343</v>
      </c>
      <c r="K5" s="3" t="s">
        <v>344</v>
      </c>
      <c r="L5" s="3" t="s">
        <v>345</v>
      </c>
      <c r="M5" s="3" t="s">
        <v>346</v>
      </c>
      <c r="N5" s="53"/>
      <c r="O5" s="53"/>
    </row>
    <row r="6" spans="2:15" x14ac:dyDescent="0.25">
      <c r="B6" s="22">
        <v>1</v>
      </c>
      <c r="C6" s="36" t="s">
        <v>347</v>
      </c>
      <c r="D6" s="22" t="s">
        <v>348</v>
      </c>
      <c r="E6" s="22" t="s">
        <v>349</v>
      </c>
      <c r="F6" s="26">
        <v>40</v>
      </c>
      <c r="G6" s="22" t="s">
        <v>350</v>
      </c>
      <c r="H6" s="26">
        <v>1480</v>
      </c>
      <c r="K6" s="26">
        <v>0</v>
      </c>
      <c r="L6" s="15">
        <v>0</v>
      </c>
      <c r="M6" s="15">
        <v>0.04</v>
      </c>
      <c r="N6" s="22"/>
      <c r="O6" s="22"/>
    </row>
    <row r="7" spans="2:15" x14ac:dyDescent="0.25">
      <c r="B7" s="22">
        <v>2</v>
      </c>
      <c r="C7" s="36" t="s">
        <v>351</v>
      </c>
      <c r="D7" s="22" t="s">
        <v>352</v>
      </c>
      <c r="E7" s="22" t="s">
        <v>349</v>
      </c>
      <c r="F7" s="26">
        <v>200</v>
      </c>
      <c r="G7" s="22" t="s">
        <v>350</v>
      </c>
      <c r="H7" s="26">
        <v>210</v>
      </c>
      <c r="K7" s="26">
        <v>300000</v>
      </c>
      <c r="L7" s="15">
        <v>0.05</v>
      </c>
      <c r="M7" s="15">
        <v>0.04</v>
      </c>
      <c r="N7" s="22"/>
      <c r="O7" s="22"/>
    </row>
    <row r="8" spans="2:15" x14ac:dyDescent="0.25">
      <c r="B8" s="22">
        <v>3</v>
      </c>
      <c r="C8" s="36" t="s">
        <v>353</v>
      </c>
      <c r="D8" s="22" t="s">
        <v>348</v>
      </c>
      <c r="E8" s="22" t="s">
        <v>354</v>
      </c>
      <c r="F8" s="26">
        <v>12</v>
      </c>
      <c r="G8" s="22" t="s">
        <v>350</v>
      </c>
      <c r="H8" s="26">
        <v>1480</v>
      </c>
      <c r="K8" s="26">
        <v>700000</v>
      </c>
      <c r="L8" s="15">
        <v>0.1</v>
      </c>
      <c r="M8" s="15">
        <v>0.04</v>
      </c>
      <c r="N8" s="22"/>
      <c r="O8" s="22"/>
    </row>
    <row r="9" spans="2:15" x14ac:dyDescent="0.25">
      <c r="B9" s="22">
        <v>4</v>
      </c>
      <c r="C9" s="36" t="s">
        <v>355</v>
      </c>
      <c r="D9" s="22" t="s">
        <v>356</v>
      </c>
      <c r="E9" s="22" t="s">
        <v>349</v>
      </c>
      <c r="F9" s="26">
        <v>60</v>
      </c>
      <c r="G9" s="22" t="s">
        <v>357</v>
      </c>
      <c r="H9" s="26">
        <v>1980</v>
      </c>
      <c r="K9" s="26">
        <v>1000000</v>
      </c>
      <c r="L9" s="15">
        <v>0.15</v>
      </c>
      <c r="M9" s="15">
        <v>0.04</v>
      </c>
      <c r="N9" s="22"/>
      <c r="O9" s="22"/>
    </row>
    <row r="10" spans="2:15" x14ac:dyDescent="0.25">
      <c r="B10" s="22">
        <v>5</v>
      </c>
      <c r="C10" s="36" t="s">
        <v>358</v>
      </c>
      <c r="D10" s="22" t="s">
        <v>348</v>
      </c>
      <c r="E10" s="22" t="s">
        <v>354</v>
      </c>
      <c r="F10" s="26">
        <v>8</v>
      </c>
      <c r="G10" s="22" t="s">
        <v>350</v>
      </c>
      <c r="H10" s="26">
        <v>1480</v>
      </c>
      <c r="K10" s="26">
        <v>1200000</v>
      </c>
      <c r="L10" s="15">
        <v>0.2</v>
      </c>
      <c r="M10" s="15">
        <v>0.04</v>
      </c>
      <c r="N10" s="22"/>
      <c r="O10" s="22"/>
    </row>
    <row r="11" spans="2:15" x14ac:dyDescent="0.25">
      <c r="B11" s="22">
        <v>6</v>
      </c>
      <c r="C11" s="36" t="s">
        <v>359</v>
      </c>
      <c r="D11" s="22" t="s">
        <v>352</v>
      </c>
      <c r="E11" s="22" t="s">
        <v>354</v>
      </c>
      <c r="F11" s="26">
        <v>40</v>
      </c>
      <c r="G11" s="22" t="s">
        <v>350</v>
      </c>
      <c r="H11" s="26">
        <v>210</v>
      </c>
      <c r="K11" s="26">
        <v>1500000</v>
      </c>
      <c r="L11" s="15">
        <v>0.3</v>
      </c>
      <c r="M11" s="15">
        <v>0.04</v>
      </c>
      <c r="N11" s="22"/>
      <c r="O11" s="22"/>
    </row>
    <row r="12" spans="2:15" ht="36" customHeight="1" x14ac:dyDescent="0.25">
      <c r="B12" s="22">
        <v>7</v>
      </c>
      <c r="C12" s="36" t="s">
        <v>360</v>
      </c>
      <c r="D12" s="22" t="s">
        <v>348</v>
      </c>
      <c r="E12" s="22" t="s">
        <v>349</v>
      </c>
      <c r="F12" s="26">
        <v>25</v>
      </c>
      <c r="G12" s="22" t="s">
        <v>357</v>
      </c>
      <c r="H12" s="26">
        <v>1510</v>
      </c>
      <c r="K12" s="46" t="s">
        <v>361</v>
      </c>
      <c r="L12" s="46"/>
      <c r="M12" s="46"/>
      <c r="N12" s="46"/>
      <c r="O12" s="46"/>
    </row>
    <row r="13" spans="2:15" x14ac:dyDescent="0.25">
      <c r="B13" s="22">
        <v>8</v>
      </c>
      <c r="C13" s="36" t="s">
        <v>362</v>
      </c>
      <c r="D13" s="22" t="s">
        <v>363</v>
      </c>
      <c r="E13" s="22" t="s">
        <v>349</v>
      </c>
      <c r="F13" s="26">
        <v>80</v>
      </c>
      <c r="G13" s="22" t="s">
        <v>350</v>
      </c>
      <c r="H13" s="26">
        <v>390</v>
      </c>
    </row>
    <row r="14" spans="2:15" ht="21.75" customHeight="1" x14ac:dyDescent="0.25">
      <c r="B14" s="22">
        <v>9</v>
      </c>
      <c r="C14" s="36" t="s">
        <v>364</v>
      </c>
      <c r="D14" s="22" t="s">
        <v>348</v>
      </c>
      <c r="E14" s="22" t="s">
        <v>354</v>
      </c>
      <c r="F14" s="26">
        <v>15</v>
      </c>
      <c r="G14" s="22" t="s">
        <v>357</v>
      </c>
      <c r="H14" s="26">
        <v>1510</v>
      </c>
      <c r="K14" s="52" t="s">
        <v>365</v>
      </c>
      <c r="L14" s="52"/>
      <c r="M14" s="52"/>
      <c r="N14" s="52"/>
      <c r="O14" s="52"/>
    </row>
    <row r="15" spans="2:15" x14ac:dyDescent="0.25">
      <c r="B15" s="22">
        <v>10</v>
      </c>
      <c r="C15" s="36" t="s">
        <v>366</v>
      </c>
      <c r="D15" s="22" t="s">
        <v>356</v>
      </c>
      <c r="E15" s="22" t="s">
        <v>354</v>
      </c>
      <c r="F15" s="26">
        <v>20</v>
      </c>
      <c r="G15" s="22" t="s">
        <v>357</v>
      </c>
      <c r="H15" s="26">
        <v>1980</v>
      </c>
      <c r="K15" s="3" t="s">
        <v>367</v>
      </c>
      <c r="L15" s="3" t="s">
        <v>368</v>
      </c>
    </row>
    <row r="16" spans="2:15" x14ac:dyDescent="0.25">
      <c r="B16" s="22">
        <v>11</v>
      </c>
      <c r="C16" s="36" t="s">
        <v>369</v>
      </c>
      <c r="D16" s="22" t="s">
        <v>348</v>
      </c>
      <c r="E16" s="22" t="s">
        <v>354</v>
      </c>
      <c r="F16" s="26">
        <v>10</v>
      </c>
      <c r="G16" s="22" t="s">
        <v>357</v>
      </c>
      <c r="H16" s="26">
        <v>1510</v>
      </c>
      <c r="K16" s="11">
        <v>0.5</v>
      </c>
      <c r="L16" s="37">
        <v>49</v>
      </c>
    </row>
    <row r="17" spans="2:12" x14ac:dyDescent="0.25">
      <c r="B17" s="22">
        <v>12</v>
      </c>
      <c r="C17" s="36" t="s">
        <v>370</v>
      </c>
      <c r="D17" s="22" t="s">
        <v>352</v>
      </c>
      <c r="E17" s="22" t="s">
        <v>349</v>
      </c>
      <c r="F17" s="26">
        <v>150</v>
      </c>
      <c r="G17" s="22" t="s">
        <v>357</v>
      </c>
      <c r="H17" s="26">
        <v>205</v>
      </c>
      <c r="K17" s="11">
        <v>1</v>
      </c>
      <c r="L17" s="37">
        <v>69</v>
      </c>
    </row>
    <row r="18" spans="2:12" x14ac:dyDescent="0.25">
      <c r="K18" s="11">
        <v>2</v>
      </c>
      <c r="L18" s="37">
        <v>99</v>
      </c>
    </row>
    <row r="19" spans="2:12" ht="21.75" customHeight="1" x14ac:dyDescent="0.25">
      <c r="B19" s="48" t="s">
        <v>371</v>
      </c>
      <c r="C19" s="48"/>
      <c r="D19" s="48"/>
      <c r="E19" s="48"/>
      <c r="F19" s="48"/>
      <c r="G19" s="48"/>
      <c r="H19" s="48"/>
      <c r="K19" s="11">
        <v>5</v>
      </c>
      <c r="L19" s="37">
        <v>149</v>
      </c>
    </row>
    <row r="20" spans="2:12" ht="31.5" customHeight="1" x14ac:dyDescent="0.25">
      <c r="B20" s="49" t="s">
        <v>372</v>
      </c>
      <c r="C20" s="49"/>
      <c r="D20" s="49"/>
      <c r="E20" s="49"/>
      <c r="F20" s="49"/>
      <c r="G20" s="49"/>
      <c r="H20" s="49"/>
      <c r="K20" s="11">
        <v>10</v>
      </c>
      <c r="L20" s="37">
        <v>219</v>
      </c>
    </row>
    <row r="21" spans="2:12" x14ac:dyDescent="0.25">
      <c r="B21" s="12" t="s">
        <v>339</v>
      </c>
      <c r="C21" s="1" t="s">
        <v>348</v>
      </c>
      <c r="K21" s="11">
        <v>20</v>
      </c>
      <c r="L21" s="37">
        <v>349</v>
      </c>
    </row>
    <row r="22" spans="2:12" x14ac:dyDescent="0.25">
      <c r="B22" s="12" t="s">
        <v>373</v>
      </c>
      <c r="C22" s="20" t="e">
        <f ca="1">_xludf.xlookup(C21,$D$6:$D$17,$C$6:$C$17,"none",0,1)</f>
        <v>#NAME?</v>
      </c>
    </row>
    <row r="23" spans="2:12" x14ac:dyDescent="0.25">
      <c r="B23" s="12" t="s">
        <v>374</v>
      </c>
      <c r="C23" s="20" t="e">
        <f ca="1">_xludf.xlookup(C21,$D$6:$D$17,$C$6:$C$17,"none",0,-1)</f>
        <v>#NAME?</v>
      </c>
    </row>
    <row r="24" spans="2:12" x14ac:dyDescent="0.25">
      <c r="B24" s="12" t="s">
        <v>375</v>
      </c>
      <c r="C24" s="20" t="e">
        <f ca="1">_xludf.xlookup(C21,$D$6:$D$17,$E$6:$E$17,"none",0,-1)</f>
        <v>#NAME?</v>
      </c>
    </row>
    <row r="25" spans="2:12" x14ac:dyDescent="0.25">
      <c r="B25" s="12" t="s">
        <v>376</v>
      </c>
      <c r="C25" s="20" t="e">
        <f ca="1">_xludf.xlookup(C21,$D$6:$D$17,$G$6:$G$17,"none",0,-1)</f>
        <v>#NAME?</v>
      </c>
    </row>
    <row r="26" spans="2:12" x14ac:dyDescent="0.25">
      <c r="B26" s="12" t="s">
        <v>377</v>
      </c>
      <c r="C26" s="31" t="e">
        <f ca="1">_xludf.xlookup(C21,$D$6:$D$17,$H$6:$H$17,"none",0,-1)</f>
        <v>#NAME?</v>
      </c>
    </row>
    <row r="27" spans="2:12" ht="15" customHeight="1" x14ac:dyDescent="0.25">
      <c r="B27" s="57" t="s">
        <v>378</v>
      </c>
      <c r="C27" s="57"/>
      <c r="D27" s="57"/>
      <c r="E27" s="57"/>
      <c r="F27" s="57"/>
      <c r="G27" s="57"/>
      <c r="H27" s="57"/>
    </row>
    <row r="28" spans="2:12" ht="31.5" customHeight="1" x14ac:dyDescent="0.25">
      <c r="B28" s="46" t="s">
        <v>379</v>
      </c>
      <c r="C28" s="46"/>
      <c r="D28" s="46"/>
      <c r="E28" s="46"/>
      <c r="F28" s="46"/>
      <c r="G28" s="46"/>
      <c r="H28" s="46"/>
    </row>
    <row r="30" spans="2:12" ht="21.75" customHeight="1" x14ac:dyDescent="0.25">
      <c r="B30" s="48" t="s">
        <v>380</v>
      </c>
      <c r="C30" s="48"/>
      <c r="D30" s="48"/>
      <c r="E30" s="48"/>
      <c r="F30" s="48"/>
      <c r="G30" s="48"/>
      <c r="H30" s="48"/>
    </row>
    <row r="31" spans="2:12" x14ac:dyDescent="0.25">
      <c r="B31" s="12" t="s">
        <v>381</v>
      </c>
      <c r="C31" s="38">
        <v>950000</v>
      </c>
    </row>
    <row r="32" spans="2:12" x14ac:dyDescent="0.25">
      <c r="B32" s="12" t="s">
        <v>382</v>
      </c>
      <c r="C32" s="32" t="e">
        <f ca="1">_xludf.xlookup(C31,$K$6:$K$11,$L$6:$L$11,"check slab",-1)</f>
        <v>#NAME?</v>
      </c>
    </row>
    <row r="33" spans="2:15" x14ac:dyDescent="0.25">
      <c r="B33" s="12" t="s">
        <v>383</v>
      </c>
      <c r="C33" s="32" t="e">
        <f ca="1">_xludf.xlookup(C31,$K$6:$K$11,$M$6:$M$11,"check slab",-1)</f>
        <v>#NAME?</v>
      </c>
    </row>
    <row r="34" spans="2:15" ht="15" customHeight="1" x14ac:dyDescent="0.25">
      <c r="B34" s="57" t="s">
        <v>384</v>
      </c>
      <c r="C34" s="57"/>
      <c r="D34" s="57"/>
      <c r="E34" s="57"/>
      <c r="F34" s="57"/>
      <c r="G34" s="57"/>
      <c r="H34" s="57"/>
    </row>
    <row r="35" spans="2:15" ht="27.75" customHeight="1" x14ac:dyDescent="0.25">
      <c r="B35" s="46" t="s">
        <v>385</v>
      </c>
      <c r="C35" s="46"/>
      <c r="D35" s="46"/>
      <c r="E35" s="46"/>
      <c r="F35" s="46"/>
      <c r="G35" s="46"/>
      <c r="H35" s="46"/>
    </row>
    <row r="37" spans="2:15" ht="21.75" customHeight="1" x14ac:dyDescent="0.25">
      <c r="B37" s="48" t="s">
        <v>386</v>
      </c>
      <c r="C37" s="48"/>
      <c r="D37" s="48"/>
      <c r="E37" s="48"/>
      <c r="F37" s="48"/>
      <c r="G37" s="48"/>
      <c r="H37" s="48"/>
    </row>
    <row r="38" spans="2:15" ht="27.75" customHeight="1" x14ac:dyDescent="0.25">
      <c r="B38" s="49" t="s">
        <v>387</v>
      </c>
      <c r="C38" s="49"/>
      <c r="D38" s="49"/>
      <c r="E38" s="49"/>
      <c r="F38" s="49"/>
      <c r="G38" s="49"/>
      <c r="H38" s="49"/>
    </row>
    <row r="39" spans="2:15" x14ac:dyDescent="0.25">
      <c r="B39" s="12" t="s">
        <v>388</v>
      </c>
      <c r="C39" s="39">
        <v>1.2</v>
      </c>
    </row>
    <row r="40" spans="2:15" x14ac:dyDescent="0.25">
      <c r="B40" s="12" t="s">
        <v>389</v>
      </c>
      <c r="C40" s="34" t="e">
        <f ca="1">_xludf.xlookup(C39,$K$16:$K$21,$K$16:$K$21,"Over 20kg desk",1)</f>
        <v>#NAME?</v>
      </c>
    </row>
    <row r="41" spans="2:15" x14ac:dyDescent="0.25">
      <c r="B41" s="12" t="s">
        <v>368</v>
      </c>
      <c r="C41" s="31" t="e">
        <f ca="1">_xludf.xlookup(C39,$K$16:$K$21,$L$16:$L$21,"Over 20kg desk",1)</f>
        <v>#NAME?</v>
      </c>
    </row>
    <row r="42" spans="2:15" ht="15" customHeight="1" x14ac:dyDescent="0.25">
      <c r="B42" s="57" t="s">
        <v>390</v>
      </c>
      <c r="C42" s="57"/>
      <c r="D42" s="57"/>
      <c r="E42" s="57"/>
      <c r="F42" s="57"/>
      <c r="G42" s="57"/>
      <c r="H42" s="57"/>
    </row>
    <row r="43" spans="2:15" ht="31.5" customHeight="1" x14ac:dyDescent="0.25">
      <c r="B43" s="46" t="s">
        <v>391</v>
      </c>
      <c r="C43" s="46"/>
      <c r="D43" s="46"/>
      <c r="E43" s="46"/>
      <c r="F43" s="46"/>
      <c r="G43" s="46"/>
      <c r="H43" s="46"/>
    </row>
    <row r="45" spans="2:15" ht="21.75" customHeight="1" x14ac:dyDescent="0.25">
      <c r="B45" s="48" t="s">
        <v>392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</row>
    <row r="46" spans="2:15" ht="27.75" customHeight="1" x14ac:dyDescent="0.25">
      <c r="B46" s="49" t="s">
        <v>393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2:15" x14ac:dyDescent="0.25">
      <c r="B47" s="12" t="s">
        <v>339</v>
      </c>
      <c r="C47" s="1" t="s">
        <v>348</v>
      </c>
    </row>
    <row r="48" spans="2:15" x14ac:dyDescent="0.25">
      <c r="B48" s="12" t="s">
        <v>340</v>
      </c>
      <c r="C48" s="1" t="s">
        <v>354</v>
      </c>
    </row>
    <row r="49" spans="2:15" x14ac:dyDescent="0.25">
      <c r="B49" s="12" t="s">
        <v>394</v>
      </c>
      <c r="C49" s="20" t="str">
        <f>C47&amp;"|"&amp;C48</f>
        <v>SKU-1042|OUT</v>
      </c>
    </row>
    <row r="50" spans="2:15" x14ac:dyDescent="0.25">
      <c r="B50" s="12" t="s">
        <v>395</v>
      </c>
      <c r="C50" s="20" t="e">
        <f ca="1">_xludf.xlookup(1,($D$6:$D$17=C47)*($E$6:$E$17=C48),$C$6:$C$17,"no row",0,-1)</f>
        <v>#NAME?</v>
      </c>
    </row>
    <row r="51" spans="2:15" x14ac:dyDescent="0.25">
      <c r="B51" s="12" t="s">
        <v>396</v>
      </c>
      <c r="C51" s="28" t="e">
        <f ca="1">_xludf.xlookup(1,($D$6:$D$17=C47)*($E$6:$E$17=C48),$F$6:$F$17,"no row",0,-1)</f>
        <v>#NAME?</v>
      </c>
    </row>
    <row r="52" spans="2:15" x14ac:dyDescent="0.25">
      <c r="B52" s="12" t="s">
        <v>376</v>
      </c>
      <c r="C52" s="20" t="e">
        <f ca="1">_xludf.xlookup(1,($D$6:$D$17=C47)*($E$6:$E$17=C48),$G$6:$G$17,"no row",0,-1)</f>
        <v>#NAME?</v>
      </c>
    </row>
    <row r="53" spans="2:15" ht="15" customHeight="1" x14ac:dyDescent="0.25">
      <c r="B53" s="57" t="s">
        <v>397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</row>
    <row r="54" spans="2:15" ht="31.5" customHeight="1" x14ac:dyDescent="0.25">
      <c r="B54" s="46" t="s">
        <v>398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</row>
    <row r="56" spans="2:15" ht="21.75" customHeight="1" x14ac:dyDescent="0.25">
      <c r="B56" s="48" t="s">
        <v>399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</row>
    <row r="57" spans="2:15" ht="43.5" customHeight="1" x14ac:dyDescent="0.25">
      <c r="B57" s="49" t="s">
        <v>400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9" spans="2:15" ht="21.75" customHeight="1" x14ac:dyDescent="0.25">
      <c r="B59" s="52" t="s">
        <v>401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</row>
    <row r="60" spans="2:15" ht="15" customHeight="1" x14ac:dyDescent="0.25">
      <c r="B60" s="10" t="s">
        <v>0</v>
      </c>
      <c r="C60" s="55" t="s">
        <v>402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</row>
    <row r="61" spans="2:15" ht="15" customHeight="1" x14ac:dyDescent="0.25">
      <c r="B61" s="10" t="s">
        <v>1</v>
      </c>
      <c r="C61" s="55" t="s">
        <v>403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</row>
    <row r="62" spans="2:15" ht="15" customHeight="1" x14ac:dyDescent="0.25">
      <c r="B62" s="10" t="s">
        <v>2</v>
      </c>
      <c r="C62" s="55" t="s">
        <v>404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</row>
    <row r="63" spans="2:15" ht="15" customHeight="1" x14ac:dyDescent="0.25">
      <c r="B63" s="10" t="s">
        <v>3</v>
      </c>
      <c r="C63" s="55" t="s">
        <v>405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</row>
    <row r="64" spans="2:15" ht="15" customHeight="1" x14ac:dyDescent="0.25">
      <c r="B64" s="10" t="s">
        <v>4</v>
      </c>
      <c r="C64" s="55" t="s">
        <v>406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</row>
    <row r="66" spans="2:15" ht="15" customHeight="1" x14ac:dyDescent="0.25">
      <c r="B66" s="46" t="s">
        <v>407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</sheetData>
  <mergeCells count="31">
    <mergeCell ref="B1:O1"/>
    <mergeCell ref="B2:O2"/>
    <mergeCell ref="B4:H4"/>
    <mergeCell ref="K4:O4"/>
    <mergeCell ref="N5:O5"/>
    <mergeCell ref="K12:O12"/>
    <mergeCell ref="K14:O14"/>
    <mergeCell ref="B19:H19"/>
    <mergeCell ref="B20:H20"/>
    <mergeCell ref="B27:H27"/>
    <mergeCell ref="B28:H28"/>
    <mergeCell ref="B30:H30"/>
    <mergeCell ref="B34:H34"/>
    <mergeCell ref="B35:H35"/>
    <mergeCell ref="B37:H37"/>
    <mergeCell ref="B38:H38"/>
    <mergeCell ref="B42:H42"/>
    <mergeCell ref="B43:H43"/>
    <mergeCell ref="B45:O45"/>
    <mergeCell ref="B46:O46"/>
    <mergeCell ref="B53:O53"/>
    <mergeCell ref="B54:O54"/>
    <mergeCell ref="B56:O56"/>
    <mergeCell ref="B57:O57"/>
    <mergeCell ref="B59:O59"/>
    <mergeCell ref="B66:O66"/>
    <mergeCell ref="C60:O60"/>
    <mergeCell ref="C61:O61"/>
    <mergeCell ref="C62:O62"/>
    <mergeCell ref="C63:O63"/>
    <mergeCell ref="C64:O64"/>
  </mergeCells>
  <dataValidations count="2">
    <dataValidation type="list" sqref="C21 C47" xr:uid="{00000000-0002-0000-0500-000000000000}">
      <formula1>"SKU-1040,SKU-1042,SKU-1055,SKU-1071,SKU-1088"</formula1>
      <formula2>0</formula2>
    </dataValidation>
    <dataValidation type="list" sqref="C48" xr:uid="{00000000-0002-0000-0500-000001000000}">
      <formula1>"IN,OUT"</formula1>
      <formula2>0</formula2>
    </dataValidation>
  </dataValidation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2226"/>
    <pageSetUpPr fitToPage="1"/>
  </sheetPr>
  <dimension ref="B1:L58"/>
  <sheetViews>
    <sheetView showGridLines="0" topLeftCell="A40" zoomScale="107" zoomScaleNormal="110" workbookViewId="0">
      <selection activeCell="F47" sqref="F47"/>
    </sheetView>
  </sheetViews>
  <sheetFormatPr defaultColWidth="8.7109375" defaultRowHeight="15" x14ac:dyDescent="0.25"/>
  <cols>
    <col min="1" max="1" width="3" customWidth="1"/>
    <col min="2" max="2" width="8" customWidth="1"/>
    <col min="3" max="3" width="18" customWidth="1"/>
    <col min="4" max="4" width="46" customWidth="1"/>
    <col min="5" max="5" width="22" customWidth="1"/>
    <col min="6" max="6" width="26" customWidth="1"/>
    <col min="7" max="11" width="16" customWidth="1"/>
    <col min="12" max="12" width="14" customWidth="1"/>
  </cols>
  <sheetData>
    <row r="1" spans="2:12" ht="31.5" customHeight="1" x14ac:dyDescent="0.25">
      <c r="B1" s="50" t="s">
        <v>408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2" ht="18" customHeight="1" x14ac:dyDescent="0.25">
      <c r="B2" s="51" t="s">
        <v>409</v>
      </c>
      <c r="C2" s="51"/>
      <c r="D2" s="51"/>
      <c r="E2" s="51"/>
      <c r="F2" s="51"/>
      <c r="G2" s="51"/>
      <c r="H2" s="51"/>
      <c r="I2" s="51"/>
      <c r="J2" s="51"/>
      <c r="K2" s="51"/>
      <c r="L2" s="51"/>
    </row>
    <row r="4" spans="2:12" ht="21.75" customHeight="1" x14ac:dyDescent="0.25">
      <c r="B4" s="52" t="s">
        <v>410</v>
      </c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2:12" x14ac:dyDescent="0.25">
      <c r="B5" s="3" t="s">
        <v>411</v>
      </c>
      <c r="C5" s="3" t="s">
        <v>119</v>
      </c>
      <c r="D5" s="3" t="s">
        <v>120</v>
      </c>
      <c r="E5" s="3" t="s">
        <v>121</v>
      </c>
      <c r="F5" s="3" t="s">
        <v>122</v>
      </c>
      <c r="G5" s="3" t="s">
        <v>123</v>
      </c>
      <c r="H5" s="3" t="s">
        <v>124</v>
      </c>
    </row>
    <row r="6" spans="2:12" x14ac:dyDescent="0.25">
      <c r="B6" s="8" t="s">
        <v>412</v>
      </c>
      <c r="C6" s="40">
        <v>120</v>
      </c>
      <c r="D6" s="40">
        <v>132</v>
      </c>
      <c r="E6" s="40">
        <v>128</v>
      </c>
      <c r="F6" s="40">
        <v>141</v>
      </c>
      <c r="G6" s="40">
        <v>155</v>
      </c>
      <c r="H6" s="40">
        <v>160</v>
      </c>
    </row>
    <row r="7" spans="2:12" x14ac:dyDescent="0.25">
      <c r="B7" s="8" t="s">
        <v>413</v>
      </c>
      <c r="C7" s="40">
        <v>8</v>
      </c>
      <c r="D7" s="40">
        <v>11</v>
      </c>
      <c r="E7" s="40">
        <v>9</v>
      </c>
      <c r="F7" s="40">
        <v>10</v>
      </c>
      <c r="G7" s="40">
        <v>12</v>
      </c>
      <c r="H7" s="40">
        <v>9</v>
      </c>
    </row>
    <row r="8" spans="2:12" x14ac:dyDescent="0.25">
      <c r="B8" s="8" t="s">
        <v>414</v>
      </c>
      <c r="C8" s="40">
        <v>42</v>
      </c>
      <c r="D8" s="40">
        <v>44</v>
      </c>
      <c r="E8" s="40">
        <v>39</v>
      </c>
      <c r="F8" s="40">
        <v>47</v>
      </c>
      <c r="G8" s="40">
        <v>51</v>
      </c>
      <c r="H8" s="40">
        <v>53</v>
      </c>
    </row>
    <row r="10" spans="2:12" x14ac:dyDescent="0.25">
      <c r="B10" s="3" t="s">
        <v>415</v>
      </c>
      <c r="C10" s="3" t="s">
        <v>416</v>
      </c>
      <c r="D10" s="3" t="s">
        <v>193</v>
      </c>
      <c r="E10" s="3" t="s">
        <v>417</v>
      </c>
      <c r="F10" s="3" t="s">
        <v>418</v>
      </c>
      <c r="G10" s="3" t="s">
        <v>419</v>
      </c>
    </row>
    <row r="11" spans="2:12" x14ac:dyDescent="0.25">
      <c r="B11" s="22" t="s">
        <v>420</v>
      </c>
      <c r="C11" s="22" t="s">
        <v>421</v>
      </c>
      <c r="D11" s="22" t="s">
        <v>197</v>
      </c>
      <c r="E11" s="40">
        <v>42</v>
      </c>
      <c r="F11" s="40">
        <v>48</v>
      </c>
      <c r="G11" s="22" t="s">
        <v>422</v>
      </c>
    </row>
    <row r="12" spans="2:12" x14ac:dyDescent="0.25">
      <c r="B12" s="22" t="s">
        <v>423</v>
      </c>
      <c r="C12" s="22" t="s">
        <v>424</v>
      </c>
      <c r="D12" s="22" t="s">
        <v>195</v>
      </c>
      <c r="E12" s="40">
        <v>35</v>
      </c>
      <c r="F12" s="40">
        <v>31</v>
      </c>
      <c r="G12" s="22" t="s">
        <v>422</v>
      </c>
    </row>
    <row r="13" spans="2:12" x14ac:dyDescent="0.25">
      <c r="B13" s="22" t="s">
        <v>425</v>
      </c>
      <c r="C13" s="22" t="s">
        <v>426</v>
      </c>
      <c r="D13" s="22" t="s">
        <v>199</v>
      </c>
      <c r="E13" s="40">
        <v>51</v>
      </c>
      <c r="F13" s="40">
        <v>57</v>
      </c>
      <c r="G13" s="22" t="s">
        <v>422</v>
      </c>
    </row>
    <row r="14" spans="2:12" x14ac:dyDescent="0.25">
      <c r="B14" s="22" t="s">
        <v>427</v>
      </c>
      <c r="C14" s="22" t="s">
        <v>428</v>
      </c>
      <c r="D14" s="22" t="s">
        <v>197</v>
      </c>
      <c r="E14" s="40">
        <v>22</v>
      </c>
      <c r="F14" s="40">
        <v>19</v>
      </c>
      <c r="G14" s="22" t="s">
        <v>429</v>
      </c>
    </row>
    <row r="15" spans="2:12" x14ac:dyDescent="0.25">
      <c r="B15" s="22" t="s">
        <v>430</v>
      </c>
      <c r="C15" s="22" t="s">
        <v>431</v>
      </c>
      <c r="D15" s="22" t="s">
        <v>195</v>
      </c>
      <c r="E15" s="40">
        <v>47</v>
      </c>
      <c r="F15" s="40">
        <v>55</v>
      </c>
      <c r="G15" s="22" t="s">
        <v>422</v>
      </c>
    </row>
    <row r="16" spans="2:12" x14ac:dyDescent="0.25">
      <c r="B16" s="22" t="s">
        <v>432</v>
      </c>
      <c r="C16" s="22" t="s">
        <v>433</v>
      </c>
      <c r="D16" s="22" t="s">
        <v>201</v>
      </c>
      <c r="E16" s="40">
        <v>18</v>
      </c>
      <c r="F16" s="40">
        <v>24</v>
      </c>
      <c r="G16" s="22" t="s">
        <v>422</v>
      </c>
    </row>
    <row r="17" spans="2:8" x14ac:dyDescent="0.25">
      <c r="B17" s="22" t="s">
        <v>434</v>
      </c>
      <c r="C17" s="22" t="s">
        <v>435</v>
      </c>
      <c r="D17" s="22" t="s">
        <v>199</v>
      </c>
      <c r="E17" s="40">
        <v>29</v>
      </c>
      <c r="F17" s="40">
        <v>33</v>
      </c>
      <c r="G17" s="22" t="s">
        <v>422</v>
      </c>
    </row>
    <row r="18" spans="2:8" x14ac:dyDescent="0.25">
      <c r="B18" s="22" t="s">
        <v>436</v>
      </c>
      <c r="C18" s="22" t="s">
        <v>437</v>
      </c>
      <c r="D18" s="22" t="s">
        <v>197</v>
      </c>
      <c r="E18" s="40">
        <v>40</v>
      </c>
      <c r="F18" s="40">
        <v>40</v>
      </c>
      <c r="G18" s="22" t="s">
        <v>422</v>
      </c>
    </row>
    <row r="20" spans="2:8" ht="30" x14ac:dyDescent="0.25">
      <c r="B20" s="3" t="s">
        <v>438</v>
      </c>
      <c r="C20" s="21">
        <v>0</v>
      </c>
      <c r="D20" s="21">
        <v>20</v>
      </c>
      <c r="E20" s="21">
        <v>30</v>
      </c>
      <c r="F20" s="21">
        <v>40</v>
      </c>
      <c r="G20" s="21">
        <v>50</v>
      </c>
      <c r="H20" s="21">
        <v>60</v>
      </c>
    </row>
    <row r="21" spans="2:8" ht="30" x14ac:dyDescent="0.25">
      <c r="B21" s="8" t="s">
        <v>439</v>
      </c>
      <c r="C21" s="41">
        <v>0</v>
      </c>
      <c r="D21" s="41">
        <v>0.02</v>
      </c>
      <c r="E21" s="41">
        <v>0.04</v>
      </c>
      <c r="F21" s="41">
        <v>0.06</v>
      </c>
      <c r="G21" s="41">
        <v>0.09</v>
      </c>
      <c r="H21" s="41">
        <v>0.12</v>
      </c>
    </row>
    <row r="22" spans="2:8" x14ac:dyDescent="0.25">
      <c r="B22" s="22" t="s">
        <v>440</v>
      </c>
      <c r="C22" s="22" t="s">
        <v>441</v>
      </c>
      <c r="D22" s="22" t="s">
        <v>442</v>
      </c>
      <c r="E22" s="22" t="s">
        <v>443</v>
      </c>
      <c r="F22" s="22" t="s">
        <v>444</v>
      </c>
      <c r="G22" s="22" t="s">
        <v>445</v>
      </c>
      <c r="H22" s="22" t="s">
        <v>446</v>
      </c>
    </row>
    <row r="24" spans="2:8" x14ac:dyDescent="0.25">
      <c r="B24" s="3" t="s">
        <v>447</v>
      </c>
      <c r="C24" s="3" t="s">
        <v>416</v>
      </c>
      <c r="D24" s="3" t="s">
        <v>448</v>
      </c>
      <c r="E24" s="3" t="s">
        <v>449</v>
      </c>
      <c r="F24" s="3" t="s">
        <v>450</v>
      </c>
    </row>
    <row r="25" spans="2:8" x14ac:dyDescent="0.25">
      <c r="B25" s="22" t="s">
        <v>451</v>
      </c>
      <c r="C25" s="22" t="s">
        <v>420</v>
      </c>
      <c r="D25" s="22" t="s">
        <v>452</v>
      </c>
      <c r="E25" s="22" t="s">
        <v>453</v>
      </c>
      <c r="F25" s="22" t="s">
        <v>454</v>
      </c>
    </row>
    <row r="26" spans="2:8" x14ac:dyDescent="0.25">
      <c r="B26" s="22" t="s">
        <v>455</v>
      </c>
      <c r="C26" s="22" t="s">
        <v>425</v>
      </c>
      <c r="D26" s="22" t="s">
        <v>456</v>
      </c>
      <c r="E26" s="22" t="s">
        <v>457</v>
      </c>
      <c r="F26" s="22" t="s">
        <v>454</v>
      </c>
    </row>
    <row r="27" spans="2:8" x14ac:dyDescent="0.25">
      <c r="B27" s="22" t="s">
        <v>458</v>
      </c>
      <c r="C27" s="22" t="s">
        <v>420</v>
      </c>
      <c r="D27" s="22" t="s">
        <v>459</v>
      </c>
      <c r="E27" s="22" t="s">
        <v>460</v>
      </c>
      <c r="F27" s="22" t="s">
        <v>461</v>
      </c>
    </row>
    <row r="28" spans="2:8" x14ac:dyDescent="0.25">
      <c r="B28" s="22" t="s">
        <v>462</v>
      </c>
      <c r="C28" s="22" t="s">
        <v>430</v>
      </c>
      <c r="D28" s="22" t="s">
        <v>463</v>
      </c>
      <c r="E28" s="22" t="s">
        <v>453</v>
      </c>
      <c r="F28" s="22" t="s">
        <v>454</v>
      </c>
    </row>
    <row r="29" spans="2:8" x14ac:dyDescent="0.25">
      <c r="B29" s="22" t="s">
        <v>464</v>
      </c>
      <c r="C29" s="22" t="s">
        <v>425</v>
      </c>
      <c r="D29" s="22" t="s">
        <v>465</v>
      </c>
      <c r="E29" s="22" t="s">
        <v>460</v>
      </c>
      <c r="F29" s="22" t="s">
        <v>461</v>
      </c>
    </row>
    <row r="30" spans="2:8" x14ac:dyDescent="0.25">
      <c r="B30" s="22" t="s">
        <v>466</v>
      </c>
      <c r="C30" s="22" t="s">
        <v>420</v>
      </c>
      <c r="D30" s="22" t="s">
        <v>467</v>
      </c>
      <c r="E30" s="22" t="s">
        <v>468</v>
      </c>
      <c r="F30" s="22" t="s">
        <v>461</v>
      </c>
    </row>
    <row r="31" spans="2:8" x14ac:dyDescent="0.25">
      <c r="B31" s="22" t="s">
        <v>469</v>
      </c>
      <c r="C31" s="22" t="s">
        <v>436</v>
      </c>
      <c r="D31" s="22" t="s">
        <v>470</v>
      </c>
      <c r="E31" s="22" t="s">
        <v>457</v>
      </c>
      <c r="F31" s="22" t="s">
        <v>454</v>
      </c>
    </row>
    <row r="32" spans="2:8" x14ac:dyDescent="0.25">
      <c r="B32" s="22" t="s">
        <v>471</v>
      </c>
      <c r="C32" s="22" t="s">
        <v>430</v>
      </c>
      <c r="D32" s="22" t="s">
        <v>472</v>
      </c>
      <c r="E32" s="22" t="s">
        <v>460</v>
      </c>
      <c r="F32" s="22" t="s">
        <v>461</v>
      </c>
    </row>
    <row r="34" spans="2:12" ht="21.75" customHeight="1" x14ac:dyDescent="0.25">
      <c r="B34" s="48" t="s">
        <v>473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 spans="2:12" ht="15" customHeight="1" x14ac:dyDescent="0.25">
      <c r="B35" s="3" t="s">
        <v>474</v>
      </c>
      <c r="C35" s="3" t="s">
        <v>475</v>
      </c>
      <c r="D35" s="3" t="s">
        <v>476</v>
      </c>
      <c r="E35" s="3" t="s">
        <v>477</v>
      </c>
      <c r="F35" s="3" t="s">
        <v>478</v>
      </c>
      <c r="G35" s="53" t="s">
        <v>479</v>
      </c>
      <c r="H35" s="53"/>
      <c r="I35" s="53"/>
      <c r="J35" s="53"/>
      <c r="K35" s="53"/>
      <c r="L35" s="53"/>
    </row>
    <row r="36" spans="2:12" ht="36" customHeight="1" x14ac:dyDescent="0.25">
      <c r="B36" s="12" t="s">
        <v>480</v>
      </c>
      <c r="C36" s="8" t="s">
        <v>481</v>
      </c>
      <c r="D36" s="4" t="s">
        <v>482</v>
      </c>
      <c r="E36" s="1" t="s">
        <v>123</v>
      </c>
      <c r="F36" s="42">
        <f>HLOOKUP(E36,B5:H8,2,FALSE)</f>
        <v>155</v>
      </c>
      <c r="G36" s="47" t="s">
        <v>483</v>
      </c>
      <c r="H36" s="47"/>
      <c r="I36" s="47"/>
      <c r="J36" s="47"/>
      <c r="K36" s="47"/>
      <c r="L36" s="47"/>
    </row>
    <row r="37" spans="2:12" ht="36" customHeight="1" x14ac:dyDescent="0.25">
      <c r="B37" s="12" t="s">
        <v>484</v>
      </c>
      <c r="C37" s="8" t="s">
        <v>481</v>
      </c>
      <c r="D37" s="4" t="s">
        <v>485</v>
      </c>
      <c r="E37" s="1" t="s">
        <v>120</v>
      </c>
      <c r="F37" s="42">
        <f>HLOOKUP(E37,B5:H8,4,FALSE)</f>
        <v>44</v>
      </c>
      <c r="G37" s="47" t="s">
        <v>486</v>
      </c>
      <c r="H37" s="47"/>
      <c r="I37" s="47"/>
      <c r="J37" s="47"/>
      <c r="K37" s="47"/>
      <c r="L37" s="47"/>
    </row>
    <row r="38" spans="2:12" ht="36" customHeight="1" x14ac:dyDescent="0.25">
      <c r="B38" s="12" t="s">
        <v>487</v>
      </c>
      <c r="C38" s="44" t="s">
        <v>488</v>
      </c>
      <c r="D38" s="4" t="s">
        <v>489</v>
      </c>
      <c r="E38" s="1" t="s">
        <v>413</v>
      </c>
      <c r="F38" s="42">
        <f>HLOOKUP(E39,B5:H8,MATCH(E38,B5:B8,0),FALSE)</f>
        <v>9</v>
      </c>
      <c r="G38" s="47" t="s">
        <v>490</v>
      </c>
      <c r="H38" s="47"/>
      <c r="I38" s="47"/>
      <c r="J38" s="47"/>
      <c r="K38" s="47"/>
      <c r="L38" s="47"/>
    </row>
    <row r="39" spans="2:12" ht="15" customHeight="1" x14ac:dyDescent="0.25">
      <c r="B39" s="13"/>
      <c r="C39" s="13"/>
      <c r="D39" s="43" t="s">
        <v>491</v>
      </c>
      <c r="E39" s="1" t="s">
        <v>121</v>
      </c>
      <c r="F39" s="13"/>
      <c r="G39" s="47" t="s">
        <v>492</v>
      </c>
      <c r="H39" s="47"/>
      <c r="I39" s="47"/>
      <c r="J39" s="47"/>
      <c r="K39" s="47"/>
      <c r="L39" s="47"/>
    </row>
    <row r="40" spans="2:12" ht="36" customHeight="1" x14ac:dyDescent="0.25">
      <c r="B40" s="12" t="s">
        <v>493</v>
      </c>
      <c r="C40" s="44" t="s">
        <v>488</v>
      </c>
      <c r="D40" s="4" t="s">
        <v>494</v>
      </c>
      <c r="E40" s="1">
        <v>48</v>
      </c>
      <c r="F40" s="63">
        <f>HLOOKUP(E40,B20:H22,2,TRUE)</f>
        <v>0.06</v>
      </c>
      <c r="G40" s="47" t="s">
        <v>495</v>
      </c>
      <c r="H40" s="47"/>
      <c r="I40" s="47"/>
      <c r="J40" s="47"/>
      <c r="K40" s="47"/>
      <c r="L40" s="47"/>
    </row>
    <row r="41" spans="2:12" ht="36" customHeight="1" x14ac:dyDescent="0.25">
      <c r="B41" s="12" t="s">
        <v>496</v>
      </c>
      <c r="C41" s="44" t="s">
        <v>488</v>
      </c>
      <c r="D41" s="4" t="s">
        <v>497</v>
      </c>
      <c r="E41" s="1">
        <v>55</v>
      </c>
      <c r="F41" s="42" t="str">
        <f>HLOOKUP(E41,B20:H22,3,TRUE)</f>
        <v>Platinum</v>
      </c>
      <c r="G41" s="47" t="s">
        <v>498</v>
      </c>
      <c r="H41" s="47"/>
      <c r="I41" s="47"/>
      <c r="J41" s="47"/>
      <c r="K41" s="47"/>
      <c r="L41" s="47"/>
    </row>
    <row r="42" spans="2:12" ht="36" customHeight="1" x14ac:dyDescent="0.25">
      <c r="B42" s="12" t="s">
        <v>499</v>
      </c>
      <c r="C42" s="44" t="s">
        <v>488</v>
      </c>
      <c r="D42" s="4" t="s">
        <v>500</v>
      </c>
      <c r="E42" s="1" t="s">
        <v>501</v>
      </c>
      <c r="F42" s="42" t="str">
        <f>IFERROR(HLOOKUP(E42,B5:H8,2,FALSE),"Missing month")</f>
        <v>Missing month</v>
      </c>
      <c r="G42" s="47" t="s">
        <v>502</v>
      </c>
      <c r="H42" s="47"/>
      <c r="I42" s="47"/>
      <c r="J42" s="47"/>
      <c r="K42" s="47"/>
      <c r="L42" s="47"/>
    </row>
    <row r="43" spans="2:12" ht="36" customHeight="1" x14ac:dyDescent="0.25">
      <c r="B43" s="12" t="s">
        <v>503</v>
      </c>
      <c r="C43" s="8" t="s">
        <v>504</v>
      </c>
      <c r="D43" s="4" t="s">
        <v>505</v>
      </c>
      <c r="E43" s="1" t="s">
        <v>430</v>
      </c>
      <c r="F43" s="42" t="str">
        <f>_xlfn.XLOOKUP(E43,B11:B18,C11:C18,"Not Found",0,1)</f>
        <v>S. Khan</v>
      </c>
      <c r="G43" s="47" t="s">
        <v>506</v>
      </c>
      <c r="H43" s="47"/>
      <c r="I43" s="47"/>
      <c r="J43" s="47"/>
      <c r="K43" s="47"/>
      <c r="L43" s="47"/>
    </row>
    <row r="44" spans="2:12" ht="36" customHeight="1" x14ac:dyDescent="0.25">
      <c r="B44" s="12" t="s">
        <v>507</v>
      </c>
      <c r="C44" s="8" t="s">
        <v>504</v>
      </c>
      <c r="D44" s="4" t="s">
        <v>508</v>
      </c>
      <c r="E44" s="1" t="s">
        <v>509</v>
      </c>
      <c r="F44" s="42" t="str">
        <f>_xlfn.XLOOKUP(E44,B11:B18,C11:C18,"No such rep",0)</f>
        <v>No such rep</v>
      </c>
      <c r="G44" s="47" t="s">
        <v>510</v>
      </c>
      <c r="H44" s="47"/>
      <c r="I44" s="47"/>
      <c r="J44" s="47"/>
      <c r="K44" s="47"/>
      <c r="L44" s="47"/>
    </row>
    <row r="45" spans="2:12" ht="36" customHeight="1" x14ac:dyDescent="0.25">
      <c r="B45" s="12" t="s">
        <v>511</v>
      </c>
      <c r="C45" s="44" t="s">
        <v>512</v>
      </c>
      <c r="D45" s="4" t="s">
        <v>513</v>
      </c>
      <c r="E45" s="1" t="s">
        <v>122</v>
      </c>
      <c r="F45" s="42">
        <f>_xlfn.XLOOKUP(E45,C5:H5,C6:H6,"No Data",0)</f>
        <v>141</v>
      </c>
      <c r="G45" s="47" t="s">
        <v>514</v>
      </c>
      <c r="H45" s="47"/>
      <c r="I45" s="47"/>
      <c r="J45" s="47"/>
      <c r="K45" s="47"/>
      <c r="L45" s="47"/>
    </row>
    <row r="46" spans="2:12" ht="36" customHeight="1" x14ac:dyDescent="0.25">
      <c r="B46" s="12" t="s">
        <v>515</v>
      </c>
      <c r="C46" s="44" t="s">
        <v>512</v>
      </c>
      <c r="D46" s="4" t="s">
        <v>516</v>
      </c>
      <c r="E46" s="1" t="s">
        <v>420</v>
      </c>
      <c r="F46" s="42"/>
      <c r="G46" s="47" t="s">
        <v>517</v>
      </c>
      <c r="H46" s="47"/>
      <c r="I46" s="47"/>
      <c r="J46" s="47"/>
      <c r="K46" s="47"/>
      <c r="L46" s="47"/>
    </row>
    <row r="47" spans="2:12" ht="36" customHeight="1" x14ac:dyDescent="0.25">
      <c r="B47" s="12" t="s">
        <v>518</v>
      </c>
      <c r="C47" s="7" t="s">
        <v>519</v>
      </c>
      <c r="D47" s="4" t="s">
        <v>520</v>
      </c>
      <c r="E47" s="1" t="s">
        <v>420</v>
      </c>
      <c r="F47" s="42"/>
      <c r="G47" s="47" t="s">
        <v>521</v>
      </c>
      <c r="H47" s="47"/>
      <c r="I47" s="47"/>
      <c r="J47" s="47"/>
      <c r="K47" s="47"/>
      <c r="L47" s="47"/>
    </row>
    <row r="48" spans="2:12" ht="36" customHeight="1" x14ac:dyDescent="0.25">
      <c r="B48" s="12" t="s">
        <v>522</v>
      </c>
      <c r="C48" s="7" t="s">
        <v>519</v>
      </c>
      <c r="D48" s="4" t="s">
        <v>523</v>
      </c>
      <c r="E48" s="1" t="s">
        <v>425</v>
      </c>
      <c r="F48" s="42"/>
      <c r="G48" s="47" t="s">
        <v>524</v>
      </c>
      <c r="H48" s="47"/>
      <c r="I48" s="47"/>
      <c r="J48" s="47"/>
      <c r="K48" s="47"/>
      <c r="L48" s="47"/>
    </row>
    <row r="49" spans="2:12" ht="36" customHeight="1" x14ac:dyDescent="0.25">
      <c r="B49" s="12" t="s">
        <v>525</v>
      </c>
      <c r="C49" s="7" t="s">
        <v>519</v>
      </c>
      <c r="D49" s="4" t="s">
        <v>526</v>
      </c>
      <c r="E49" s="1" t="s">
        <v>460</v>
      </c>
      <c r="F49" s="42"/>
      <c r="G49" s="47" t="s">
        <v>527</v>
      </c>
      <c r="H49" s="47"/>
      <c r="I49" s="47"/>
      <c r="J49" s="47"/>
      <c r="K49" s="47"/>
      <c r="L49" s="47"/>
    </row>
    <row r="50" spans="2:12" ht="36" customHeight="1" x14ac:dyDescent="0.25">
      <c r="B50" s="12" t="s">
        <v>528</v>
      </c>
      <c r="C50" s="7" t="s">
        <v>529</v>
      </c>
      <c r="D50" s="4" t="s">
        <v>530</v>
      </c>
      <c r="E50" s="1" t="s">
        <v>124</v>
      </c>
      <c r="F50" s="42"/>
      <c r="G50" s="47" t="s">
        <v>531</v>
      </c>
      <c r="H50" s="47"/>
      <c r="I50" s="47"/>
      <c r="J50" s="47"/>
      <c r="K50" s="47"/>
      <c r="L50" s="47"/>
    </row>
    <row r="51" spans="2:12" ht="36" customHeight="1" x14ac:dyDescent="0.25">
      <c r="B51" s="12" t="s">
        <v>532</v>
      </c>
      <c r="C51" s="45" t="s">
        <v>533</v>
      </c>
      <c r="D51" s="4" t="s">
        <v>534</v>
      </c>
      <c r="E51" s="1" t="s">
        <v>414</v>
      </c>
      <c r="F51" s="42"/>
      <c r="G51" s="47" t="s">
        <v>535</v>
      </c>
      <c r="H51" s="47"/>
      <c r="I51" s="47"/>
      <c r="J51" s="47"/>
      <c r="K51" s="47"/>
      <c r="L51" s="47"/>
    </row>
    <row r="52" spans="2:12" ht="15" customHeight="1" x14ac:dyDescent="0.25">
      <c r="B52" s="13"/>
      <c r="C52" s="13"/>
      <c r="D52" s="43" t="s">
        <v>536</v>
      </c>
      <c r="E52" s="1" t="s">
        <v>121</v>
      </c>
      <c r="F52" s="13"/>
      <c r="G52" s="47" t="s">
        <v>537</v>
      </c>
      <c r="H52" s="47"/>
      <c r="I52" s="47"/>
      <c r="J52" s="47"/>
      <c r="K52" s="47"/>
      <c r="L52" s="47"/>
    </row>
    <row r="54" spans="2:12" ht="21.75" customHeight="1" x14ac:dyDescent="0.25">
      <c r="B54" s="48" t="s">
        <v>538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</row>
    <row r="55" spans="2:12" ht="27.75" customHeight="1" x14ac:dyDescent="0.25">
      <c r="B55" s="49" t="s">
        <v>539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</row>
    <row r="56" spans="2:12" ht="15" customHeight="1" x14ac:dyDescent="0.25">
      <c r="B56" s="46" t="s">
        <v>540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8" spans="2:12" ht="15" customHeight="1" x14ac:dyDescent="0.25">
      <c r="B58" s="46" t="s">
        <v>541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</row>
  </sheetData>
  <autoFilter ref="B35:G52" xr:uid="{00000000-0009-0000-0000-000006000000}"/>
  <mergeCells count="26">
    <mergeCell ref="B1:L1"/>
    <mergeCell ref="B2:L2"/>
    <mergeCell ref="B4:L4"/>
    <mergeCell ref="B34:L34"/>
    <mergeCell ref="G35:L35"/>
    <mergeCell ref="G36:L36"/>
    <mergeCell ref="G37:L37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  <mergeCell ref="G47:L47"/>
    <mergeCell ref="G48:L48"/>
    <mergeCell ref="G49:L49"/>
    <mergeCell ref="G50:L50"/>
    <mergeCell ref="B58:L58"/>
    <mergeCell ref="G51:L51"/>
    <mergeCell ref="G52:L52"/>
    <mergeCell ref="B54:L54"/>
    <mergeCell ref="B55:L55"/>
    <mergeCell ref="B56:L56"/>
  </mergeCell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D6A4F"/>
    <pageSetUpPr fitToPage="1"/>
  </sheetPr>
  <dimension ref="B1:G37"/>
  <sheetViews>
    <sheetView showGridLines="0" zoomScale="110" zoomScaleNormal="11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8" customWidth="1"/>
    <col min="3" max="3" width="14" customWidth="1"/>
    <col min="4" max="4" width="88" customWidth="1"/>
    <col min="5" max="5" width="42" customWidth="1"/>
    <col min="6" max="6" width="18" customWidth="1"/>
    <col min="7" max="7" width="16" customWidth="1"/>
  </cols>
  <sheetData>
    <row r="1" spans="2:7" ht="31.5" customHeight="1" x14ac:dyDescent="0.25">
      <c r="B1" s="50" t="s">
        <v>542</v>
      </c>
      <c r="C1" s="50"/>
      <c r="D1" s="50"/>
      <c r="E1" s="50"/>
      <c r="F1" s="50"/>
      <c r="G1" s="50"/>
    </row>
    <row r="2" spans="2:7" ht="18" customHeight="1" x14ac:dyDescent="0.25">
      <c r="B2" s="51" t="s">
        <v>543</v>
      </c>
      <c r="C2" s="51"/>
      <c r="D2" s="51"/>
      <c r="E2" s="51"/>
      <c r="F2" s="51"/>
      <c r="G2" s="51"/>
    </row>
    <row r="4" spans="2:7" ht="21.75" customHeight="1" x14ac:dyDescent="0.25">
      <c r="B4" s="48" t="s">
        <v>544</v>
      </c>
      <c r="C4" s="48"/>
      <c r="D4" s="48"/>
      <c r="E4" s="48"/>
      <c r="F4" s="48"/>
      <c r="G4" s="48"/>
    </row>
    <row r="5" spans="2:7" ht="15" customHeight="1" x14ac:dyDescent="0.25">
      <c r="B5" s="3" t="s">
        <v>474</v>
      </c>
      <c r="C5" s="3" t="s">
        <v>545</v>
      </c>
      <c r="D5" s="3" t="s">
        <v>546</v>
      </c>
      <c r="E5" s="3" t="s">
        <v>547</v>
      </c>
      <c r="F5" s="53" t="s">
        <v>548</v>
      </c>
      <c r="G5" s="53"/>
    </row>
    <row r="6" spans="2:7" ht="48" customHeight="1" x14ac:dyDescent="0.25">
      <c r="B6" s="12" t="s">
        <v>480</v>
      </c>
      <c r="C6" s="44" t="s">
        <v>9</v>
      </c>
      <c r="D6" s="35" t="s">
        <v>549</v>
      </c>
      <c r="E6" s="20">
        <f>HLOOKUP('06_Practice_Lab'!E36,'06_Practice_Lab'!$C$5:$H$8,2,FALSE())</f>
        <v>155</v>
      </c>
      <c r="F6" s="47" t="s">
        <v>550</v>
      </c>
      <c r="G6" s="47"/>
    </row>
    <row r="7" spans="2:7" ht="48" customHeight="1" x14ac:dyDescent="0.25">
      <c r="B7" s="12" t="s">
        <v>484</v>
      </c>
      <c r="C7" s="44" t="s">
        <v>9</v>
      </c>
      <c r="D7" s="35" t="s">
        <v>551</v>
      </c>
      <c r="E7" s="20">
        <f>HLOOKUP('06_Practice_Lab'!E37,'06_Practice_Lab'!$C$5:$H$8,4,FALSE())</f>
        <v>44</v>
      </c>
      <c r="F7" s="47" t="s">
        <v>552</v>
      </c>
      <c r="G7" s="47"/>
    </row>
    <row r="8" spans="2:7" ht="48" customHeight="1" x14ac:dyDescent="0.25">
      <c r="B8" s="12" t="s">
        <v>487</v>
      </c>
      <c r="C8" s="44" t="s">
        <v>553</v>
      </c>
      <c r="D8" s="35" t="s">
        <v>554</v>
      </c>
      <c r="E8" s="20">
        <f>HLOOKUP('06_Practice_Lab'!E39,'06_Practice_Lab'!$C$5:$H$8,MATCH('06_Practice_Lab'!E38,'06_Practice_Lab'!$B$5:$B$8,0),FALSE())</f>
        <v>9</v>
      </c>
      <c r="F8" s="47" t="s">
        <v>555</v>
      </c>
      <c r="G8" s="47"/>
    </row>
    <row r="9" spans="2:7" ht="48" customHeight="1" x14ac:dyDescent="0.25">
      <c r="B9" s="12" t="s">
        <v>493</v>
      </c>
      <c r="C9" s="44" t="s">
        <v>556</v>
      </c>
      <c r="D9" s="35" t="s">
        <v>557</v>
      </c>
      <c r="E9" s="20">
        <f>HLOOKUP('06_Practice_Lab'!E40,'06_Practice_Lab'!$C$20:$H$21,2,TRUE())</f>
        <v>0.06</v>
      </c>
      <c r="F9" s="47" t="s">
        <v>558</v>
      </c>
      <c r="G9" s="47"/>
    </row>
    <row r="10" spans="2:7" ht="48" customHeight="1" x14ac:dyDescent="0.25">
      <c r="B10" s="12" t="s">
        <v>496</v>
      </c>
      <c r="C10" s="44" t="s">
        <v>556</v>
      </c>
      <c r="D10" s="35" t="s">
        <v>559</v>
      </c>
      <c r="E10" s="20" t="str">
        <f>HLOOKUP('06_Practice_Lab'!E41,'06_Practice_Lab'!$C$20:$H$22,3,TRUE())</f>
        <v>Platinum</v>
      </c>
      <c r="F10" s="47" t="s">
        <v>560</v>
      </c>
      <c r="G10" s="47"/>
    </row>
    <row r="11" spans="2:7" ht="48" customHeight="1" x14ac:dyDescent="0.25">
      <c r="B11" s="12" t="s">
        <v>499</v>
      </c>
      <c r="C11" s="44" t="s">
        <v>561</v>
      </c>
      <c r="D11" s="35" t="s">
        <v>562</v>
      </c>
      <c r="E11" s="20" t="str">
        <f>IF(ISNA(HLOOKUP('06_Practice_Lab'!E42,'06_Practice_Lab'!$C$5:$H$8,2,FALSE())),"Missing month",HLOOKUP('06_Practice_Lab'!E42,'06_Practice_Lab'!$C$5:$H$8,2,FALSE()))</f>
        <v>Missing month</v>
      </c>
      <c r="F11" s="47" t="s">
        <v>563</v>
      </c>
      <c r="G11" s="47"/>
    </row>
    <row r="12" spans="2:7" ht="48" customHeight="1" x14ac:dyDescent="0.25">
      <c r="B12" s="12" t="s">
        <v>503</v>
      </c>
      <c r="C12" s="44" t="s">
        <v>19</v>
      </c>
      <c r="D12" s="35" t="s">
        <v>564</v>
      </c>
      <c r="E12" s="20" t="e">
        <f ca="1">_xludf.xlookup('06_Practice_Lab'!E43,'06_Practice_Lab'!$B$11:$B$18,'06_Practice_Lab'!$C$11:$C$18)</f>
        <v>#NAME?</v>
      </c>
      <c r="F12" s="47" t="s">
        <v>565</v>
      </c>
      <c r="G12" s="47"/>
    </row>
    <row r="13" spans="2:7" ht="48" customHeight="1" x14ac:dyDescent="0.25">
      <c r="B13" s="12" t="s">
        <v>507</v>
      </c>
      <c r="C13" s="44" t="s">
        <v>566</v>
      </c>
      <c r="D13" s="35" t="s">
        <v>567</v>
      </c>
      <c r="E13" s="20" t="e">
        <f ca="1">_xludf.xlookup('06_Practice_Lab'!E44,'06_Practice_Lab'!$B$11:$B$18,'06_Practice_Lab'!$C$11:$C$18,"No such rep")</f>
        <v>#NAME?</v>
      </c>
      <c r="F13" s="47" t="s">
        <v>568</v>
      </c>
      <c r="G13" s="47"/>
    </row>
    <row r="14" spans="2:7" ht="48" customHeight="1" x14ac:dyDescent="0.25">
      <c r="B14" s="12" t="s">
        <v>511</v>
      </c>
      <c r="C14" s="44" t="s">
        <v>569</v>
      </c>
      <c r="D14" s="35" t="s">
        <v>570</v>
      </c>
      <c r="E14" s="20" t="e">
        <f ca="1">_xludf.xlookup('06_Practice_Lab'!E45,'06_Practice_Lab'!$C$5:$H$5,'06_Practice_Lab'!$C$6:$H$6)</f>
        <v>#NAME?</v>
      </c>
      <c r="F14" s="47" t="s">
        <v>571</v>
      </c>
      <c r="G14" s="47"/>
    </row>
    <row r="15" spans="2:7" ht="48" customHeight="1" x14ac:dyDescent="0.25">
      <c r="B15" s="12" t="s">
        <v>515</v>
      </c>
      <c r="C15" s="44" t="s">
        <v>572</v>
      </c>
      <c r="D15" s="35" t="s">
        <v>573</v>
      </c>
      <c r="E15" s="20" t="e">
        <f ca="1">_xludf.xlookup('06_Practice_Lab'!E46,'06_Practice_Lab'!$C$25:$C$32,'06_Practice_Lab'!$F$25:$F$32,"none",0,-1)</f>
        <v>#NAME?</v>
      </c>
      <c r="F15" s="47" t="s">
        <v>574</v>
      </c>
      <c r="G15" s="47"/>
    </row>
    <row r="16" spans="2:7" ht="48" customHeight="1" x14ac:dyDescent="0.25">
      <c r="B16" s="12" t="s">
        <v>518</v>
      </c>
      <c r="C16" s="44" t="s">
        <v>575</v>
      </c>
      <c r="D16" s="35" t="s">
        <v>576</v>
      </c>
      <c r="E16" s="20" t="e">
        <f ca="1">_xludf.xlookup(1,('06_Practice_Lab'!$C$25:$C$32='06_Practice_Lab'!E47)*('06_Practice_Lab'!$F$25:$F$32="Open"),'06_Practice_Lab'!$E$25:$E$32,"none",0,-1)</f>
        <v>#NAME?</v>
      </c>
      <c r="F16" s="47" t="s">
        <v>577</v>
      </c>
      <c r="G16" s="47"/>
    </row>
    <row r="17" spans="2:7" ht="48" customHeight="1" x14ac:dyDescent="0.25">
      <c r="B17" s="12" t="s">
        <v>522</v>
      </c>
      <c r="C17" s="44" t="s">
        <v>578</v>
      </c>
      <c r="D17" s="35" t="s">
        <v>579</v>
      </c>
      <c r="E17" s="20" t="e">
        <f ca="1">_xludf.xlookup(_xludf.xlookup('06_Practice_Lab'!E48,'06_Practice_Lab'!$B$11:$B$18,'06_Practice_Lab'!$F$11:$F$18),'06_Practice_Lab'!$C$20:$H$20,'06_Practice_Lab'!$C$21:$H$21,"—",-1)</f>
        <v>#NAME?</v>
      </c>
      <c r="F17" s="47" t="s">
        <v>580</v>
      </c>
      <c r="G17" s="47"/>
    </row>
    <row r="18" spans="2:7" ht="48" customHeight="1" x14ac:dyDescent="0.25">
      <c r="B18" s="12" t="s">
        <v>525</v>
      </c>
      <c r="C18" s="44" t="s">
        <v>581</v>
      </c>
      <c r="D18" s="35" t="s">
        <v>582</v>
      </c>
      <c r="E18" s="20" t="e">
        <f ca="1">_xludf.xlookup(_xludf.xlookup('06_Practice_Lab'!E49,'06_Practice_Lab'!$E$25:$E$32,'06_Practice_Lab'!$C$25:$C$32,"none",0,-1),'06_Practice_Lab'!$B$11:$B$18,'06_Practice_Lab'!$D$11:$D$18,"none")</f>
        <v>#NAME?</v>
      </c>
      <c r="F18" s="47" t="s">
        <v>583</v>
      </c>
      <c r="G18" s="47"/>
    </row>
    <row r="19" spans="2:7" ht="48" customHeight="1" x14ac:dyDescent="0.25">
      <c r="B19" s="12" t="s">
        <v>528</v>
      </c>
      <c r="C19" s="44" t="s">
        <v>584</v>
      </c>
      <c r="D19" s="35" t="s">
        <v>585</v>
      </c>
      <c r="E19" s="20" t="e">
        <f ca="1">_xludf.xlookup('06_Practice_Lab'!E50,'06_Practice_Lab'!$C$5:$H$5,'06_Practice_Lab'!$C$6:$H$6,"Missing month")</f>
        <v>#NAME?</v>
      </c>
      <c r="F19" s="47" t="s">
        <v>586</v>
      </c>
      <c r="G19" s="47"/>
    </row>
    <row r="20" spans="2:7" ht="48" customHeight="1" x14ac:dyDescent="0.25">
      <c r="B20" s="12" t="s">
        <v>532</v>
      </c>
      <c r="C20" s="44" t="s">
        <v>587</v>
      </c>
      <c r="D20" s="35" t="s">
        <v>588</v>
      </c>
      <c r="E20" s="20" t="e">
        <f ca="1">_xludf.xlookup('06_Practice_Lab'!E52,'06_Practice_Lab'!$C$5:$H$5,_xludf.xlookup('06_Practice_Lab'!E51,'06_Practice_Lab'!$B$6:$B$8,'06_Practice_Lab'!$C$6:$H$8))</f>
        <v>#NAME?</v>
      </c>
      <c r="F20" s="47" t="s">
        <v>589</v>
      </c>
      <c r="G20" s="47"/>
    </row>
    <row r="22" spans="2:7" ht="21.75" customHeight="1" x14ac:dyDescent="0.25">
      <c r="B22" s="52" t="s">
        <v>590</v>
      </c>
      <c r="C22" s="52"/>
      <c r="D22" s="52"/>
      <c r="E22" s="52"/>
      <c r="F22" s="52"/>
      <c r="G22" s="52"/>
    </row>
    <row r="23" spans="2:7" ht="24" customHeight="1" x14ac:dyDescent="0.25">
      <c r="B23" s="57" t="s">
        <v>591</v>
      </c>
      <c r="C23" s="57"/>
      <c r="D23" s="57"/>
      <c r="E23" s="57"/>
      <c r="F23" s="57"/>
      <c r="G23" s="57"/>
    </row>
    <row r="24" spans="2:7" ht="15" customHeight="1" x14ac:dyDescent="0.25">
      <c r="B24" s="24">
        <f>INDEX('06_Practice_Lab'!$C$6:$H$8,MATCH('06_Practice_Lab'!E51,'06_Practice_Lab'!$B$6:$B$8,0),MATCH('06_Practice_Lab'!E52,'06_Practice_Lab'!$C$5:$H$5,0))</f>
        <v>39</v>
      </c>
      <c r="C24" s="46" t="s">
        <v>592</v>
      </c>
      <c r="D24" s="46"/>
    </row>
    <row r="25" spans="2:7" ht="15" customHeight="1" x14ac:dyDescent="0.25">
      <c r="B25" s="46" t="s">
        <v>593</v>
      </c>
      <c r="C25" s="46"/>
      <c r="D25" s="46"/>
      <c r="E25" s="46"/>
      <c r="F25" s="46"/>
      <c r="G25" s="46"/>
    </row>
    <row r="27" spans="2:7" ht="21.75" customHeight="1" x14ac:dyDescent="0.25">
      <c r="B27" s="48" t="s">
        <v>594</v>
      </c>
      <c r="C27" s="48"/>
      <c r="D27" s="48"/>
      <c r="E27" s="48"/>
      <c r="F27" s="48"/>
      <c r="G27" s="48"/>
    </row>
    <row r="28" spans="2:7" ht="30" x14ac:dyDescent="0.25">
      <c r="B28" s="4" t="s">
        <v>595</v>
      </c>
      <c r="C28" s="8" t="s">
        <v>596</v>
      </c>
      <c r="E28" s="4" t="s">
        <v>597</v>
      </c>
      <c r="F28" s="8" t="s">
        <v>598</v>
      </c>
    </row>
    <row r="29" spans="2:7" ht="30" x14ac:dyDescent="0.25">
      <c r="B29" s="4" t="s">
        <v>599</v>
      </c>
      <c r="C29" s="8" t="s">
        <v>600</v>
      </c>
      <c r="E29" s="4" t="s">
        <v>601</v>
      </c>
      <c r="F29" s="8" t="s">
        <v>461</v>
      </c>
    </row>
    <row r="30" spans="2:7" ht="45" x14ac:dyDescent="0.25">
      <c r="B30" s="4" t="s">
        <v>602</v>
      </c>
      <c r="C30" s="8" t="s">
        <v>603</v>
      </c>
      <c r="E30" s="4" t="s">
        <v>604</v>
      </c>
      <c r="F30" s="8" t="s">
        <v>468</v>
      </c>
    </row>
    <row r="31" spans="2:7" ht="45" x14ac:dyDescent="0.25">
      <c r="B31" s="4" t="s">
        <v>605</v>
      </c>
      <c r="C31" s="8" t="s">
        <v>606</v>
      </c>
      <c r="E31" s="4" t="s">
        <v>607</v>
      </c>
      <c r="F31" s="8" t="s">
        <v>608</v>
      </c>
    </row>
    <row r="32" spans="2:7" ht="45" x14ac:dyDescent="0.25">
      <c r="B32" s="4" t="s">
        <v>609</v>
      </c>
      <c r="C32" s="8" t="s">
        <v>445</v>
      </c>
      <c r="E32" s="4" t="s">
        <v>610</v>
      </c>
      <c r="F32" s="8" t="s">
        <v>195</v>
      </c>
    </row>
    <row r="33" spans="2:7" ht="30" x14ac:dyDescent="0.25">
      <c r="B33" s="4" t="s">
        <v>611</v>
      </c>
      <c r="C33" s="8" t="s">
        <v>612</v>
      </c>
      <c r="E33" s="4" t="s">
        <v>613</v>
      </c>
      <c r="F33" s="8" t="s">
        <v>614</v>
      </c>
    </row>
    <row r="34" spans="2:7" ht="30" x14ac:dyDescent="0.25">
      <c r="B34" s="4" t="s">
        <v>615</v>
      </c>
      <c r="C34" s="8" t="s">
        <v>431</v>
      </c>
      <c r="E34" s="4" t="s">
        <v>616</v>
      </c>
      <c r="F34" s="8" t="s">
        <v>617</v>
      </c>
    </row>
    <row r="35" spans="2:7" ht="30" x14ac:dyDescent="0.25">
      <c r="B35" s="4" t="s">
        <v>618</v>
      </c>
      <c r="C35" s="8" t="s">
        <v>619</v>
      </c>
    </row>
    <row r="37" spans="2:7" ht="15" customHeight="1" x14ac:dyDescent="0.25">
      <c r="B37" s="46" t="s">
        <v>620</v>
      </c>
      <c r="C37" s="46"/>
      <c r="D37" s="46"/>
      <c r="E37" s="46"/>
      <c r="F37" s="46"/>
      <c r="G37" s="46"/>
    </row>
  </sheetData>
  <mergeCells count="25">
    <mergeCell ref="B1:G1"/>
    <mergeCell ref="B2:G2"/>
    <mergeCell ref="B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B22:G22"/>
    <mergeCell ref="B23:G23"/>
    <mergeCell ref="C24:D24"/>
    <mergeCell ref="B25:G25"/>
    <mergeCell ref="B27:G27"/>
    <mergeCell ref="B37:G37"/>
  </mergeCell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227"/>
    <pageSetUpPr fitToPage="1"/>
  </sheetPr>
  <dimension ref="B1:E5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8" customWidth="1"/>
    <col min="3" max="3" width="28" customWidth="1"/>
    <col min="4" max="4" width="102" customWidth="1"/>
    <col min="5" max="5" width="18" customWidth="1"/>
  </cols>
  <sheetData>
    <row r="1" spans="2:5" ht="31.5" customHeight="1" x14ac:dyDescent="0.25">
      <c r="B1" s="50" t="s">
        <v>621</v>
      </c>
      <c r="C1" s="50"/>
      <c r="D1" s="50"/>
      <c r="E1" s="50"/>
    </row>
    <row r="2" spans="2:5" ht="18" customHeight="1" x14ac:dyDescent="0.25">
      <c r="B2" s="51" t="s">
        <v>622</v>
      </c>
      <c r="C2" s="51"/>
      <c r="D2" s="51"/>
      <c r="E2" s="51"/>
    </row>
    <row r="4" spans="2:5" ht="21.75" customHeight="1" x14ac:dyDescent="0.25">
      <c r="B4" s="48" t="s">
        <v>623</v>
      </c>
      <c r="C4" s="48"/>
      <c r="D4" s="48"/>
      <c r="E4" s="48"/>
    </row>
    <row r="5" spans="2:5" ht="15" customHeight="1" x14ac:dyDescent="0.25">
      <c r="B5" s="3" t="s">
        <v>474</v>
      </c>
      <c r="C5" s="3" t="s">
        <v>624</v>
      </c>
      <c r="D5" s="53" t="s">
        <v>625</v>
      </c>
      <c r="E5" s="53"/>
    </row>
    <row r="6" spans="2:5" ht="21.75" customHeight="1" x14ac:dyDescent="0.25">
      <c r="B6" s="5" t="s">
        <v>626</v>
      </c>
      <c r="C6" s="44" t="s">
        <v>627</v>
      </c>
      <c r="D6" s="62" t="s">
        <v>628</v>
      </c>
      <c r="E6" s="62"/>
    </row>
    <row r="7" spans="2:5" ht="55.5" customHeight="1" x14ac:dyDescent="0.25">
      <c r="B7" s="13"/>
      <c r="C7" s="13"/>
      <c r="D7" s="55" t="s">
        <v>629</v>
      </c>
      <c r="E7" s="55"/>
    </row>
    <row r="8" spans="2:5" ht="21.75" customHeight="1" x14ac:dyDescent="0.25">
      <c r="B8" s="5" t="s">
        <v>630</v>
      </c>
      <c r="C8" s="44" t="s">
        <v>627</v>
      </c>
      <c r="D8" s="62" t="s">
        <v>631</v>
      </c>
      <c r="E8" s="62"/>
    </row>
    <row r="9" spans="2:5" ht="55.5" customHeight="1" x14ac:dyDescent="0.25">
      <c r="B9" s="13"/>
      <c r="C9" s="13"/>
      <c r="D9" s="55" t="s">
        <v>632</v>
      </c>
      <c r="E9" s="55"/>
    </row>
    <row r="10" spans="2:5" ht="21.75" customHeight="1" x14ac:dyDescent="0.25">
      <c r="B10" s="5" t="s">
        <v>633</v>
      </c>
      <c r="C10" s="44" t="s">
        <v>627</v>
      </c>
      <c r="D10" s="62" t="s">
        <v>634</v>
      </c>
      <c r="E10" s="62"/>
    </row>
    <row r="11" spans="2:5" ht="55.5" customHeight="1" x14ac:dyDescent="0.25">
      <c r="B11" s="13"/>
      <c r="C11" s="13"/>
      <c r="D11" s="55" t="s">
        <v>635</v>
      </c>
      <c r="E11" s="55"/>
    </row>
    <row r="12" spans="2:5" ht="21.75" customHeight="1" x14ac:dyDescent="0.25">
      <c r="B12" s="5" t="s">
        <v>636</v>
      </c>
      <c r="C12" s="44" t="s">
        <v>627</v>
      </c>
      <c r="D12" s="62" t="s">
        <v>637</v>
      </c>
      <c r="E12" s="62"/>
    </row>
    <row r="13" spans="2:5" ht="55.5" customHeight="1" x14ac:dyDescent="0.25">
      <c r="B13" s="13"/>
      <c r="C13" s="13"/>
      <c r="D13" s="55" t="s">
        <v>638</v>
      </c>
      <c r="E13" s="55"/>
    </row>
    <row r="14" spans="2:5" ht="21.75" customHeight="1" x14ac:dyDescent="0.25">
      <c r="B14" s="5" t="s">
        <v>639</v>
      </c>
      <c r="C14" s="44" t="s">
        <v>640</v>
      </c>
      <c r="D14" s="62" t="s">
        <v>641</v>
      </c>
      <c r="E14" s="62"/>
    </row>
    <row r="15" spans="2:5" ht="55.5" customHeight="1" x14ac:dyDescent="0.25">
      <c r="B15" s="13"/>
      <c r="C15" s="13"/>
      <c r="D15" s="55" t="s">
        <v>642</v>
      </c>
      <c r="E15" s="55"/>
    </row>
    <row r="16" spans="2:5" ht="21.75" customHeight="1" x14ac:dyDescent="0.25">
      <c r="B16" s="5" t="s">
        <v>643</v>
      </c>
      <c r="C16" s="44" t="s">
        <v>640</v>
      </c>
      <c r="D16" s="62" t="s">
        <v>644</v>
      </c>
      <c r="E16" s="62"/>
    </row>
    <row r="17" spans="2:5" ht="55.5" customHeight="1" x14ac:dyDescent="0.25">
      <c r="B17" s="13"/>
      <c r="C17" s="13"/>
      <c r="D17" s="55" t="s">
        <v>645</v>
      </c>
      <c r="E17" s="55"/>
    </row>
    <row r="18" spans="2:5" ht="21.75" customHeight="1" x14ac:dyDescent="0.25">
      <c r="B18" s="5" t="s">
        <v>646</v>
      </c>
      <c r="C18" s="44" t="s">
        <v>640</v>
      </c>
      <c r="D18" s="62" t="s">
        <v>647</v>
      </c>
      <c r="E18" s="62"/>
    </row>
    <row r="19" spans="2:5" ht="55.5" customHeight="1" x14ac:dyDescent="0.25">
      <c r="B19" s="13"/>
      <c r="C19" s="13"/>
      <c r="D19" s="55" t="s">
        <v>648</v>
      </c>
      <c r="E19" s="55"/>
    </row>
    <row r="20" spans="2:5" ht="21.75" customHeight="1" x14ac:dyDescent="0.25">
      <c r="B20" s="5" t="s">
        <v>649</v>
      </c>
      <c r="C20" s="44" t="s">
        <v>19</v>
      </c>
      <c r="D20" s="62" t="s">
        <v>650</v>
      </c>
      <c r="E20" s="62"/>
    </row>
    <row r="21" spans="2:5" ht="55.5" customHeight="1" x14ac:dyDescent="0.25">
      <c r="B21" s="13"/>
      <c r="C21" s="13"/>
      <c r="D21" s="55" t="s">
        <v>651</v>
      </c>
      <c r="E21" s="55"/>
    </row>
    <row r="22" spans="2:5" ht="21.75" customHeight="1" x14ac:dyDescent="0.25">
      <c r="B22" s="5" t="s">
        <v>652</v>
      </c>
      <c r="C22" s="44" t="s">
        <v>19</v>
      </c>
      <c r="D22" s="62" t="s">
        <v>653</v>
      </c>
      <c r="E22" s="62"/>
    </row>
    <row r="23" spans="2:5" ht="55.5" customHeight="1" x14ac:dyDescent="0.25">
      <c r="B23" s="13"/>
      <c r="C23" s="13"/>
      <c r="D23" s="55" t="s">
        <v>654</v>
      </c>
      <c r="E23" s="55"/>
    </row>
    <row r="24" spans="2:5" ht="21.75" customHeight="1" x14ac:dyDescent="0.25">
      <c r="B24" s="5" t="s">
        <v>655</v>
      </c>
      <c r="C24" s="44" t="s">
        <v>19</v>
      </c>
      <c r="D24" s="62" t="s">
        <v>656</v>
      </c>
      <c r="E24" s="62"/>
    </row>
    <row r="25" spans="2:5" ht="55.5" customHeight="1" x14ac:dyDescent="0.25">
      <c r="B25" s="13"/>
      <c r="C25" s="13"/>
      <c r="D25" s="55" t="s">
        <v>657</v>
      </c>
      <c r="E25" s="55"/>
    </row>
    <row r="26" spans="2:5" ht="21.75" customHeight="1" x14ac:dyDescent="0.25">
      <c r="B26" s="5" t="s">
        <v>658</v>
      </c>
      <c r="C26" s="44" t="s">
        <v>19</v>
      </c>
      <c r="D26" s="62" t="s">
        <v>659</v>
      </c>
      <c r="E26" s="62"/>
    </row>
    <row r="27" spans="2:5" ht="55.5" customHeight="1" x14ac:dyDescent="0.25">
      <c r="B27" s="13"/>
      <c r="C27" s="13"/>
      <c r="D27" s="55" t="s">
        <v>660</v>
      </c>
      <c r="E27" s="55"/>
    </row>
    <row r="28" spans="2:5" ht="21.75" customHeight="1" x14ac:dyDescent="0.25">
      <c r="B28" s="5" t="s">
        <v>661</v>
      </c>
      <c r="C28" s="44" t="s">
        <v>19</v>
      </c>
      <c r="D28" s="62" t="s">
        <v>662</v>
      </c>
      <c r="E28" s="62"/>
    </row>
    <row r="29" spans="2:5" ht="55.5" customHeight="1" x14ac:dyDescent="0.25">
      <c r="B29" s="13"/>
      <c r="C29" s="13"/>
      <c r="D29" s="55" t="s">
        <v>663</v>
      </c>
      <c r="E29" s="55"/>
    </row>
    <row r="30" spans="2:5" ht="21.75" customHeight="1" x14ac:dyDescent="0.25">
      <c r="B30" s="5" t="s">
        <v>664</v>
      </c>
      <c r="C30" s="44" t="s">
        <v>19</v>
      </c>
      <c r="D30" s="62" t="s">
        <v>665</v>
      </c>
      <c r="E30" s="62"/>
    </row>
    <row r="31" spans="2:5" ht="55.5" customHeight="1" x14ac:dyDescent="0.25">
      <c r="B31" s="13"/>
      <c r="C31" s="13"/>
      <c r="D31" s="55" t="s">
        <v>666</v>
      </c>
      <c r="E31" s="55"/>
    </row>
    <row r="32" spans="2:5" ht="21.75" customHeight="1" x14ac:dyDescent="0.25">
      <c r="B32" s="5" t="s">
        <v>667</v>
      </c>
      <c r="C32" s="44" t="s">
        <v>19</v>
      </c>
      <c r="D32" s="62" t="s">
        <v>668</v>
      </c>
      <c r="E32" s="62"/>
    </row>
    <row r="33" spans="2:5" ht="55.5" customHeight="1" x14ac:dyDescent="0.25">
      <c r="B33" s="13"/>
      <c r="C33" s="13"/>
      <c r="D33" s="55" t="s">
        <v>669</v>
      </c>
      <c r="E33" s="55"/>
    </row>
    <row r="34" spans="2:5" ht="21.75" customHeight="1" x14ac:dyDescent="0.25">
      <c r="B34" s="5" t="s">
        <v>670</v>
      </c>
      <c r="C34" s="44" t="s">
        <v>671</v>
      </c>
      <c r="D34" s="62" t="s">
        <v>672</v>
      </c>
      <c r="E34" s="62"/>
    </row>
    <row r="35" spans="2:5" ht="55.5" customHeight="1" x14ac:dyDescent="0.25">
      <c r="B35" s="13"/>
      <c r="C35" s="13"/>
      <c r="D35" s="55" t="s">
        <v>673</v>
      </c>
      <c r="E35" s="55"/>
    </row>
    <row r="36" spans="2:5" ht="21.75" customHeight="1" x14ac:dyDescent="0.25">
      <c r="B36" s="5" t="s">
        <v>674</v>
      </c>
      <c r="C36" s="44" t="s">
        <v>671</v>
      </c>
      <c r="D36" s="62" t="s">
        <v>675</v>
      </c>
      <c r="E36" s="62"/>
    </row>
    <row r="37" spans="2:5" ht="55.5" customHeight="1" x14ac:dyDescent="0.25">
      <c r="B37" s="13"/>
      <c r="C37" s="13"/>
      <c r="D37" s="55" t="s">
        <v>676</v>
      </c>
      <c r="E37" s="55"/>
    </row>
    <row r="38" spans="2:5" ht="21.75" customHeight="1" x14ac:dyDescent="0.25">
      <c r="B38" s="5" t="s">
        <v>677</v>
      </c>
      <c r="C38" s="44" t="s">
        <v>678</v>
      </c>
      <c r="D38" s="62" t="s">
        <v>679</v>
      </c>
      <c r="E38" s="62"/>
    </row>
    <row r="39" spans="2:5" ht="55.5" customHeight="1" x14ac:dyDescent="0.25">
      <c r="B39" s="13"/>
      <c r="C39" s="13"/>
      <c r="D39" s="55" t="s">
        <v>680</v>
      </c>
      <c r="E39" s="55"/>
    </row>
    <row r="40" spans="2:5" ht="21.75" customHeight="1" x14ac:dyDescent="0.25">
      <c r="B40" s="5" t="s">
        <v>681</v>
      </c>
      <c r="C40" s="44" t="s">
        <v>678</v>
      </c>
      <c r="D40" s="62" t="s">
        <v>682</v>
      </c>
      <c r="E40" s="62"/>
    </row>
    <row r="41" spans="2:5" ht="55.5" customHeight="1" x14ac:dyDescent="0.25">
      <c r="B41" s="13"/>
      <c r="C41" s="13"/>
      <c r="D41" s="55" t="s">
        <v>683</v>
      </c>
      <c r="E41" s="55"/>
    </row>
    <row r="42" spans="2:5" ht="21.75" customHeight="1" x14ac:dyDescent="0.25">
      <c r="B42" s="5" t="s">
        <v>684</v>
      </c>
      <c r="C42" s="44" t="s">
        <v>678</v>
      </c>
      <c r="D42" s="62" t="s">
        <v>685</v>
      </c>
      <c r="E42" s="62"/>
    </row>
    <row r="43" spans="2:5" ht="55.5" customHeight="1" x14ac:dyDescent="0.25">
      <c r="B43" s="13"/>
      <c r="C43" s="13"/>
      <c r="D43" s="55" t="s">
        <v>686</v>
      </c>
      <c r="E43" s="55"/>
    </row>
    <row r="44" spans="2:5" ht="21.75" customHeight="1" x14ac:dyDescent="0.25">
      <c r="B44" s="5" t="s">
        <v>687</v>
      </c>
      <c r="C44" s="44" t="s">
        <v>688</v>
      </c>
      <c r="D44" s="62" t="s">
        <v>689</v>
      </c>
      <c r="E44" s="62"/>
    </row>
    <row r="45" spans="2:5" ht="55.5" customHeight="1" x14ac:dyDescent="0.25">
      <c r="B45" s="13"/>
      <c r="C45" s="13"/>
      <c r="D45" s="55" t="s">
        <v>690</v>
      </c>
      <c r="E45" s="55"/>
    </row>
    <row r="47" spans="2:5" ht="21.75" customHeight="1" x14ac:dyDescent="0.25">
      <c r="B47" s="52" t="s">
        <v>691</v>
      </c>
      <c r="C47" s="52"/>
      <c r="D47" s="52"/>
      <c r="E47" s="52"/>
    </row>
    <row r="48" spans="2:5" ht="48" customHeight="1" x14ac:dyDescent="0.25">
      <c r="B48" s="49" t="s">
        <v>692</v>
      </c>
      <c r="C48" s="49"/>
      <c r="D48" s="49"/>
      <c r="E48" s="49"/>
    </row>
    <row r="50" spans="2:5" ht="21.75" customHeight="1" x14ac:dyDescent="0.25">
      <c r="B50" s="48" t="s">
        <v>693</v>
      </c>
      <c r="C50" s="48"/>
      <c r="D50" s="48"/>
      <c r="E50" s="48"/>
    </row>
    <row r="51" spans="2:5" ht="36" customHeight="1" x14ac:dyDescent="0.25">
      <c r="B51" s="49" t="s">
        <v>694</v>
      </c>
      <c r="C51" s="49"/>
      <c r="D51" s="49"/>
      <c r="E51" s="49"/>
    </row>
  </sheetData>
  <mergeCells count="48">
    <mergeCell ref="B1:E1"/>
    <mergeCell ref="B2:E2"/>
    <mergeCell ref="B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B48:E48"/>
    <mergeCell ref="B50:E50"/>
    <mergeCell ref="B51:E51"/>
    <mergeCell ref="D42:E42"/>
    <mergeCell ref="D43:E43"/>
    <mergeCell ref="D44:E44"/>
    <mergeCell ref="D45:E45"/>
    <mergeCell ref="B47:E47"/>
  </mergeCells>
  <pageMargins left="0.4" right="0.4" top="0.5" bottom="0.5" header="0.5" footer="0.5"/>
  <pageSetup paperSize="9" fitToHeight="0" orientation="landscape" horizontalDpi="300" verticalDpi="300"/>
  <headerFooter>
    <oddHeader>&amp;LApex Retail  ·  Lookup Mastery Lab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01_Cheatsheet</vt:lpstr>
      <vt:lpstr>Sheet1</vt:lpstr>
      <vt:lpstr>Sheet2</vt:lpstr>
      <vt:lpstr>Sheet3</vt:lpstr>
      <vt:lpstr>02-HLOOKUP-Basics</vt:lpstr>
      <vt:lpstr>03-HLOOKUP-Advanced</vt:lpstr>
      <vt:lpstr>04_XLOOKUP_Basics</vt:lpstr>
      <vt:lpstr>05_XLOOKUP_Advanced</vt:lpstr>
      <vt:lpstr>06_Practice_Lab</vt:lpstr>
      <vt:lpstr>07_Solutions</vt:lpstr>
      <vt:lpstr>08_Interview_QA</vt:lpstr>
      <vt:lpstr>EMP_ID</vt:lpstr>
      <vt:lpstr>EMP_NAME</vt:lpstr>
      <vt:lpstr>KPI_MATRIX</vt:lpstr>
      <vt:lpstr>'01_Cheatsheet'!Print_Titles</vt:lpstr>
      <vt:lpstr>'02-HLOOKUP-Basics'!Print_Titles</vt:lpstr>
      <vt:lpstr>'03-HLOOKUP-Advanced'!Print_Titles</vt:lpstr>
      <vt:lpstr>'04_XLOOKUP_Basics'!Print_Titles</vt:lpstr>
      <vt:lpstr>'05_XLOOKUP_Advanced'!Print_Titles</vt:lpstr>
      <vt:lpstr>'06_Practice_Lab'!Print_Titles</vt:lpstr>
      <vt:lpstr>'07_Solutions'!Print_Titles</vt:lpstr>
      <vt:lpstr>'08_Interview_QA'!Print_Titles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BADAL LAD</cp:lastModifiedBy>
  <cp:revision>0</cp:revision>
  <dcterms:created xsi:type="dcterms:W3CDTF">2026-08-27T09:26:30Z</dcterms:created>
  <dcterms:modified xsi:type="dcterms:W3CDTF">2026-08-29T10:18:08Z</dcterms:modified>
  <dc:language>en-US</dc:language>
</cp:coreProperties>
</file>