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badal\Downloads\"/>
    </mc:Choice>
  </mc:AlternateContent>
  <xr:revisionPtr revIDLastSave="0" documentId="13_ncr:1_{5C22968C-0F18-45B7-B52A-B02A1EE8CEA5}" xr6:coauthVersionLast="47" xr6:coauthVersionMax="47" xr10:uidLastSave="{00000000-0000-0000-0000-000000000000}"/>
  <bookViews>
    <workbookView xWindow="-120" yWindow="-120" windowWidth="29040" windowHeight="15720" tabRatio="524" activeTab="1" xr2:uid="{00000000-000D-0000-FFFF-FFFF00000000}"/>
  </bookViews>
  <sheets>
    <sheet name="00_Instructions" sheetId="1" r:id="rId1"/>
    <sheet name="01_Questions" sheetId="2" r:id="rId2"/>
    <sheet name="Data_Sales" sheetId="4" r:id="rId3"/>
    <sheet name="Data_Products" sheetId="5" r:id="rId4"/>
    <sheet name="Data_Employees" sheetId="6" r:id="rId5"/>
    <sheet name="Data_Targets" sheetId="7" r:id="rId6"/>
    <sheet name="02_Workspace" sheetId="3" r:id="rId7"/>
    <sheet name="Data_Charts" sheetId="8" r:id="rId8"/>
  </sheets>
  <definedNames>
    <definedName name="_xlnm._FilterDatabase" localSheetId="1" hidden="1">'01_Questions'!$A$7:$G$47</definedName>
    <definedName name="_xlnm._FilterDatabase" localSheetId="2" hidden="1">Data_Sales!$A$4:$O$154</definedName>
    <definedName name="_xlnm.Print_Titles" localSheetId="0">'00_Instructions'!$1:$2</definedName>
    <definedName name="_xlnm.Print_Titles" localSheetId="1">'01_Questions'!$1:$7</definedName>
    <definedName name="Sales_Region">Data_Sales!$C$5:$C$154</definedName>
    <definedName name="Sales_Revenue">Data_Sales!$L$5:$L$154</definedName>
  </definedNames>
  <calcPr calcId="191029" iterateDelta="1E-4"/>
  <pivotCaches>
    <pivotCache cacheId="0"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5" i="2" l="1"/>
  <c r="E35" i="2" s="1"/>
  <c r="J35" i="2"/>
  <c r="E24" i="2"/>
  <c r="P60" i="4"/>
  <c r="P70" i="4"/>
  <c r="P35" i="4"/>
  <c r="P77" i="4"/>
  <c r="P153" i="4"/>
  <c r="P48" i="4"/>
  <c r="P21" i="4"/>
  <c r="P152" i="4"/>
  <c r="P54" i="4"/>
  <c r="P151" i="4"/>
  <c r="P117" i="4"/>
  <c r="P29" i="4"/>
  <c r="P149" i="4"/>
  <c r="P37" i="4"/>
  <c r="P51" i="4"/>
  <c r="P7" i="4"/>
  <c r="P98" i="4"/>
  <c r="P110" i="4"/>
  <c r="P94" i="4"/>
  <c r="P95" i="4"/>
  <c r="P84" i="4"/>
  <c r="P131" i="4"/>
  <c r="P116" i="4"/>
  <c r="P97" i="4"/>
  <c r="P147" i="4"/>
  <c r="P27" i="4"/>
  <c r="P119" i="4"/>
  <c r="P82" i="4"/>
  <c r="P42" i="4"/>
  <c r="P40" i="4"/>
  <c r="P68" i="4"/>
  <c r="P90" i="4"/>
  <c r="P99" i="4"/>
  <c r="P34" i="4"/>
  <c r="P141" i="4"/>
  <c r="P78" i="4"/>
  <c r="P64" i="4"/>
  <c r="P36" i="4"/>
  <c r="P134" i="4"/>
  <c r="P67" i="4"/>
  <c r="P56" i="4"/>
  <c r="P17" i="4"/>
  <c r="P138" i="4"/>
  <c r="P66" i="4"/>
  <c r="P38" i="4"/>
  <c r="P18" i="4"/>
  <c r="P15" i="4"/>
  <c r="P130" i="4"/>
  <c r="P5" i="4"/>
  <c r="P128" i="4"/>
  <c r="P58" i="4"/>
  <c r="P142" i="4"/>
  <c r="P26" i="4"/>
  <c r="P65" i="4"/>
  <c r="P132" i="4"/>
  <c r="P85" i="4"/>
  <c r="P6" i="4"/>
  <c r="P146" i="4"/>
  <c r="P53" i="4"/>
  <c r="P74" i="4"/>
  <c r="P101" i="4"/>
  <c r="P47" i="4"/>
  <c r="P71" i="4"/>
  <c r="P57" i="4"/>
  <c r="P49" i="4"/>
  <c r="P28" i="4"/>
  <c r="P125" i="4"/>
  <c r="P13" i="4"/>
  <c r="P96" i="4"/>
  <c r="P133" i="4"/>
  <c r="P79" i="4"/>
  <c r="P88" i="4"/>
  <c r="P43" i="4"/>
  <c r="P137" i="4"/>
  <c r="P44" i="4"/>
  <c r="P12" i="4"/>
  <c r="P120" i="4"/>
  <c r="P105" i="4"/>
  <c r="P22" i="4"/>
  <c r="P114" i="4"/>
  <c r="P11" i="4"/>
  <c r="P109" i="4"/>
  <c r="P140" i="4"/>
  <c r="P104" i="4"/>
  <c r="P9" i="4"/>
  <c r="P100" i="4"/>
  <c r="P59" i="4"/>
  <c r="P144" i="4"/>
  <c r="P39" i="4"/>
  <c r="P8" i="4"/>
  <c r="P32" i="4"/>
  <c r="P24" i="4"/>
  <c r="P63" i="4"/>
  <c r="P89" i="4"/>
  <c r="P50" i="4"/>
  <c r="P115" i="4"/>
  <c r="P61" i="4"/>
  <c r="P25" i="4"/>
  <c r="P121" i="4"/>
  <c r="P91" i="4"/>
  <c r="P139" i="4"/>
  <c r="P30" i="4"/>
  <c r="P143" i="4"/>
  <c r="P108" i="4"/>
  <c r="P107" i="4"/>
  <c r="P81" i="4"/>
  <c r="P33" i="4"/>
  <c r="P23" i="4"/>
  <c r="P52" i="4"/>
  <c r="P76" i="4"/>
  <c r="P73" i="4"/>
  <c r="P118" i="4"/>
  <c r="P136" i="4"/>
  <c r="P145" i="4"/>
  <c r="P123" i="4"/>
  <c r="P135" i="4"/>
  <c r="P103" i="4"/>
  <c r="P69" i="4"/>
  <c r="P80" i="4"/>
  <c r="P16" i="4"/>
  <c r="P62" i="4"/>
  <c r="P45" i="4"/>
  <c r="P129" i="4"/>
  <c r="P127" i="4"/>
  <c r="P20" i="4"/>
  <c r="P102" i="4"/>
  <c r="P75" i="4"/>
  <c r="P148" i="4"/>
  <c r="P112" i="4"/>
  <c r="P150" i="4"/>
  <c r="P55" i="4"/>
  <c r="P122" i="4"/>
  <c r="P126" i="4"/>
  <c r="P14" i="4"/>
  <c r="P106" i="4"/>
  <c r="P154" i="4"/>
  <c r="P41" i="4"/>
  <c r="P113" i="4"/>
  <c r="P19" i="4"/>
  <c r="P10" i="4"/>
  <c r="P83" i="4"/>
  <c r="P72" i="4"/>
  <c r="P124" i="4"/>
  <c r="P111" i="4"/>
  <c r="P31" i="4"/>
  <c r="P46" i="4"/>
  <c r="P93" i="4"/>
  <c r="P92" i="4"/>
  <c r="P86" i="4"/>
  <c r="P87" i="4"/>
  <c r="E34" i="2" a="1"/>
  <c r="E33" i="2" a="1"/>
  <c r="E32" i="2"/>
  <c r="E31" i="2"/>
  <c r="E30" i="2"/>
  <c r="E29" i="2"/>
  <c r="E28" i="2" a="1"/>
  <c r="E27" i="2" a="1"/>
  <c r="E26" i="2" a="1"/>
  <c r="E25" i="2"/>
  <c r="E23" i="2"/>
  <c r="E22" i="2"/>
  <c r="E21" i="2"/>
  <c r="E20" i="2"/>
  <c r="E17" i="2"/>
  <c r="L19" i="2"/>
  <c r="K19" i="2"/>
  <c r="J19" i="2"/>
  <c r="I19" i="2"/>
  <c r="E18" i="2"/>
  <c r="E16" i="2"/>
  <c r="E10" i="2"/>
  <c r="E15" i="2"/>
  <c r="E14" i="2"/>
  <c r="E13" i="2"/>
  <c r="E12" i="2"/>
  <c r="E11" i="2"/>
  <c r="E9" i="2"/>
  <c r="E8" i="2"/>
  <c r="C51" i="8"/>
  <c r="B51" i="8"/>
  <c r="C50" i="8"/>
  <c r="B50" i="8"/>
  <c r="C49" i="8"/>
  <c r="B49" i="8"/>
  <c r="C48" i="8"/>
  <c r="B48" i="8"/>
  <c r="C47" i="8"/>
  <c r="B47" i="8"/>
  <c r="F46" i="8"/>
  <c r="C46" i="8"/>
  <c r="B46" i="8"/>
  <c r="F45" i="8"/>
  <c r="C45" i="8"/>
  <c r="B45" i="8"/>
  <c r="F44" i="8"/>
  <c r="C44" i="8"/>
  <c r="B44" i="8"/>
  <c r="F43" i="8"/>
  <c r="C43" i="8"/>
  <c r="B43" i="8"/>
  <c r="D38" i="8"/>
  <c r="C38" i="8"/>
  <c r="B38" i="8"/>
  <c r="D37" i="8"/>
  <c r="C37" i="8"/>
  <c r="B37" i="8"/>
  <c r="D36" i="8"/>
  <c r="C36" i="8"/>
  <c r="B36" i="8"/>
  <c r="D35" i="8"/>
  <c r="C35" i="8"/>
  <c r="B35" i="8"/>
  <c r="B30" i="8"/>
  <c r="C29" i="8" s="1"/>
  <c r="B29" i="8"/>
  <c r="B28" i="8"/>
  <c r="B27" i="8"/>
  <c r="B26" i="8"/>
  <c r="E20" i="8"/>
  <c r="D20" i="8"/>
  <c r="C20" i="8"/>
  <c r="B20" i="8"/>
  <c r="E19" i="8"/>
  <c r="D19" i="8"/>
  <c r="C19" i="8"/>
  <c r="B19" i="8"/>
  <c r="D18" i="8"/>
  <c r="C18" i="8"/>
  <c r="B18" i="8"/>
  <c r="E18" i="8" s="1"/>
  <c r="E17" i="8"/>
  <c r="D17" i="8"/>
  <c r="C17" i="8"/>
  <c r="B17" i="8"/>
  <c r="E16" i="8"/>
  <c r="D16" i="8"/>
  <c r="C16" i="8"/>
  <c r="B16" i="8"/>
  <c r="D15" i="8"/>
  <c r="D21" i="8" s="1"/>
  <c r="C15" i="8"/>
  <c r="C21" i="8" s="1"/>
  <c r="B15" i="8"/>
  <c r="E15" i="8" s="1"/>
  <c r="E21" i="8" s="1"/>
  <c r="D10" i="8"/>
  <c r="E10" i="8" s="1"/>
  <c r="B10" i="8"/>
  <c r="C9" i="8" s="1"/>
  <c r="E9" i="8"/>
  <c r="D9" i="8"/>
  <c r="B9" i="8"/>
  <c r="D8" i="8"/>
  <c r="E8" i="8" s="1"/>
  <c r="C8" i="8"/>
  <c r="B8" i="8"/>
  <c r="D7" i="8"/>
  <c r="E7" i="8" s="1"/>
  <c r="C7" i="8"/>
  <c r="B7" i="8"/>
  <c r="E6" i="8"/>
  <c r="D6" i="8"/>
  <c r="B6" i="8"/>
  <c r="B36" i="6"/>
  <c r="B35" i="6"/>
  <c r="B34" i="6"/>
  <c r="B33" i="6"/>
  <c r="B32" i="6"/>
  <c r="B31" i="6"/>
  <c r="B30" i="6"/>
  <c r="B29" i="6"/>
  <c r="B28" i="6"/>
  <c r="B27" i="6"/>
  <c r="B26" i="6"/>
  <c r="B25" i="6"/>
  <c r="B24" i="6"/>
  <c r="B23" i="6"/>
  <c r="L156" i="4"/>
  <c r="I156" i="4"/>
  <c r="L154" i="4"/>
  <c r="L153" i="4"/>
  <c r="L152" i="4"/>
  <c r="L151" i="4"/>
  <c r="L150" i="4"/>
  <c r="L149" i="4"/>
  <c r="L148" i="4"/>
  <c r="L147" i="4"/>
  <c r="L146" i="4"/>
  <c r="L145" i="4"/>
  <c r="L144" i="4"/>
  <c r="L143" i="4"/>
  <c r="L142" i="4"/>
  <c r="L141" i="4"/>
  <c r="L140" i="4"/>
  <c r="L139" i="4"/>
  <c r="L138" i="4"/>
  <c r="L137" i="4"/>
  <c r="L136" i="4"/>
  <c r="L135" i="4"/>
  <c r="L134" i="4"/>
  <c r="L133" i="4"/>
  <c r="L132" i="4"/>
  <c r="L131" i="4"/>
  <c r="L130" i="4"/>
  <c r="L129" i="4"/>
  <c r="L128" i="4"/>
  <c r="L127" i="4"/>
  <c r="L126" i="4"/>
  <c r="L125" i="4"/>
  <c r="L124" i="4"/>
  <c r="L123" i="4"/>
  <c r="L122" i="4"/>
  <c r="L121" i="4"/>
  <c r="L120" i="4"/>
  <c r="L119" i="4"/>
  <c r="L118" i="4"/>
  <c r="L117" i="4"/>
  <c r="L116" i="4"/>
  <c r="L115" i="4"/>
  <c r="L114" i="4"/>
  <c r="L113" i="4"/>
  <c r="L112" i="4"/>
  <c r="L111" i="4"/>
  <c r="L110" i="4"/>
  <c r="L109" i="4"/>
  <c r="L108" i="4"/>
  <c r="L107" i="4"/>
  <c r="L106" i="4"/>
  <c r="L105" i="4"/>
  <c r="L104" i="4"/>
  <c r="L103" i="4"/>
  <c r="L102" i="4"/>
  <c r="L101" i="4"/>
  <c r="L100" i="4"/>
  <c r="L99" i="4"/>
  <c r="L98" i="4"/>
  <c r="L97" i="4"/>
  <c r="L96" i="4"/>
  <c r="L95" i="4"/>
  <c r="L94" i="4"/>
  <c r="L93" i="4"/>
  <c r="L92" i="4"/>
  <c r="L91" i="4"/>
  <c r="L90" i="4"/>
  <c r="L89" i="4"/>
  <c r="L88" i="4"/>
  <c r="L87" i="4"/>
  <c r="L86" i="4"/>
  <c r="L85" i="4"/>
  <c r="L84" i="4"/>
  <c r="L83" i="4"/>
  <c r="L82" i="4"/>
  <c r="L81" i="4"/>
  <c r="L80" i="4"/>
  <c r="L79" i="4"/>
  <c r="L78" i="4"/>
  <c r="L77" i="4"/>
  <c r="L76" i="4"/>
  <c r="L75" i="4"/>
  <c r="L74" i="4"/>
  <c r="L73" i="4"/>
  <c r="L72" i="4"/>
  <c r="L71" i="4"/>
  <c r="L70" i="4"/>
  <c r="L69" i="4"/>
  <c r="L68" i="4"/>
  <c r="L67" i="4"/>
  <c r="L66" i="4"/>
  <c r="L65" i="4"/>
  <c r="L64" i="4"/>
  <c r="L63" i="4"/>
  <c r="L62" i="4"/>
  <c r="L61" i="4"/>
  <c r="L60" i="4"/>
  <c r="L59" i="4"/>
  <c r="L58" i="4"/>
  <c r="L57" i="4"/>
  <c r="L56" i="4"/>
  <c r="L55" i="4"/>
  <c r="L54" i="4"/>
  <c r="L53" i="4"/>
  <c r="L52" i="4"/>
  <c r="L51" i="4"/>
  <c r="L50" i="4"/>
  <c r="L49" i="4"/>
  <c r="L48" i="4"/>
  <c r="L47" i="4"/>
  <c r="L46" i="4"/>
  <c r="L45" i="4"/>
  <c r="L44" i="4"/>
  <c r="L43" i="4"/>
  <c r="L42" i="4"/>
  <c r="L41" i="4"/>
  <c r="L40" i="4"/>
  <c r="L39" i="4"/>
  <c r="L3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L7" i="4"/>
  <c r="L6" i="4"/>
  <c r="L5" i="4"/>
  <c r="G3" i="2"/>
  <c r="B21" i="8" l="1"/>
  <c r="C6" i="8"/>
  <c r="C10" i="8" s="1"/>
  <c r="C26" i="8"/>
  <c r="C30" i="8" s="1"/>
  <c r="C27" i="8"/>
  <c r="C28"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<sst xmlns="http://schemas.openxmlformats.org/spreadsheetml/2006/main" count="2107" uniqueCount="519">
  <si>
    <t xml:space="preserve">  EXCEL HANDS-ON ASSESSMENT  •  40 QUESTIONS</t>
  </si>
  <si>
    <t xml:space="preserve">  Board pack  ·  Slice the book  ·  Join HR and product files  ·  Build scoreboards  ·  Read the charts  ·  Recommend a plan</t>
  </si>
  <si>
    <t>Purpose</t>
  </si>
  <si>
    <t>This workbook is a practical Excel test written the way work arrives on an analyst’s desk: a business question, a messy-enough file, and a number or recommendation due by end of day. The questions do not name the function. You decide whether the job needs a total, a filter, a lookup, a pivot, or a written read of a chart. Do not overwrite source data on the Data_* sheets. Type every answer into the yellow cells on 01_Questions. Use 02_Workspace for helper calculations and pivots.</t>
  </si>
  <si>
    <t>Test rules</t>
  </si>
  <si>
    <t>Suggested time</t>
  </si>
  <si>
    <t>90–120 minutes</t>
  </si>
  <si>
    <t>Total questions</t>
  </si>
  <si>
    <t>40</t>
  </si>
  <si>
    <t>Total marks</t>
  </si>
  <si>
    <t>100</t>
  </si>
  <si>
    <t>Pass guideline</t>
  </si>
  <si>
    <t>70 / 100 (trainers may set their own cut-off)</t>
  </si>
  <si>
    <t>Excel version</t>
  </si>
  <si>
    <t>Microsoft Excel 2021 / Microsoft 365 recommended (some directory lookups are easier on 365).</t>
  </si>
  <si>
    <t>Allowed aids</t>
  </si>
  <si>
    <t>This workbook only. No internet, no Copilot, no prior files.</t>
  </si>
  <si>
    <t>Rounding</t>
  </si>
  <si>
    <t>Currency to 2 decimals. Percentages to 1 decimal unless the question says otherwise. Correlation to 4 decimals.</t>
  </si>
  <si>
    <t>Lookups</t>
  </si>
  <si>
    <t>Match the exact product / person unless the ticket is a rate slab or band, where the next-lower threshold is the rule.</t>
  </si>
  <si>
    <t>Workbook map</t>
  </si>
  <si>
    <t>Sheet</t>
  </si>
  <si>
    <t>What it contains</t>
  </si>
  <si>
    <t>00_Instructions</t>
  </si>
  <si>
    <t>You are here. Read fully before starting.</t>
  </si>
  <si>
    <t>01_Questions</t>
  </si>
  <si>
    <t>All 40 questions. Yellow cells = your answers. Do not change question text.</t>
  </si>
  <si>
    <t>02_Workspace</t>
  </si>
  <si>
    <t>Blank working area. Build helper columns, pivots and the pivot chart here.</t>
  </si>
  <si>
    <t>Data_Sales</t>
  </si>
  <si>
    <t>150 sales orders (Jan–Jun 2025). Primary fact table. Table name: SalesData.</t>
  </si>
  <si>
    <t>Data_Products</t>
  </si>
  <si>
    <t>14-item product catalogue. Table name: Products. Use for price / cost lookups.</t>
  </si>
  <si>
    <t>Data_Employees</t>
  </si>
  <si>
    <t>14-row employee directory. Table name: Employees. Use for salary / manager lookups.</t>
  </si>
  <si>
    <t>Data_Targets</t>
  </si>
  <si>
    <t>Horizontal monthly targets (HLOOKUP / XLOOKUP). Commission slabs for approximate VLOOKUP.</t>
  </si>
  <si>
    <t>Data_Charts</t>
  </si>
  <si>
    <t>Pre-aggregated views plus four charts used in Q35–Q40. Do not delete the charts.</t>
  </si>
  <si>
    <t>03_Answer_Key</t>
  </si>
  <si>
    <t>Instructor use. Hide or delete this sheet before issuing the test.</t>
  </si>
  <si>
    <t>Question mix and marks</t>
  </si>
  <si>
    <t>Questions</t>
  </si>
  <si>
    <t>Theme</t>
  </si>
  <si>
    <t>What you will actually do</t>
  </si>
  <si>
    <t>Marks</t>
  </si>
  <si>
    <t>Q1–Q12</t>
  </si>
  <si>
    <t>Daily reporting</t>
  </si>
  <si>
    <t>Totals, averages, counts, one- and two-filter slices, rounding, a pass/fail flag, a date label, a slide title</t>
  </si>
  <si>
    <t>24</t>
  </si>
  <si>
    <t>Q13–Q18</t>
  </si>
  <si>
    <t>Shape of the numbers</t>
  </si>
  <si>
    <t>Typical vs average invoice, most common basket, spread, large-order cut-off, ranking, whether units and revenue actually move together</t>
  </si>
  <si>
    <t>12</t>
  </si>
  <si>
    <t>Q19–Q28</t>
  </si>
  <si>
    <t>Joining files</t>
  </si>
  <si>
    <t>Price from a product code, a junk code, a bonus slab, a target sitting across months, salary and manager from HR, a name that is not on payroll, cost from a product name</t>
  </si>
  <si>
    <t>28</t>
  </si>
  <si>
    <t>Q29–Q34</t>
  </si>
  <si>
    <t>Scoreboards</t>
  </si>
  <si>
    <t>Refreshable region, category×channel and rep views, a monthly grouping, a mix-of-total view, a meeting chart tied to the scoreboard</t>
  </si>
  <si>
    <t>18</t>
  </si>
  <si>
    <t>Q35–Q40</t>
  </si>
  <si>
    <t>What the charts are saying</t>
  </si>
  <si>
    <t>Read the four charts and write a recommendation a sales lead could act on</t>
  </si>
  <si>
    <t>Total</t>
  </si>
  <si>
    <t>How to answer</t>
  </si>
  <si>
    <t>1. Read the ticket and the Dataset hint. Source tables start at row 1 with headers. Nothing in the question will name SUMIF, VLOOKUP, XLOOKUP, and so on — that is the point.</t>
  </si>
  <si>
    <t>2. For number tickets, put a live formula in the yellow cell. A typed-in number that happens to be right scores half marks, because the file will be refreshed next month.</t>
  </si>
  <si>
    <t>3. For the scoreboard tickets (Q29–Q34), build the views on 02_Workspace at the labelled anchors, then type the resulting name or number into the yellow cell on 01_Questions.</t>
  </si>
  <si>
    <t>4. For the chart tickets (Q35–Q40), write 2–4 sentences. Marks are for a specific observation + a number from this file + what a manager should do with it.</t>
  </si>
  <si>
    <t>5. Lookups should survive a missing code or a missing employee without spilling #N/A onto a slide. Recover with a clean message when the ticket asks for one.</t>
  </si>
  <si>
    <t>6. Tables you may point at: SalesData, Products, Employees, Targets, Commission. Structured references or ordinary ranges are both fine.</t>
  </si>
  <si>
    <t>7. When you finish, every yellow cell on 01_Questions should be filled. Leave 03_Answer_Key alone if that sheet is in your file.</t>
  </si>
  <si>
    <t>Scoring notes for the assessor</t>
  </si>
  <si>
    <t>Award full marks if the yellow cell returns the correct value, even if the formula is written differently (e.g. SUMIFS vs SUMPRODUCT, XLOOKUP vs INDEX/MATCH). Deduct 50% of the question mark if the value is correct but hardcoded when a formula was required. For Q35–Q40 award 1 mark for a correct qualitative read, 1 mark for a cited number, 1 mark for a sensible action/implication. Model answers sit on 03_Answer_Key.</t>
  </si>
  <si>
    <t>Candidate details (fill before you start)</t>
  </si>
  <si>
    <t>Full name</t>
  </si>
  <si>
    <t>Employee / student ID</t>
  </si>
  <si>
    <t>Date</t>
  </si>
  <si>
    <t>Excel version used</t>
  </si>
  <si>
    <t>Good luck — start on 01_Questions. Build pivots on 02_Workspace. Read charts on Data_Charts.</t>
  </si>
  <si>
    <t xml:space="preserve">  QUESTION PAPER  •  TYPE EVERY ANSWER IN COLUMN F (YELLOW)</t>
  </si>
  <si>
    <t xml:space="preserve">  40 live analyst tickets  ·  100 marks  ·  Questions describe the business need, not the function. Choose the Excel approach yourself. Data sits on the Data_* sheets. Build pivots on 02_Workspace.</t>
  </si>
  <si>
    <t>Candidate name</t>
  </si>
  <si>
    <t>ID</t>
  </si>
  <si>
    <t>Assessor total</t>
  </si>
  <si>
    <t>Q#</t>
  </si>
  <si>
    <t>Question</t>
  </si>
  <si>
    <t>YOUR ANSWER</t>
  </si>
  <si>
    <t>Workings (optional)</t>
  </si>
  <si>
    <t>Marks given</t>
  </si>
  <si>
    <t>Reporting</t>
  </si>
  <si>
    <t>Finance is closing H1. They need the company’s total billed revenue from every order on the sales file — one number they can drop into the board pack.</t>
  </si>
  <si>
    <t>Ops wants a sense of typical basket size. What is the average number of units on an order across the whole book?</t>
  </si>
  <si>
    <t>The CRM team thinks some orders never landed in Excel. How many distinct orders are actually on the sales file?</t>
  </si>
  <si>
    <t>A key-account manager asked whether any single invoice is large enough to need extra credit approval. What is the highest revenue on one order? Note the Order ID in workings.</t>
  </si>
  <si>
    <t>The West regional head has been told her book is carrying the company. Pull West’s total revenue so she can take it into her weekly stand-up.</t>
  </si>
  <si>
    <t>Category management is reviewing assortment. How many orders included an Electronics item?</t>
  </si>
  <si>
    <t>The e-commerce lead suspects Online baskets are bulkier than store baskets. What is the average units per Online order?</t>
  </si>
  <si>
    <t>Marketing ran a North + Online campaign in Q1. How much revenue came from that exact slice (North region and Online channel together)?</t>
  </si>
  <si>
    <t>The CFO does not want paise in the headline KPI. Take the average revenue per order and report it as a whole-rupee figure.</t>
  </si>
  <si>
    <t>Leadership set a West H1 floor of ₹40,000. Flag the region as Hit if West revenue clears that floor, otherwise Miss. Put only Hit or Miss in the answer cell.</t>
  </si>
  <si>
    <t>Audit asked which calendar month the sales file starts in. From the first order date on Data_Sales, return the full month name (for example January).</t>
  </si>
  <si>
    <t>Comms needs a one-cell slide title: the leading region’s name followed by the words " leads revenue". Build that label in the answer cell.</t>
  </si>
  <si>
    <t>Distribution</t>
  </si>
  <si>
    <t>Average invoice is being skewed by a few large deals. What revenue sits in the middle of the order book if you line every order up from smallest to largest?</t>
  </si>
  <si>
    <t>Warehouse pick-faces are planned around the most common order quantity. Which units value appears most often on the sales file?</t>
  </si>
  <si>
    <t>Risk wants to know how widely invoice values swing around the average — the sample spread of revenue across these 150 orders, not the whole-population version.</t>
  </si>
  <si>
    <t>Credit wants a ‘large order’ cut-off: the revenue level that 75% of orders fall at or below.</t>
  </si>
  <si>
    <t>For the exception report, rank every order by revenue with the biggest invoice as rank 1. What rank does that biggest invoice receive?</t>
  </si>
  <si>
    <t>A junior analyst claimed ‘more units always means more revenue’. Measure how tightly units and revenue move together. Report the relationship to 4 decimal places.</t>
  </si>
  <si>
    <t>Join files</t>
  </si>
  <si>
    <t>A warehouse scan came back as product code EL-1001 with no price attached. Pull the catalogue list price from the product file so billing can raise the invoice.</t>
  </si>
  <si>
    <t>The same scan sometimes sends junk codes. Look up ZZ-9999 on the product file. If it is not a real product, the cell should read Not listed rather than an error.</t>
  </si>
  <si>
    <t>HR runs a simple slab bonus: find West’s total H1 revenue, then read the matching commission rate from the slab table on Data_Targets. Return the rate as a percentage.</t>
  </si>
  <si>
    <t>FP&amp;A laid monthly revenue targets out across the top of a grid (Jan in one column, Feb in the next, and so on). What revenue target was set for March?</t>
  </si>
  <si>
    <t>CX reviews NPS against a monthly target on that same horizontal grid. What NPS target was set for April?</t>
  </si>
  <si>
    <t>Payroll is checking a query from Priya Sharma. From the employee directory, what is her base salary?</t>
  </si>
  <si>
    <t>Ananya Roy appears on the sales file but HR is not sure she is on payroll. Look her up in the employee directory. If she is missing, return Contract associate so Finance can process her as a vendor.</t>
  </si>
  <si>
    <t>Karan Singh raised a grievance that has to go to his line manager. From the directory, return his manager’s employee ID. Resolve the manager’s name in workings if you want.</t>
  </si>
  <si>
    <t>Costing has a product name, not a code: Standing Desk. The cost column does not sit next to the name. Still return the unit cost from the catalogue.</t>
  </si>
  <si>
    <t>A pricing sheet is being rebuilt so anyone can type a product name and a field name. Using 27-inch Monitor as the product and UnitCost as the field, return that cost. In workings, also note gross margin (list price minus cost, over list price).</t>
  </si>
  <si>
    <t>Scoreboard</t>
  </si>
  <si>
    <t>Commercial wants a live region scoreboard they can refresh next month. On 02_Workspace (start near A5) build a PivotTable of revenue by region. Which region is ahead? Type the name.</t>
  </si>
  <si>
    <t>Category and channel owners keep arguing about who owns Furniture in Wholesale. On 02_Workspace (near A19) build a PivotTable with category down the side and channel across the top, revenue in the middle. What revenue sits at Furniture × Wholesale?</t>
  </si>
  <si>
    <t>The sales director wants a rep ladder: who sold the most, and how many orders they wrote. Build that PivotTable on 02_Workspace (near A35), biggest revenue at the top. Type the leading rep’s name; put their revenue in workings.</t>
  </si>
  <si>
    <t>Seasonality keeps surprising inventory. On 02_Workspace (near A53) put dates into a PivotTable and group them into months. Which month in H1 2025 did the most revenue? Type the month name.</t>
  </si>
  <si>
    <t>The CEO thinks in shares, not rupees. On 02_Workspace (near A69) build a region PivotTable that shows each region’s revenue as a percentage of the company total. What share does West hold? One decimal place.</t>
  </si>
  <si>
    <t>The Monday sales meeting is on a screen, not a grid. Turn one of your PivotTables into a PivotChart and place it on 02_Workspace near A83. In the answer cell, name the chart shape you chose and why it fits the comparison you are showing.</t>
  </si>
  <si>
    <t>Insight</t>
  </si>
  <si>
    <t>Look at Chart A on Data_Charts (revenue by region). Which region is ahead, and is that lead coming from more invoices, fatter invoices, or both? Cite at least one number from the table beside the chart.</t>
  </si>
  <si>
    <t>Charts B and B2 show the half-year by month and by channel. Which month peaked and which month was quietest? In the peak month, which channel actually did the heavy lifting?</t>
  </si>
  <si>
    <t>Chart C splits revenue by category. Which category carries the book, and roughly what share is that? Why would a pie of order-count tell a different story from this revenue pie?</t>
  </si>
  <si>
    <t>Chart D is category revenue split by channel. Name the engine combination and the weak combination. Recommend one commercial move the team should make next quarter.</t>
  </si>
  <si>
    <t>Hold Chart A against the average-discount table at Data_Charts E42:F46. Does the region that discounts the most also make the most revenue? What does that say about whether discounting is buying growth?</t>
  </si>
  <si>
    <t>Write three actions for the H2 2025 sales plan. Each action must point at a finding from this file (a region, a month, a category, a channel, a discount pattern, or a salesperson). Number them 1 / 2 / 3.</t>
  </si>
  <si>
    <t>End of question paper. Check every yellow cell. Pivots and the pivot chart must exist on 02_Workspace to score Q29–Q34.</t>
  </si>
  <si>
    <t>Marking reminder: a different formula that returns the same value scores full marks. Hardcoded numbers where a formula was asked score half. Interpretation answers must cite a figure from this workbook.</t>
  </si>
  <si>
    <t xml:space="preserve">  CANDIDATE WORKSPACE  •  HELPERS, PIVOTS, PIVOT CHART</t>
  </si>
  <si>
    <t xml:space="preserve">  Build every pivot and the pivot chart on this sheet. Suggested anchors are marked below. You may add helper columns anywhere to the right of column L.</t>
  </si>
  <si>
    <t>Q29  ·  Region scoreboard. Start a PivotTable at A5. Commercial want revenue by region, refreshable.</t>
  </si>
  <si>
    <t>Scratch / helper formulas</t>
  </si>
  <si>
    <t>Q30  ·  Category × channel grid. Start a PivotTable at A19 so Furniture / Wholesale is a single readable cell.</t>
  </si>
  <si>
    <t>Q31  ·  Rep ladder. Start a PivotTable at A35. Rank people by revenue; keep order count visible.</t>
  </si>
  <si>
    <t>Q32  ·  Seasonality. Start a PivotTable at A53 and group the date field into months.</t>
  </si>
  <si>
    <t>Q33  ·  Mix, not rupees. Start a PivotTable at A69. Show each region as a share of company revenue.</t>
  </si>
  <si>
    <t>Q34  ·  Meeting chart. Build a PivotChart from Q29 or Q30 and park it near A83.</t>
  </si>
  <si>
    <t xml:space="preserve">  SALES TRANSACTIONS  •  JANUARY–JUNE 2025</t>
  </si>
  <si>
    <t xml:space="preserve">  150 orders  ·  Table name: SalesData  ·  Revenue column is a formula (Units × UnitPrice × (1 − DiscountPct)). Do not sort this sheet in a way that breaks your answer formulas; copy to 02_Workspace if you need a custom sort.</t>
  </si>
  <si>
    <t>OrderID</t>
  </si>
  <si>
    <t>Region</t>
  </si>
  <si>
    <t>City</t>
  </si>
  <si>
    <t>SalesRep</t>
  </si>
  <si>
    <t>ProductCode</t>
  </si>
  <si>
    <t>Product</t>
  </si>
  <si>
    <t>Category</t>
  </si>
  <si>
    <t>Units</t>
  </si>
  <si>
    <t>UnitPrice</t>
  </si>
  <si>
    <t>DiscountPct</t>
  </si>
  <si>
    <t>Revenue</t>
  </si>
  <si>
    <t>Channel</t>
  </si>
  <si>
    <t>CustomerType</t>
  </si>
  <si>
    <t>Segment</t>
  </si>
  <si>
    <t>ORD-5001</t>
  </si>
  <si>
    <t>North</t>
  </si>
  <si>
    <t>Delhi</t>
  </si>
  <si>
    <t>Priya Sharma</t>
  </si>
  <si>
    <t>FN-2002</t>
  </si>
  <si>
    <t>Standing Desk</t>
  </si>
  <si>
    <t>Furniture</t>
  </si>
  <si>
    <t>Online</t>
  </si>
  <si>
    <t>Returning</t>
  </si>
  <si>
    <t>Enterprise</t>
  </si>
  <si>
    <t>ORD-5002</t>
  </si>
  <si>
    <t>West</t>
  </si>
  <si>
    <t>Pune</t>
  </si>
  <si>
    <t>Sofia Dsouza</t>
  </si>
  <si>
    <t>OS-3001</t>
  </si>
  <si>
    <t>A4 Paper Ream</t>
  </si>
  <si>
    <t>Office Supplies</t>
  </si>
  <si>
    <t>Consumer</t>
  </si>
  <si>
    <t>ORD-5003</t>
  </si>
  <si>
    <t>East</t>
  </si>
  <si>
    <t>Lucknow</t>
  </si>
  <si>
    <t>Mohit Gupta</t>
  </si>
  <si>
    <t>Retail</t>
  </si>
  <si>
    <t>ORD-5004</t>
  </si>
  <si>
    <t>Mumbai</t>
  </si>
  <si>
    <t>Rahul Mehta</t>
  </si>
  <si>
    <t>EL-1003</t>
  </si>
  <si>
    <t>USB-C Hub</t>
  </si>
  <si>
    <t>Electronics</t>
  </si>
  <si>
    <t>New</t>
  </si>
  <si>
    <t>ORD-5005</t>
  </si>
  <si>
    <t>EL-1002</t>
  </si>
  <si>
    <t>Wireless Mouse</t>
  </si>
  <si>
    <t>Wholesale</t>
  </si>
  <si>
    <t>SMB</t>
  </si>
  <si>
    <t>ORD-5006</t>
  </si>
  <si>
    <t>South</t>
  </si>
  <si>
    <t>Hyderabad</t>
  </si>
  <si>
    <t>Neha Reddy</t>
  </si>
  <si>
    <t>FN-2001</t>
  </si>
  <si>
    <t>Executive Chair</t>
  </si>
  <si>
    <t>ORD-5007</t>
  </si>
  <si>
    <t>ORD-5008</t>
  </si>
  <si>
    <t>EL-1004</t>
  </si>
  <si>
    <t>27-inch Monitor</t>
  </si>
  <si>
    <t>ORD-5009</t>
  </si>
  <si>
    <t>Kolkata</t>
  </si>
  <si>
    <t>Ananya Roy</t>
  </si>
  <si>
    <t>EL-1001</t>
  </si>
  <si>
    <t>Laptop Pro 14</t>
  </si>
  <si>
    <t>ORD-5010</t>
  </si>
  <si>
    <t>ORD-5011</t>
  </si>
  <si>
    <t>ORD-5012</t>
  </si>
  <si>
    <t>ORD-5013</t>
  </si>
  <si>
    <t>AP-4001</t>
  </si>
  <si>
    <t>Polo Shirt</t>
  </si>
  <si>
    <t>Apparel</t>
  </si>
  <si>
    <t>ORD-5014</t>
  </si>
  <si>
    <t>Ahmedabad</t>
  </si>
  <si>
    <t>Vikram Patel</t>
  </si>
  <si>
    <t>ORD-5015</t>
  </si>
  <si>
    <t>Key Account</t>
  </si>
  <si>
    <t>ORD-5016</t>
  </si>
  <si>
    <t>AP-4002</t>
  </si>
  <si>
    <t>Zip Hoodie</t>
  </si>
  <si>
    <t>ORD-5017</t>
  </si>
  <si>
    <t>Bengaluru</t>
  </si>
  <si>
    <t>Arjun Nair</t>
  </si>
  <si>
    <t>ORD-5018</t>
  </si>
  <si>
    <t>ORD-5019</t>
  </si>
  <si>
    <t>FN-2003</t>
  </si>
  <si>
    <t>Bookshelf Oak</t>
  </si>
  <si>
    <t>ORD-5020</t>
  </si>
  <si>
    <t>ORD-5021</t>
  </si>
  <si>
    <t>OS-3003</t>
  </si>
  <si>
    <t>Ink Cartridge BK</t>
  </si>
  <si>
    <t>ORD-5022</t>
  </si>
  <si>
    <t>Jaipur</t>
  </si>
  <si>
    <t>Karan Singh</t>
  </si>
  <si>
    <t>EL-1005</t>
  </si>
  <si>
    <t>Mechanical Keyboard</t>
  </si>
  <si>
    <t>ORD-5023</t>
  </si>
  <si>
    <t>ORD-5024</t>
  </si>
  <si>
    <t>ORD-5025</t>
  </si>
  <si>
    <t>ORD-5026</t>
  </si>
  <si>
    <t>ORD-5027</t>
  </si>
  <si>
    <t>ORD-5028</t>
  </si>
  <si>
    <t>ORD-5029</t>
  </si>
  <si>
    <t>ORD-5030</t>
  </si>
  <si>
    <t>ORD-5031</t>
  </si>
  <si>
    <t>ORD-5032</t>
  </si>
  <si>
    <t>ORD-5033</t>
  </si>
  <si>
    <t>ORD-5034</t>
  </si>
  <si>
    <t>ORD-5035</t>
  </si>
  <si>
    <t>ORD-5036</t>
  </si>
  <si>
    <t>ORD-5037</t>
  </si>
  <si>
    <t>ORD-5038</t>
  </si>
  <si>
    <t>ORD-5039</t>
  </si>
  <si>
    <t>ORD-5040</t>
  </si>
  <si>
    <t>ORD-5041</t>
  </si>
  <si>
    <t>ORD-5042</t>
  </si>
  <si>
    <t>ORD-5043</t>
  </si>
  <si>
    <t>ORD-5044</t>
  </si>
  <si>
    <t>ORD-5045</t>
  </si>
  <si>
    <t>ORD-5046</t>
  </si>
  <si>
    <t>ORD-5047</t>
  </si>
  <si>
    <t>ORD-5048</t>
  </si>
  <si>
    <t>ORD-5049</t>
  </si>
  <si>
    <t>ORD-5050</t>
  </si>
  <si>
    <t>ORD-5051</t>
  </si>
  <si>
    <t>ORD-5052</t>
  </si>
  <si>
    <t>ORD-5053</t>
  </si>
  <si>
    <t>ORD-5054</t>
  </si>
  <si>
    <t>ORD-5055</t>
  </si>
  <si>
    <t>ORD-5056</t>
  </si>
  <si>
    <t>ORD-5057</t>
  </si>
  <si>
    <t>ORD-5058</t>
  </si>
  <si>
    <t>ORD-5059</t>
  </si>
  <si>
    <t>ORD-5060</t>
  </si>
  <si>
    <t>ORD-5061</t>
  </si>
  <si>
    <t>ORD-5062</t>
  </si>
  <si>
    <t>ORD-5063</t>
  </si>
  <si>
    <t>ORD-5064</t>
  </si>
  <si>
    <t>ORD-5065</t>
  </si>
  <si>
    <t>ORD-5066</t>
  </si>
  <si>
    <t>ORD-5067</t>
  </si>
  <si>
    <t>ORD-5068</t>
  </si>
  <si>
    <t>AP-4003</t>
  </si>
  <si>
    <t>Cap Classic</t>
  </si>
  <si>
    <t>ORD-5069</t>
  </si>
  <si>
    <t>ORD-5070</t>
  </si>
  <si>
    <t>ORD-5071</t>
  </si>
  <si>
    <t>ORD-5072</t>
  </si>
  <si>
    <t>ORD-5073</t>
  </si>
  <si>
    <t>OS-3002</t>
  </si>
  <si>
    <t>Stapler Set</t>
  </si>
  <si>
    <t>ORD-5074</t>
  </si>
  <si>
    <t>ORD-5075</t>
  </si>
  <si>
    <t>ORD-5076</t>
  </si>
  <si>
    <t>ORD-5077</t>
  </si>
  <si>
    <t>ORD-5078</t>
  </si>
  <si>
    <t>ORD-5079</t>
  </si>
  <si>
    <t>ORD-5080</t>
  </si>
  <si>
    <t>ORD-5081</t>
  </si>
  <si>
    <t>ORD-5082</t>
  </si>
  <si>
    <t>ORD-5083</t>
  </si>
  <si>
    <t>ORD-5084</t>
  </si>
  <si>
    <t>ORD-5085</t>
  </si>
  <si>
    <t>ORD-5086</t>
  </si>
  <si>
    <t>ORD-5087</t>
  </si>
  <si>
    <t>ORD-5088</t>
  </si>
  <si>
    <t>ORD-5089</t>
  </si>
  <si>
    <t>ORD-5090</t>
  </si>
  <si>
    <t>ORD-5091</t>
  </si>
  <si>
    <t>ORD-5092</t>
  </si>
  <si>
    <t>ORD-5093</t>
  </si>
  <si>
    <t>ORD-5094</t>
  </si>
  <si>
    <t>ORD-5095</t>
  </si>
  <si>
    <t>ORD-5096</t>
  </si>
  <si>
    <t>ORD-5097</t>
  </si>
  <si>
    <t>ORD-5098</t>
  </si>
  <si>
    <t>ORD-5099</t>
  </si>
  <si>
    <t>ORD-5100</t>
  </si>
  <si>
    <t>ORD-5101</t>
  </si>
  <si>
    <t>ORD-5102</t>
  </si>
  <si>
    <t>ORD-5103</t>
  </si>
  <si>
    <t>ORD-5104</t>
  </si>
  <si>
    <t>ORD-5105</t>
  </si>
  <si>
    <t>ORD-5106</t>
  </si>
  <si>
    <t>ORD-5107</t>
  </si>
  <si>
    <t>ORD-5108</t>
  </si>
  <si>
    <t>ORD-5109</t>
  </si>
  <si>
    <t>ORD-5110</t>
  </si>
  <si>
    <t>ORD-5111</t>
  </si>
  <si>
    <t>ORD-5112</t>
  </si>
  <si>
    <t>ORD-5113</t>
  </si>
  <si>
    <t>ORD-5114</t>
  </si>
  <si>
    <t>ORD-5115</t>
  </si>
  <si>
    <t>ORD-5116</t>
  </si>
  <si>
    <t>ORD-5117</t>
  </si>
  <si>
    <t>ORD-5118</t>
  </si>
  <si>
    <t>ORD-5119</t>
  </si>
  <si>
    <t>ORD-5120</t>
  </si>
  <si>
    <t>ORD-5121</t>
  </si>
  <si>
    <t>ORD-5122</t>
  </si>
  <si>
    <t>ORD-5123</t>
  </si>
  <si>
    <t>ORD-5124</t>
  </si>
  <si>
    <t>ORD-5125</t>
  </si>
  <si>
    <t>ORD-5126</t>
  </si>
  <si>
    <t>ORD-5127</t>
  </si>
  <si>
    <t>ORD-5128</t>
  </si>
  <si>
    <t>ORD-5129</t>
  </si>
  <si>
    <t>ORD-5130</t>
  </si>
  <si>
    <t>ORD-5131</t>
  </si>
  <si>
    <t>ORD-5132</t>
  </si>
  <si>
    <t>ORD-5133</t>
  </si>
  <si>
    <t>ORD-5134</t>
  </si>
  <si>
    <t>ORD-5135</t>
  </si>
  <si>
    <t>ORD-5136</t>
  </si>
  <si>
    <t>ORD-5137</t>
  </si>
  <si>
    <t>ORD-5138</t>
  </si>
  <si>
    <t>ORD-5139</t>
  </si>
  <si>
    <t>ORD-5140</t>
  </si>
  <si>
    <t>ORD-5141</t>
  </si>
  <si>
    <t>ORD-5142</t>
  </si>
  <si>
    <t>ORD-5143</t>
  </si>
  <si>
    <t>ORD-5144</t>
  </si>
  <si>
    <t>ORD-5145</t>
  </si>
  <si>
    <t>ORD-5146</t>
  </si>
  <si>
    <t>ORD-5147</t>
  </si>
  <si>
    <t>ORD-5148</t>
  </si>
  <si>
    <t>ORD-5149</t>
  </si>
  <si>
    <t>ORD-5150</t>
  </si>
  <si>
    <t>Check totals (formulas)</t>
  </si>
  <si>
    <t xml:space="preserve">  PRODUCT CATALOGUE</t>
  </si>
  <si>
    <t xml:space="preserve">  Lookup dimension  ·  Table name: Products  ·  Do not insert / delete rows inside the table during the test.</t>
  </si>
  <si>
    <t>ProductName</t>
  </si>
  <si>
    <t>ListPrice</t>
  </si>
  <si>
    <t>UnitCost</t>
  </si>
  <si>
    <t>Supplier</t>
  </si>
  <si>
    <t>Warehouse</t>
  </si>
  <si>
    <t>NovaTech</t>
  </si>
  <si>
    <t>WH-A</t>
  </si>
  <si>
    <t>WH-B</t>
  </si>
  <si>
    <t>ViewMax</t>
  </si>
  <si>
    <t>SitWell</t>
  </si>
  <si>
    <t>WH-C</t>
  </si>
  <si>
    <t>Woodline</t>
  </si>
  <si>
    <t>PaperCo</t>
  </si>
  <si>
    <t>WH-D</t>
  </si>
  <si>
    <t>InkPro</t>
  </si>
  <si>
    <t>ThreadCo</t>
  </si>
  <si>
    <t>WH-E</t>
  </si>
  <si>
    <t>Notes for lookups</t>
  </si>
  <si>
    <t>ProductCode is unique. ProductName is also unique in this file. ListPrice is the catalogue price used on every sales order. UnitCost is used when costing asks for margin. Names and codes are both valid ways in; pick what the ticket gives you.</t>
  </si>
  <si>
    <t xml:space="preserve">  EMPLOYEE DIRECTORY</t>
  </si>
  <si>
    <t xml:space="preserve">  Lookup dimension  ·  Table name: Employees  ·  ManagerID is blank for department heads.</t>
  </si>
  <si>
    <t>EmpID</t>
  </si>
  <si>
    <t>FullName</t>
  </si>
  <si>
    <t>Department</t>
  </si>
  <si>
    <t>JobTitle</t>
  </si>
  <si>
    <t>ManagerID</t>
  </si>
  <si>
    <t>BaseSalary</t>
  </si>
  <si>
    <t>Location</t>
  </si>
  <si>
    <t>PerformanceScore</t>
  </si>
  <si>
    <t>JoinDate</t>
  </si>
  <si>
    <t>E101</t>
  </si>
  <si>
    <t>Aisha Khan</t>
  </si>
  <si>
    <t>Sales</t>
  </si>
  <si>
    <t>Regional Manager</t>
  </si>
  <si>
    <t>E102</t>
  </si>
  <si>
    <t>Sales Executive</t>
  </si>
  <si>
    <t>E103</t>
  </si>
  <si>
    <t>E104</t>
  </si>
  <si>
    <t>E105</t>
  </si>
  <si>
    <t>E106</t>
  </si>
  <si>
    <t>E107</t>
  </si>
  <si>
    <t>E108</t>
  </si>
  <si>
    <t>E201</t>
  </si>
  <si>
    <t>Meera Iyer</t>
  </si>
  <si>
    <t>Finance</t>
  </si>
  <si>
    <t>Finance Manager</t>
  </si>
  <si>
    <t>E202</t>
  </si>
  <si>
    <t>Dev Malhotra</t>
  </si>
  <si>
    <t>Analyst</t>
  </si>
  <si>
    <t>E301</t>
  </si>
  <si>
    <t>Anita Bose</t>
  </si>
  <si>
    <t>Operations</t>
  </si>
  <si>
    <t>Ops Manager</t>
  </si>
  <si>
    <t>E302</t>
  </si>
  <si>
    <t>Farhan Qureshi</t>
  </si>
  <si>
    <t>Coordinator</t>
  </si>
  <si>
    <t>E401</t>
  </si>
  <si>
    <t>Leena Joseph</t>
  </si>
  <si>
    <t>HR</t>
  </si>
  <si>
    <t>HR Manager</t>
  </si>
  <si>
    <t>E402</t>
  </si>
  <si>
    <t>Rohit Das</t>
  </si>
  <si>
    <t>HR Executive</t>
  </si>
  <si>
    <t>Helper: Manager name (optional — you may also look this up yourself)</t>
  </si>
  <si>
    <t>PerformanceScore is on a 1–5 scale. Ananya Roy and Mohit Gupta appear on the sales file but are contract / regional associates — they are intentionally absent from this directory.</t>
  </si>
  <si>
    <t>ManagerName</t>
  </si>
  <si>
    <t xml:space="preserve">  MONTHLY TARGETS  +  COMMISSION SLABS</t>
  </si>
  <si>
    <t xml:space="preserve">  Monthly targets sit across columns  ·  Table name: Targets  ·  Bonus slabs sit in Commission (sorted low → high)</t>
  </si>
  <si>
    <t>Metric</t>
  </si>
  <si>
    <t>Jan</t>
  </si>
  <si>
    <t>Feb</t>
  </si>
  <si>
    <t>Mar</t>
  </si>
  <si>
    <t>Apr</t>
  </si>
  <si>
    <t>May</t>
  </si>
  <si>
    <t>Jun</t>
  </si>
  <si>
    <t>Revenue Target</t>
  </si>
  <si>
    <t>Units Target</t>
  </si>
  <si>
    <t>Return Rate Cap</t>
  </si>
  <si>
    <t>NPS Target</t>
  </si>
  <si>
    <t>Commission slabs  (find the highest threshold that the executive’s sales still clear, then take that rate)</t>
  </si>
  <si>
    <t>Find the largest threshold ≤ the sales executive’s year-to-June revenue, then return the rate.</t>
  </si>
  <si>
    <t>MinSales</t>
  </si>
  <si>
    <t>CommissionRate</t>
  </si>
  <si>
    <t>Example: revenue of ₹61,000 sits in the ₹50,000 slab and earns 4.5%. Keep the thresholds sorted ascending. The ticket is a banded rate, not an exact amount match.</t>
  </si>
  <si>
    <t>Month number helper (optional)</t>
  </si>
  <si>
    <t>MonthNum</t>
  </si>
  <si>
    <t>Month</t>
  </si>
  <si>
    <t xml:space="preserve">  CHART PACK FOR INTERPRETATION  (Q35–Q40)</t>
  </si>
  <si>
    <t xml:space="preserve">  Four charts sit on this sheet. Underlying numbers are formula-driven from SalesData so they stay in sync. Do not delete the charts.</t>
  </si>
  <si>
    <t>Chart A source — Revenue by Region</t>
  </si>
  <si>
    <t>Share</t>
  </si>
  <si>
    <t>Orders</t>
  </si>
  <si>
    <t>Avg Order Value</t>
  </si>
  <si>
    <t>Chart B source — Monthly revenue by Channel</t>
  </si>
  <si>
    <t>Chart C source — Revenue by Category</t>
  </si>
  <si>
    <t>Chart D source — Revenue by Category × Channel</t>
  </si>
  <si>
    <t>Reference — SalesRep leaderboard (not charted; useful when checking Q31)</t>
  </si>
  <si>
    <t>Avg discount by Region</t>
  </si>
  <si>
    <t>Avg Discount</t>
  </si>
  <si>
    <t>How to use this sheet: Q35–Q40 refer to Charts A, B / B2, C and D by letter. Read the visual first, then confirm the number from the source tables on the left if needed. A good insight names the comparison, cites a figure, and states what a manager should do next.</t>
  </si>
  <si>
    <t>sum</t>
  </si>
  <si>
    <t>avg</t>
  </si>
  <si>
    <t>max</t>
  </si>
  <si>
    <t>sumif</t>
  </si>
  <si>
    <t>countif</t>
  </si>
  <si>
    <t>AVERAGEIF()</t>
  </si>
  <si>
    <t>SUMIFS()</t>
  </si>
  <si>
    <t>counta</t>
  </si>
  <si>
    <t>AVERAGE()</t>
  </si>
  <si>
    <t>if + sumif</t>
  </si>
  <si>
    <t>Mode</t>
  </si>
  <si>
    <t>Median</t>
  </si>
  <si>
    <t>STDEV.S()</t>
  </si>
  <si>
    <t>PERCENTILE.INC()</t>
  </si>
  <si>
    <t>CORREL()</t>
  </si>
  <si>
    <t>Badal Pradip Lad</t>
  </si>
  <si>
    <t>29-Aug-20206</t>
  </si>
  <si>
    <t>XLOOKUP()</t>
  </si>
  <si>
    <t>XLOOKUP() + sumif()</t>
  </si>
  <si>
    <t>HLOOKUP()</t>
  </si>
  <si>
    <t>VLOOKUP()</t>
  </si>
  <si>
    <t>IFERROR(VLOOKUP())</t>
  </si>
  <si>
    <t>xlookup()</t>
  </si>
  <si>
    <t>Row Labels</t>
  </si>
  <si>
    <t>Grand Total</t>
  </si>
  <si>
    <t>Sum of Revenue</t>
  </si>
  <si>
    <t>Column Labels</t>
  </si>
  <si>
    <t>Count of OrderID</t>
  </si>
  <si>
    <t>March</t>
  </si>
  <si>
    <t>Sum of Revenue2</t>
  </si>
  <si>
    <t>Column Chart — it clearly compares revenue across categories/regions, making the highest value easy to spot.</t>
  </si>
  <si>
    <t>March peaked, January was quietest, and Retail did the heavy lifting in March.</t>
  </si>
  <si>
    <t>Electronics = 46%</t>
  </si>
  <si>
    <t>Electronics + Online - ₹35,120.08 and Apparel + Wholesale - ₹764.06</t>
  </si>
  <si>
    <t>Yes, West region, most revenue.</t>
  </si>
  <si>
    <t>Focus more on West – West made the most money, so give it more attention.
Prepare for strong months like March – March had the highest sales, so plan more stock and promotions for busy periods.
Focus on Electronics – Electronics sold the most, so try to sell more of these products through the best-performing channels.</t>
  </si>
  <si>
    <t>Helper</t>
  </si>
  <si>
    <t>rank -&gt; helper column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</si>
</sst>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
    <numFmt numFmtId="165" formatCode="0.0000"/>
    <numFmt numFmtId="166" formatCode="0.0%"/>
    <numFmt numFmtId="167" formatCode="dd\-mmm\-yyyy"/>
    <numFmt numFmtId="168" formatCode="\₹#,##0"/>
    <numFmt numFmtId="169" formatCode="0.0"/>
    <numFmt numFmtId="170" formatCode="&quot;₹&quot;\ #,##0.00"/>
    <numFmt numFmtId="171" formatCode="[$-F800]dddd\,\ mmmm\ dd\,\ yyyy"/>
  </numFmts>
  <fonts count="29" x14ac:knownFonts="1">
    <font>
      <sz val="11"/>
      <color theme="1"/>
      <name val="Calibri"/>
      <family val="2"/>
      <charset val="1"/>
    </font>
    <font>
      <b/>
      <sz val="18"/>
      <color rgb="FFFFFFFF"/>
      <name val="Arial"/>
      <family val="2"/>
    </font>
    <font>
      <b/>
      <sz val="13"/>
      <color rgb="FF1B4F72"/>
      <name val="Arial"/>
      <family val="2"/>
    </font>
    <font>
      <sz val="10"/>
      <color rgb="FF000000"/>
      <name val="Arial"/>
      <family val="2"/>
    </font>
    <font>
      <b/>
      <sz val="10"/>
      <color rgb="FF000000"/>
      <name val="Arial"/>
      <family val="2"/>
    </font>
    <font>
      <b/>
      <sz val="10"/>
      <color rgb="FFFFFFFF"/>
      <name val="Arial"/>
      <family val="2"/>
    </font>
    <font>
      <b/>
      <sz val="10"/>
      <color rgb="FF1B4F72"/>
      <name val="Arial"/>
      <family val="2"/>
    </font>
    <font>
      <b/>
      <sz val="11"/>
      <color rgb="FFFFFFFF"/>
      <name val="Arial"/>
      <family val="2"/>
    </font>
    <font>
      <b/>
      <sz val="16"/>
      <color rgb="FFFFFFFF"/>
      <name val="Arial"/>
      <family val="2"/>
    </font>
    <font>
      <sz val="9"/>
      <color rgb="FFFFFFFF"/>
      <name val="Arial"/>
      <family val="2"/>
    </font>
    <font>
      <b/>
      <sz val="9"/>
      <color rgb="FF000000"/>
      <name val="Arial"/>
      <family val="2"/>
    </font>
    <font>
      <b/>
      <sz val="9"/>
      <color rgb="FFFFFFFF"/>
      <name val="Arial"/>
      <family val="2"/>
    </font>
    <font>
      <b/>
      <sz val="12"/>
      <color rgb="FF1B4F72"/>
      <name val="Arial"/>
      <family val="2"/>
    </font>
    <font>
      <sz val="9"/>
      <color rgb="FF000000"/>
      <name val="Arial"/>
      <family val="2"/>
    </font>
    <font>
      <i/>
      <sz val="9"/>
      <color rgb="FF000000"/>
      <name val="Arial"/>
      <family val="2"/>
    </font>
    <font>
      <b/>
      <sz val="14"/>
      <color rgb="FFFFFFFF"/>
      <name val="Arial"/>
      <family val="2"/>
    </font>
    <font>
      <b/>
      <sz val="9"/>
      <color rgb="FF1B4F72"/>
      <name val="Arial"/>
      <family val="2"/>
    </font>
    <font>
      <b/>
      <sz val="11"/>
      <color rgb="FF1B4F72"/>
      <name val="Arial"/>
      <family val="2"/>
    </font>
    <font>
      <sz val="9"/>
      <color rgb="FFFFFFFF"/>
      <name val="Arial"/>
      <family val="2"/>
    </font>
    <font>
      <sz val="9"/>
      <color rgb="FF000000"/>
      <name val="Arial"/>
      <family val="2"/>
    </font>
    <font>
      <sz val="10"/>
      <color rgb="FF000000"/>
      <name val="Arial"/>
      <family val="2"/>
    </font>
    <font>
      <b/>
      <sz val="10"/>
      <color rgb="FF1B4F72"/>
      <name val="Arial"/>
      <family val="2"/>
    </font>
    <font>
      <b/>
      <sz val="10"/>
      <name val="Arial"/>
      <family val="2"/>
    </font>
    <font>
      <sz val="10"/>
      <name val="Arial"/>
      <family val="2"/>
    </font>
    <font>
      <b/>
      <sz val="10"/>
      <color rgb="FFFFFFFF"/>
      <name val="Arial"/>
      <family val="2"/>
    </font>
    <font>
      <sz val="10"/>
      <color rgb="FFFFFFFF"/>
      <name val="Arial"/>
      <family val="2"/>
    </font>
    <font>
      <b/>
      <sz val="11"/>
      <color rgb="FF1B4F72"/>
      <name val="Arial"/>
      <family val="2"/>
    </font>
    <font>
      <sz val="9"/>
      <name val="Arial"/>
      <family val="2"/>
    </font>
    <font>
      <b/>
      <sz val="14"/>
      <color theme="1"/>
      <name val="Calibri"/>
      <family val="2"/>
    </font>
  </fonts>
  <fills count="17">
    <fill>
      <patternFill patternType="none"/>
    </fill>
    <fill>
      <patternFill patternType="gray125"/>
    </fill>
    <fill>
      <patternFill patternType="solid">
        <fgColor rgb="FF1B4F72"/>
        <bgColor rgb="FF1A5276"/>
      </patternFill>
    </fill>
    <fill>
      <patternFill patternType="solid">
        <fgColor rgb="FF154360"/>
        <bgColor rgb="FF1B4F72"/>
      </patternFill>
    </fill>
    <fill>
      <patternFill patternType="solid">
        <fgColor rgb="FFD6EAF8"/>
        <bgColor rgb="FFD5F5E3"/>
      </patternFill>
    </fill>
    <fill>
      <patternFill patternType="solid">
        <fgColor rgb="FF0E6655"/>
        <bgColor rgb="FF1A5276"/>
      </patternFill>
    </fill>
    <fill>
      <patternFill patternType="solid">
        <fgColor rgb="FFF4F6F7"/>
        <bgColor rgb="FFF9F9F9"/>
      </patternFill>
    </fill>
    <fill>
      <patternFill patternType="solid">
        <fgColor rgb="FFFFFFFF"/>
        <bgColor rgb="FFF9F9F9"/>
      </patternFill>
    </fill>
    <fill>
      <patternFill patternType="solid">
        <fgColor rgb="FF1A5276"/>
        <bgColor rgb="FF1B4F72"/>
      </patternFill>
    </fill>
    <fill>
      <patternFill patternType="solid">
        <fgColor rgb="FFD5F5E3"/>
        <bgColor rgb="FFD6EAF8"/>
      </patternFill>
    </fill>
    <fill>
      <patternFill patternType="solid">
        <fgColor rgb="FFFAD7A0"/>
        <bgColor rgb="FFF5CBA7"/>
      </patternFill>
    </fill>
    <fill>
      <patternFill patternType="solid">
        <fgColor rgb="FFFFF3CD"/>
        <bgColor rgb="FFFDEDEC"/>
      </patternFill>
    </fill>
    <fill>
      <patternFill patternType="solid">
        <fgColor rgb="FFEAF2F8"/>
        <bgColor rgb="FFF4F6F7"/>
      </patternFill>
    </fill>
    <fill>
      <patternFill patternType="solid">
        <fgColor rgb="FFE8DAEF"/>
        <bgColor rgb="FFD9D9D9"/>
      </patternFill>
    </fill>
    <fill>
      <patternFill patternType="solid">
        <fgColor rgb="FFF5CBA7"/>
        <bgColor rgb="FFFAD7A0"/>
      </patternFill>
    </fill>
    <fill>
      <patternFill patternType="solid">
        <fgColor rgb="FFB7950B"/>
        <bgColor rgb="FFB9770E"/>
      </patternFill>
    </fill>
    <fill>
      <patternFill patternType="solid">
        <fgColor theme="9" tint="0.59999389629810485"/>
        <bgColor indexed="64"/>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bottom/>
      <diagonal/>
    </border>
  </borders>
  <cellStyleXfs count="1">
    <xf numFmtId="0" fontId="0" fillId="0" borderId="0"/>
  </cellStyleXfs>
  <cellXfs count="119">
    <xf numFmtId="0" fontId="0" fillId="0" borderId="0" xfId="0"/>
    <xf numFmtId="0" fontId="2" fillId="0" borderId="0" xfId="0" applyFont="1"/>
    <xf numFmtId="0" fontId="4" fillId="4" borderId="1" xfId="0" applyFont="1" applyFill="1" applyBorder="1" applyAlignment="1">
      <alignment horizontal="left" vertical="center" wrapText="1"/>
    </xf>
    <xf numFmtId="0" fontId="5" fillId="5" borderId="1" xfId="0" applyFont="1" applyFill="1" applyBorder="1" applyAlignment="1">
      <alignment horizontal="center" vertical="center" wrapText="1"/>
    </xf>
    <xf numFmtId="0" fontId="6" fillId="6" borderId="1" xfId="0" applyFont="1" applyFill="1" applyBorder="1" applyAlignment="1">
      <alignment horizontal="left" vertical="center" wrapText="1"/>
    </xf>
    <xf numFmtId="0" fontId="6" fillId="7" borderId="1" xfId="0" applyFont="1" applyFill="1" applyBorder="1" applyAlignment="1">
      <alignment horizontal="left" vertical="center" wrapText="1"/>
    </xf>
    <xf numFmtId="0" fontId="5" fillId="8" borderId="1" xfId="0" applyFont="1" applyFill="1" applyBorder="1" applyAlignment="1">
      <alignment horizontal="center" vertical="center" wrapText="1"/>
    </xf>
    <xf numFmtId="0" fontId="5" fillId="2" borderId="1" xfId="0" applyFont="1" applyFill="1" applyBorder="1" applyAlignment="1">
      <alignment horizontal="left" vertical="center" wrapText="1"/>
    </xf>
    <xf numFmtId="0" fontId="4" fillId="4" borderId="1" xfId="0" applyFont="1" applyFill="1" applyBorder="1"/>
    <xf numFmtId="0" fontId="10" fillId="0" borderId="1" xfId="0" applyFont="1" applyBorder="1" applyAlignment="1">
      <alignment horizontal="left" vertical="center" wrapText="1"/>
    </xf>
    <xf numFmtId="0" fontId="11" fillId="5" borderId="1" xfId="0" applyFont="1" applyFill="1" applyBorder="1" applyAlignment="1">
      <alignment horizontal="center" vertical="center" wrapText="1"/>
    </xf>
    <xf numFmtId="1" fontId="12" fillId="11" borderId="1" xfId="0" applyNumberFormat="1"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1" xfId="0" applyFont="1" applyBorder="1" applyAlignment="1">
      <alignment horizontal="center" vertical="center"/>
    </xf>
    <xf numFmtId="0" fontId="10" fillId="4" borderId="1" xfId="0" applyFont="1" applyFill="1" applyBorder="1" applyAlignment="1">
      <alignment horizontal="center" vertical="center"/>
    </xf>
    <xf numFmtId="0" fontId="4" fillId="0" borderId="1" xfId="0" applyFont="1" applyBorder="1" applyAlignment="1">
      <alignment horizontal="center" vertical="center"/>
    </xf>
    <xf numFmtId="164" fontId="6" fillId="11" borderId="1" xfId="0" applyNumberFormat="1" applyFont="1" applyFill="1" applyBorder="1" applyAlignment="1">
      <alignment horizontal="left" vertical="center" wrapText="1"/>
    </xf>
    <xf numFmtId="0" fontId="0" fillId="6" borderId="1" xfId="0" applyFill="1" applyBorder="1"/>
    <xf numFmtId="0" fontId="0" fillId="12" borderId="1" xfId="0" applyFill="1" applyBorder="1" applyAlignment="1">
      <alignment horizontal="center" vertical="center"/>
    </xf>
    <xf numFmtId="0" fontId="6" fillId="11" borderId="1" xfId="0" applyFont="1" applyFill="1" applyBorder="1" applyAlignment="1">
      <alignment horizontal="left" vertical="center" wrapText="1"/>
    </xf>
    <xf numFmtId="3" fontId="6" fillId="11" borderId="1" xfId="0" applyNumberFormat="1" applyFont="1" applyFill="1" applyBorder="1" applyAlignment="1">
      <alignment horizontal="left" vertical="center" wrapText="1"/>
    </xf>
    <xf numFmtId="0" fontId="10" fillId="9" borderId="1" xfId="0" applyFont="1" applyFill="1" applyBorder="1" applyAlignment="1">
      <alignment horizontal="center" vertical="center"/>
    </xf>
    <xf numFmtId="165" fontId="6" fillId="11" borderId="1" xfId="0" applyNumberFormat="1" applyFont="1" applyFill="1" applyBorder="1" applyAlignment="1">
      <alignment horizontal="left" vertical="center" wrapText="1"/>
    </xf>
    <xf numFmtId="0" fontId="10" fillId="13" borderId="1" xfId="0" applyFont="1" applyFill="1" applyBorder="1" applyAlignment="1">
      <alignment horizontal="center" vertical="center"/>
    </xf>
    <xf numFmtId="166" fontId="6" fillId="11" borderId="1" xfId="0" applyNumberFormat="1" applyFont="1" applyFill="1" applyBorder="1" applyAlignment="1">
      <alignment horizontal="left" vertical="center" wrapText="1"/>
    </xf>
    <xf numFmtId="0" fontId="10" fillId="10" borderId="1" xfId="0" applyFont="1" applyFill="1" applyBorder="1" applyAlignment="1">
      <alignment horizontal="center" vertical="center"/>
    </xf>
    <xf numFmtId="0" fontId="10" fillId="14" borderId="1" xfId="0" applyFont="1" applyFill="1" applyBorder="1" applyAlignment="1">
      <alignment horizontal="center" vertical="center"/>
    </xf>
    <xf numFmtId="0" fontId="5" fillId="2" borderId="0" xfId="0" applyFont="1" applyFill="1"/>
    <xf numFmtId="0" fontId="0" fillId="2" borderId="0" xfId="0" applyFill="1"/>
    <xf numFmtId="0" fontId="13" fillId="0" borderId="1" xfId="0" applyFont="1" applyBorder="1" applyAlignment="1">
      <alignment horizontal="center" vertical="center"/>
    </xf>
    <xf numFmtId="167" fontId="13" fillId="0" borderId="1" xfId="0" applyNumberFormat="1" applyFont="1" applyBorder="1" applyAlignment="1">
      <alignment horizontal="center" vertical="center"/>
    </xf>
    <xf numFmtId="0" fontId="13" fillId="0" borderId="1" xfId="0" applyFont="1" applyBorder="1" applyAlignment="1">
      <alignment horizontal="left" vertical="center"/>
    </xf>
    <xf numFmtId="3" fontId="13" fillId="0" borderId="1" xfId="0" applyNumberFormat="1" applyFont="1" applyBorder="1" applyAlignment="1">
      <alignment horizontal="center" vertical="center"/>
    </xf>
    <xf numFmtId="164" fontId="13" fillId="0" borderId="1" xfId="0" applyNumberFormat="1" applyFont="1" applyBorder="1" applyAlignment="1">
      <alignment horizontal="center" vertical="center"/>
    </xf>
    <xf numFmtId="166" fontId="13" fillId="0" borderId="1" xfId="0" applyNumberFormat="1" applyFont="1" applyBorder="1" applyAlignment="1">
      <alignment horizontal="center" vertical="center"/>
    </xf>
    <xf numFmtId="0" fontId="16" fillId="0" borderId="0" xfId="0" applyFont="1"/>
    <xf numFmtId="3" fontId="10" fillId="0" borderId="0" xfId="0" applyNumberFormat="1" applyFont="1"/>
    <xf numFmtId="164" fontId="10" fillId="0" borderId="0" xfId="0" applyNumberFormat="1" applyFont="1"/>
    <xf numFmtId="0" fontId="3" fillId="0" borderId="1" xfId="0" applyFont="1" applyBorder="1" applyAlignment="1">
      <alignment horizontal="left" vertical="center"/>
    </xf>
    <xf numFmtId="4" fontId="3" fillId="0" borderId="1" xfId="0" applyNumberFormat="1" applyFont="1" applyBorder="1" applyAlignment="1">
      <alignment horizontal="right" vertical="center"/>
    </xf>
    <xf numFmtId="0" fontId="3" fillId="6" borderId="1" xfId="0" applyFont="1" applyFill="1" applyBorder="1" applyAlignment="1">
      <alignment horizontal="left" vertical="center"/>
    </xf>
    <xf numFmtId="4" fontId="3" fillId="6" borderId="1" xfId="0" applyNumberFormat="1" applyFont="1" applyFill="1" applyBorder="1" applyAlignment="1">
      <alignment horizontal="right" vertical="center"/>
    </xf>
    <xf numFmtId="0" fontId="17" fillId="0" borderId="0" xfId="0" applyFont="1"/>
    <xf numFmtId="168" fontId="3" fillId="0" borderId="1" xfId="0" applyNumberFormat="1" applyFont="1" applyBorder="1" applyAlignment="1">
      <alignment horizontal="right" vertical="center"/>
    </xf>
    <xf numFmtId="169" fontId="3" fillId="0" borderId="1" xfId="0" applyNumberFormat="1" applyFont="1" applyBorder="1" applyAlignment="1">
      <alignment horizontal="right" vertical="center"/>
    </xf>
    <xf numFmtId="167" fontId="3" fillId="0" borderId="1" xfId="0" applyNumberFormat="1" applyFont="1" applyBorder="1" applyAlignment="1">
      <alignment horizontal="left" vertical="center"/>
    </xf>
    <xf numFmtId="168" fontId="3" fillId="6" borderId="1" xfId="0" applyNumberFormat="1" applyFont="1" applyFill="1" applyBorder="1" applyAlignment="1">
      <alignment horizontal="right" vertical="center"/>
    </xf>
    <xf numFmtId="169" fontId="3" fillId="6" borderId="1" xfId="0" applyNumberFormat="1" applyFont="1" applyFill="1" applyBorder="1" applyAlignment="1">
      <alignment horizontal="right" vertical="center"/>
    </xf>
    <xf numFmtId="167" fontId="3" fillId="6" borderId="1" xfId="0" applyNumberFormat="1" applyFont="1" applyFill="1" applyBorder="1" applyAlignment="1">
      <alignment horizontal="left" vertical="center"/>
    </xf>
    <xf numFmtId="0" fontId="6" fillId="0" borderId="0" xfId="0" applyFont="1"/>
    <xf numFmtId="0" fontId="3" fillId="0" borderId="1" xfId="0" applyFont="1" applyBorder="1"/>
    <xf numFmtId="168" fontId="3" fillId="0" borderId="1" xfId="0" applyNumberFormat="1" applyFont="1" applyBorder="1" applyAlignment="1">
      <alignment horizontal="center" vertical="center"/>
    </xf>
    <xf numFmtId="3" fontId="3" fillId="0" borderId="1" xfId="0" applyNumberFormat="1" applyFont="1" applyBorder="1" applyAlignment="1">
      <alignment horizontal="center" vertical="center"/>
    </xf>
    <xf numFmtId="166" fontId="3" fillId="0" borderId="1" xfId="0" applyNumberFormat="1" applyFont="1" applyBorder="1" applyAlignment="1">
      <alignment horizontal="center" vertical="center"/>
    </xf>
    <xf numFmtId="1" fontId="3" fillId="0" borderId="1" xfId="0" applyNumberFormat="1" applyFont="1" applyBorder="1" applyAlignment="1">
      <alignment horizontal="center" vertical="center"/>
    </xf>
    <xf numFmtId="0" fontId="5" fillId="15" borderId="1" xfId="0" applyFont="1" applyFill="1" applyBorder="1" applyAlignment="1">
      <alignment horizontal="center" vertical="center" wrapText="1"/>
    </xf>
    <xf numFmtId="0" fontId="3" fillId="0" borderId="1" xfId="0" applyFont="1" applyBorder="1" applyAlignment="1">
      <alignment horizontal="center" vertical="center"/>
    </xf>
    <xf numFmtId="164" fontId="3" fillId="0" borderId="1" xfId="0" applyNumberFormat="1" applyFont="1" applyBorder="1" applyAlignment="1">
      <alignment horizontal="center" vertical="center"/>
    </xf>
    <xf numFmtId="0" fontId="5" fillId="2" borderId="1" xfId="0" applyFont="1" applyFill="1" applyBorder="1" applyAlignment="1">
      <alignment horizontal="center" vertical="center"/>
    </xf>
    <xf numFmtId="164" fontId="5" fillId="2" borderId="1" xfId="0" applyNumberFormat="1" applyFont="1" applyFill="1" applyBorder="1" applyAlignment="1">
      <alignment horizontal="center" vertical="center"/>
    </xf>
    <xf numFmtId="166" fontId="5" fillId="2" borderId="1" xfId="0" applyNumberFormat="1" applyFont="1" applyFill="1" applyBorder="1" applyAlignment="1">
      <alignment horizontal="center" vertical="center"/>
    </xf>
    <xf numFmtId="3" fontId="5" fillId="2" borderId="1" xfId="0" applyNumberFormat="1" applyFont="1" applyFill="1" applyBorder="1" applyAlignment="1">
      <alignment horizontal="center" vertical="center"/>
    </xf>
    <xf numFmtId="168" fontId="5" fillId="2" borderId="1" xfId="0" applyNumberFormat="1" applyFont="1" applyFill="1" applyBorder="1" applyAlignment="1">
      <alignment horizontal="center" vertical="center"/>
    </xf>
    <xf numFmtId="0" fontId="13" fillId="0" borderId="1" xfId="0" applyFont="1" applyBorder="1"/>
    <xf numFmtId="166" fontId="13" fillId="0" borderId="1" xfId="0" applyNumberFormat="1" applyFont="1" applyBorder="1"/>
    <xf numFmtId="0" fontId="19" fillId="0" borderId="1" xfId="0" applyFont="1" applyBorder="1" applyAlignment="1">
      <alignment horizontal="left" vertical="center" wrapText="1"/>
    </xf>
    <xf numFmtId="0" fontId="24" fillId="8" borderId="1" xfId="0" applyFont="1" applyFill="1" applyBorder="1" applyAlignment="1">
      <alignment horizontal="center" vertical="center" wrapText="1"/>
    </xf>
    <xf numFmtId="0" fontId="22" fillId="9" borderId="4" xfId="0" applyFont="1" applyFill="1" applyBorder="1" applyAlignment="1">
      <alignment vertical="center" wrapText="1"/>
    </xf>
    <xf numFmtId="0" fontId="23" fillId="9" borderId="4" xfId="0" applyFont="1" applyFill="1" applyBorder="1" applyAlignment="1">
      <alignment vertical="center" wrapText="1"/>
    </xf>
    <xf numFmtId="0" fontId="22" fillId="7" borderId="4" xfId="0" applyFont="1" applyFill="1" applyBorder="1" applyAlignment="1">
      <alignment vertical="center" wrapText="1"/>
    </xf>
    <xf numFmtId="0" fontId="23" fillId="7" borderId="4" xfId="0" applyFont="1" applyFill="1" applyBorder="1" applyAlignment="1">
      <alignment vertical="center" wrapText="1"/>
    </xf>
    <xf numFmtId="0" fontId="26" fillId="0" borderId="0" xfId="0" applyFont="1"/>
    <xf numFmtId="170" fontId="6" fillId="11" borderId="1" xfId="0" applyNumberFormat="1" applyFont="1" applyFill="1" applyBorder="1" applyAlignment="1">
      <alignment horizontal="left" vertical="center" wrapText="1"/>
    </xf>
    <xf numFmtId="171" fontId="6" fillId="11" borderId="1" xfId="0" applyNumberFormat="1" applyFont="1" applyFill="1" applyBorder="1" applyAlignment="1">
      <alignment horizontal="left" vertical="center" wrapText="1"/>
    </xf>
    <xf numFmtId="49" fontId="0" fillId="6" borderId="1" xfId="0" applyNumberFormat="1" applyFill="1" applyBorder="1"/>
    <xf numFmtId="0" fontId="0" fillId="0" borderId="5" xfId="0" applyBorder="1"/>
    <xf numFmtId="0" fontId="13" fillId="0" borderId="1" xfId="0" applyFont="1" applyBorder="1" applyAlignment="1">
      <alignment horizontal="left" vertical="center" wrapText="1"/>
    </xf>
    <xf numFmtId="0" fontId="0" fillId="0" borderId="0" xfId="0" applyAlignment="1">
      <alignment horizontal="center" vertical="center"/>
    </xf>
    <xf numFmtId="0" fontId="0" fillId="0" borderId="0" xfId="0" pivotButton="1"/>
    <xf numFmtId="0" fontId="0" fillId="0" borderId="0" xfId="0" applyAlignment="1">
      <alignment horizontal="left"/>
    </xf>
    <xf numFmtId="164" fontId="0" fillId="0" borderId="0" xfId="0" applyNumberFormat="1"/>
    <xf numFmtId="0" fontId="0" fillId="16" borderId="0" xfId="0" applyFill="1" applyAlignment="1">
      <alignment horizontal="left"/>
    </xf>
    <xf numFmtId="164" fontId="0" fillId="16" borderId="0" xfId="0" applyNumberFormat="1" applyFill="1"/>
    <xf numFmtId="0" fontId="0" fillId="0" borderId="0" xfId="0" applyAlignment="1">
      <alignment horizontal="left" indent="1"/>
    </xf>
    <xf numFmtId="10" fontId="0" fillId="0" borderId="0" xfId="0" applyNumberFormat="1"/>
    <xf numFmtId="0" fontId="5" fillId="5" borderId="6" xfId="0" applyFont="1" applyFill="1" applyBorder="1" applyAlignment="1">
      <alignment horizontal="center" vertical="center" wrapText="1"/>
    </xf>
    <xf numFmtId="10" fontId="6" fillId="11" borderId="1" xfId="0" applyNumberFormat="1" applyFont="1" applyFill="1" applyBorder="1" applyAlignment="1">
      <alignment horizontal="left" vertical="center" wrapText="1"/>
    </xf>
    <xf numFmtId="0" fontId="14" fillId="0" borderId="0" xfId="0" applyFont="1" applyAlignment="1">
      <alignment horizontal="left" vertical="top" wrapText="1"/>
    </xf>
    <xf numFmtId="0" fontId="0" fillId="0" borderId="0" xfId="0"/>
    <xf numFmtId="0" fontId="28" fillId="11" borderId="1" xfId="0" applyFont="1" applyFill="1" applyBorder="1" applyAlignment="1">
      <alignment horizontal="left" vertical="center" wrapText="1"/>
    </xf>
    <xf numFmtId="0" fontId="0" fillId="0" borderId="3" xfId="0" applyBorder="1"/>
    <xf numFmtId="0" fontId="18" fillId="3" borderId="0" xfId="0" applyFont="1" applyFill="1"/>
    <xf numFmtId="0" fontId="5" fillId="5" borderId="0" xfId="0" applyFont="1" applyFill="1" applyAlignment="1">
      <alignment horizontal="left" vertical="center" wrapText="1"/>
    </xf>
    <xf numFmtId="0" fontId="8" fillId="2" borderId="0" xfId="0" applyFont="1" applyFill="1" applyAlignment="1">
      <alignment horizontal="left" vertical="center" wrapText="1"/>
    </xf>
    <xf numFmtId="0" fontId="7" fillId="5" borderId="0" xfId="0" applyFont="1" applyFill="1" applyAlignment="1">
      <alignment horizontal="left" vertical="center" wrapText="1"/>
    </xf>
    <xf numFmtId="0" fontId="0" fillId="11" borderId="1" xfId="0" applyFill="1" applyBorder="1"/>
    <xf numFmtId="0" fontId="0" fillId="0" borderId="2" xfId="0" applyBorder="1"/>
    <xf numFmtId="0" fontId="20" fillId="0" borderId="0" xfId="0" applyFont="1" applyAlignment="1">
      <alignment horizontal="left" vertical="center" wrapText="1"/>
    </xf>
    <xf numFmtId="0" fontId="3" fillId="6"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1" fillId="2" borderId="0" xfId="0" applyFont="1" applyFill="1" applyAlignment="1">
      <alignment horizontal="left" vertical="center" wrapText="1"/>
    </xf>
    <xf numFmtId="0" fontId="20" fillId="0" borderId="0" xfId="0" applyFont="1" applyAlignment="1">
      <alignment horizontal="left" vertical="top" wrapText="1"/>
    </xf>
    <xf numFmtId="0" fontId="3" fillId="0" borderId="1" xfId="0" applyFont="1" applyBorder="1" applyAlignment="1">
      <alignment horizontal="left" vertical="center" wrapText="1"/>
    </xf>
    <xf numFmtId="0" fontId="5" fillId="5" borderId="1" xfId="0" applyFont="1" applyFill="1" applyBorder="1" applyAlignment="1">
      <alignment horizontal="center" vertical="center" wrapText="1"/>
    </xf>
    <xf numFmtId="0" fontId="25" fillId="3" borderId="0" xfId="0" applyFont="1" applyFill="1" applyAlignment="1">
      <alignment horizontal="left" vertical="center" wrapText="1"/>
    </xf>
    <xf numFmtId="0" fontId="23" fillId="0" borderId="1" xfId="0" applyFont="1" applyBorder="1" applyAlignment="1">
      <alignment horizontal="left" vertical="center" wrapText="1"/>
    </xf>
    <xf numFmtId="0" fontId="2" fillId="0" borderId="0" xfId="0" applyFont="1"/>
    <xf numFmtId="0" fontId="20" fillId="0" borderId="1" xfId="0" applyFont="1" applyBorder="1" applyAlignment="1">
      <alignment horizontal="left" vertical="center" wrapText="1"/>
    </xf>
    <xf numFmtId="0" fontId="3" fillId="10" borderId="0" xfId="0" applyFont="1" applyFill="1" applyAlignment="1">
      <alignment horizontal="left" vertical="top" wrapText="1"/>
    </xf>
    <xf numFmtId="0" fontId="0" fillId="2" borderId="1" xfId="0" applyFill="1" applyBorder="1" applyAlignment="1">
      <alignment horizontal="left" vertical="center" wrapText="1"/>
    </xf>
    <xf numFmtId="0" fontId="15" fillId="2" borderId="0" xfId="0" applyFont="1" applyFill="1" applyAlignment="1">
      <alignment horizontal="left" vertical="center" wrapText="1"/>
    </xf>
    <xf numFmtId="0" fontId="9" fillId="3" borderId="0" xfId="0" applyFont="1" applyFill="1"/>
    <xf numFmtId="0" fontId="27" fillId="0" borderId="0" xfId="0" applyFont="1" applyAlignment="1">
      <alignment vertical="top" wrapText="1"/>
    </xf>
    <xf numFmtId="0" fontId="27" fillId="4" borderId="0" xfId="0" applyFont="1" applyFill="1" applyAlignment="1">
      <alignment vertical="top" wrapText="1"/>
    </xf>
    <xf numFmtId="0" fontId="14" fillId="0" borderId="0" xfId="0" applyFont="1"/>
    <xf numFmtId="0" fontId="27" fillId="10" borderId="0" xfId="0" applyFont="1" applyFill="1" applyAlignment="1">
      <alignment vertical="top" wrapText="1"/>
    </xf>
    <xf numFmtId="0" fontId="21" fillId="9" borderId="0" xfId="0" applyFont="1" applyFill="1" applyAlignment="1">
      <alignment horizontal="left" vertical="center" wrapText="1"/>
    </xf>
    <xf numFmtId="0" fontId="15" fillId="5" borderId="0" xfId="0" applyFont="1" applyFill="1" applyAlignment="1">
      <alignment horizontal="left" vertical="center" wrapText="1"/>
    </xf>
    <xf numFmtId="0" fontId="14" fillId="4" borderId="0" xfId="0" applyFont="1" applyFill="1" applyAlignment="1">
      <alignment horizontal="left" vertical="top" wrapText="1"/>
    </xf>
  </cellXfs>
  <cellStyles count="1">
    <cellStyle name="Normal" xfId="0" builtinId="0"/>
  </cellStyles>
  <dxfs count="2">
    <dxf>
      <fill>
        <patternFill patternType="solid">
          <bgColor theme="9" tint="0.59999389629810485"/>
        </patternFill>
      </fill>
    </dxf>
    <dxf>
      <fill>
        <patternFill patternType="solid">
          <bgColor theme="9" tint="0.59999389629810485"/>
        </patternFill>
      </fill>
    </dxf>
  </dxfs>
  <tableStyles count="0" defaultTableStyle="TableStyleMedium2" defaultPivotStyle="PivotStyleLight16"/>
  <colors>
    <indexedColors>
      <rgbColor rgb="FF000000"/>
      <rgbColor rgb="FFFFFFFF"/>
      <rgbColor rgb="FFFF0000"/>
      <rgbColor rgb="FF00FF00"/>
      <rgbColor rgb="FF0000FF"/>
      <rgbColor rgb="FFF9F9F9"/>
      <rgbColor rgb="FFFF00FF"/>
      <rgbColor rgb="FF00FFFF"/>
      <rgbColor rgb="FF7B241C"/>
      <rgbColor rgb="FF008000"/>
      <rgbColor rgb="FF000080"/>
      <rgbColor rgb="FFB9770E"/>
      <rgbColor rgb="FF800080"/>
      <rgbColor rgb="FF0E6655"/>
      <rgbColor rgb="FFBFBFBF"/>
      <rgbColor rgb="FF878787"/>
      <rgbColor rgb="FF9999FF"/>
      <rgbColor rgb="FF6C3483"/>
      <rgbColor rgb="FFFFF3CD"/>
      <rgbColor rgb="FFD6EAF8"/>
      <rgbColor rgb="FF660066"/>
      <rgbColor rgb="FFFF8080"/>
      <rgbColor rgb="FF0066CC"/>
      <rgbColor rgb="FFD9D9D9"/>
      <rgbColor rgb="FF000080"/>
      <rgbColor rgb="FFFF00FF"/>
      <rgbColor rgb="FFFFFF00"/>
      <rgbColor rgb="FF00FFFF"/>
      <rgbColor rgb="FF800080"/>
      <rgbColor rgb="FF800000"/>
      <rgbColor rgb="FF4F81BD"/>
      <rgbColor rgb="FF0000FF"/>
      <rgbColor rgb="FF00CCFF"/>
      <rgbColor rgb="FFEAF2F8"/>
      <rgbColor rgb="FFD5F5E3"/>
      <rgbColor rgb="FFFDEDEC"/>
      <rgbColor rgb="FFE8DAEF"/>
      <rgbColor rgb="FFFAD7A0"/>
      <rgbColor rgb="FFF4F6F7"/>
      <rgbColor rgb="FFF5CBA7"/>
      <rgbColor rgb="FF4A7EBB"/>
      <rgbColor rgb="FF33CCCC"/>
      <rgbColor rgb="FF9BBB59"/>
      <rgbColor rgb="FFFFCC00"/>
      <rgbColor rgb="FFB7950B"/>
      <rgbColor rgb="FFFF6600"/>
      <rgbColor rgb="FF5D6D7E"/>
      <rgbColor rgb="FF8064A2"/>
      <rgbColor rgb="FF154360"/>
      <rgbColor rgb="FF1E8449"/>
      <rgbColor rgb="FF003300"/>
      <rgbColor rgb="FF333300"/>
      <rgbColor rgb="FF922B21"/>
      <rgbColor rgb="FFC0504D"/>
      <rgbColor rgb="FF1B4F72"/>
      <rgbColor rgb="FF1A527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A  ·  Revenue by Region (Jan–Jun 2025)</a:t>
            </a:r>
          </a:p>
        </c:rich>
      </c:tx>
      <c:overlay val="0"/>
      <c:spPr>
        <a:noFill/>
        <a:ln w="0">
          <a:noFill/>
          <a:prstDash val="solid"/>
        </a:ln>
      </c:spPr>
    </c:title>
    <c:autoTitleDeleted val="0"/>
    <c:plotArea>
      <c:layout/>
      <c:barChart>
        <c:barDir val="col"/>
        <c:grouping val="clustered"/>
        <c:varyColors val="0"/>
        <c:ser>
          <c:idx val="0"/>
          <c:order val="0"/>
          <c:tx>
            <c:strRef>
              <c:f>Data_Charts!$B$5</c:f>
              <c:strCache>
                <c:ptCount val="1"/>
                <c:pt idx="0">
                  <c:v>Revenue</c:v>
                </c:pt>
              </c:strCache>
            </c:strRef>
          </c:tx>
          <c:spPr>
            <a:solidFill>
              <a:srgbClr val="4F81BD"/>
            </a:solidFill>
            <a:ln w="9360">
              <a:solidFill>
                <a:srgbClr val="F9F9F9"/>
              </a:solidFill>
              <a:prstDash val="solid"/>
              <a:round/>
            </a:ln>
          </c:spPr>
          <c:invertIfNegative val="0"/>
          <c:dLbls>
            <c:spPr>
              <a:noFill/>
              <a:ln>
                <a:noFill/>
              </a:ln>
              <a:effectLst/>
            </c:spPr>
            <c:txPr>
              <a:bodyPr/>
              <a:lstStyle/>
              <a:p>
                <a:pPr>
                  <a:defRPr sz="1000" b="0" strike="noStrike" spc="-1">
                    <a:latin typeface="Arial"/>
                  </a:defRPr>
                </a:pPr>
                <a:endParaRPr lang="en-US"/>
              </a:p>
            </c:tx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Data_Charts!$A$6:$A$9</c:f>
              <c:strCache>
                <c:ptCount val="4"/>
                <c:pt idx="0">
                  <c:v>North</c:v>
                </c:pt>
                <c:pt idx="1">
                  <c:v>South</c:v>
                </c:pt>
                <c:pt idx="2">
                  <c:v>East</c:v>
                </c:pt>
                <c:pt idx="3">
                  <c:v>West</c:v>
                </c:pt>
              </c:strCache>
            </c:strRef>
          </c:cat>
          <c:val>
            <c:numRef>
              <c:f>Data_Charts!$B$6:$B$9</c:f>
              <c:numCache>
                <c:formatCode>\₹#,##0.00</c:formatCode>
                <c:ptCount val="4"/>
                <c:pt idx="0">
                  <c:v>0</c:v>
                </c:pt>
                <c:pt idx="1">
                  <c:v>0</c:v>
                </c:pt>
                <c:pt idx="2">
                  <c:v>0</c:v>
                </c:pt>
                <c:pt idx="3">
                  <c:v>0</c:v>
                </c:pt>
              </c:numCache>
            </c:numRef>
          </c:val>
          <c:extLst>
            <c:ext xmlns:c16="http://schemas.microsoft.com/office/drawing/2014/chart" uri="{C3380CC4-5D6E-409C-BE32-E72D297353CC}">
              <c16:uniqueId val="{00000000-B931-45AB-83A8-500A02E57DC8}"/>
            </c:ext>
          </c:extLst>
        </c:ser>
        <c:dLbls>
          <c:showLegendKey val="0"/>
          <c:showVal val="0"/>
          <c:showCatName val="0"/>
          <c:showSerName val="0"/>
          <c:showPercent val="0"/>
          <c:showBubbleSize val="0"/>
        </c:dLbls>
        <c:gapWidth val="150"/>
        <c:axId val="45031771"/>
        <c:axId val="74189413"/>
      </c:barChart>
      <c:catAx>
        <c:axId val="45031771"/>
        <c:scaling>
          <c:orientation val="minMax"/>
        </c:scaling>
        <c:delete val="0"/>
        <c:axPos val="b"/>
        <c:numFmt formatCode="General" sourceLinked="1"/>
        <c:majorTickMark val="none"/>
        <c:minorTickMark val="none"/>
        <c:tickLblPos val="nextTo"/>
        <c:spPr>
          <a:ln w="9360">
            <a:solidFill>
              <a:srgbClr val="878787"/>
            </a:solidFill>
            <a:prstDash val="solid"/>
            <a:round/>
          </a:ln>
        </c:spPr>
        <c:txPr>
          <a:bodyPr/>
          <a:lstStyle/>
          <a:p>
            <a:pPr>
              <a:defRPr sz="1000" b="0" strike="noStrike" spc="-1">
                <a:solidFill>
                  <a:srgbClr val="000000"/>
                </a:solidFill>
                <a:latin typeface="Calibri"/>
              </a:defRPr>
            </a:pPr>
            <a:endParaRPr lang="en-US"/>
          </a:p>
        </c:txPr>
        <c:crossAx val="74189413"/>
        <c:crosses val="autoZero"/>
        <c:auto val="1"/>
        <c:lblAlgn val="ctr"/>
        <c:lblOffset val="100"/>
        <c:noMultiLvlLbl val="0"/>
      </c:catAx>
      <c:valAx>
        <c:axId val="74189413"/>
        <c:scaling>
          <c:orientation val="minMax"/>
        </c:scaling>
        <c:delete val="0"/>
        <c:axPos val="l"/>
        <c:majorGridlines>
          <c:spPr>
            <a:ln w="9360">
              <a:solidFill>
                <a:srgbClr val="878787"/>
              </a:solidFill>
              <a:prstDash val="solid"/>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Revenue (₹)</a:t>
                </a:r>
              </a:p>
            </c:rich>
          </c:tx>
          <c:overlay val="0"/>
          <c:spPr>
            <a:noFill/>
            <a:ln w="0">
              <a:noFill/>
              <a:prstDash val="solid"/>
            </a:ln>
          </c:spPr>
        </c:title>
        <c:numFmt formatCode="#,##0" sourceLinked="0"/>
        <c:majorTickMark val="none"/>
        <c:minorTickMark val="none"/>
        <c:tickLblPos val="nextTo"/>
        <c:spPr>
          <a:ln w="9360">
            <a:solidFill>
              <a:srgbClr val="878787"/>
            </a:solidFill>
            <a:prstDash val="solid"/>
            <a:round/>
          </a:ln>
        </c:spPr>
        <c:txPr>
          <a:bodyPr/>
          <a:lstStyle/>
          <a:p>
            <a:pPr>
              <a:defRPr sz="1000" b="0" strike="noStrike" spc="-1">
                <a:solidFill>
                  <a:srgbClr val="000000"/>
                </a:solidFill>
                <a:latin typeface="Calibri"/>
              </a:defRPr>
            </a:pPr>
            <a:endParaRPr lang="en-US"/>
          </a:p>
        </c:txPr>
        <c:crossAx val="45031771"/>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B  ·  Monthly Revenue by Channel</a:t>
            </a:r>
          </a:p>
        </c:rich>
      </c:tx>
      <c:overlay val="0"/>
      <c:spPr>
        <a:noFill/>
        <a:ln w="0">
          <a:noFill/>
          <a:prstDash val="solid"/>
        </a:ln>
      </c:spPr>
    </c:title>
    <c:autoTitleDeleted val="0"/>
    <c:plotArea>
      <c:layout/>
      <c:barChart>
        <c:barDir val="col"/>
        <c:grouping val="stacked"/>
        <c:varyColors val="0"/>
        <c:ser>
          <c:idx val="0"/>
          <c:order val="0"/>
          <c:tx>
            <c:strRef>
              <c:f>Data_Charts!$B$14</c:f>
              <c:strCache>
                <c:ptCount val="1"/>
                <c:pt idx="0">
                  <c:v>Online</c:v>
                </c:pt>
              </c:strCache>
            </c:strRef>
          </c:tx>
          <c:spPr>
            <a:solidFill>
              <a:srgbClr val="4F81BD"/>
            </a:solidFill>
            <a:ln w="9360">
              <a:solidFill>
                <a:srgbClr val="F9F9F9"/>
              </a:solidFill>
              <a:prstDash val="solid"/>
              <a:round/>
            </a:ln>
          </c:spPr>
          <c:invertIfNegative val="0"/>
          <c:dLbls>
            <c:spPr>
              <a:noFill/>
              <a:ln>
                <a:noFill/>
              </a:ln>
              <a:effectLst/>
            </c:spPr>
            <c:txPr>
              <a:bodyPr/>
              <a:lstStyle/>
              <a:p>
                <a:pPr>
                  <a:defRPr sz="1000" b="0" strike="noStrike" spc="-1">
                    <a:latin typeface="Arial"/>
                  </a:defRPr>
                </a:pPr>
                <a:endParaRPr lang="en-US"/>
              </a:p>
            </c:tx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Data_Charts!$A$15:$A$20</c:f>
              <c:strCache>
                <c:ptCount val="6"/>
                <c:pt idx="0">
                  <c:v>Jan</c:v>
                </c:pt>
                <c:pt idx="1">
                  <c:v>Feb</c:v>
                </c:pt>
                <c:pt idx="2">
                  <c:v>Mar</c:v>
                </c:pt>
                <c:pt idx="3">
                  <c:v>Apr</c:v>
                </c:pt>
                <c:pt idx="4">
                  <c:v>May</c:v>
                </c:pt>
                <c:pt idx="5">
                  <c:v>Jun</c:v>
                </c:pt>
              </c:strCache>
            </c:strRef>
          </c:cat>
          <c:val>
            <c:numRef>
              <c:f>Data_Charts!$B$15:$B$20</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4B05-4D3B-8097-CC76D724552D}"/>
            </c:ext>
          </c:extLst>
        </c:ser>
        <c:ser>
          <c:idx val="1"/>
          <c:order val="1"/>
          <c:tx>
            <c:strRef>
              <c:f>Data_Charts!$C$14</c:f>
              <c:strCache>
                <c:ptCount val="1"/>
                <c:pt idx="0">
                  <c:v>Retail</c:v>
                </c:pt>
              </c:strCache>
            </c:strRef>
          </c:tx>
          <c:spPr>
            <a:solidFill>
              <a:srgbClr val="C0504D"/>
            </a:solidFill>
            <a:ln w="9360">
              <a:solidFill>
                <a:srgbClr val="F9F9F9"/>
              </a:solidFill>
              <a:prstDash val="solid"/>
              <a:round/>
            </a:ln>
          </c:spPr>
          <c:invertIfNegative val="0"/>
          <c:dLbls>
            <c:spPr>
              <a:noFill/>
              <a:ln>
                <a:noFill/>
              </a:ln>
              <a:effectLst/>
            </c:spPr>
            <c:txPr>
              <a:bodyPr/>
              <a:lstStyle/>
              <a:p>
                <a:pPr>
                  <a:defRPr sz="1000" b="0" strike="noStrike" spc="-1">
                    <a:latin typeface="Arial"/>
                  </a:defRPr>
                </a:pPr>
                <a:endParaRPr lang="en-US"/>
              </a:p>
            </c:tx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Data_Charts!$A$15:$A$20</c:f>
              <c:strCache>
                <c:ptCount val="6"/>
                <c:pt idx="0">
                  <c:v>Jan</c:v>
                </c:pt>
                <c:pt idx="1">
                  <c:v>Feb</c:v>
                </c:pt>
                <c:pt idx="2">
                  <c:v>Mar</c:v>
                </c:pt>
                <c:pt idx="3">
                  <c:v>Apr</c:v>
                </c:pt>
                <c:pt idx="4">
                  <c:v>May</c:v>
                </c:pt>
                <c:pt idx="5">
                  <c:v>Jun</c:v>
                </c:pt>
              </c:strCache>
            </c:strRef>
          </c:cat>
          <c:val>
            <c:numRef>
              <c:f>Data_Charts!$C$15:$C$20</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4B05-4D3B-8097-CC76D724552D}"/>
            </c:ext>
          </c:extLst>
        </c:ser>
        <c:ser>
          <c:idx val="2"/>
          <c:order val="2"/>
          <c:tx>
            <c:strRef>
              <c:f>Data_Charts!$D$14</c:f>
              <c:strCache>
                <c:ptCount val="1"/>
                <c:pt idx="0">
                  <c:v>Wholesale</c:v>
                </c:pt>
              </c:strCache>
            </c:strRef>
          </c:tx>
          <c:spPr>
            <a:solidFill>
              <a:srgbClr val="9BBB59"/>
            </a:solidFill>
            <a:ln w="9360">
              <a:solidFill>
                <a:srgbClr val="F9F9F9"/>
              </a:solidFill>
              <a:prstDash val="solid"/>
              <a:round/>
            </a:ln>
          </c:spPr>
          <c:invertIfNegative val="0"/>
          <c:dLbls>
            <c:spPr>
              <a:noFill/>
              <a:ln>
                <a:noFill/>
              </a:ln>
              <a:effectLst/>
            </c:spPr>
            <c:txPr>
              <a:bodyPr/>
              <a:lstStyle/>
              <a:p>
                <a:pPr>
                  <a:defRPr sz="1000" b="0" strike="noStrike" spc="-1">
                    <a:latin typeface="Arial"/>
                  </a:defRPr>
                </a:pPr>
                <a:endParaRPr lang="en-US"/>
              </a:p>
            </c:tx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Data_Charts!$A$15:$A$20</c:f>
              <c:strCache>
                <c:ptCount val="6"/>
                <c:pt idx="0">
                  <c:v>Jan</c:v>
                </c:pt>
                <c:pt idx="1">
                  <c:v>Feb</c:v>
                </c:pt>
                <c:pt idx="2">
                  <c:v>Mar</c:v>
                </c:pt>
                <c:pt idx="3">
                  <c:v>Apr</c:v>
                </c:pt>
                <c:pt idx="4">
                  <c:v>May</c:v>
                </c:pt>
                <c:pt idx="5">
                  <c:v>Jun</c:v>
                </c:pt>
              </c:strCache>
            </c:strRef>
          </c:cat>
          <c:val>
            <c:numRef>
              <c:f>Data_Charts!$D$15:$D$20</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2-4B05-4D3B-8097-CC76D724552D}"/>
            </c:ext>
          </c:extLst>
        </c:ser>
        <c:dLbls>
          <c:showLegendKey val="0"/>
          <c:showVal val="0"/>
          <c:showCatName val="0"/>
          <c:showSerName val="0"/>
          <c:showPercent val="0"/>
          <c:showBubbleSize val="0"/>
        </c:dLbls>
        <c:gapWidth val="150"/>
        <c:overlap val="100"/>
        <c:axId val="23088388"/>
        <c:axId val="2808449"/>
      </c:barChart>
      <c:catAx>
        <c:axId val="23088388"/>
        <c:scaling>
          <c:orientation val="minMax"/>
        </c:scaling>
        <c:delete val="0"/>
        <c:axPos val="b"/>
        <c:numFmt formatCode="General" sourceLinked="1"/>
        <c:majorTickMark val="none"/>
        <c:minorTickMark val="none"/>
        <c:tickLblPos val="nextTo"/>
        <c:spPr>
          <a:ln w="9360">
            <a:solidFill>
              <a:srgbClr val="878787"/>
            </a:solidFill>
            <a:prstDash val="solid"/>
            <a:round/>
          </a:ln>
        </c:spPr>
        <c:txPr>
          <a:bodyPr/>
          <a:lstStyle/>
          <a:p>
            <a:pPr>
              <a:defRPr sz="1000" b="0" strike="noStrike" spc="-1">
                <a:solidFill>
                  <a:srgbClr val="000000"/>
                </a:solidFill>
                <a:latin typeface="Calibri"/>
              </a:defRPr>
            </a:pPr>
            <a:endParaRPr lang="en-US"/>
          </a:p>
        </c:txPr>
        <c:crossAx val="2808449"/>
        <c:crosses val="autoZero"/>
        <c:auto val="1"/>
        <c:lblAlgn val="ctr"/>
        <c:lblOffset val="100"/>
        <c:noMultiLvlLbl val="0"/>
      </c:catAx>
      <c:valAx>
        <c:axId val="2808449"/>
        <c:scaling>
          <c:orientation val="minMax"/>
        </c:scaling>
        <c:delete val="0"/>
        <c:axPos val="l"/>
        <c:majorGridlines>
          <c:spPr>
            <a:ln w="9360">
              <a:solidFill>
                <a:srgbClr val="878787"/>
              </a:solidFill>
              <a:prstDash val="solid"/>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Revenue (₹)</a:t>
                </a:r>
              </a:p>
            </c:rich>
          </c:tx>
          <c:overlay val="0"/>
          <c:spPr>
            <a:noFill/>
            <a:ln w="0">
              <a:noFill/>
              <a:prstDash val="solid"/>
            </a:ln>
          </c:spPr>
        </c:title>
        <c:numFmt formatCode="#,##0" sourceLinked="0"/>
        <c:majorTickMark val="none"/>
        <c:minorTickMark val="none"/>
        <c:tickLblPos val="nextTo"/>
        <c:spPr>
          <a:ln w="9360">
            <a:solidFill>
              <a:srgbClr val="878787"/>
            </a:solidFill>
            <a:prstDash val="solid"/>
            <a:round/>
          </a:ln>
        </c:spPr>
        <c:txPr>
          <a:bodyPr/>
          <a:lstStyle/>
          <a:p>
            <a:pPr>
              <a:defRPr sz="1000" b="0" strike="noStrike" spc="-1">
                <a:solidFill>
                  <a:srgbClr val="000000"/>
                </a:solidFill>
                <a:latin typeface="Calibri"/>
              </a:defRPr>
            </a:pPr>
            <a:endParaRPr lang="en-US"/>
          </a:p>
        </c:txPr>
        <c:crossAx val="23088388"/>
        <c:crosses val="autoZero"/>
        <c:crossBetween val="between"/>
      </c:valAx>
    </c:plotArea>
    <c:legend>
      <c:legendPos val="b"/>
      <c:overlay val="0"/>
      <c:spPr>
        <a:noFill/>
        <a:ln w="0">
          <a:noFill/>
          <a:prstDash val="solid"/>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B2  ·  Total Monthly Revenue Trend</a:t>
            </a:r>
          </a:p>
        </c:rich>
      </c:tx>
      <c:overlay val="0"/>
      <c:spPr>
        <a:noFill/>
        <a:ln w="0">
          <a:noFill/>
          <a:prstDash val="solid"/>
        </a:ln>
      </c:spPr>
    </c:title>
    <c:autoTitleDeleted val="0"/>
    <c:plotArea>
      <c:layout/>
      <c:lineChart>
        <c:grouping val="standard"/>
        <c:varyColors val="0"/>
        <c:ser>
          <c:idx val="0"/>
          <c:order val="0"/>
          <c:tx>
            <c:strRef>
              <c:f>Data_Charts!$E$14</c:f>
              <c:strCache>
                <c:ptCount val="1"/>
                <c:pt idx="0">
                  <c:v>Total</c:v>
                </c:pt>
              </c:strCache>
            </c:strRef>
          </c:tx>
          <c:spPr>
            <a:ln w="24840">
              <a:solidFill>
                <a:srgbClr val="4A7EBB"/>
              </a:solidFill>
              <a:prstDash val="solid"/>
              <a:round/>
            </a:ln>
          </c:spPr>
          <c:marker>
            <c:symbol val="none"/>
          </c:marker>
          <c:dLbls>
            <c:spPr>
              <a:noFill/>
              <a:ln>
                <a:noFill/>
              </a:ln>
              <a:effectLst/>
            </c:spPr>
            <c:txPr>
              <a:bodyPr/>
              <a:lstStyle/>
              <a:p>
                <a:pPr>
                  <a:defRPr sz="1000" b="0" strike="noStrike" spc="-1">
                    <a:latin typeface="Arial"/>
                  </a:defRPr>
                </a:pPr>
                <a:endParaRPr lang="en-US"/>
              </a:p>
            </c:tx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Data_Charts!$A$15:$A$20</c:f>
              <c:strCache>
                <c:ptCount val="6"/>
                <c:pt idx="0">
                  <c:v>Jan</c:v>
                </c:pt>
                <c:pt idx="1">
                  <c:v>Feb</c:v>
                </c:pt>
                <c:pt idx="2">
                  <c:v>Mar</c:v>
                </c:pt>
                <c:pt idx="3">
                  <c:v>Apr</c:v>
                </c:pt>
                <c:pt idx="4">
                  <c:v>May</c:v>
                </c:pt>
                <c:pt idx="5">
                  <c:v>Jun</c:v>
                </c:pt>
              </c:strCache>
            </c:strRef>
          </c:cat>
          <c:val>
            <c:numRef>
              <c:f>Data_Charts!$E$15:$E$20</c:f>
              <c:numCache>
                <c:formatCode>\₹#,##0</c:formatCode>
                <c:ptCount val="6"/>
                <c:pt idx="0">
                  <c:v>0</c:v>
                </c:pt>
                <c:pt idx="1">
                  <c:v>0</c:v>
                </c:pt>
                <c:pt idx="2">
                  <c:v>0</c:v>
                </c:pt>
                <c:pt idx="3">
                  <c:v>0</c:v>
                </c:pt>
                <c:pt idx="4">
                  <c:v>0</c:v>
                </c:pt>
                <c:pt idx="5">
                  <c:v>0</c:v>
                </c:pt>
              </c:numCache>
            </c:numRef>
          </c:val>
          <c:smooth val="1"/>
          <c:extLst>
            <c:ext xmlns:c16="http://schemas.microsoft.com/office/drawing/2014/chart" uri="{C3380CC4-5D6E-409C-BE32-E72D297353CC}">
              <c16:uniqueId val="{00000000-5F86-4503-A34D-14E0097964A4}"/>
            </c:ext>
          </c:extLst>
        </c:ser>
        <c:dLbls>
          <c:showLegendKey val="0"/>
          <c:showVal val="0"/>
          <c:showCatName val="0"/>
          <c:showSerName val="0"/>
          <c:showPercent val="0"/>
          <c:showBubbleSize val="0"/>
        </c:dLbls>
        <c:hiLowLines>
          <c:spPr>
            <a:ln w="0">
              <a:noFill/>
              <a:prstDash val="solid"/>
            </a:ln>
          </c:spPr>
        </c:hiLowLines>
        <c:smooth val="0"/>
        <c:axId val="79195037"/>
        <c:axId val="28889905"/>
      </c:lineChart>
      <c:catAx>
        <c:axId val="79195037"/>
        <c:scaling>
          <c:orientation val="minMax"/>
        </c:scaling>
        <c:delete val="0"/>
        <c:axPos val="b"/>
        <c:numFmt formatCode="General" sourceLinked="1"/>
        <c:majorTickMark val="none"/>
        <c:minorTickMark val="none"/>
        <c:tickLblPos val="nextTo"/>
        <c:spPr>
          <a:ln w="9360">
            <a:solidFill>
              <a:srgbClr val="878787"/>
            </a:solidFill>
            <a:prstDash val="solid"/>
            <a:round/>
          </a:ln>
        </c:spPr>
        <c:txPr>
          <a:bodyPr/>
          <a:lstStyle/>
          <a:p>
            <a:pPr>
              <a:defRPr sz="1000" b="0" strike="noStrike" spc="-1">
                <a:solidFill>
                  <a:srgbClr val="000000"/>
                </a:solidFill>
                <a:latin typeface="Calibri"/>
              </a:defRPr>
            </a:pPr>
            <a:endParaRPr lang="en-US"/>
          </a:p>
        </c:txPr>
        <c:crossAx val="28889905"/>
        <c:crosses val="autoZero"/>
        <c:auto val="1"/>
        <c:lblAlgn val="ctr"/>
        <c:lblOffset val="100"/>
        <c:noMultiLvlLbl val="0"/>
      </c:catAx>
      <c:valAx>
        <c:axId val="28889905"/>
        <c:scaling>
          <c:orientation val="minMax"/>
        </c:scaling>
        <c:delete val="0"/>
        <c:axPos val="l"/>
        <c:majorGridlines>
          <c:spPr>
            <a:ln w="9360">
              <a:solidFill>
                <a:srgbClr val="878787"/>
              </a:solidFill>
              <a:prstDash val="solid"/>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Revenue (₹)</a:t>
                </a:r>
              </a:p>
            </c:rich>
          </c:tx>
          <c:overlay val="0"/>
          <c:spPr>
            <a:noFill/>
            <a:ln w="0">
              <a:noFill/>
              <a:prstDash val="solid"/>
            </a:ln>
          </c:spPr>
        </c:title>
        <c:numFmt formatCode="#,##0" sourceLinked="0"/>
        <c:majorTickMark val="none"/>
        <c:minorTickMark val="none"/>
        <c:tickLblPos val="nextTo"/>
        <c:spPr>
          <a:ln w="9360">
            <a:solidFill>
              <a:srgbClr val="878787"/>
            </a:solidFill>
            <a:prstDash val="solid"/>
            <a:round/>
          </a:ln>
        </c:spPr>
        <c:txPr>
          <a:bodyPr/>
          <a:lstStyle/>
          <a:p>
            <a:pPr>
              <a:defRPr sz="1000" b="0" strike="noStrike" spc="-1">
                <a:solidFill>
                  <a:srgbClr val="000000"/>
                </a:solidFill>
                <a:latin typeface="Calibri"/>
              </a:defRPr>
            </a:pPr>
            <a:endParaRPr lang="en-US"/>
          </a:p>
        </c:txPr>
        <c:crossAx val="79195037"/>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C  ·  Category Mix of Revenue</a:t>
            </a:r>
          </a:p>
        </c:rich>
      </c:tx>
      <c:overlay val="0"/>
      <c:spPr>
        <a:noFill/>
        <a:ln w="0">
          <a:noFill/>
          <a:prstDash val="solid"/>
        </a:ln>
      </c:spPr>
    </c:title>
    <c:autoTitleDeleted val="0"/>
    <c:plotArea>
      <c:layout/>
      <c:pieChart>
        <c:varyColors val="1"/>
        <c:ser>
          <c:idx val="0"/>
          <c:order val="0"/>
          <c:tx>
            <c:strRef>
              <c:f>Data_Charts!$B$25</c:f>
              <c:strCache>
                <c:ptCount val="1"/>
                <c:pt idx="0">
                  <c:v>Revenue</c:v>
                </c:pt>
              </c:strCache>
            </c:strRef>
          </c:tx>
          <c:spPr>
            <a:solidFill>
              <a:srgbClr val="4F81BD"/>
            </a:solidFill>
            <a:ln w="0">
              <a:noFill/>
              <a:prstDash val="solid"/>
            </a:ln>
          </c:spPr>
          <c:dPt>
            <c:idx val="0"/>
            <c:bubble3D val="0"/>
            <c:extLst>
              <c:ext xmlns:c16="http://schemas.microsoft.com/office/drawing/2014/chart" uri="{C3380CC4-5D6E-409C-BE32-E72D297353CC}">
                <c16:uniqueId val="{00000001-C91D-4D6C-941E-6FAE9159F6BF}"/>
              </c:ext>
            </c:extLst>
          </c:dPt>
          <c:dPt>
            <c:idx val="1"/>
            <c:bubble3D val="0"/>
            <c:spPr>
              <a:solidFill>
                <a:srgbClr val="C0504D"/>
              </a:solidFill>
              <a:ln w="0">
                <a:noFill/>
                <a:prstDash val="solid"/>
              </a:ln>
            </c:spPr>
            <c:extLst>
              <c:ext xmlns:c16="http://schemas.microsoft.com/office/drawing/2014/chart" uri="{C3380CC4-5D6E-409C-BE32-E72D297353CC}">
                <c16:uniqueId val="{00000003-C91D-4D6C-941E-6FAE9159F6BF}"/>
              </c:ext>
            </c:extLst>
          </c:dPt>
          <c:dPt>
            <c:idx val="2"/>
            <c:bubble3D val="0"/>
            <c:spPr>
              <a:solidFill>
                <a:srgbClr val="9BBB59"/>
              </a:solidFill>
              <a:ln w="0">
                <a:noFill/>
                <a:prstDash val="solid"/>
              </a:ln>
            </c:spPr>
            <c:extLst>
              <c:ext xmlns:c16="http://schemas.microsoft.com/office/drawing/2014/chart" uri="{C3380CC4-5D6E-409C-BE32-E72D297353CC}">
                <c16:uniqueId val="{00000005-C91D-4D6C-941E-6FAE9159F6BF}"/>
              </c:ext>
            </c:extLst>
          </c:dPt>
          <c:dPt>
            <c:idx val="3"/>
            <c:bubble3D val="0"/>
            <c:spPr>
              <a:solidFill>
                <a:srgbClr val="8064A2"/>
              </a:solidFill>
              <a:ln w="0">
                <a:noFill/>
                <a:prstDash val="solid"/>
              </a:ln>
            </c:spPr>
            <c:extLst>
              <c:ext xmlns:c16="http://schemas.microsoft.com/office/drawing/2014/chart" uri="{C3380CC4-5D6E-409C-BE32-E72D297353CC}">
                <c16:uniqueId val="{00000007-C91D-4D6C-941E-6FAE9159F6BF}"/>
              </c:ext>
            </c:extLst>
          </c:dPt>
          <c:dLbls>
            <c:dLbl>
              <c:idx val="0"/>
              <c:spPr/>
              <c:txPr>
                <a:bodyPr wrap="square"/>
                <a:lstStyle/>
                <a:p>
                  <a:pPr>
                    <a:defRPr sz="1000" b="0" strike="noStrike" spc="-1">
                      <a:solidFill>
                        <a:srgbClr val="000000"/>
                      </a:solidFill>
                      <a:latin typeface="Calibri"/>
                    </a:defRPr>
                  </a:pPr>
                  <a:endParaRPr lang="en-US"/>
                </a:p>
              </c:txPr>
              <c:dLblPos val="bestFit"/>
              <c:showLegendKey val="1"/>
              <c:showVal val="0"/>
              <c:showCatName val="0"/>
              <c:showSerName val="1"/>
              <c:showPercent val="1"/>
              <c:showBubbleSize val="1"/>
              <c:extLst>
                <c:ext xmlns:c16="http://schemas.microsoft.com/office/drawing/2014/chart" uri="{C3380CC4-5D6E-409C-BE32-E72D297353CC}">
                  <c16:uniqueId val="{00000001-C91D-4D6C-941E-6FAE9159F6BF}"/>
                </c:ext>
              </c:extLst>
            </c:dLbl>
            <c:dLbl>
              <c:idx val="1"/>
              <c:spPr/>
              <c:txPr>
                <a:bodyPr wrap="square"/>
                <a:lstStyle/>
                <a:p>
                  <a:pPr>
                    <a:defRPr sz="1000" b="0" strike="noStrike" spc="-1">
                      <a:solidFill>
                        <a:srgbClr val="000000"/>
                      </a:solidFill>
                      <a:latin typeface="Calibri"/>
                    </a:defRPr>
                  </a:pPr>
                  <a:endParaRPr lang="en-US"/>
                </a:p>
              </c:txPr>
              <c:dLblPos val="bestFit"/>
              <c:showLegendKey val="1"/>
              <c:showVal val="0"/>
              <c:showCatName val="0"/>
              <c:showSerName val="1"/>
              <c:showPercent val="1"/>
              <c:showBubbleSize val="1"/>
              <c:extLst>
                <c:ext xmlns:c16="http://schemas.microsoft.com/office/drawing/2014/chart" uri="{C3380CC4-5D6E-409C-BE32-E72D297353CC}">
                  <c16:uniqueId val="{00000003-C91D-4D6C-941E-6FAE9159F6BF}"/>
                </c:ext>
              </c:extLst>
            </c:dLbl>
            <c:dLbl>
              <c:idx val="2"/>
              <c:spPr/>
              <c:txPr>
                <a:bodyPr wrap="square"/>
                <a:lstStyle/>
                <a:p>
                  <a:pPr>
                    <a:defRPr sz="1000" b="0" strike="noStrike" spc="-1">
                      <a:solidFill>
                        <a:srgbClr val="000000"/>
                      </a:solidFill>
                      <a:latin typeface="Calibri"/>
                    </a:defRPr>
                  </a:pPr>
                  <a:endParaRPr lang="en-US"/>
                </a:p>
              </c:txPr>
              <c:dLblPos val="bestFit"/>
              <c:showLegendKey val="1"/>
              <c:showVal val="0"/>
              <c:showCatName val="0"/>
              <c:showSerName val="1"/>
              <c:showPercent val="1"/>
              <c:showBubbleSize val="1"/>
              <c:extLst>
                <c:ext xmlns:c16="http://schemas.microsoft.com/office/drawing/2014/chart" uri="{C3380CC4-5D6E-409C-BE32-E72D297353CC}">
                  <c16:uniqueId val="{00000005-C91D-4D6C-941E-6FAE9159F6BF}"/>
                </c:ext>
              </c:extLst>
            </c:dLbl>
            <c:dLbl>
              <c:idx val="3"/>
              <c:spPr/>
              <c:txPr>
                <a:bodyPr wrap="square"/>
                <a:lstStyle/>
                <a:p>
                  <a:pPr>
                    <a:defRPr sz="1000" b="0" strike="noStrike" spc="-1">
                      <a:solidFill>
                        <a:srgbClr val="000000"/>
                      </a:solidFill>
                      <a:latin typeface="Calibri"/>
                    </a:defRPr>
                  </a:pPr>
                  <a:endParaRPr lang="en-US"/>
                </a:p>
              </c:txPr>
              <c:dLblPos val="bestFit"/>
              <c:showLegendKey val="1"/>
              <c:showVal val="0"/>
              <c:showCatName val="0"/>
              <c:showSerName val="1"/>
              <c:showPercent val="1"/>
              <c:showBubbleSize val="1"/>
              <c:extLst>
                <c:ext xmlns:c16="http://schemas.microsoft.com/office/drawing/2014/chart" uri="{C3380CC4-5D6E-409C-BE32-E72D297353CC}">
                  <c16:uniqueId val="{00000007-C91D-4D6C-941E-6FAE9159F6BF}"/>
                </c:ext>
              </c:extLst>
            </c:dLbl>
            <c:spPr>
              <a:noFill/>
              <a:ln>
                <a:noFill/>
              </a:ln>
              <a:effectLst/>
            </c:spPr>
            <c:txPr>
              <a:bodyPr wrap="square"/>
              <a:lstStyle/>
              <a:p>
                <a:pPr>
                  <a:defRPr sz="1000" b="0" strike="noStrike" spc="-1">
                    <a:solidFill>
                      <a:srgbClr val="000000"/>
                    </a:solidFill>
                    <a:latin typeface="Calibri"/>
                  </a:defRPr>
                </a:pPr>
                <a:endParaRPr lang="en-US"/>
              </a:p>
            </c:txPr>
            <c:dLblPos val="bestFit"/>
            <c:showLegendKey val="1"/>
            <c:showVal val="0"/>
            <c:showCatName val="0"/>
            <c:showSerName val="1"/>
            <c:showPercent val="1"/>
            <c:showBubbleSize val="1"/>
            <c:showLeaderLines val="1"/>
            <c:extLst>
              <c:ext xmlns:c15="http://schemas.microsoft.com/office/drawing/2012/chart" uri="{CE6537A1-D6FC-4f65-9D91-7224C49458BB}"/>
            </c:extLst>
          </c:dLbls>
          <c:cat>
            <c:strRef>
              <c:f>Data_Charts!$A$26:$A$29</c:f>
              <c:strCache>
                <c:ptCount val="4"/>
                <c:pt idx="0">
                  <c:v>Electronics</c:v>
                </c:pt>
                <c:pt idx="1">
                  <c:v>Furniture</c:v>
                </c:pt>
                <c:pt idx="2">
                  <c:v>Office Supplies</c:v>
                </c:pt>
                <c:pt idx="3">
                  <c:v>Apparel</c:v>
                </c:pt>
              </c:strCache>
            </c:strRef>
          </c:cat>
          <c:val>
            <c:numRef>
              <c:f>Data_Charts!$B$26:$B$29</c:f>
              <c:numCache>
                <c:formatCode>\₹#,##0.00</c:formatCode>
                <c:ptCount val="4"/>
                <c:pt idx="0">
                  <c:v>0</c:v>
                </c:pt>
                <c:pt idx="1">
                  <c:v>0</c:v>
                </c:pt>
                <c:pt idx="2">
                  <c:v>0</c:v>
                </c:pt>
                <c:pt idx="3">
                  <c:v>0</c:v>
                </c:pt>
              </c:numCache>
            </c:numRef>
          </c:val>
          <c:extLst>
            <c:ext xmlns:c16="http://schemas.microsoft.com/office/drawing/2014/chart" uri="{C3380CC4-5D6E-409C-BE32-E72D297353CC}">
              <c16:uniqueId val="{00000008-C91D-4D6C-941E-6FAE9159F6BF}"/>
            </c:ext>
          </c:extLst>
        </c:ser>
        <c:dLbls>
          <c:showLegendKey val="0"/>
          <c:showVal val="0"/>
          <c:showCatName val="0"/>
          <c:showSerName val="0"/>
          <c:showPercent val="0"/>
          <c:showBubbleSize val="0"/>
          <c:showLeaderLines val="1"/>
        </c:dLbls>
        <c:firstSliceAng val="0"/>
      </c:pieChart>
    </c:plotArea>
    <c:legend>
      <c:legendPos val="r"/>
      <c:overlay val="0"/>
      <c:spPr>
        <a:noFill/>
        <a:ln w="0">
          <a:noFill/>
          <a:prstDash val="solid"/>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D  ·  Category Revenue by Channel</a:t>
            </a:r>
          </a:p>
        </c:rich>
      </c:tx>
      <c:overlay val="0"/>
      <c:spPr>
        <a:noFill/>
        <a:ln w="0">
          <a:noFill/>
          <a:prstDash val="solid"/>
        </a:ln>
      </c:spPr>
    </c:title>
    <c:autoTitleDeleted val="0"/>
    <c:plotArea>
      <c:layout/>
      <c:barChart>
        <c:barDir val="bar"/>
        <c:grouping val="clustered"/>
        <c:varyColors val="0"/>
        <c:ser>
          <c:idx val="0"/>
          <c:order val="0"/>
          <c:tx>
            <c:strRef>
              <c:f>Data_Charts!$B$34</c:f>
              <c:strCache>
                <c:ptCount val="1"/>
                <c:pt idx="0">
                  <c:v>Online</c:v>
                </c:pt>
              </c:strCache>
            </c:strRef>
          </c:tx>
          <c:spPr>
            <a:solidFill>
              <a:srgbClr val="4F81BD"/>
            </a:solidFill>
            <a:ln w="9360">
              <a:solidFill>
                <a:srgbClr val="F9F9F9"/>
              </a:solidFill>
              <a:prstDash val="solid"/>
              <a:round/>
            </a:ln>
          </c:spPr>
          <c:invertIfNegative val="0"/>
          <c:dLbls>
            <c:spPr>
              <a:noFill/>
              <a:ln>
                <a:noFill/>
              </a:ln>
              <a:effectLst/>
            </c:spPr>
            <c:txPr>
              <a:bodyPr/>
              <a:lstStyle/>
              <a:p>
                <a:pPr>
                  <a:defRPr sz="1000" b="0" strike="noStrike" spc="-1">
                    <a:latin typeface="Arial"/>
                  </a:defRPr>
                </a:pPr>
                <a:endParaRPr lang="en-US"/>
              </a:p>
            </c:tx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Data_Charts!$A$35:$A$38</c:f>
              <c:strCache>
                <c:ptCount val="4"/>
                <c:pt idx="0">
                  <c:v>Electronics</c:v>
                </c:pt>
                <c:pt idx="1">
                  <c:v>Furniture</c:v>
                </c:pt>
                <c:pt idx="2">
                  <c:v>Office Supplies</c:v>
                </c:pt>
                <c:pt idx="3">
                  <c:v>Apparel</c:v>
                </c:pt>
              </c:strCache>
            </c:strRef>
          </c:cat>
          <c:val>
            <c:numRef>
              <c:f>Data_Charts!$B$35:$B$38</c:f>
              <c:numCache>
                <c:formatCode>\₹#,##0</c:formatCode>
                <c:ptCount val="4"/>
                <c:pt idx="0">
                  <c:v>0</c:v>
                </c:pt>
                <c:pt idx="1">
                  <c:v>0</c:v>
                </c:pt>
                <c:pt idx="2">
                  <c:v>0</c:v>
                </c:pt>
                <c:pt idx="3">
                  <c:v>0</c:v>
                </c:pt>
              </c:numCache>
            </c:numRef>
          </c:val>
          <c:extLst>
            <c:ext xmlns:c16="http://schemas.microsoft.com/office/drawing/2014/chart" uri="{C3380CC4-5D6E-409C-BE32-E72D297353CC}">
              <c16:uniqueId val="{00000000-DB17-482F-8FDA-2B4EFAEB0713}"/>
            </c:ext>
          </c:extLst>
        </c:ser>
        <c:ser>
          <c:idx val="1"/>
          <c:order val="1"/>
          <c:tx>
            <c:strRef>
              <c:f>Data_Charts!$C$34</c:f>
              <c:strCache>
                <c:ptCount val="1"/>
                <c:pt idx="0">
                  <c:v>Retail</c:v>
                </c:pt>
              </c:strCache>
            </c:strRef>
          </c:tx>
          <c:spPr>
            <a:solidFill>
              <a:srgbClr val="C0504D"/>
            </a:solidFill>
            <a:ln w="9360">
              <a:solidFill>
                <a:srgbClr val="F9F9F9"/>
              </a:solidFill>
              <a:prstDash val="solid"/>
              <a:round/>
            </a:ln>
          </c:spPr>
          <c:invertIfNegative val="0"/>
          <c:dLbls>
            <c:spPr>
              <a:noFill/>
              <a:ln>
                <a:noFill/>
              </a:ln>
              <a:effectLst/>
            </c:spPr>
            <c:txPr>
              <a:bodyPr/>
              <a:lstStyle/>
              <a:p>
                <a:pPr>
                  <a:defRPr sz="1000" b="0" strike="noStrike" spc="-1">
                    <a:latin typeface="Arial"/>
                  </a:defRPr>
                </a:pPr>
                <a:endParaRPr lang="en-US"/>
              </a:p>
            </c:tx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Data_Charts!$A$35:$A$38</c:f>
              <c:strCache>
                <c:ptCount val="4"/>
                <c:pt idx="0">
                  <c:v>Electronics</c:v>
                </c:pt>
                <c:pt idx="1">
                  <c:v>Furniture</c:v>
                </c:pt>
                <c:pt idx="2">
                  <c:v>Office Supplies</c:v>
                </c:pt>
                <c:pt idx="3">
                  <c:v>Apparel</c:v>
                </c:pt>
              </c:strCache>
            </c:strRef>
          </c:cat>
          <c:val>
            <c:numRef>
              <c:f>Data_Charts!$C$35:$C$38</c:f>
              <c:numCache>
                <c:formatCode>\₹#,##0</c:formatCode>
                <c:ptCount val="4"/>
                <c:pt idx="0">
                  <c:v>0</c:v>
                </c:pt>
                <c:pt idx="1">
                  <c:v>0</c:v>
                </c:pt>
                <c:pt idx="2">
                  <c:v>0</c:v>
                </c:pt>
                <c:pt idx="3">
                  <c:v>0</c:v>
                </c:pt>
              </c:numCache>
            </c:numRef>
          </c:val>
          <c:extLst>
            <c:ext xmlns:c16="http://schemas.microsoft.com/office/drawing/2014/chart" uri="{C3380CC4-5D6E-409C-BE32-E72D297353CC}">
              <c16:uniqueId val="{00000001-DB17-482F-8FDA-2B4EFAEB0713}"/>
            </c:ext>
          </c:extLst>
        </c:ser>
        <c:ser>
          <c:idx val="2"/>
          <c:order val="2"/>
          <c:tx>
            <c:strRef>
              <c:f>Data_Charts!$D$34</c:f>
              <c:strCache>
                <c:ptCount val="1"/>
                <c:pt idx="0">
                  <c:v>Wholesale</c:v>
                </c:pt>
              </c:strCache>
            </c:strRef>
          </c:tx>
          <c:spPr>
            <a:solidFill>
              <a:srgbClr val="9BBB59"/>
            </a:solidFill>
            <a:ln w="9360">
              <a:solidFill>
                <a:srgbClr val="F9F9F9"/>
              </a:solidFill>
              <a:prstDash val="solid"/>
              <a:round/>
            </a:ln>
          </c:spPr>
          <c:invertIfNegative val="0"/>
          <c:dLbls>
            <c:spPr>
              <a:noFill/>
              <a:ln>
                <a:noFill/>
              </a:ln>
              <a:effectLst/>
            </c:spPr>
            <c:txPr>
              <a:bodyPr/>
              <a:lstStyle/>
              <a:p>
                <a:pPr>
                  <a:defRPr sz="1000" b="0" strike="noStrike" spc="-1">
                    <a:latin typeface="Arial"/>
                  </a:defRPr>
                </a:pPr>
                <a:endParaRPr lang="en-US"/>
              </a:p>
            </c:tx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Data_Charts!$A$35:$A$38</c:f>
              <c:strCache>
                <c:ptCount val="4"/>
                <c:pt idx="0">
                  <c:v>Electronics</c:v>
                </c:pt>
                <c:pt idx="1">
                  <c:v>Furniture</c:v>
                </c:pt>
                <c:pt idx="2">
                  <c:v>Office Supplies</c:v>
                </c:pt>
                <c:pt idx="3">
                  <c:v>Apparel</c:v>
                </c:pt>
              </c:strCache>
            </c:strRef>
          </c:cat>
          <c:val>
            <c:numRef>
              <c:f>Data_Charts!$D$35:$D$38</c:f>
              <c:numCache>
                <c:formatCode>\₹#,##0</c:formatCode>
                <c:ptCount val="4"/>
                <c:pt idx="0">
                  <c:v>0</c:v>
                </c:pt>
                <c:pt idx="1">
                  <c:v>0</c:v>
                </c:pt>
                <c:pt idx="2">
                  <c:v>0</c:v>
                </c:pt>
                <c:pt idx="3">
                  <c:v>0</c:v>
                </c:pt>
              </c:numCache>
            </c:numRef>
          </c:val>
          <c:extLst>
            <c:ext xmlns:c16="http://schemas.microsoft.com/office/drawing/2014/chart" uri="{C3380CC4-5D6E-409C-BE32-E72D297353CC}">
              <c16:uniqueId val="{00000002-DB17-482F-8FDA-2B4EFAEB0713}"/>
            </c:ext>
          </c:extLst>
        </c:ser>
        <c:dLbls>
          <c:showLegendKey val="0"/>
          <c:showVal val="0"/>
          <c:showCatName val="0"/>
          <c:showSerName val="0"/>
          <c:showPercent val="0"/>
          <c:showBubbleSize val="0"/>
        </c:dLbls>
        <c:gapWidth val="150"/>
        <c:axId val="18070225"/>
        <c:axId val="37649592"/>
      </c:barChart>
      <c:catAx>
        <c:axId val="18070225"/>
        <c:scaling>
          <c:orientation val="minMax"/>
        </c:scaling>
        <c:delete val="0"/>
        <c:axPos val="l"/>
        <c:title>
          <c:tx>
            <c:rich>
              <a:bodyPr rot="-5400000"/>
              <a:lstStyle/>
              <a:p>
                <a:pPr>
                  <a:defRPr sz="1000" b="1" strike="noStrike" spc="-1">
                    <a:solidFill>
                      <a:srgbClr val="000000"/>
                    </a:solidFill>
                    <a:latin typeface="Calibri"/>
                  </a:defRPr>
                </a:pPr>
                <a:r>
                  <a:rPr sz="1000" b="1" strike="noStrike" spc="-1">
                    <a:solidFill>
                      <a:srgbClr val="000000"/>
                    </a:solidFill>
                    <a:latin typeface="Calibri"/>
                  </a:rPr>
                  <a:t>Revenue (₹)</a:t>
                </a:r>
              </a:p>
            </c:rich>
          </c:tx>
          <c:overlay val="0"/>
          <c:spPr>
            <a:noFill/>
            <a:ln w="0">
              <a:noFill/>
              <a:prstDash val="solid"/>
            </a:ln>
          </c:spPr>
        </c:title>
        <c:numFmt formatCode="#,##0" sourceLinked="0"/>
        <c:majorTickMark val="none"/>
        <c:minorTickMark val="none"/>
        <c:tickLblPos val="nextTo"/>
        <c:spPr>
          <a:ln w="9360">
            <a:solidFill>
              <a:srgbClr val="878787"/>
            </a:solidFill>
            <a:prstDash val="solid"/>
            <a:round/>
          </a:ln>
        </c:spPr>
        <c:txPr>
          <a:bodyPr/>
          <a:lstStyle/>
          <a:p>
            <a:pPr>
              <a:defRPr sz="1000" b="0" strike="noStrike" spc="-1">
                <a:solidFill>
                  <a:srgbClr val="000000"/>
                </a:solidFill>
                <a:latin typeface="Calibri"/>
              </a:defRPr>
            </a:pPr>
            <a:endParaRPr lang="en-US"/>
          </a:p>
        </c:txPr>
        <c:crossAx val="37649592"/>
        <c:crosses val="autoZero"/>
        <c:auto val="1"/>
        <c:lblAlgn val="ctr"/>
        <c:lblOffset val="100"/>
        <c:noMultiLvlLbl val="0"/>
      </c:catAx>
      <c:valAx>
        <c:axId val="37649592"/>
        <c:scaling>
          <c:orientation val="minMax"/>
        </c:scaling>
        <c:delete val="0"/>
        <c:axPos val="b"/>
        <c:majorGridlines>
          <c:spPr>
            <a:ln w="9360">
              <a:solidFill>
                <a:srgbClr val="878787"/>
              </a:solidFill>
              <a:prstDash val="solid"/>
              <a:round/>
            </a:ln>
          </c:spPr>
        </c:majorGridlines>
        <c:numFmt formatCode="\₹#,##0" sourceLinked="1"/>
        <c:majorTickMark val="none"/>
        <c:minorTickMark val="none"/>
        <c:tickLblPos val="nextTo"/>
        <c:spPr>
          <a:ln w="9360">
            <a:solidFill>
              <a:srgbClr val="878787"/>
            </a:solidFill>
            <a:prstDash val="solid"/>
            <a:round/>
          </a:ln>
        </c:spPr>
        <c:txPr>
          <a:bodyPr/>
          <a:lstStyle/>
          <a:p>
            <a:pPr>
              <a:defRPr sz="1000" b="0" strike="noStrike" spc="-1">
                <a:solidFill>
                  <a:srgbClr val="000000"/>
                </a:solidFill>
                <a:latin typeface="Calibri"/>
              </a:defRPr>
            </a:pPr>
            <a:endParaRPr lang="en-US"/>
          </a:p>
        </c:txPr>
        <c:crossAx val="18070225"/>
        <c:crosses val="autoZero"/>
        <c:crossBetween val="between"/>
      </c:valAx>
    </c:plotArea>
    <c:legend>
      <c:legendPos val="b"/>
      <c:overlay val="0"/>
      <c:spPr>
        <a:noFill/>
        <a:ln w="0">
          <a:noFill/>
          <a:prstDash val="solid"/>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3</xdr:row>
      <xdr:rowOff>0</xdr:rowOff>
    </xdr:from>
    <xdr:to>
      <xdr:col>10</xdr:col>
      <xdr:colOff>372240</xdr:colOff>
      <xdr:row>16</xdr:row>
      <xdr:rowOff>43200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12</xdr:row>
      <xdr:rowOff>0</xdr:rowOff>
    </xdr:from>
    <xdr:to>
      <xdr:col>11</xdr:col>
      <xdr:colOff>105480</xdr:colOff>
      <xdr:row>27</xdr:row>
      <xdr:rowOff>21960</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0</xdr:colOff>
      <xdr:row>27</xdr:row>
      <xdr:rowOff>0</xdr:rowOff>
    </xdr:from>
    <xdr:to>
      <xdr:col>11</xdr:col>
      <xdr:colOff>105480</xdr:colOff>
      <xdr:row>40</xdr:row>
      <xdr:rowOff>43200</xdr:rowOff>
    </xdr:to>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45</xdr:row>
      <xdr:rowOff>0</xdr:rowOff>
    </xdr:from>
    <xdr:to>
      <xdr:col>3</xdr:col>
      <xdr:colOff>795240</xdr:colOff>
      <xdr:row>60</xdr:row>
      <xdr:rowOff>22320</xdr:rowOff>
    </xdr:to>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0</xdr:colOff>
      <xdr:row>45</xdr:row>
      <xdr:rowOff>0</xdr:rowOff>
    </xdr:from>
    <xdr:to>
      <xdr:col>11</xdr:col>
      <xdr:colOff>105480</xdr:colOff>
      <xdr:row>60</xdr:row>
      <xdr:rowOff>22320</xdr:rowOff>
    </xdr:to>
    <xdr:graphicFrame macro="">
      <xdr:nvGraphicFramePr>
        <xdr:cNvPr id="6" name="Chart 5">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DAL LAD" refreshedDate="46263.859143055553" createdVersion="8" refreshedVersion="8" minRefreshableVersion="3" recordCount="150" xr:uid="{4A09BF1A-F7FE-47FE-ABD3-E5E91D9C8CC7}">
  <cacheSource type="worksheet">
    <worksheetSource ref="A4:O154" sheet="Data_Sales"/>
  </cacheSource>
  <cacheFields count="17">
    <cacheField name="OrderID" numFmtId="0">
      <sharedItems count="150">
        <s v="ORD-5001"/>
        <s v="ORD-5002"/>
        <s v="ORD-5003"/>
        <s v="ORD-5004"/>
        <s v="ORD-5005"/>
        <s v="ORD-5006"/>
        <s v="ORD-5007"/>
        <s v="ORD-5008"/>
        <s v="ORD-5009"/>
        <s v="ORD-5010"/>
        <s v="ORD-5011"/>
        <s v="ORD-5012"/>
        <s v="ORD-5013"/>
        <s v="ORD-5014"/>
        <s v="ORD-5015"/>
        <s v="ORD-5016"/>
        <s v="ORD-5017"/>
        <s v="ORD-5018"/>
        <s v="ORD-5019"/>
        <s v="ORD-5020"/>
        <s v="ORD-5021"/>
        <s v="ORD-5022"/>
        <s v="ORD-5023"/>
        <s v="ORD-5024"/>
        <s v="ORD-5025"/>
        <s v="ORD-5026"/>
        <s v="ORD-5027"/>
        <s v="ORD-5028"/>
        <s v="ORD-5029"/>
        <s v="ORD-5030"/>
        <s v="ORD-5031"/>
        <s v="ORD-5032"/>
        <s v="ORD-5033"/>
        <s v="ORD-5034"/>
        <s v="ORD-5035"/>
        <s v="ORD-5036"/>
        <s v="ORD-5037"/>
        <s v="ORD-5038"/>
        <s v="ORD-5039"/>
        <s v="ORD-5040"/>
        <s v="ORD-5041"/>
        <s v="ORD-5042"/>
        <s v="ORD-5043"/>
        <s v="ORD-5044"/>
        <s v="ORD-5045"/>
        <s v="ORD-5046"/>
        <s v="ORD-5047"/>
        <s v="ORD-5048"/>
        <s v="ORD-5049"/>
        <s v="ORD-5050"/>
        <s v="ORD-5051"/>
        <s v="ORD-5052"/>
        <s v="ORD-5053"/>
        <s v="ORD-5054"/>
        <s v="ORD-5055"/>
        <s v="ORD-5056"/>
        <s v="ORD-5057"/>
        <s v="ORD-5058"/>
        <s v="ORD-5059"/>
        <s v="ORD-5060"/>
        <s v="ORD-5061"/>
        <s v="ORD-5062"/>
        <s v="ORD-5063"/>
        <s v="ORD-5064"/>
        <s v="ORD-5065"/>
        <s v="ORD-5066"/>
        <s v="ORD-5067"/>
        <s v="ORD-5068"/>
        <s v="ORD-5069"/>
        <s v="ORD-5070"/>
        <s v="ORD-5071"/>
        <s v="ORD-5072"/>
        <s v="ORD-5073"/>
        <s v="ORD-5074"/>
        <s v="ORD-5075"/>
        <s v="ORD-5076"/>
        <s v="ORD-5077"/>
        <s v="ORD-5078"/>
        <s v="ORD-5079"/>
        <s v="ORD-5080"/>
        <s v="ORD-5081"/>
        <s v="ORD-5082"/>
        <s v="ORD-5083"/>
        <s v="ORD-5084"/>
        <s v="ORD-5085"/>
        <s v="ORD-5086"/>
        <s v="ORD-5087"/>
        <s v="ORD-5088"/>
        <s v="ORD-5089"/>
        <s v="ORD-5090"/>
        <s v="ORD-5091"/>
        <s v="ORD-5092"/>
        <s v="ORD-5093"/>
        <s v="ORD-5094"/>
        <s v="ORD-5095"/>
        <s v="ORD-5096"/>
        <s v="ORD-5097"/>
        <s v="ORD-5098"/>
        <s v="ORD-5099"/>
        <s v="ORD-5100"/>
        <s v="ORD-5101"/>
        <s v="ORD-5102"/>
        <s v="ORD-5103"/>
        <s v="ORD-5104"/>
        <s v="ORD-5105"/>
        <s v="ORD-5106"/>
        <s v="ORD-5107"/>
        <s v="ORD-5108"/>
        <s v="ORD-5109"/>
        <s v="ORD-5110"/>
        <s v="ORD-5111"/>
        <s v="ORD-5112"/>
        <s v="ORD-5113"/>
        <s v="ORD-5114"/>
        <s v="ORD-5115"/>
        <s v="ORD-5116"/>
        <s v="ORD-5117"/>
        <s v="ORD-5118"/>
        <s v="ORD-5119"/>
        <s v="ORD-5120"/>
        <s v="ORD-5121"/>
        <s v="ORD-5122"/>
        <s v="ORD-5123"/>
        <s v="ORD-5124"/>
        <s v="ORD-5125"/>
        <s v="ORD-5126"/>
        <s v="ORD-5127"/>
        <s v="ORD-5128"/>
        <s v="ORD-5129"/>
        <s v="ORD-5130"/>
        <s v="ORD-5131"/>
        <s v="ORD-5132"/>
        <s v="ORD-5133"/>
        <s v="ORD-5134"/>
        <s v="ORD-5135"/>
        <s v="ORD-5136"/>
        <s v="ORD-5137"/>
        <s v="ORD-5138"/>
        <s v="ORD-5139"/>
        <s v="ORD-5140"/>
        <s v="ORD-5141"/>
        <s v="ORD-5142"/>
        <s v="ORD-5143"/>
        <s v="ORD-5144"/>
        <s v="ORD-5145"/>
        <s v="ORD-5146"/>
        <s v="ORD-5147"/>
        <s v="ORD-5148"/>
        <s v="ORD-5149"/>
        <s v="ORD-5150"/>
      </sharedItems>
    </cacheField>
    <cacheField name="Date" numFmtId="167">
      <sharedItems containsSemiMixedTypes="0" containsNonDate="0" containsDate="1" containsString="0" minDate="2025-01-02T00:00:00" maxDate="2025-07-01T00:00:00" count="96">
        <d v="2025-01-02T00:00:00"/>
        <d v="2025-01-03T00:00:00"/>
        <d v="2025-01-07T00:00:00"/>
        <d v="2025-01-15T00:00:00"/>
        <d v="2025-01-16T00:00:00"/>
        <d v="2025-01-22T00:00:00"/>
        <d v="2025-01-24T00:00:00"/>
        <d v="2025-01-28T00:00:00"/>
        <d v="2025-01-30T00:00:00"/>
        <d v="2025-02-01T00:00:00"/>
        <d v="2025-02-02T00:00:00"/>
        <d v="2025-02-08T00:00:00"/>
        <d v="2025-02-09T00:00:00"/>
        <d v="2025-02-10T00:00:00"/>
        <d v="2025-02-14T00:00:00"/>
        <d v="2025-02-18T00:00:00"/>
        <d v="2025-02-19T00:00:00"/>
        <d v="2025-02-22T00:00:00"/>
        <d v="2025-02-25T00:00:00"/>
        <d v="2025-02-26T00:00:00"/>
        <d v="2025-02-27T00:00:00"/>
        <d v="2025-03-02T00:00:00"/>
        <d v="2025-03-03T00:00:00"/>
        <d v="2025-03-04T00:00:00"/>
        <d v="2025-03-05T00:00:00"/>
        <d v="2025-03-06T00:00:00"/>
        <d v="2025-03-09T00:00:00"/>
        <d v="2025-03-10T00:00:00"/>
        <d v="2025-03-11T00:00:00"/>
        <d v="2025-03-13T00:00:00"/>
        <d v="2025-03-15T00:00:00"/>
        <d v="2025-03-16T00:00:00"/>
        <d v="2025-03-20T00:00:00"/>
        <d v="2025-03-21T00:00:00"/>
        <d v="2025-03-22T00:00:00"/>
        <d v="2025-03-25T00:00:00"/>
        <d v="2025-03-26T00:00:00"/>
        <d v="2025-03-27T00:00:00"/>
        <d v="2025-03-28T00:00:00"/>
        <d v="2025-03-29T00:00:00"/>
        <d v="2025-03-30T00:00:00"/>
        <d v="2025-03-31T00:00:00"/>
        <d v="2025-04-01T00:00:00"/>
        <d v="2025-04-03T00:00:00"/>
        <d v="2025-04-05T00:00:00"/>
        <d v="2025-04-06T00:00:00"/>
        <d v="2025-04-10T00:00:00"/>
        <d v="2025-04-12T00:00:00"/>
        <d v="2025-04-14T00:00:00"/>
        <d v="2025-04-16T00:00:00"/>
        <d v="2025-04-17T00:00:00"/>
        <d v="2025-04-19T00:00:00"/>
        <d v="2025-04-21T00:00:00"/>
        <d v="2025-04-22T00:00:00"/>
        <d v="2025-04-23T00:00:00"/>
        <d v="2025-04-25T00:00:00"/>
        <d v="2025-04-26T00:00:00"/>
        <d v="2025-04-27T00:00:00"/>
        <d v="2025-04-28T00:00:00"/>
        <d v="2025-04-29T00:00:00"/>
        <d v="2025-04-30T00:00:00"/>
        <d v="2025-05-03T00:00:00"/>
        <d v="2025-05-05T00:00:00"/>
        <d v="2025-05-09T00:00:00"/>
        <d v="2025-05-10T00:00:00"/>
        <d v="2025-05-12T00:00:00"/>
        <d v="2025-05-18T00:00:00"/>
        <d v="2025-05-21T00:00:00"/>
        <d v="2025-05-23T00:00:00"/>
        <d v="2025-05-27T00:00:00"/>
        <d v="2025-05-28T00:00:00"/>
        <d v="2025-05-29T00:00:00"/>
        <d v="2025-05-30T00:00:00"/>
        <d v="2025-05-31T00:00:00"/>
        <d v="2025-06-01T00:00:00"/>
        <d v="2025-06-02T00:00:00"/>
        <d v="2025-06-03T00:00:00"/>
        <d v="2025-06-04T00:00:00"/>
        <d v="2025-06-05T00:00:00"/>
        <d v="2025-06-07T00:00:00"/>
        <d v="2025-06-09T00:00:00"/>
        <d v="2025-06-10T00:00:00"/>
        <d v="2025-06-11T00:00:00"/>
        <d v="2025-06-12T00:00:00"/>
        <d v="2025-06-13T00:00:00"/>
        <d v="2025-06-14T00:00:00"/>
        <d v="2025-06-15T00:00:00"/>
        <d v="2025-06-17T00:00:00"/>
        <d v="2025-06-19T00:00:00"/>
        <d v="2025-06-20T00:00:00"/>
        <d v="2025-06-22T00:00:00"/>
        <d v="2025-06-24T00:00:00"/>
        <d v="2025-06-26T00:00:00"/>
        <d v="2025-06-28T00:00:00"/>
        <d v="2025-06-29T00:00:00"/>
        <d v="2025-06-30T00:00:00"/>
      </sharedItems>
      <fieldGroup par="16"/>
    </cacheField>
    <cacheField name="Region" numFmtId="0">
      <sharedItems count="4">
        <s v="North"/>
        <s v="West"/>
        <s v="East"/>
        <s v="South"/>
      </sharedItems>
    </cacheField>
    <cacheField name="City" numFmtId="0">
      <sharedItems/>
    </cacheField>
    <cacheField name="SalesRep" numFmtId="0">
      <sharedItems count="9">
        <s v="Priya Sharma"/>
        <s v="Sofia Dsouza"/>
        <s v="Mohit Gupta"/>
        <s v="Rahul Mehta"/>
        <s v="Neha Reddy"/>
        <s v="Ananya Roy"/>
        <s v="Vikram Patel"/>
        <s v="Arjun Nair"/>
        <s v="Karan Singh"/>
      </sharedItems>
    </cacheField>
    <cacheField name="ProductCode" numFmtId="0">
      <sharedItems/>
    </cacheField>
    <cacheField name="Product" numFmtId="0">
      <sharedItems/>
    </cacheField>
    <cacheField name="Category" numFmtId="0">
      <sharedItems count="4">
        <s v="Furniture"/>
        <s v="Office Supplies"/>
        <s v="Electronics"/>
        <s v="Apparel"/>
      </sharedItems>
    </cacheField>
    <cacheField name="Units" numFmtId="3">
      <sharedItems containsSemiMixedTypes="0" containsString="0" containsNumber="1" containsInteger="1" minValue="1" maxValue="55"/>
    </cacheField>
    <cacheField name="UnitPrice" numFmtId="164">
      <sharedItems containsSemiMixedTypes="0" containsString="0" containsNumber="1" minValue="6.5" maxValue="899"/>
    </cacheField>
    <cacheField name="DiscountPct" numFmtId="166">
      <sharedItems containsSemiMixedTypes="0" containsString="0" containsNumber="1" minValue="0" maxValue="0.2"/>
    </cacheField>
    <cacheField name="Revenue" numFmtId="164">
      <sharedItems containsSemiMixedTypes="0" containsString="0" containsNumber="1" minValue="26.1" maxValue="8091"/>
    </cacheField>
    <cacheField name="Channel" numFmtId="0">
      <sharedItems count="3">
        <s v="Online"/>
        <s v="Retail"/>
        <s v="Wholesale"/>
      </sharedItems>
    </cacheField>
    <cacheField name="CustomerType" numFmtId="0">
      <sharedItems/>
    </cacheField>
    <cacheField name="Segment" numFmtId="0">
      <sharedItems/>
    </cacheField>
    <cacheField name="Days (Date)" numFmtId="0" databaseField="0">
      <fieldGroup base="1">
        <rangePr groupBy="days" startDate="2025-01-02T00:00:00" endDate="2025-07-01T00:00:00"/>
        <groupItems count="368">
          <s v="&lt;02-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5"/>
        </groupItems>
      </fieldGroup>
    </cacheField>
    <cacheField name="Months (Date)" numFmtId="0" databaseField="0">
      <fieldGroup base="1">
        <rangePr groupBy="months" startDate="2025-01-02T00:00:00" endDate="2025-07-01T00:00:00"/>
        <groupItems count="14">
          <s v="&lt;02-01-2025"/>
          <s v="Jan"/>
          <s v="Feb"/>
          <s v="Mar"/>
          <s v="Apr"/>
          <s v="May"/>
          <s v="Jun"/>
          <s v="Jul"/>
          <s v="Aug"/>
          <s v="Sep"/>
          <s v="Oct"/>
          <s v="Nov"/>
          <s v="Dec"/>
          <s v="&gt;01-07-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x v="0"/>
    <x v="0"/>
    <s v="Delhi"/>
    <x v="0"/>
    <s v="FN-2002"/>
    <s v="Standing Desk"/>
    <x v="0"/>
    <n v="1"/>
    <n v="499"/>
    <n v="0.12"/>
    <n v="439.12"/>
    <x v="0"/>
    <s v="Returning"/>
    <s v="Enterprise"/>
  </r>
  <r>
    <x v="1"/>
    <x v="1"/>
    <x v="1"/>
    <s v="Pune"/>
    <x v="1"/>
    <s v="OS-3001"/>
    <s v="A4 Paper Ream"/>
    <x v="1"/>
    <n v="26"/>
    <n v="6.5"/>
    <n v="0"/>
    <n v="169"/>
    <x v="0"/>
    <s v="Returning"/>
    <s v="Consumer"/>
  </r>
  <r>
    <x v="2"/>
    <x v="2"/>
    <x v="2"/>
    <s v="Lucknow"/>
    <x v="2"/>
    <s v="FN-2002"/>
    <s v="Standing Desk"/>
    <x v="0"/>
    <n v="5"/>
    <n v="499"/>
    <n v="0.05"/>
    <n v="2370.25"/>
    <x v="1"/>
    <s v="Returning"/>
    <s v="Enterprise"/>
  </r>
  <r>
    <x v="3"/>
    <x v="3"/>
    <x v="1"/>
    <s v="Mumbai"/>
    <x v="3"/>
    <s v="EL-1003"/>
    <s v="USB-C Hub"/>
    <x v="2"/>
    <n v="6"/>
    <n v="49"/>
    <n v="0"/>
    <n v="294"/>
    <x v="0"/>
    <s v="New"/>
    <s v="Enterprise"/>
  </r>
  <r>
    <x v="4"/>
    <x v="4"/>
    <x v="0"/>
    <s v="Delhi"/>
    <x v="0"/>
    <s v="EL-1002"/>
    <s v="Wireless Mouse"/>
    <x v="2"/>
    <n v="1"/>
    <n v="29"/>
    <n v="0.1"/>
    <n v="26.1"/>
    <x v="2"/>
    <s v="Returning"/>
    <s v="SMB"/>
  </r>
  <r>
    <x v="5"/>
    <x v="5"/>
    <x v="3"/>
    <s v="Hyderabad"/>
    <x v="4"/>
    <s v="FN-2001"/>
    <s v="Executive Chair"/>
    <x v="0"/>
    <n v="4"/>
    <n v="349"/>
    <n v="0.03"/>
    <n v="1354.12"/>
    <x v="0"/>
    <s v="Returning"/>
    <s v="SMB"/>
  </r>
  <r>
    <x v="6"/>
    <x v="6"/>
    <x v="3"/>
    <s v="Hyderabad"/>
    <x v="4"/>
    <s v="EL-1003"/>
    <s v="USB-C Hub"/>
    <x v="2"/>
    <n v="6"/>
    <n v="49"/>
    <n v="0.13"/>
    <n v="255.78"/>
    <x v="1"/>
    <s v="Returning"/>
    <s v="SMB"/>
  </r>
  <r>
    <x v="7"/>
    <x v="6"/>
    <x v="3"/>
    <s v="Hyderabad"/>
    <x v="4"/>
    <s v="EL-1004"/>
    <s v="27-inch Monitor"/>
    <x v="2"/>
    <n v="8"/>
    <n v="279"/>
    <n v="0.08"/>
    <n v="2053.44"/>
    <x v="0"/>
    <s v="New"/>
    <s v="Consumer"/>
  </r>
  <r>
    <x v="8"/>
    <x v="6"/>
    <x v="2"/>
    <s v="Kolkata"/>
    <x v="5"/>
    <s v="EL-1001"/>
    <s v="Laptop Pro 14"/>
    <x v="2"/>
    <n v="3"/>
    <n v="899"/>
    <n v="0.08"/>
    <n v="2481.2399999999998"/>
    <x v="0"/>
    <s v="New"/>
    <s v="Enterprise"/>
  </r>
  <r>
    <x v="9"/>
    <x v="6"/>
    <x v="1"/>
    <s v="Mumbai"/>
    <x v="3"/>
    <s v="FN-2002"/>
    <s v="Standing Desk"/>
    <x v="0"/>
    <n v="1"/>
    <n v="499"/>
    <n v="0.1"/>
    <n v="449.1"/>
    <x v="2"/>
    <s v="Returning"/>
    <s v="SMB"/>
  </r>
  <r>
    <x v="10"/>
    <x v="7"/>
    <x v="2"/>
    <s v="Lucknow"/>
    <x v="2"/>
    <s v="FN-2001"/>
    <s v="Executive Chair"/>
    <x v="0"/>
    <n v="2"/>
    <n v="349"/>
    <n v="0.1"/>
    <n v="628.20000000000005"/>
    <x v="2"/>
    <s v="Returning"/>
    <s v="Enterprise"/>
  </r>
  <r>
    <x v="11"/>
    <x v="8"/>
    <x v="2"/>
    <s v="Kolkata"/>
    <x v="5"/>
    <s v="EL-1002"/>
    <s v="Wireless Mouse"/>
    <x v="2"/>
    <n v="7"/>
    <n v="29"/>
    <n v="0.12"/>
    <n v="178.64"/>
    <x v="0"/>
    <s v="Returning"/>
    <s v="SMB"/>
  </r>
  <r>
    <x v="12"/>
    <x v="8"/>
    <x v="1"/>
    <s v="Pune"/>
    <x v="1"/>
    <s v="AP-4001"/>
    <s v="Polo Shirt"/>
    <x v="3"/>
    <n v="11"/>
    <n v="28"/>
    <n v="0.15"/>
    <n v="261.8"/>
    <x v="2"/>
    <s v="New"/>
    <s v="Consumer"/>
  </r>
  <r>
    <x v="13"/>
    <x v="9"/>
    <x v="1"/>
    <s v="Ahmedabad"/>
    <x v="6"/>
    <s v="FN-2001"/>
    <s v="Executive Chair"/>
    <x v="0"/>
    <n v="5"/>
    <n v="349"/>
    <n v="0.12"/>
    <n v="1535.6"/>
    <x v="2"/>
    <s v="Returning"/>
    <s v="Enterprise"/>
  </r>
  <r>
    <x v="14"/>
    <x v="10"/>
    <x v="1"/>
    <s v="Pune"/>
    <x v="1"/>
    <s v="FN-2001"/>
    <s v="Executive Chair"/>
    <x v="0"/>
    <n v="4"/>
    <n v="349"/>
    <n v="0.14000000000000001"/>
    <n v="1200.56"/>
    <x v="0"/>
    <s v="Key Account"/>
    <s v="SMB"/>
  </r>
  <r>
    <x v="15"/>
    <x v="10"/>
    <x v="1"/>
    <s v="Ahmedabad"/>
    <x v="6"/>
    <s v="AP-4002"/>
    <s v="Zip Hoodie"/>
    <x v="3"/>
    <n v="9"/>
    <n v="45"/>
    <n v="0.1"/>
    <n v="364.5"/>
    <x v="2"/>
    <s v="New"/>
    <s v="Consumer"/>
  </r>
  <r>
    <x v="16"/>
    <x v="10"/>
    <x v="3"/>
    <s v="Bengaluru"/>
    <x v="7"/>
    <s v="AP-4001"/>
    <s v="Polo Shirt"/>
    <x v="3"/>
    <n v="15"/>
    <n v="28"/>
    <n v="0.08"/>
    <n v="386.4"/>
    <x v="1"/>
    <s v="Returning"/>
    <s v="Consumer"/>
  </r>
  <r>
    <x v="17"/>
    <x v="11"/>
    <x v="3"/>
    <s v="Hyderabad"/>
    <x v="4"/>
    <s v="FN-2002"/>
    <s v="Standing Desk"/>
    <x v="0"/>
    <n v="1"/>
    <n v="499"/>
    <n v="0.11"/>
    <n v="444.11"/>
    <x v="1"/>
    <s v="Returning"/>
    <s v="Consumer"/>
  </r>
  <r>
    <x v="18"/>
    <x v="11"/>
    <x v="1"/>
    <s v="Pune"/>
    <x v="1"/>
    <s v="FN-2003"/>
    <s v="Bookshelf Oak"/>
    <x v="0"/>
    <n v="4"/>
    <n v="189"/>
    <n v="0"/>
    <n v="756"/>
    <x v="0"/>
    <s v="Returning"/>
    <s v="SMB"/>
  </r>
  <r>
    <x v="19"/>
    <x v="12"/>
    <x v="3"/>
    <s v="Bengaluru"/>
    <x v="7"/>
    <s v="FN-2003"/>
    <s v="Bookshelf Oak"/>
    <x v="0"/>
    <n v="4"/>
    <n v="189"/>
    <n v="0.11"/>
    <n v="672.84"/>
    <x v="0"/>
    <s v="Returning"/>
    <s v="Consumer"/>
  </r>
  <r>
    <x v="20"/>
    <x v="12"/>
    <x v="1"/>
    <s v="Pune"/>
    <x v="1"/>
    <s v="OS-3003"/>
    <s v="Ink Cartridge BK"/>
    <x v="1"/>
    <n v="52"/>
    <n v="32"/>
    <n v="0.1"/>
    <n v="1497.6"/>
    <x v="1"/>
    <s v="Key Account"/>
    <s v="Consumer"/>
  </r>
  <r>
    <x v="21"/>
    <x v="12"/>
    <x v="0"/>
    <s v="Jaipur"/>
    <x v="8"/>
    <s v="EL-1005"/>
    <s v="Mechanical Keyboard"/>
    <x v="2"/>
    <n v="5"/>
    <n v="119"/>
    <n v="0.12"/>
    <n v="523.6"/>
    <x v="0"/>
    <s v="Returning"/>
    <s v="Enterprise"/>
  </r>
  <r>
    <x v="22"/>
    <x v="13"/>
    <x v="3"/>
    <s v="Bengaluru"/>
    <x v="7"/>
    <s v="EL-1002"/>
    <s v="Wireless Mouse"/>
    <x v="2"/>
    <n v="1"/>
    <n v="29"/>
    <n v="0.03"/>
    <n v="28.13"/>
    <x v="0"/>
    <s v="Returning"/>
    <s v="Consumer"/>
  </r>
  <r>
    <x v="23"/>
    <x v="13"/>
    <x v="1"/>
    <s v="Mumbai"/>
    <x v="3"/>
    <s v="OS-3003"/>
    <s v="Ink Cartridge BK"/>
    <x v="1"/>
    <n v="37"/>
    <n v="32"/>
    <n v="0.15"/>
    <n v="1006.4"/>
    <x v="2"/>
    <s v="New"/>
    <s v="Enterprise"/>
  </r>
  <r>
    <x v="24"/>
    <x v="14"/>
    <x v="2"/>
    <s v="Kolkata"/>
    <x v="5"/>
    <s v="FN-2002"/>
    <s v="Standing Desk"/>
    <x v="0"/>
    <n v="4"/>
    <n v="499"/>
    <n v="7.0000000000000007E-2"/>
    <n v="1856.28"/>
    <x v="0"/>
    <s v="Key Account"/>
    <s v="Consumer"/>
  </r>
  <r>
    <x v="25"/>
    <x v="14"/>
    <x v="2"/>
    <s v="Kolkata"/>
    <x v="5"/>
    <s v="EL-1002"/>
    <s v="Wireless Mouse"/>
    <x v="2"/>
    <n v="1"/>
    <n v="29"/>
    <n v="0"/>
    <n v="29"/>
    <x v="0"/>
    <s v="Returning"/>
    <s v="SMB"/>
  </r>
  <r>
    <x v="26"/>
    <x v="15"/>
    <x v="3"/>
    <s v="Hyderabad"/>
    <x v="4"/>
    <s v="OS-3003"/>
    <s v="Ink Cartridge BK"/>
    <x v="1"/>
    <n v="34"/>
    <n v="32"/>
    <n v="0.18"/>
    <n v="892.16"/>
    <x v="2"/>
    <s v="New"/>
    <s v="SMB"/>
  </r>
  <r>
    <x v="27"/>
    <x v="16"/>
    <x v="1"/>
    <s v="Ahmedabad"/>
    <x v="6"/>
    <s v="EL-1003"/>
    <s v="USB-C Hub"/>
    <x v="2"/>
    <n v="1"/>
    <n v="49"/>
    <n v="0.08"/>
    <n v="45.08"/>
    <x v="1"/>
    <s v="New"/>
    <s v="Consumer"/>
  </r>
  <r>
    <x v="28"/>
    <x v="17"/>
    <x v="1"/>
    <s v="Ahmedabad"/>
    <x v="6"/>
    <s v="OS-3001"/>
    <s v="A4 Paper Ream"/>
    <x v="1"/>
    <n v="44"/>
    <n v="6.5"/>
    <n v="0.18"/>
    <n v="234.52"/>
    <x v="2"/>
    <s v="New"/>
    <s v="Enterprise"/>
  </r>
  <r>
    <x v="29"/>
    <x v="18"/>
    <x v="3"/>
    <s v="Bengaluru"/>
    <x v="7"/>
    <s v="FN-2001"/>
    <s v="Executive Chair"/>
    <x v="0"/>
    <n v="5"/>
    <n v="349"/>
    <n v="0.08"/>
    <n v="1605.4"/>
    <x v="1"/>
    <s v="New"/>
    <s v="SMB"/>
  </r>
  <r>
    <x v="30"/>
    <x v="18"/>
    <x v="3"/>
    <s v="Hyderabad"/>
    <x v="4"/>
    <s v="EL-1002"/>
    <s v="Wireless Mouse"/>
    <x v="2"/>
    <n v="2"/>
    <n v="29"/>
    <n v="0.03"/>
    <n v="56.26"/>
    <x v="0"/>
    <s v="New"/>
    <s v="Enterprise"/>
  </r>
  <r>
    <x v="31"/>
    <x v="18"/>
    <x v="2"/>
    <s v="Lucknow"/>
    <x v="2"/>
    <s v="OS-3003"/>
    <s v="Ink Cartridge BK"/>
    <x v="1"/>
    <n v="49"/>
    <n v="32"/>
    <n v="0.05"/>
    <n v="1489.6"/>
    <x v="0"/>
    <s v="Returning"/>
    <s v="SMB"/>
  </r>
  <r>
    <x v="32"/>
    <x v="19"/>
    <x v="2"/>
    <s v="Lucknow"/>
    <x v="2"/>
    <s v="EL-1005"/>
    <s v="Mechanical Keyboard"/>
    <x v="2"/>
    <n v="8"/>
    <n v="119"/>
    <n v="0"/>
    <n v="952"/>
    <x v="0"/>
    <s v="New"/>
    <s v="Enterprise"/>
  </r>
  <r>
    <x v="33"/>
    <x v="19"/>
    <x v="3"/>
    <s v="Bengaluru"/>
    <x v="7"/>
    <s v="EL-1001"/>
    <s v="Laptop Pro 14"/>
    <x v="2"/>
    <n v="5"/>
    <n v="899"/>
    <n v="0.08"/>
    <n v="4135.3999999999996"/>
    <x v="0"/>
    <s v="New"/>
    <s v="Consumer"/>
  </r>
  <r>
    <x v="34"/>
    <x v="20"/>
    <x v="1"/>
    <s v="Mumbai"/>
    <x v="3"/>
    <s v="FN-2001"/>
    <s v="Executive Chair"/>
    <x v="0"/>
    <n v="1"/>
    <n v="349"/>
    <n v="0.05"/>
    <n v="331.55"/>
    <x v="1"/>
    <s v="New"/>
    <s v="SMB"/>
  </r>
  <r>
    <x v="35"/>
    <x v="21"/>
    <x v="0"/>
    <s v="Delhi"/>
    <x v="0"/>
    <s v="EL-1002"/>
    <s v="Wireless Mouse"/>
    <x v="2"/>
    <n v="10"/>
    <n v="29"/>
    <n v="0.08"/>
    <n v="266.8"/>
    <x v="0"/>
    <s v="Returning"/>
    <s v="Consumer"/>
  </r>
  <r>
    <x v="36"/>
    <x v="21"/>
    <x v="3"/>
    <s v="Hyderabad"/>
    <x v="4"/>
    <s v="EL-1003"/>
    <s v="USB-C Hub"/>
    <x v="2"/>
    <n v="8"/>
    <n v="49"/>
    <n v="0.08"/>
    <n v="360.64"/>
    <x v="0"/>
    <s v="New"/>
    <s v="Consumer"/>
  </r>
  <r>
    <x v="37"/>
    <x v="21"/>
    <x v="1"/>
    <s v="Ahmedabad"/>
    <x v="6"/>
    <s v="EL-1003"/>
    <s v="USB-C Hub"/>
    <x v="2"/>
    <n v="8"/>
    <n v="49"/>
    <n v="0.08"/>
    <n v="360.64"/>
    <x v="1"/>
    <s v="New"/>
    <s v="Enterprise"/>
  </r>
  <r>
    <x v="38"/>
    <x v="22"/>
    <x v="1"/>
    <s v="Mumbai"/>
    <x v="3"/>
    <s v="FN-2002"/>
    <s v="Standing Desk"/>
    <x v="0"/>
    <n v="1"/>
    <n v="499"/>
    <n v="0.1"/>
    <n v="449.1"/>
    <x v="0"/>
    <s v="Key Account"/>
    <s v="Enterprise"/>
  </r>
  <r>
    <x v="39"/>
    <x v="23"/>
    <x v="1"/>
    <s v="Mumbai"/>
    <x v="3"/>
    <s v="AP-4001"/>
    <s v="Polo Shirt"/>
    <x v="3"/>
    <n v="6"/>
    <n v="28"/>
    <n v="0.18"/>
    <n v="137.76"/>
    <x v="2"/>
    <s v="Returning"/>
    <s v="Enterprise"/>
  </r>
  <r>
    <x v="40"/>
    <x v="23"/>
    <x v="1"/>
    <s v="Mumbai"/>
    <x v="3"/>
    <s v="EL-1005"/>
    <s v="Mechanical Keyboard"/>
    <x v="2"/>
    <n v="2"/>
    <n v="119"/>
    <n v="0"/>
    <n v="238"/>
    <x v="0"/>
    <s v="Returning"/>
    <s v="SMB"/>
  </r>
  <r>
    <x v="41"/>
    <x v="24"/>
    <x v="1"/>
    <s v="Pune"/>
    <x v="1"/>
    <s v="AP-4002"/>
    <s v="Zip Hoodie"/>
    <x v="3"/>
    <n v="9"/>
    <n v="45"/>
    <n v="0.12"/>
    <n v="356.4"/>
    <x v="0"/>
    <s v="Returning"/>
    <s v="SMB"/>
  </r>
  <r>
    <x v="42"/>
    <x v="25"/>
    <x v="3"/>
    <s v="Hyderabad"/>
    <x v="4"/>
    <s v="OS-3001"/>
    <s v="A4 Paper Ream"/>
    <x v="1"/>
    <n v="13"/>
    <n v="6.5"/>
    <n v="0.05"/>
    <n v="80.28"/>
    <x v="0"/>
    <s v="Key Account"/>
    <s v="Consumer"/>
  </r>
  <r>
    <x v="43"/>
    <x v="26"/>
    <x v="1"/>
    <s v="Pune"/>
    <x v="1"/>
    <s v="FN-2002"/>
    <s v="Standing Desk"/>
    <x v="0"/>
    <n v="4"/>
    <n v="499"/>
    <n v="0.17"/>
    <n v="1656.68"/>
    <x v="2"/>
    <s v="Key Account"/>
    <s v="Enterprise"/>
  </r>
  <r>
    <x v="44"/>
    <x v="26"/>
    <x v="0"/>
    <s v="Jaipur"/>
    <x v="8"/>
    <s v="EL-1005"/>
    <s v="Mechanical Keyboard"/>
    <x v="2"/>
    <n v="2"/>
    <n v="119"/>
    <n v="0.1"/>
    <n v="214.2"/>
    <x v="1"/>
    <s v="Returning"/>
    <s v="SMB"/>
  </r>
  <r>
    <x v="45"/>
    <x v="27"/>
    <x v="2"/>
    <s v="Lucknow"/>
    <x v="2"/>
    <s v="EL-1005"/>
    <s v="Mechanical Keyboard"/>
    <x v="2"/>
    <n v="4"/>
    <n v="119"/>
    <n v="0.05"/>
    <n v="452.2"/>
    <x v="1"/>
    <s v="New"/>
    <s v="Enterprise"/>
  </r>
  <r>
    <x v="46"/>
    <x v="28"/>
    <x v="3"/>
    <s v="Hyderabad"/>
    <x v="4"/>
    <s v="EL-1004"/>
    <s v="27-inch Monitor"/>
    <x v="2"/>
    <n v="5"/>
    <n v="279"/>
    <n v="0.03"/>
    <n v="1353.15"/>
    <x v="0"/>
    <s v="Returning"/>
    <s v="SMB"/>
  </r>
  <r>
    <x v="47"/>
    <x v="28"/>
    <x v="0"/>
    <s v="Delhi"/>
    <x v="0"/>
    <s v="EL-1004"/>
    <s v="27-inch Monitor"/>
    <x v="2"/>
    <n v="5"/>
    <n v="279"/>
    <n v="0.02"/>
    <n v="1367.1"/>
    <x v="1"/>
    <s v="Key Account"/>
    <s v="SMB"/>
  </r>
  <r>
    <x v="48"/>
    <x v="29"/>
    <x v="0"/>
    <s v="Delhi"/>
    <x v="0"/>
    <s v="EL-1005"/>
    <s v="Mechanical Keyboard"/>
    <x v="2"/>
    <n v="6"/>
    <n v="119"/>
    <n v="0.05"/>
    <n v="678.3"/>
    <x v="1"/>
    <s v="Returning"/>
    <s v="Consumer"/>
  </r>
  <r>
    <x v="49"/>
    <x v="30"/>
    <x v="1"/>
    <s v="Pune"/>
    <x v="1"/>
    <s v="EL-1005"/>
    <s v="Mechanical Keyboard"/>
    <x v="2"/>
    <n v="4"/>
    <n v="119"/>
    <n v="0.12"/>
    <n v="418.88"/>
    <x v="1"/>
    <s v="Key Account"/>
    <s v="SMB"/>
  </r>
  <r>
    <x v="50"/>
    <x v="30"/>
    <x v="1"/>
    <s v="Ahmedabad"/>
    <x v="6"/>
    <s v="FN-2001"/>
    <s v="Executive Chair"/>
    <x v="0"/>
    <n v="1"/>
    <n v="349"/>
    <n v="0.05"/>
    <n v="331.55"/>
    <x v="0"/>
    <s v="Returning"/>
    <s v="Consumer"/>
  </r>
  <r>
    <x v="51"/>
    <x v="31"/>
    <x v="1"/>
    <s v="Mumbai"/>
    <x v="3"/>
    <s v="EL-1004"/>
    <s v="27-inch Monitor"/>
    <x v="2"/>
    <n v="6"/>
    <n v="279"/>
    <n v="0.1"/>
    <n v="1506.6"/>
    <x v="2"/>
    <s v="Returning"/>
    <s v="Enterprise"/>
  </r>
  <r>
    <x v="52"/>
    <x v="32"/>
    <x v="2"/>
    <s v="Kolkata"/>
    <x v="5"/>
    <s v="EL-1003"/>
    <s v="USB-C Hub"/>
    <x v="2"/>
    <n v="2"/>
    <n v="49"/>
    <n v="0.08"/>
    <n v="90.16"/>
    <x v="1"/>
    <s v="Returning"/>
    <s v="Consumer"/>
  </r>
  <r>
    <x v="53"/>
    <x v="32"/>
    <x v="1"/>
    <s v="Mumbai"/>
    <x v="3"/>
    <s v="AP-4002"/>
    <s v="Zip Hoodie"/>
    <x v="3"/>
    <n v="11"/>
    <n v="45"/>
    <n v="0"/>
    <n v="495"/>
    <x v="0"/>
    <s v="Returning"/>
    <s v="SMB"/>
  </r>
  <r>
    <x v="54"/>
    <x v="33"/>
    <x v="1"/>
    <s v="Ahmedabad"/>
    <x v="6"/>
    <s v="FN-2003"/>
    <s v="Bookshelf Oak"/>
    <x v="0"/>
    <n v="4"/>
    <n v="189"/>
    <n v="0.05"/>
    <n v="718.2"/>
    <x v="1"/>
    <s v="New"/>
    <s v="SMB"/>
  </r>
  <r>
    <x v="55"/>
    <x v="33"/>
    <x v="3"/>
    <s v="Bengaluru"/>
    <x v="7"/>
    <s v="EL-1001"/>
    <s v="Laptop Pro 14"/>
    <x v="2"/>
    <n v="2"/>
    <n v="899"/>
    <n v="0.17"/>
    <n v="1492.34"/>
    <x v="2"/>
    <s v="Key Account"/>
    <s v="Consumer"/>
  </r>
  <r>
    <x v="56"/>
    <x v="34"/>
    <x v="2"/>
    <s v="Kolkata"/>
    <x v="5"/>
    <s v="OS-3001"/>
    <s v="A4 Paper Ream"/>
    <x v="1"/>
    <n v="20"/>
    <n v="6.5"/>
    <n v="0.1"/>
    <n v="117"/>
    <x v="1"/>
    <s v="New"/>
    <s v="Consumer"/>
  </r>
  <r>
    <x v="57"/>
    <x v="35"/>
    <x v="3"/>
    <s v="Hyderabad"/>
    <x v="4"/>
    <s v="EL-1005"/>
    <s v="Mechanical Keyboard"/>
    <x v="2"/>
    <n v="6"/>
    <n v="119"/>
    <n v="0.03"/>
    <n v="692.58"/>
    <x v="0"/>
    <s v="Returning"/>
    <s v="Consumer"/>
  </r>
  <r>
    <x v="58"/>
    <x v="35"/>
    <x v="0"/>
    <s v="Delhi"/>
    <x v="0"/>
    <s v="EL-1004"/>
    <s v="27-inch Monitor"/>
    <x v="2"/>
    <n v="3"/>
    <n v="279"/>
    <n v="0"/>
    <n v="837"/>
    <x v="0"/>
    <s v="Returning"/>
    <s v="SMB"/>
  </r>
  <r>
    <x v="59"/>
    <x v="36"/>
    <x v="0"/>
    <s v="Jaipur"/>
    <x v="8"/>
    <s v="FN-2002"/>
    <s v="Standing Desk"/>
    <x v="0"/>
    <n v="5"/>
    <n v="499"/>
    <n v="7.0000000000000007E-2"/>
    <n v="2320.35"/>
    <x v="0"/>
    <s v="Key Account"/>
    <s v="Enterprise"/>
  </r>
  <r>
    <x v="60"/>
    <x v="37"/>
    <x v="1"/>
    <s v="Mumbai"/>
    <x v="3"/>
    <s v="EL-1002"/>
    <s v="Wireless Mouse"/>
    <x v="2"/>
    <n v="4"/>
    <n v="29"/>
    <n v="0.08"/>
    <n v="106.72"/>
    <x v="0"/>
    <s v="Returning"/>
    <s v="SMB"/>
  </r>
  <r>
    <x v="61"/>
    <x v="37"/>
    <x v="1"/>
    <s v="Mumbai"/>
    <x v="3"/>
    <s v="FN-2001"/>
    <s v="Executive Chair"/>
    <x v="0"/>
    <n v="2"/>
    <n v="349"/>
    <n v="0"/>
    <n v="698"/>
    <x v="0"/>
    <s v="Returning"/>
    <s v="Consumer"/>
  </r>
  <r>
    <x v="62"/>
    <x v="37"/>
    <x v="1"/>
    <s v="Mumbai"/>
    <x v="3"/>
    <s v="FN-2002"/>
    <s v="Standing Desk"/>
    <x v="0"/>
    <n v="3"/>
    <n v="499"/>
    <n v="0.05"/>
    <n v="1422.15"/>
    <x v="1"/>
    <s v="New"/>
    <s v="SMB"/>
  </r>
  <r>
    <x v="63"/>
    <x v="38"/>
    <x v="1"/>
    <s v="Ahmedabad"/>
    <x v="6"/>
    <s v="EL-1004"/>
    <s v="27-inch Monitor"/>
    <x v="2"/>
    <n v="9"/>
    <n v="279"/>
    <n v="0.12"/>
    <n v="2209.6799999999998"/>
    <x v="0"/>
    <s v="New"/>
    <s v="Consumer"/>
  </r>
  <r>
    <x v="64"/>
    <x v="38"/>
    <x v="0"/>
    <s v="Delhi"/>
    <x v="0"/>
    <s v="FN-2002"/>
    <s v="Standing Desk"/>
    <x v="0"/>
    <n v="5"/>
    <n v="499"/>
    <n v="0.05"/>
    <n v="2370.25"/>
    <x v="1"/>
    <s v="New"/>
    <s v="Consumer"/>
  </r>
  <r>
    <x v="65"/>
    <x v="39"/>
    <x v="1"/>
    <s v="Mumbai"/>
    <x v="3"/>
    <s v="AP-4002"/>
    <s v="Zip Hoodie"/>
    <x v="3"/>
    <n v="4"/>
    <n v="45"/>
    <n v="0.14000000000000001"/>
    <n v="154.80000000000001"/>
    <x v="0"/>
    <s v="Key Account"/>
    <s v="Consumer"/>
  </r>
  <r>
    <x v="66"/>
    <x v="40"/>
    <x v="1"/>
    <s v="Pune"/>
    <x v="1"/>
    <s v="EL-1001"/>
    <s v="Laptop Pro 14"/>
    <x v="2"/>
    <n v="9"/>
    <n v="899"/>
    <n v="0"/>
    <n v="8091"/>
    <x v="1"/>
    <s v="New"/>
    <s v="Consumer"/>
  </r>
  <r>
    <x v="67"/>
    <x v="41"/>
    <x v="3"/>
    <s v="Hyderabad"/>
    <x v="4"/>
    <s v="AP-4003"/>
    <s v="Cap Classic"/>
    <x v="3"/>
    <n v="11"/>
    <n v="16"/>
    <n v="0.1"/>
    <n v="158.4"/>
    <x v="1"/>
    <s v="Key Account"/>
    <s v="Consumer"/>
  </r>
  <r>
    <x v="68"/>
    <x v="42"/>
    <x v="2"/>
    <s v="Kolkata"/>
    <x v="5"/>
    <s v="EL-1004"/>
    <s v="27-inch Monitor"/>
    <x v="2"/>
    <n v="3"/>
    <n v="279"/>
    <n v="0.05"/>
    <n v="795.15"/>
    <x v="1"/>
    <s v="New"/>
    <s v="Enterprise"/>
  </r>
  <r>
    <x v="69"/>
    <x v="43"/>
    <x v="2"/>
    <s v="Kolkata"/>
    <x v="5"/>
    <s v="EL-1003"/>
    <s v="USB-C Hub"/>
    <x v="2"/>
    <n v="2"/>
    <n v="49"/>
    <n v="0.1"/>
    <n v="88.2"/>
    <x v="0"/>
    <s v="Key Account"/>
    <s v="Enterprise"/>
  </r>
  <r>
    <x v="70"/>
    <x v="44"/>
    <x v="3"/>
    <s v="Hyderabad"/>
    <x v="4"/>
    <s v="FN-2001"/>
    <s v="Executive Chair"/>
    <x v="0"/>
    <n v="5"/>
    <n v="349"/>
    <n v="0.05"/>
    <n v="1657.75"/>
    <x v="0"/>
    <s v="Key Account"/>
    <s v="Enterprise"/>
  </r>
  <r>
    <x v="71"/>
    <x v="45"/>
    <x v="1"/>
    <s v="Pune"/>
    <x v="1"/>
    <s v="EL-1005"/>
    <s v="Mechanical Keyboard"/>
    <x v="2"/>
    <n v="6"/>
    <n v="119"/>
    <n v="0"/>
    <n v="714"/>
    <x v="0"/>
    <s v="New"/>
    <s v="Consumer"/>
  </r>
  <r>
    <x v="72"/>
    <x v="45"/>
    <x v="3"/>
    <s v="Bengaluru"/>
    <x v="7"/>
    <s v="OS-3002"/>
    <s v="Stapler Set"/>
    <x v="1"/>
    <n v="9"/>
    <n v="14"/>
    <n v="0.03"/>
    <n v="122.22"/>
    <x v="1"/>
    <s v="New"/>
    <s v="Consumer"/>
  </r>
  <r>
    <x v="73"/>
    <x v="46"/>
    <x v="1"/>
    <s v="Ahmedabad"/>
    <x v="6"/>
    <s v="FN-2002"/>
    <s v="Standing Desk"/>
    <x v="0"/>
    <n v="1"/>
    <n v="499"/>
    <n v="0.1"/>
    <n v="449.1"/>
    <x v="1"/>
    <s v="Returning"/>
    <s v="Consumer"/>
  </r>
  <r>
    <x v="74"/>
    <x v="47"/>
    <x v="1"/>
    <s v="Mumbai"/>
    <x v="3"/>
    <s v="EL-1001"/>
    <s v="Laptop Pro 14"/>
    <x v="2"/>
    <n v="7"/>
    <n v="899"/>
    <n v="0.2"/>
    <n v="5034.3999999999996"/>
    <x v="2"/>
    <s v="Key Account"/>
    <s v="SMB"/>
  </r>
  <r>
    <x v="75"/>
    <x v="48"/>
    <x v="0"/>
    <s v="Jaipur"/>
    <x v="8"/>
    <s v="EL-1002"/>
    <s v="Wireless Mouse"/>
    <x v="2"/>
    <n v="3"/>
    <n v="29"/>
    <n v="0.05"/>
    <n v="82.65"/>
    <x v="0"/>
    <s v="Returning"/>
    <s v="Consumer"/>
  </r>
  <r>
    <x v="76"/>
    <x v="49"/>
    <x v="1"/>
    <s v="Pune"/>
    <x v="1"/>
    <s v="EL-1004"/>
    <s v="27-inch Monitor"/>
    <x v="2"/>
    <n v="4"/>
    <n v="279"/>
    <n v="0.17"/>
    <n v="926.28"/>
    <x v="2"/>
    <s v="Key Account"/>
    <s v="Enterprise"/>
  </r>
  <r>
    <x v="77"/>
    <x v="50"/>
    <x v="1"/>
    <s v="Mumbai"/>
    <x v="3"/>
    <s v="FN-2001"/>
    <s v="Executive Chair"/>
    <x v="0"/>
    <n v="2"/>
    <n v="349"/>
    <n v="0.15"/>
    <n v="593.29999999999995"/>
    <x v="2"/>
    <s v="Returning"/>
    <s v="Enterprise"/>
  </r>
  <r>
    <x v="78"/>
    <x v="51"/>
    <x v="1"/>
    <s v="Mumbai"/>
    <x v="3"/>
    <s v="EL-1003"/>
    <s v="USB-C Hub"/>
    <x v="2"/>
    <n v="7"/>
    <n v="49"/>
    <n v="0.05"/>
    <n v="325.85000000000002"/>
    <x v="1"/>
    <s v="Returning"/>
    <s v="SMB"/>
  </r>
  <r>
    <x v="79"/>
    <x v="52"/>
    <x v="1"/>
    <s v="Pune"/>
    <x v="1"/>
    <s v="EL-1004"/>
    <s v="27-inch Monitor"/>
    <x v="2"/>
    <n v="5"/>
    <n v="279"/>
    <n v="0.14000000000000001"/>
    <n v="1199.7"/>
    <x v="0"/>
    <s v="Key Account"/>
    <s v="SMB"/>
  </r>
  <r>
    <x v="80"/>
    <x v="52"/>
    <x v="1"/>
    <s v="Pune"/>
    <x v="1"/>
    <s v="OS-3002"/>
    <s v="Stapler Set"/>
    <x v="1"/>
    <n v="49"/>
    <n v="14"/>
    <n v="0.08"/>
    <n v="631.12"/>
    <x v="1"/>
    <s v="Returning"/>
    <s v="SMB"/>
  </r>
  <r>
    <x v="81"/>
    <x v="52"/>
    <x v="3"/>
    <s v="Bengaluru"/>
    <x v="7"/>
    <s v="EL-1001"/>
    <s v="Laptop Pro 14"/>
    <x v="2"/>
    <n v="1"/>
    <n v="899"/>
    <n v="0.08"/>
    <n v="827.08"/>
    <x v="0"/>
    <s v="Returning"/>
    <s v="Enterprise"/>
  </r>
  <r>
    <x v="82"/>
    <x v="53"/>
    <x v="0"/>
    <s v="Delhi"/>
    <x v="0"/>
    <s v="FN-2001"/>
    <s v="Executive Chair"/>
    <x v="0"/>
    <n v="3"/>
    <n v="349"/>
    <n v="0.05"/>
    <n v="994.65"/>
    <x v="1"/>
    <s v="Returning"/>
    <s v="Consumer"/>
  </r>
  <r>
    <x v="83"/>
    <x v="54"/>
    <x v="2"/>
    <s v="Kolkata"/>
    <x v="5"/>
    <s v="EL-1001"/>
    <s v="Laptop Pro 14"/>
    <x v="2"/>
    <n v="2"/>
    <n v="899"/>
    <n v="0.1"/>
    <n v="1618.2"/>
    <x v="0"/>
    <s v="Key Account"/>
    <s v="Enterprise"/>
  </r>
  <r>
    <x v="84"/>
    <x v="54"/>
    <x v="1"/>
    <s v="Pune"/>
    <x v="1"/>
    <s v="FN-2003"/>
    <s v="Bookshelf Oak"/>
    <x v="0"/>
    <n v="1"/>
    <n v="189"/>
    <n v="0.1"/>
    <n v="170.1"/>
    <x v="2"/>
    <s v="Returning"/>
    <s v="Consumer"/>
  </r>
  <r>
    <x v="85"/>
    <x v="55"/>
    <x v="0"/>
    <s v="Jaipur"/>
    <x v="8"/>
    <s v="EL-1001"/>
    <s v="Laptop Pro 14"/>
    <x v="2"/>
    <n v="3"/>
    <n v="899"/>
    <n v="0.12"/>
    <n v="2373.36"/>
    <x v="2"/>
    <s v="Returning"/>
    <s v="Consumer"/>
  </r>
  <r>
    <x v="86"/>
    <x v="56"/>
    <x v="3"/>
    <s v="Hyderabad"/>
    <x v="4"/>
    <s v="OS-3002"/>
    <s v="Stapler Set"/>
    <x v="1"/>
    <n v="28"/>
    <n v="14"/>
    <n v="0.08"/>
    <n v="360.64"/>
    <x v="0"/>
    <s v="Returning"/>
    <s v="Consumer"/>
  </r>
  <r>
    <x v="87"/>
    <x v="57"/>
    <x v="1"/>
    <s v="Pune"/>
    <x v="1"/>
    <s v="OS-3001"/>
    <s v="A4 Paper Ream"/>
    <x v="1"/>
    <n v="20"/>
    <n v="6.5"/>
    <n v="0.08"/>
    <n v="119.6"/>
    <x v="1"/>
    <s v="Returning"/>
    <s v="Consumer"/>
  </r>
  <r>
    <x v="88"/>
    <x v="57"/>
    <x v="1"/>
    <s v="Ahmedabad"/>
    <x v="6"/>
    <s v="EL-1004"/>
    <s v="27-inch Monitor"/>
    <x v="2"/>
    <n v="2"/>
    <n v="279"/>
    <n v="0.12"/>
    <n v="491.04"/>
    <x v="0"/>
    <s v="New"/>
    <s v="Enterprise"/>
  </r>
  <r>
    <x v="89"/>
    <x v="58"/>
    <x v="1"/>
    <s v="Mumbai"/>
    <x v="3"/>
    <s v="OS-3002"/>
    <s v="Stapler Set"/>
    <x v="1"/>
    <n v="36"/>
    <n v="14"/>
    <n v="0.15"/>
    <n v="428.4"/>
    <x v="2"/>
    <s v="Returning"/>
    <s v="Consumer"/>
  </r>
  <r>
    <x v="90"/>
    <x v="59"/>
    <x v="1"/>
    <s v="Mumbai"/>
    <x v="3"/>
    <s v="OS-3003"/>
    <s v="Ink Cartridge BK"/>
    <x v="1"/>
    <n v="47"/>
    <n v="32"/>
    <n v="0.14000000000000001"/>
    <n v="1293.44"/>
    <x v="0"/>
    <s v="Key Account"/>
    <s v="Enterprise"/>
  </r>
  <r>
    <x v="91"/>
    <x v="59"/>
    <x v="2"/>
    <s v="Lucknow"/>
    <x v="2"/>
    <s v="EL-1005"/>
    <s v="Mechanical Keyboard"/>
    <x v="2"/>
    <n v="1"/>
    <n v="119"/>
    <n v="0.1"/>
    <n v="107.1"/>
    <x v="2"/>
    <s v="Returning"/>
    <s v="Consumer"/>
  </r>
  <r>
    <x v="92"/>
    <x v="59"/>
    <x v="0"/>
    <s v="Delhi"/>
    <x v="0"/>
    <s v="EL-1004"/>
    <s v="27-inch Monitor"/>
    <x v="2"/>
    <n v="5"/>
    <n v="279"/>
    <n v="0.08"/>
    <n v="1283.4000000000001"/>
    <x v="0"/>
    <s v="New"/>
    <s v="Enterprise"/>
  </r>
  <r>
    <x v="93"/>
    <x v="59"/>
    <x v="2"/>
    <s v="Lucknow"/>
    <x v="2"/>
    <s v="FN-2002"/>
    <s v="Standing Desk"/>
    <x v="0"/>
    <n v="6"/>
    <n v="499"/>
    <n v="0.2"/>
    <n v="2395.1999999999998"/>
    <x v="2"/>
    <s v="Key Account"/>
    <s v="SMB"/>
  </r>
  <r>
    <x v="94"/>
    <x v="60"/>
    <x v="1"/>
    <s v="Pune"/>
    <x v="1"/>
    <s v="EL-1005"/>
    <s v="Mechanical Keyboard"/>
    <x v="2"/>
    <n v="2"/>
    <n v="119"/>
    <n v="0.1"/>
    <n v="214.2"/>
    <x v="1"/>
    <s v="Key Account"/>
    <s v="SMB"/>
  </r>
  <r>
    <x v="95"/>
    <x v="61"/>
    <x v="1"/>
    <s v="Ahmedabad"/>
    <x v="6"/>
    <s v="OS-3001"/>
    <s v="A4 Paper Ream"/>
    <x v="1"/>
    <n v="55"/>
    <n v="6.5"/>
    <n v="0.14000000000000001"/>
    <n v="307.45"/>
    <x v="2"/>
    <s v="Key Account"/>
    <s v="Consumer"/>
  </r>
  <r>
    <x v="96"/>
    <x v="62"/>
    <x v="0"/>
    <s v="Delhi"/>
    <x v="0"/>
    <s v="EL-1001"/>
    <s v="Laptop Pro 14"/>
    <x v="2"/>
    <n v="2"/>
    <n v="899"/>
    <n v="0"/>
    <n v="1798"/>
    <x v="0"/>
    <s v="New"/>
    <s v="Consumer"/>
  </r>
  <r>
    <x v="97"/>
    <x v="62"/>
    <x v="0"/>
    <s v="Jaipur"/>
    <x v="8"/>
    <s v="EL-1004"/>
    <s v="27-inch Monitor"/>
    <x v="2"/>
    <n v="1"/>
    <n v="279"/>
    <n v="0.12"/>
    <n v="245.52"/>
    <x v="2"/>
    <s v="Returning"/>
    <s v="Consumer"/>
  </r>
  <r>
    <x v="98"/>
    <x v="62"/>
    <x v="3"/>
    <s v="Hyderabad"/>
    <x v="4"/>
    <s v="EL-1001"/>
    <s v="Laptop Pro 14"/>
    <x v="2"/>
    <n v="3"/>
    <n v="899"/>
    <n v="0.11"/>
    <n v="2400.33"/>
    <x v="0"/>
    <s v="Returning"/>
    <s v="Consumer"/>
  </r>
  <r>
    <x v="99"/>
    <x v="63"/>
    <x v="3"/>
    <s v="Bengaluru"/>
    <x v="7"/>
    <s v="OS-3001"/>
    <s v="A4 Paper Ream"/>
    <x v="1"/>
    <n v="49"/>
    <n v="6.5"/>
    <n v="0.13"/>
    <n v="277.10000000000002"/>
    <x v="2"/>
    <s v="Returning"/>
    <s v="Consumer"/>
  </r>
  <r>
    <x v="100"/>
    <x v="64"/>
    <x v="1"/>
    <s v="Mumbai"/>
    <x v="3"/>
    <s v="OS-3001"/>
    <s v="A4 Paper Ream"/>
    <x v="1"/>
    <n v="17"/>
    <n v="6.5"/>
    <n v="0.18"/>
    <n v="90.61"/>
    <x v="2"/>
    <s v="Returning"/>
    <s v="SMB"/>
  </r>
  <r>
    <x v="101"/>
    <x v="64"/>
    <x v="3"/>
    <s v="Bengaluru"/>
    <x v="7"/>
    <s v="AP-4002"/>
    <s v="Zip Hoodie"/>
    <x v="3"/>
    <n v="8"/>
    <n v="45"/>
    <n v="0.11"/>
    <n v="320.39999999999998"/>
    <x v="1"/>
    <s v="New"/>
    <s v="Enterprise"/>
  </r>
  <r>
    <x v="102"/>
    <x v="65"/>
    <x v="3"/>
    <s v="Bengaluru"/>
    <x v="7"/>
    <s v="EL-1001"/>
    <s v="Laptop Pro 14"/>
    <x v="2"/>
    <n v="4"/>
    <n v="899"/>
    <n v="0.15"/>
    <n v="3056.6"/>
    <x v="2"/>
    <s v="New"/>
    <s v="Consumer"/>
  </r>
  <r>
    <x v="103"/>
    <x v="66"/>
    <x v="1"/>
    <s v="Ahmedabad"/>
    <x v="6"/>
    <s v="OS-3001"/>
    <s v="A4 Paper Ream"/>
    <x v="1"/>
    <n v="52"/>
    <n v="6.5"/>
    <n v="0.02"/>
    <n v="331.24"/>
    <x v="0"/>
    <s v="Key Account"/>
    <s v="Enterprise"/>
  </r>
  <r>
    <x v="104"/>
    <x v="67"/>
    <x v="0"/>
    <s v="Delhi"/>
    <x v="0"/>
    <s v="OS-3003"/>
    <s v="Ink Cartridge BK"/>
    <x v="1"/>
    <n v="28"/>
    <n v="32"/>
    <n v="0.12"/>
    <n v="788.48"/>
    <x v="0"/>
    <s v="Returning"/>
    <s v="Enterprise"/>
  </r>
  <r>
    <x v="105"/>
    <x v="67"/>
    <x v="1"/>
    <s v="Pune"/>
    <x v="1"/>
    <s v="EL-1003"/>
    <s v="USB-C Hub"/>
    <x v="2"/>
    <n v="2"/>
    <n v="49"/>
    <n v="0.12"/>
    <n v="86.24"/>
    <x v="0"/>
    <s v="New"/>
    <s v="Consumer"/>
  </r>
  <r>
    <x v="106"/>
    <x v="68"/>
    <x v="2"/>
    <s v="Lucknow"/>
    <x v="2"/>
    <s v="FN-2001"/>
    <s v="Executive Chair"/>
    <x v="0"/>
    <n v="4"/>
    <n v="349"/>
    <n v="0"/>
    <n v="1396"/>
    <x v="1"/>
    <s v="Returning"/>
    <s v="Enterprise"/>
  </r>
  <r>
    <x v="107"/>
    <x v="68"/>
    <x v="0"/>
    <s v="Jaipur"/>
    <x v="8"/>
    <s v="EL-1001"/>
    <s v="Laptop Pro 14"/>
    <x v="2"/>
    <n v="5"/>
    <n v="899"/>
    <n v="0.1"/>
    <n v="4045.5"/>
    <x v="1"/>
    <s v="Returning"/>
    <s v="SMB"/>
  </r>
  <r>
    <x v="108"/>
    <x v="68"/>
    <x v="0"/>
    <s v="Jaipur"/>
    <x v="8"/>
    <s v="FN-2001"/>
    <s v="Executive Chair"/>
    <x v="0"/>
    <n v="5"/>
    <n v="349"/>
    <n v="0.12"/>
    <n v="1535.6"/>
    <x v="2"/>
    <s v="Key Account"/>
    <s v="Enterprise"/>
  </r>
  <r>
    <x v="109"/>
    <x v="69"/>
    <x v="2"/>
    <s v="Kolkata"/>
    <x v="5"/>
    <s v="EL-1004"/>
    <s v="27-inch Monitor"/>
    <x v="2"/>
    <n v="7"/>
    <n v="279"/>
    <n v="0.08"/>
    <n v="1796.76"/>
    <x v="0"/>
    <s v="Returning"/>
    <s v="Enterprise"/>
  </r>
  <r>
    <x v="110"/>
    <x v="70"/>
    <x v="0"/>
    <s v="Jaipur"/>
    <x v="8"/>
    <s v="EL-1005"/>
    <s v="Mechanical Keyboard"/>
    <x v="2"/>
    <n v="7"/>
    <n v="119"/>
    <n v="0.12"/>
    <n v="733.04"/>
    <x v="1"/>
    <s v="Key Account"/>
    <s v="Consumer"/>
  </r>
  <r>
    <x v="111"/>
    <x v="70"/>
    <x v="1"/>
    <s v="Mumbai"/>
    <x v="3"/>
    <s v="EL-1005"/>
    <s v="Mechanical Keyboard"/>
    <x v="2"/>
    <n v="4"/>
    <n v="119"/>
    <n v="0.1"/>
    <n v="428.4"/>
    <x v="1"/>
    <s v="Key Account"/>
    <s v="SMB"/>
  </r>
  <r>
    <x v="112"/>
    <x v="71"/>
    <x v="3"/>
    <s v="Bengaluru"/>
    <x v="7"/>
    <s v="EL-1004"/>
    <s v="27-inch Monitor"/>
    <x v="2"/>
    <n v="4"/>
    <n v="279"/>
    <n v="0.11"/>
    <n v="993.24"/>
    <x v="1"/>
    <s v="Returning"/>
    <s v="Enterprise"/>
  </r>
  <r>
    <x v="113"/>
    <x v="72"/>
    <x v="3"/>
    <s v="Bengaluru"/>
    <x v="7"/>
    <s v="EL-1004"/>
    <s v="27-inch Monitor"/>
    <x v="2"/>
    <n v="1"/>
    <n v="279"/>
    <n v="0.13"/>
    <n v="242.73"/>
    <x v="2"/>
    <s v="New"/>
    <s v="Consumer"/>
  </r>
  <r>
    <x v="114"/>
    <x v="73"/>
    <x v="2"/>
    <s v="Lucknow"/>
    <x v="2"/>
    <s v="FN-2003"/>
    <s v="Bookshelf Oak"/>
    <x v="0"/>
    <n v="4"/>
    <n v="189"/>
    <n v="0"/>
    <n v="756"/>
    <x v="0"/>
    <s v="New"/>
    <s v="Enterprise"/>
  </r>
  <r>
    <x v="115"/>
    <x v="74"/>
    <x v="1"/>
    <s v="Pune"/>
    <x v="1"/>
    <s v="EL-1001"/>
    <s v="Laptop Pro 14"/>
    <x v="2"/>
    <n v="2"/>
    <n v="899"/>
    <n v="0.02"/>
    <n v="1762.04"/>
    <x v="1"/>
    <s v="Key Account"/>
    <s v="SMB"/>
  </r>
  <r>
    <x v="116"/>
    <x v="75"/>
    <x v="1"/>
    <s v="Mumbai"/>
    <x v="3"/>
    <s v="EL-1005"/>
    <s v="Mechanical Keyboard"/>
    <x v="2"/>
    <n v="2"/>
    <n v="119"/>
    <n v="0.1"/>
    <n v="214.2"/>
    <x v="1"/>
    <s v="New"/>
    <s v="SMB"/>
  </r>
  <r>
    <x v="117"/>
    <x v="76"/>
    <x v="3"/>
    <s v="Hyderabad"/>
    <x v="4"/>
    <s v="EL-1003"/>
    <s v="USB-C Hub"/>
    <x v="2"/>
    <n v="9"/>
    <n v="49"/>
    <n v="0.08"/>
    <n v="405.72"/>
    <x v="1"/>
    <s v="Returning"/>
    <s v="SMB"/>
  </r>
  <r>
    <x v="118"/>
    <x v="77"/>
    <x v="0"/>
    <s v="Jaipur"/>
    <x v="8"/>
    <s v="EL-1002"/>
    <s v="Wireless Mouse"/>
    <x v="2"/>
    <n v="4"/>
    <n v="29"/>
    <n v="0.12"/>
    <n v="102.08"/>
    <x v="1"/>
    <s v="Key Account"/>
    <s v="SMB"/>
  </r>
  <r>
    <x v="119"/>
    <x v="77"/>
    <x v="0"/>
    <s v="Delhi"/>
    <x v="0"/>
    <s v="EL-1001"/>
    <s v="Laptop Pro 14"/>
    <x v="2"/>
    <n v="2"/>
    <n v="899"/>
    <n v="0.14000000000000001"/>
    <n v="1546.28"/>
    <x v="0"/>
    <s v="Key Account"/>
    <s v="Consumer"/>
  </r>
  <r>
    <x v="120"/>
    <x v="78"/>
    <x v="0"/>
    <s v="Delhi"/>
    <x v="0"/>
    <s v="EL-1002"/>
    <s v="Wireless Mouse"/>
    <x v="2"/>
    <n v="3"/>
    <n v="29"/>
    <n v="0"/>
    <n v="87"/>
    <x v="0"/>
    <s v="Returning"/>
    <s v="SMB"/>
  </r>
  <r>
    <x v="121"/>
    <x v="78"/>
    <x v="2"/>
    <s v="Kolkata"/>
    <x v="5"/>
    <s v="EL-1003"/>
    <s v="USB-C Hub"/>
    <x v="2"/>
    <n v="6"/>
    <n v="49"/>
    <n v="0.05"/>
    <n v="279.3"/>
    <x v="0"/>
    <s v="Returning"/>
    <s v="Consumer"/>
  </r>
  <r>
    <x v="122"/>
    <x v="78"/>
    <x v="3"/>
    <s v="Bengaluru"/>
    <x v="7"/>
    <s v="OS-3001"/>
    <s v="A4 Paper Ream"/>
    <x v="1"/>
    <n v="51"/>
    <n v="6.5"/>
    <n v="0.13"/>
    <n v="288.41000000000003"/>
    <x v="0"/>
    <s v="Key Account"/>
    <s v="Consumer"/>
  </r>
  <r>
    <x v="123"/>
    <x v="79"/>
    <x v="3"/>
    <s v="Bengaluru"/>
    <x v="7"/>
    <s v="EL-1005"/>
    <s v="Mechanical Keyboard"/>
    <x v="2"/>
    <n v="4"/>
    <n v="119"/>
    <n v="0.03"/>
    <n v="461.72"/>
    <x v="0"/>
    <s v="Returning"/>
    <s v="Consumer"/>
  </r>
  <r>
    <x v="124"/>
    <x v="79"/>
    <x v="3"/>
    <s v="Hyderabad"/>
    <x v="4"/>
    <s v="OS-3003"/>
    <s v="Ink Cartridge BK"/>
    <x v="1"/>
    <n v="52"/>
    <n v="32"/>
    <n v="0.08"/>
    <n v="1530.88"/>
    <x v="0"/>
    <s v="New"/>
    <s v="SMB"/>
  </r>
  <r>
    <x v="125"/>
    <x v="80"/>
    <x v="2"/>
    <s v="Lucknow"/>
    <x v="2"/>
    <s v="EL-1001"/>
    <s v="Laptop Pro 14"/>
    <x v="2"/>
    <n v="2"/>
    <n v="899"/>
    <n v="0"/>
    <n v="1798"/>
    <x v="0"/>
    <s v="New"/>
    <s v="Enterprise"/>
  </r>
  <r>
    <x v="126"/>
    <x v="81"/>
    <x v="0"/>
    <s v="Jaipur"/>
    <x v="8"/>
    <s v="OS-3003"/>
    <s v="Ink Cartridge BK"/>
    <x v="1"/>
    <n v="29"/>
    <n v="32"/>
    <n v="0"/>
    <n v="928"/>
    <x v="0"/>
    <s v="New"/>
    <s v="SMB"/>
  </r>
  <r>
    <x v="127"/>
    <x v="81"/>
    <x v="1"/>
    <s v="Ahmedabad"/>
    <x v="6"/>
    <s v="EL-1005"/>
    <s v="Mechanical Keyboard"/>
    <x v="2"/>
    <n v="5"/>
    <n v="119"/>
    <n v="0.08"/>
    <n v="547.4"/>
    <x v="1"/>
    <s v="Returning"/>
    <s v="Consumer"/>
  </r>
  <r>
    <x v="128"/>
    <x v="82"/>
    <x v="0"/>
    <s v="Delhi"/>
    <x v="0"/>
    <s v="OS-3002"/>
    <s v="Stapler Set"/>
    <x v="1"/>
    <n v="54"/>
    <n v="14"/>
    <n v="0.18"/>
    <n v="619.91999999999996"/>
    <x v="2"/>
    <s v="New"/>
    <s v="Consumer"/>
  </r>
  <r>
    <x v="129"/>
    <x v="83"/>
    <x v="2"/>
    <s v="Kolkata"/>
    <x v="5"/>
    <s v="EL-1003"/>
    <s v="USB-C Hub"/>
    <x v="2"/>
    <n v="5"/>
    <n v="49"/>
    <n v="0.08"/>
    <n v="225.4"/>
    <x v="0"/>
    <s v="New"/>
    <s v="Enterprise"/>
  </r>
  <r>
    <x v="130"/>
    <x v="83"/>
    <x v="1"/>
    <s v="Pune"/>
    <x v="1"/>
    <s v="EL-1002"/>
    <s v="Wireless Mouse"/>
    <x v="2"/>
    <n v="4"/>
    <n v="29"/>
    <n v="7.0000000000000007E-2"/>
    <n v="107.88"/>
    <x v="0"/>
    <s v="Key Account"/>
    <s v="SMB"/>
  </r>
  <r>
    <x v="131"/>
    <x v="84"/>
    <x v="0"/>
    <s v="Jaipur"/>
    <x v="8"/>
    <s v="EL-1003"/>
    <s v="USB-C Hub"/>
    <x v="2"/>
    <n v="2"/>
    <n v="49"/>
    <n v="0.12"/>
    <n v="86.24"/>
    <x v="0"/>
    <s v="New"/>
    <s v="SMB"/>
  </r>
  <r>
    <x v="132"/>
    <x v="84"/>
    <x v="1"/>
    <s v="Mumbai"/>
    <x v="3"/>
    <s v="EL-1003"/>
    <s v="USB-C Hub"/>
    <x v="2"/>
    <n v="4"/>
    <n v="49"/>
    <n v="0.02"/>
    <n v="192.08"/>
    <x v="0"/>
    <s v="Key Account"/>
    <s v="SMB"/>
  </r>
  <r>
    <x v="133"/>
    <x v="85"/>
    <x v="1"/>
    <s v="Mumbai"/>
    <x v="3"/>
    <s v="EL-1005"/>
    <s v="Mechanical Keyboard"/>
    <x v="2"/>
    <n v="1"/>
    <n v="119"/>
    <n v="0.05"/>
    <n v="113.05"/>
    <x v="1"/>
    <s v="Returning"/>
    <s v="Consumer"/>
  </r>
  <r>
    <x v="134"/>
    <x v="85"/>
    <x v="1"/>
    <s v="Pune"/>
    <x v="1"/>
    <s v="EL-1005"/>
    <s v="Mechanical Keyboard"/>
    <x v="2"/>
    <n v="3"/>
    <n v="119"/>
    <n v="0.1"/>
    <n v="321.3"/>
    <x v="2"/>
    <s v="New"/>
    <s v="Consumer"/>
  </r>
  <r>
    <x v="135"/>
    <x v="86"/>
    <x v="0"/>
    <s v="Delhi"/>
    <x v="0"/>
    <s v="EL-1005"/>
    <s v="Mechanical Keyboard"/>
    <x v="2"/>
    <n v="6"/>
    <n v="119"/>
    <n v="0.05"/>
    <n v="678.3"/>
    <x v="0"/>
    <s v="Returning"/>
    <s v="Consumer"/>
  </r>
  <r>
    <x v="136"/>
    <x v="87"/>
    <x v="0"/>
    <s v="Jaipur"/>
    <x v="8"/>
    <s v="EL-1005"/>
    <s v="Mechanical Keyboard"/>
    <x v="2"/>
    <n v="4"/>
    <n v="119"/>
    <n v="0"/>
    <n v="476"/>
    <x v="0"/>
    <s v="Returning"/>
    <s v="Enterprise"/>
  </r>
  <r>
    <x v="137"/>
    <x v="87"/>
    <x v="2"/>
    <s v="Kolkata"/>
    <x v="5"/>
    <s v="FN-2002"/>
    <s v="Standing Desk"/>
    <x v="0"/>
    <n v="5"/>
    <n v="499"/>
    <n v="0.05"/>
    <n v="2370.25"/>
    <x v="0"/>
    <s v="New"/>
    <s v="SMB"/>
  </r>
  <r>
    <x v="138"/>
    <x v="87"/>
    <x v="1"/>
    <s v="Pune"/>
    <x v="1"/>
    <s v="EL-1004"/>
    <s v="27-inch Monitor"/>
    <x v="2"/>
    <n v="3"/>
    <n v="279"/>
    <n v="0.1"/>
    <n v="753.3"/>
    <x v="1"/>
    <s v="Returning"/>
    <s v="Consumer"/>
  </r>
  <r>
    <x v="139"/>
    <x v="88"/>
    <x v="2"/>
    <s v="Kolkata"/>
    <x v="5"/>
    <s v="FN-2001"/>
    <s v="Executive Chair"/>
    <x v="0"/>
    <n v="4"/>
    <n v="349"/>
    <n v="0.12"/>
    <n v="1228.48"/>
    <x v="0"/>
    <s v="New"/>
    <s v="Consumer"/>
  </r>
  <r>
    <x v="140"/>
    <x v="88"/>
    <x v="1"/>
    <s v="Pune"/>
    <x v="1"/>
    <s v="EL-1002"/>
    <s v="Wireless Mouse"/>
    <x v="2"/>
    <n v="6"/>
    <n v="29"/>
    <n v="0.1"/>
    <n v="156.6"/>
    <x v="2"/>
    <s v="New"/>
    <s v="Enterprise"/>
  </r>
  <r>
    <x v="141"/>
    <x v="89"/>
    <x v="0"/>
    <s v="Delhi"/>
    <x v="0"/>
    <s v="FN-2003"/>
    <s v="Bookshelf Oak"/>
    <x v="0"/>
    <n v="1"/>
    <n v="189"/>
    <n v="0.12"/>
    <n v="166.32"/>
    <x v="2"/>
    <s v="New"/>
    <s v="Consumer"/>
  </r>
  <r>
    <x v="142"/>
    <x v="90"/>
    <x v="2"/>
    <s v="Lucknow"/>
    <x v="2"/>
    <s v="FN-2001"/>
    <s v="Executive Chair"/>
    <x v="0"/>
    <n v="6"/>
    <n v="349"/>
    <n v="0.08"/>
    <n v="1926.48"/>
    <x v="1"/>
    <s v="Returning"/>
    <s v="Enterprise"/>
  </r>
  <r>
    <x v="143"/>
    <x v="91"/>
    <x v="2"/>
    <s v="Kolkata"/>
    <x v="5"/>
    <s v="OS-3002"/>
    <s v="Stapler Set"/>
    <x v="1"/>
    <n v="25"/>
    <n v="14"/>
    <n v="0.08"/>
    <n v="322"/>
    <x v="0"/>
    <s v="New"/>
    <s v="SMB"/>
  </r>
  <r>
    <x v="144"/>
    <x v="92"/>
    <x v="0"/>
    <s v="Delhi"/>
    <x v="0"/>
    <s v="EL-1005"/>
    <s v="Mechanical Keyboard"/>
    <x v="2"/>
    <n v="5"/>
    <n v="119"/>
    <n v="0.02"/>
    <n v="583.1"/>
    <x v="1"/>
    <s v="Key Account"/>
    <s v="SMB"/>
  </r>
  <r>
    <x v="145"/>
    <x v="92"/>
    <x v="1"/>
    <s v="Ahmedabad"/>
    <x v="6"/>
    <s v="AP-4003"/>
    <s v="Cap Classic"/>
    <x v="3"/>
    <n v="5"/>
    <n v="16"/>
    <n v="0.05"/>
    <n v="76"/>
    <x v="1"/>
    <s v="Returning"/>
    <s v="SMB"/>
  </r>
  <r>
    <x v="146"/>
    <x v="93"/>
    <x v="1"/>
    <s v="Pune"/>
    <x v="1"/>
    <s v="OS-3001"/>
    <s v="A4 Paper Ream"/>
    <x v="1"/>
    <n v="43"/>
    <n v="6.5"/>
    <n v="0.08"/>
    <n v="257.14"/>
    <x v="0"/>
    <s v="New"/>
    <s v="Consumer"/>
  </r>
  <r>
    <x v="147"/>
    <x v="93"/>
    <x v="3"/>
    <s v="Hyderabad"/>
    <x v="4"/>
    <s v="EL-1002"/>
    <s v="Wireless Mouse"/>
    <x v="2"/>
    <n v="2"/>
    <n v="29"/>
    <n v="0.15"/>
    <n v="49.3"/>
    <x v="1"/>
    <s v="Key Account"/>
    <s v="Enterprise"/>
  </r>
  <r>
    <x v="148"/>
    <x v="94"/>
    <x v="1"/>
    <s v="Ahmedabad"/>
    <x v="6"/>
    <s v="FN-2002"/>
    <s v="Standing Desk"/>
    <x v="0"/>
    <n v="2"/>
    <n v="499"/>
    <n v="0.15"/>
    <n v="848.3"/>
    <x v="2"/>
    <s v="Returning"/>
    <s v="SMB"/>
  </r>
  <r>
    <x v="149"/>
    <x v="95"/>
    <x v="1"/>
    <s v="Pune"/>
    <x v="1"/>
    <s v="OS-3001"/>
    <s v="A4 Paper Ream"/>
    <x v="1"/>
    <n v="36"/>
    <n v="6.5"/>
    <n v="0.17"/>
    <n v="194.22"/>
    <x v="2"/>
    <s v="Key Account"/>
    <s v="Enterpris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AFB6C0-6A08-4696-86AB-8DC06FA34A30}"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84:C103" firstHeaderRow="0" firstDataRow="1" firstDataCol="1"/>
  <pivotFields count="17">
    <pivotField showAll="0"/>
    <pivotField numFmtId="167" showAll="0">
      <items count="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axis="axisRow" showAll="0">
      <items count="5">
        <item x="2"/>
        <item x="0"/>
        <item x="3"/>
        <item x="1"/>
        <item t="default"/>
      </items>
    </pivotField>
    <pivotField showAll="0"/>
    <pivotField showAll="0"/>
    <pivotField showAll="0"/>
    <pivotField showAll="0"/>
    <pivotField axis="axisRow" showAll="0">
      <items count="5">
        <item x="3"/>
        <item x="2"/>
        <item x="0"/>
        <item x="1"/>
        <item t="default"/>
      </items>
    </pivotField>
    <pivotField numFmtId="3" showAll="0"/>
    <pivotField numFmtId="164" showAll="0"/>
    <pivotField numFmtId="166" showAll="0"/>
    <pivotField dataField="1" numFmtId="164"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2"/>
    <field x="7"/>
  </rowFields>
  <rowItems count="19">
    <i>
      <x/>
    </i>
    <i r="1">
      <x v="1"/>
    </i>
    <i r="1">
      <x v="2"/>
    </i>
    <i r="1">
      <x v="3"/>
    </i>
    <i>
      <x v="1"/>
    </i>
    <i r="1">
      <x v="1"/>
    </i>
    <i r="1">
      <x v="2"/>
    </i>
    <i r="1">
      <x v="3"/>
    </i>
    <i>
      <x v="2"/>
    </i>
    <i r="1">
      <x/>
    </i>
    <i r="1">
      <x v="1"/>
    </i>
    <i r="1">
      <x v="2"/>
    </i>
    <i r="1">
      <x v="3"/>
    </i>
    <i>
      <x v="3"/>
    </i>
    <i r="1">
      <x/>
    </i>
    <i r="1">
      <x v="1"/>
    </i>
    <i r="1">
      <x v="2"/>
    </i>
    <i r="1">
      <x v="3"/>
    </i>
    <i t="grand">
      <x/>
    </i>
  </rowItems>
  <colFields count="1">
    <field x="-2"/>
  </colFields>
  <colItems count="2">
    <i>
      <x/>
    </i>
    <i i="1">
      <x v="1"/>
    </i>
  </colItems>
  <dataFields count="2">
    <dataField name="Sum of Revenue" fld="11" baseField="0" baseItem="0" numFmtId="164"/>
    <dataField name="Sum of Revenue2" fld="11"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781214-4C95-4DDE-A587-434D852D649F}"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70:C75" firstHeaderRow="0" firstDataRow="1" firstDataCol="1"/>
  <pivotFields count="17">
    <pivotField showAll="0"/>
    <pivotField numFmtId="167" showAll="0">
      <items count="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axis="axisRow" showAll="0">
      <items count="5">
        <item x="2"/>
        <item x="0"/>
        <item x="3"/>
        <item x="1"/>
        <item t="default"/>
      </items>
    </pivotField>
    <pivotField showAll="0"/>
    <pivotField showAll="0"/>
    <pivotField showAll="0"/>
    <pivotField showAll="0"/>
    <pivotField showAll="0"/>
    <pivotField numFmtId="3" showAll="0"/>
    <pivotField numFmtId="164" showAll="0"/>
    <pivotField numFmtId="166" showAll="0"/>
    <pivotField dataField="1" numFmtId="164"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5">
    <i>
      <x/>
    </i>
    <i>
      <x v="1"/>
    </i>
    <i>
      <x v="2"/>
    </i>
    <i>
      <x v="3"/>
    </i>
    <i t="grand">
      <x/>
    </i>
  </rowItems>
  <colFields count="1">
    <field x="-2"/>
  </colFields>
  <colItems count="2">
    <i>
      <x/>
    </i>
    <i i="1">
      <x v="1"/>
    </i>
  </colItems>
  <dataFields count="2">
    <dataField name="Sum of Revenue" fld="11" baseField="0" baseItem="0" numFmtId="164"/>
    <dataField name="Sum of Revenue2" fld="11"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CF035E-4F0D-433D-BFFC-2D07DF7A6E3A}"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54:B61" firstHeaderRow="1" firstDataRow="1" firstDataCol="1"/>
  <pivotFields count="17">
    <pivotField showAll="0"/>
    <pivotField numFmtId="167" showAll="0">
      <items count="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showAll="0">
      <items count="5">
        <item x="2"/>
        <item x="0"/>
        <item x="3"/>
        <item x="1"/>
        <item t="default"/>
      </items>
    </pivotField>
    <pivotField showAll="0"/>
    <pivotField showAll="0"/>
    <pivotField showAll="0"/>
    <pivotField showAll="0"/>
    <pivotField showAll="0"/>
    <pivotField numFmtId="3" showAll="0"/>
    <pivotField numFmtId="164" showAll="0"/>
    <pivotField numFmtId="166" showAll="0"/>
    <pivotField dataField="1" numFmtId="164"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6"/>
  </rowFields>
  <rowItems count="7">
    <i>
      <x v="1"/>
    </i>
    <i>
      <x v="2"/>
    </i>
    <i>
      <x v="3"/>
    </i>
    <i>
      <x v="4"/>
    </i>
    <i>
      <x v="5"/>
    </i>
    <i>
      <x v="6"/>
    </i>
    <i t="grand">
      <x/>
    </i>
  </rowItems>
  <colItems count="1">
    <i/>
  </colItems>
  <dataFields count="1">
    <dataField name="Sum of Revenue" fld="1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AAB8A9-FC23-43A3-A473-2433A78681CC}"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6:C46" firstHeaderRow="0" firstDataRow="1" firstDataCol="1"/>
  <pivotFields count="17">
    <pivotField dataField="1"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umFmtId="167" showAll="0">
      <items count="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showAll="0">
      <items count="5">
        <item x="2"/>
        <item x="0"/>
        <item x="3"/>
        <item x="1"/>
        <item t="default"/>
      </items>
    </pivotField>
    <pivotField showAll="0"/>
    <pivotField axis="axisRow" showAll="0">
      <items count="10">
        <item x="5"/>
        <item x="7"/>
        <item x="8"/>
        <item x="2"/>
        <item x="4"/>
        <item x="0"/>
        <item x="3"/>
        <item x="1"/>
        <item x="6"/>
        <item t="default"/>
      </items>
    </pivotField>
    <pivotField showAll="0"/>
    <pivotField showAll="0"/>
    <pivotField showAll="0"/>
    <pivotField numFmtId="3" showAll="0"/>
    <pivotField numFmtId="164" showAll="0"/>
    <pivotField numFmtId="166" showAll="0"/>
    <pivotField dataField="1" numFmtId="164"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10">
    <i>
      <x/>
    </i>
    <i>
      <x v="1"/>
    </i>
    <i>
      <x v="2"/>
    </i>
    <i>
      <x v="3"/>
    </i>
    <i>
      <x v="4"/>
    </i>
    <i>
      <x v="5"/>
    </i>
    <i>
      <x v="6"/>
    </i>
    <i>
      <x v="7"/>
    </i>
    <i>
      <x v="8"/>
    </i>
    <i t="grand">
      <x/>
    </i>
  </rowItems>
  <colFields count="1">
    <field x="-2"/>
  </colFields>
  <colItems count="2">
    <i>
      <x/>
    </i>
    <i i="1">
      <x v="1"/>
    </i>
  </colItems>
  <dataFields count="2">
    <dataField name="Sum of Revenue" fld="11" baseField="0" baseItem="0" numFmtId="164"/>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FDC2B42-E68A-4FD3-A950-EC316BEC8891}"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20:E26" firstHeaderRow="1" firstDataRow="2" firstDataCol="1"/>
  <pivotFields count="17">
    <pivotField showAll="0"/>
    <pivotField numFmtId="167" showAll="0">
      <items count="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showAll="0">
      <items count="5">
        <item x="2"/>
        <item x="0"/>
        <item x="3"/>
        <item x="1"/>
        <item t="default"/>
      </items>
    </pivotField>
    <pivotField showAll="0"/>
    <pivotField showAll="0"/>
    <pivotField showAll="0"/>
    <pivotField showAll="0"/>
    <pivotField axis="axisRow" showAll="0">
      <items count="5">
        <item x="3"/>
        <item x="2"/>
        <item x="0"/>
        <item x="1"/>
        <item t="default"/>
      </items>
    </pivotField>
    <pivotField numFmtId="3" showAll="0"/>
    <pivotField numFmtId="164" showAll="0"/>
    <pivotField numFmtId="166" showAll="0"/>
    <pivotField dataField="1" numFmtId="164" showAll="0"/>
    <pivotField axis="axisCol" showAll="0">
      <items count="4">
        <item x="0"/>
        <item x="1"/>
        <item x="2"/>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5">
    <i>
      <x/>
    </i>
    <i>
      <x v="1"/>
    </i>
    <i>
      <x v="2"/>
    </i>
    <i>
      <x v="3"/>
    </i>
    <i t="grand">
      <x/>
    </i>
  </rowItems>
  <colFields count="1">
    <field x="12"/>
  </colFields>
  <colItems count="4">
    <i>
      <x/>
    </i>
    <i>
      <x v="1"/>
    </i>
    <i>
      <x v="2"/>
    </i>
    <i t="grand">
      <x/>
    </i>
  </colItems>
  <dataFields count="1">
    <dataField name="Sum of Revenue" fld="1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4EF4925-90CD-48AC-80E5-95D2A71E01D2}"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6:B11" firstHeaderRow="1" firstDataRow="1" firstDataCol="1"/>
  <pivotFields count="17">
    <pivotField showAll="0"/>
    <pivotField numFmtId="167" showAll="0">
      <items count="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axis="axisRow" showAll="0">
      <items count="5">
        <item x="2"/>
        <item x="0"/>
        <item x="3"/>
        <item x="1"/>
        <item t="default"/>
      </items>
    </pivotField>
    <pivotField showAll="0"/>
    <pivotField showAll="0"/>
    <pivotField showAll="0"/>
    <pivotField showAll="0"/>
    <pivotField showAll="0"/>
    <pivotField numFmtId="3" showAll="0"/>
    <pivotField numFmtId="164" showAll="0"/>
    <pivotField numFmtId="166" showAll="0"/>
    <pivotField dataField="1" numFmtId="164"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Revenue" fld="11" baseField="0" baseItem="0" numFmtId="164"/>
  </dataFields>
  <formats count="2">
    <format dxfId="1">
      <pivotArea collapsedLevelsAreSubtotals="1" fieldPosition="0">
        <references count="1">
          <reference field="2" count="1">
            <x v="3"/>
          </reference>
        </references>
      </pivotArea>
    </format>
    <format dxfId="0">
      <pivotArea dataOnly="0" labelOnly="1" fieldPosition="0">
        <references count="1">
          <reference field="2"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roducts" displayName="Products" ref="A4:G18" totalsRowShown="0">
  <autoFilter ref="A4:G18" xr:uid="{00000000-0009-0000-0100-000002000000}"/>
  <tableColumns count="7">
    <tableColumn id="1" xr3:uid="{00000000-0010-0000-0100-000001000000}" name="ProductCode"/>
    <tableColumn id="2" xr3:uid="{00000000-0010-0000-0100-000002000000}" name="ProductName"/>
    <tableColumn id="3" xr3:uid="{00000000-0010-0000-0100-000003000000}" name="Category"/>
    <tableColumn id="4" xr3:uid="{00000000-0010-0000-0100-000004000000}" name="ListPrice"/>
    <tableColumn id="5" xr3:uid="{00000000-0010-0000-0100-000005000000}" name="UnitCost"/>
    <tableColumn id="6" xr3:uid="{00000000-0010-0000-0100-000006000000}" name="Supplier"/>
    <tableColumn id="7" xr3:uid="{00000000-0010-0000-0100-000007000000}" name="Warehous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mployees" displayName="Employees" ref="A4:I18" totalsRowShown="0">
  <autoFilter ref="A4:I18" xr:uid="{00000000-0009-0000-0100-000003000000}"/>
  <tableColumns count="9">
    <tableColumn id="1" xr3:uid="{00000000-0010-0000-0200-000001000000}" name="EmpID"/>
    <tableColumn id="2" xr3:uid="{00000000-0010-0000-0200-000002000000}" name="FullName"/>
    <tableColumn id="3" xr3:uid="{00000000-0010-0000-0200-000003000000}" name="Department"/>
    <tableColumn id="4" xr3:uid="{00000000-0010-0000-0200-000004000000}" name="JobTitle"/>
    <tableColumn id="5" xr3:uid="{00000000-0010-0000-0200-000005000000}" name="ManagerID"/>
    <tableColumn id="6" xr3:uid="{00000000-0010-0000-0200-000006000000}" name="BaseSalary"/>
    <tableColumn id="7" xr3:uid="{00000000-0010-0000-0200-000007000000}" name="Location"/>
    <tableColumn id="8" xr3:uid="{00000000-0010-0000-0200-000008000000}" name="PerformanceScore"/>
    <tableColumn id="9" xr3:uid="{00000000-0010-0000-0200-000009000000}" name="JoinDate"/>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ommission" displayName="Commission" ref="A14:B19" totalsRowShown="0">
  <autoFilter ref="A14:B19" xr:uid="{00000000-0009-0000-0100-000004000000}"/>
  <tableColumns count="2">
    <tableColumn id="1" xr3:uid="{00000000-0010-0000-0300-000001000000}" name="MinSales"/>
    <tableColumn id="2" xr3:uid="{00000000-0010-0000-0300-000002000000}" name="CommissionRate"/>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rgets" displayName="Targets" ref="A4:G8" totalsRowShown="0">
  <autoFilter ref="A4:G8" xr:uid="{00000000-0009-0000-0100-000005000000}"/>
  <tableColumns count="7">
    <tableColumn id="1" xr3:uid="{00000000-0010-0000-0400-000001000000}" name="Metric"/>
    <tableColumn id="2" xr3:uid="{00000000-0010-0000-0400-000002000000}" name="Jan"/>
    <tableColumn id="3" xr3:uid="{00000000-0010-0000-0400-000003000000}" name="Feb"/>
    <tableColumn id="4" xr3:uid="{00000000-0010-0000-0400-000004000000}" name="Mar"/>
    <tableColumn id="5" xr3:uid="{00000000-0010-0000-0400-000005000000}" name="Apr"/>
    <tableColumn id="6" xr3:uid="{00000000-0010-0000-0400-000006000000}" name="May"/>
    <tableColumn id="7" xr3:uid="{00000000-0010-0000-0400-000007000000}" name="Ju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4F72"/>
    <pageSetUpPr fitToPage="1"/>
  </sheetPr>
  <dimension ref="A1:H62"/>
  <sheetViews>
    <sheetView showGridLines="0" zoomScaleNormal="100" workbookViewId="0">
      <pane ySplit="7" topLeftCell="A8" activePane="bottomLeft" state="frozen"/>
      <selection pane="bottomLeft" activeCell="B60" sqref="B60:D60"/>
    </sheetView>
  </sheetViews>
  <sheetFormatPr defaultColWidth="8.7109375" defaultRowHeight="15" x14ac:dyDescent="0.25"/>
  <cols>
    <col min="1" max="2" width="28" customWidth="1"/>
    <col min="3" max="3" width="62" customWidth="1"/>
    <col min="4" max="4" width="14" customWidth="1"/>
    <col min="5" max="8" width="16" customWidth="1"/>
  </cols>
  <sheetData>
    <row r="1" spans="1:8" ht="27.75" customHeight="1" x14ac:dyDescent="0.25">
      <c r="A1" s="100" t="s">
        <v>0</v>
      </c>
      <c r="B1" s="88"/>
      <c r="C1" s="88"/>
      <c r="D1" s="88"/>
      <c r="E1" s="88"/>
      <c r="F1" s="88"/>
      <c r="G1" s="88"/>
      <c r="H1" s="88"/>
    </row>
    <row r="2" spans="1:8" ht="19.5" customHeight="1" x14ac:dyDescent="0.25">
      <c r="A2" s="104" t="s">
        <v>1</v>
      </c>
      <c r="B2" s="88"/>
      <c r="C2" s="88"/>
      <c r="D2" s="88"/>
      <c r="E2" s="88"/>
      <c r="F2" s="88"/>
      <c r="G2" s="88"/>
      <c r="H2" s="88"/>
    </row>
    <row r="4" spans="1:8" ht="16.149999999999999" customHeight="1" x14ac:dyDescent="0.25">
      <c r="A4" s="106" t="s">
        <v>2</v>
      </c>
      <c r="B4" s="88"/>
      <c r="C4" s="88"/>
      <c r="D4" s="88"/>
      <c r="E4" s="88"/>
      <c r="F4" s="88"/>
      <c r="G4" s="88"/>
      <c r="H4" s="88"/>
    </row>
    <row r="5" spans="1:8" ht="48" customHeight="1" x14ac:dyDescent="0.25">
      <c r="A5" s="101" t="s">
        <v>3</v>
      </c>
      <c r="B5" s="88"/>
      <c r="C5" s="88"/>
      <c r="D5" s="88"/>
      <c r="E5" s="88"/>
      <c r="F5" s="88"/>
      <c r="G5" s="88"/>
      <c r="H5" s="88"/>
    </row>
    <row r="6" spans="1:8" ht="15" customHeight="1" x14ac:dyDescent="0.25">
      <c r="A6" s="88"/>
      <c r="B6" s="88"/>
      <c r="C6" s="88"/>
      <c r="D6" s="88"/>
      <c r="E6" s="88"/>
      <c r="F6" s="88"/>
      <c r="G6" s="88"/>
      <c r="H6" s="88"/>
    </row>
    <row r="8" spans="1:8" ht="16.149999999999999" customHeight="1" x14ac:dyDescent="0.25">
      <c r="A8" s="1" t="s">
        <v>4</v>
      </c>
    </row>
    <row r="9" spans="1:8" ht="15" customHeight="1" x14ac:dyDescent="0.25">
      <c r="A9" s="2" t="s">
        <v>5</v>
      </c>
      <c r="B9" s="102" t="s">
        <v>6</v>
      </c>
      <c r="C9" s="96"/>
      <c r="D9" s="90"/>
    </row>
    <row r="10" spans="1:8" ht="15" customHeight="1" x14ac:dyDescent="0.25">
      <c r="A10" s="2" t="s">
        <v>7</v>
      </c>
      <c r="B10" s="102" t="s">
        <v>8</v>
      </c>
      <c r="C10" s="96"/>
      <c r="D10" s="90"/>
    </row>
    <row r="11" spans="1:8" ht="15" customHeight="1" x14ac:dyDescent="0.25">
      <c r="A11" s="2" t="s">
        <v>9</v>
      </c>
      <c r="B11" s="102" t="s">
        <v>10</v>
      </c>
      <c r="C11" s="96"/>
      <c r="D11" s="90"/>
    </row>
    <row r="12" spans="1:8" ht="15" customHeight="1" x14ac:dyDescent="0.25">
      <c r="A12" s="2" t="s">
        <v>11</v>
      </c>
      <c r="B12" s="102" t="s">
        <v>12</v>
      </c>
      <c r="C12" s="96"/>
      <c r="D12" s="90"/>
    </row>
    <row r="13" spans="1:8" ht="15" customHeight="1" x14ac:dyDescent="0.25">
      <c r="A13" s="2" t="s">
        <v>13</v>
      </c>
      <c r="B13" s="107" t="s">
        <v>14</v>
      </c>
      <c r="C13" s="96"/>
      <c r="D13" s="90"/>
    </row>
    <row r="14" spans="1:8" ht="15" customHeight="1" x14ac:dyDescent="0.25">
      <c r="A14" s="2" t="s">
        <v>15</v>
      </c>
      <c r="B14" s="102" t="s">
        <v>16</v>
      </c>
      <c r="C14" s="96"/>
      <c r="D14" s="90"/>
    </row>
    <row r="15" spans="1:8" ht="15" customHeight="1" x14ac:dyDescent="0.25">
      <c r="A15" s="2" t="s">
        <v>17</v>
      </c>
      <c r="B15" s="102" t="s">
        <v>18</v>
      </c>
      <c r="C15" s="96"/>
      <c r="D15" s="90"/>
    </row>
    <row r="16" spans="1:8" ht="15" customHeight="1" x14ac:dyDescent="0.25">
      <c r="A16" s="2" t="s">
        <v>19</v>
      </c>
      <c r="B16" s="105" t="s">
        <v>20</v>
      </c>
      <c r="C16" s="96"/>
      <c r="D16" s="90"/>
    </row>
    <row r="18" spans="1:4" ht="16.149999999999999" customHeight="1" x14ac:dyDescent="0.25">
      <c r="A18" s="1" t="s">
        <v>21</v>
      </c>
    </row>
    <row r="19" spans="1:4" ht="15" customHeight="1" x14ac:dyDescent="0.25">
      <c r="A19" s="3" t="s">
        <v>22</v>
      </c>
      <c r="B19" s="103" t="s">
        <v>23</v>
      </c>
      <c r="C19" s="96"/>
      <c r="D19" s="90"/>
    </row>
    <row r="20" spans="1:4" ht="18" customHeight="1" x14ac:dyDescent="0.25">
      <c r="A20" s="4" t="s">
        <v>24</v>
      </c>
      <c r="B20" s="98" t="s">
        <v>25</v>
      </c>
      <c r="C20" s="96"/>
      <c r="D20" s="90"/>
    </row>
    <row r="21" spans="1:4" ht="18" customHeight="1" x14ac:dyDescent="0.25">
      <c r="A21" s="5" t="s">
        <v>26</v>
      </c>
      <c r="B21" s="99" t="s">
        <v>27</v>
      </c>
      <c r="C21" s="96"/>
      <c r="D21" s="90"/>
    </row>
    <row r="22" spans="1:4" ht="18" customHeight="1" x14ac:dyDescent="0.25">
      <c r="A22" s="4" t="s">
        <v>28</v>
      </c>
      <c r="B22" s="98" t="s">
        <v>29</v>
      </c>
      <c r="C22" s="96"/>
      <c r="D22" s="90"/>
    </row>
    <row r="23" spans="1:4" ht="18" customHeight="1" x14ac:dyDescent="0.25">
      <c r="A23" s="5" t="s">
        <v>30</v>
      </c>
      <c r="B23" s="99" t="s">
        <v>31</v>
      </c>
      <c r="C23" s="96"/>
      <c r="D23" s="90"/>
    </row>
    <row r="24" spans="1:4" ht="18" customHeight="1" x14ac:dyDescent="0.25">
      <c r="A24" s="4" t="s">
        <v>32</v>
      </c>
      <c r="B24" s="98" t="s">
        <v>33</v>
      </c>
      <c r="C24" s="96"/>
      <c r="D24" s="90"/>
    </row>
    <row r="25" spans="1:4" ht="18" customHeight="1" x14ac:dyDescent="0.25">
      <c r="A25" s="5" t="s">
        <v>34</v>
      </c>
      <c r="B25" s="99" t="s">
        <v>35</v>
      </c>
      <c r="C25" s="96"/>
      <c r="D25" s="90"/>
    </row>
    <row r="26" spans="1:4" ht="18" customHeight="1" x14ac:dyDescent="0.25">
      <c r="A26" s="4" t="s">
        <v>36</v>
      </c>
      <c r="B26" s="98" t="s">
        <v>37</v>
      </c>
      <c r="C26" s="96"/>
      <c r="D26" s="90"/>
    </row>
    <row r="27" spans="1:4" ht="18" customHeight="1" x14ac:dyDescent="0.25">
      <c r="A27" s="5" t="s">
        <v>38</v>
      </c>
      <c r="B27" s="99" t="s">
        <v>39</v>
      </c>
      <c r="C27" s="96"/>
      <c r="D27" s="90"/>
    </row>
    <row r="28" spans="1:4" ht="18" customHeight="1" x14ac:dyDescent="0.25">
      <c r="A28" s="4" t="s">
        <v>40</v>
      </c>
      <c r="B28" s="98" t="s">
        <v>41</v>
      </c>
      <c r="C28" s="96"/>
      <c r="D28" s="90"/>
    </row>
    <row r="30" spans="1:4" ht="16.149999999999999" customHeight="1" x14ac:dyDescent="0.25">
      <c r="A30" s="1" t="s">
        <v>42</v>
      </c>
    </row>
    <row r="31" spans="1:4" ht="15" customHeight="1" x14ac:dyDescent="0.25">
      <c r="A31" s="6" t="s">
        <v>43</v>
      </c>
      <c r="B31" s="6" t="s">
        <v>44</v>
      </c>
      <c r="C31" s="66" t="s">
        <v>45</v>
      </c>
      <c r="D31" s="6" t="s">
        <v>46</v>
      </c>
    </row>
    <row r="32" spans="1:4" ht="36" customHeight="1" x14ac:dyDescent="0.25">
      <c r="A32" s="67" t="s">
        <v>47</v>
      </c>
      <c r="B32" s="68" t="s">
        <v>48</v>
      </c>
      <c r="C32" s="68" t="s">
        <v>49</v>
      </c>
      <c r="D32" s="68" t="s">
        <v>50</v>
      </c>
    </row>
    <row r="33" spans="1:8" ht="36" customHeight="1" x14ac:dyDescent="0.25">
      <c r="A33" s="69" t="s">
        <v>51</v>
      </c>
      <c r="B33" s="70" t="s">
        <v>52</v>
      </c>
      <c r="C33" s="70" t="s">
        <v>53</v>
      </c>
      <c r="D33" s="70" t="s">
        <v>54</v>
      </c>
    </row>
    <row r="34" spans="1:8" ht="36" customHeight="1" x14ac:dyDescent="0.25">
      <c r="A34" s="67" t="s">
        <v>55</v>
      </c>
      <c r="B34" s="68" t="s">
        <v>56</v>
      </c>
      <c r="C34" s="68" t="s">
        <v>57</v>
      </c>
      <c r="D34" s="68" t="s">
        <v>58</v>
      </c>
    </row>
    <row r="35" spans="1:8" ht="36" customHeight="1" x14ac:dyDescent="0.25">
      <c r="A35" s="69" t="s">
        <v>59</v>
      </c>
      <c r="B35" s="70" t="s">
        <v>60</v>
      </c>
      <c r="C35" s="70" t="s">
        <v>61</v>
      </c>
      <c r="D35" s="70" t="s">
        <v>62</v>
      </c>
    </row>
    <row r="36" spans="1:8" ht="36" customHeight="1" x14ac:dyDescent="0.25">
      <c r="A36" s="67" t="s">
        <v>63</v>
      </c>
      <c r="B36" s="68" t="s">
        <v>64</v>
      </c>
      <c r="C36" s="68" t="s">
        <v>65</v>
      </c>
      <c r="D36" s="68" t="s">
        <v>62</v>
      </c>
    </row>
    <row r="37" spans="1:8" ht="31.5" customHeight="1" x14ac:dyDescent="0.25">
      <c r="A37" s="7" t="s">
        <v>66</v>
      </c>
      <c r="B37" s="109"/>
      <c r="C37" s="90"/>
      <c r="D37" s="7" t="s">
        <v>10</v>
      </c>
    </row>
    <row r="40" spans="1:8" ht="16.149999999999999" customHeight="1" x14ac:dyDescent="0.25">
      <c r="A40" s="1" t="s">
        <v>67</v>
      </c>
    </row>
    <row r="41" spans="1:8" ht="15" customHeight="1" x14ac:dyDescent="0.25">
      <c r="A41" s="97" t="s">
        <v>68</v>
      </c>
      <c r="B41" s="88"/>
      <c r="C41" s="88"/>
      <c r="D41" s="88"/>
      <c r="E41" s="88"/>
      <c r="F41" s="88"/>
      <c r="G41" s="88"/>
      <c r="H41" s="88"/>
    </row>
    <row r="42" spans="1:8" ht="15" customHeight="1" x14ac:dyDescent="0.25">
      <c r="A42" s="97" t="s">
        <v>69</v>
      </c>
      <c r="B42" s="88"/>
      <c r="C42" s="88"/>
      <c r="D42" s="88"/>
      <c r="E42" s="88"/>
      <c r="F42" s="88"/>
      <c r="G42" s="88"/>
      <c r="H42" s="88"/>
    </row>
    <row r="43" spans="1:8" ht="15" customHeight="1" x14ac:dyDescent="0.25">
      <c r="A43" s="97" t="s">
        <v>70</v>
      </c>
      <c r="B43" s="88"/>
      <c r="C43" s="88"/>
      <c r="D43" s="88"/>
      <c r="E43" s="88"/>
      <c r="F43" s="88"/>
      <c r="G43" s="88"/>
      <c r="H43" s="88"/>
    </row>
    <row r="44" spans="1:8" ht="15" customHeight="1" x14ac:dyDescent="0.25">
      <c r="A44" s="97" t="s">
        <v>71</v>
      </c>
      <c r="B44" s="88"/>
      <c r="C44" s="88"/>
      <c r="D44" s="88"/>
      <c r="E44" s="88"/>
      <c r="F44" s="88"/>
      <c r="G44" s="88"/>
      <c r="H44" s="88"/>
    </row>
    <row r="45" spans="1:8" ht="15" customHeight="1" x14ac:dyDescent="0.25">
      <c r="A45" s="97" t="s">
        <v>72</v>
      </c>
      <c r="B45" s="88"/>
      <c r="C45" s="88"/>
      <c r="D45" s="88"/>
      <c r="E45" s="88"/>
      <c r="F45" s="88"/>
      <c r="G45" s="88"/>
      <c r="H45" s="88"/>
    </row>
    <row r="46" spans="1:8" ht="15" customHeight="1" x14ac:dyDescent="0.25">
      <c r="A46" s="97" t="s">
        <v>73</v>
      </c>
      <c r="B46" s="88"/>
      <c r="C46" s="88"/>
      <c r="D46" s="88"/>
      <c r="E46" s="88"/>
      <c r="F46" s="88"/>
      <c r="G46" s="88"/>
      <c r="H46" s="88"/>
    </row>
    <row r="47" spans="1:8" ht="15" customHeight="1" x14ac:dyDescent="0.25">
      <c r="A47" s="97" t="s">
        <v>74</v>
      </c>
      <c r="B47" s="88"/>
      <c r="C47" s="88"/>
      <c r="D47" s="88"/>
      <c r="E47" s="88"/>
      <c r="F47" s="88"/>
      <c r="G47" s="88"/>
      <c r="H47" s="88"/>
    </row>
    <row r="50" spans="1:8" ht="16.149999999999999" customHeight="1" x14ac:dyDescent="0.25">
      <c r="A50" s="1" t="s">
        <v>75</v>
      </c>
    </row>
    <row r="51" spans="1:8" ht="48" customHeight="1" x14ac:dyDescent="0.25">
      <c r="A51" s="108" t="s">
        <v>76</v>
      </c>
      <c r="B51" s="88"/>
      <c r="C51" s="88"/>
      <c r="D51" s="88"/>
      <c r="E51" s="88"/>
      <c r="F51" s="88"/>
      <c r="G51" s="88"/>
      <c r="H51" s="88"/>
    </row>
    <row r="52" spans="1:8" ht="15" customHeight="1" x14ac:dyDescent="0.25">
      <c r="A52" s="88"/>
      <c r="B52" s="88"/>
      <c r="C52" s="88"/>
      <c r="D52" s="88"/>
      <c r="E52" s="88"/>
      <c r="F52" s="88"/>
      <c r="G52" s="88"/>
      <c r="H52" s="88"/>
    </row>
    <row r="53" spans="1:8" ht="15" customHeight="1" x14ac:dyDescent="0.25">
      <c r="A53" s="88"/>
      <c r="B53" s="88"/>
      <c r="C53" s="88"/>
      <c r="D53" s="88"/>
      <c r="E53" s="88"/>
      <c r="F53" s="88"/>
      <c r="G53" s="88"/>
      <c r="H53" s="88"/>
    </row>
    <row r="55" spans="1:8" ht="16.149999999999999" customHeight="1" x14ac:dyDescent="0.25">
      <c r="A55" s="106" t="s">
        <v>77</v>
      </c>
      <c r="B55" s="88"/>
      <c r="C55" s="88"/>
      <c r="D55" s="88"/>
      <c r="E55" s="88"/>
      <c r="F55" s="88"/>
      <c r="G55" s="88"/>
      <c r="H55" s="88"/>
    </row>
    <row r="57" spans="1:8" ht="15" customHeight="1" x14ac:dyDescent="0.25">
      <c r="A57" s="8" t="s">
        <v>78</v>
      </c>
      <c r="B57" s="95" t="s">
        <v>496</v>
      </c>
      <c r="C57" s="96"/>
      <c r="D57" s="90"/>
    </row>
    <row r="58" spans="1:8" ht="15" customHeight="1" x14ac:dyDescent="0.25">
      <c r="A58" s="8" t="s">
        <v>79</v>
      </c>
      <c r="B58" s="95"/>
      <c r="C58" s="96"/>
      <c r="D58" s="90"/>
    </row>
    <row r="59" spans="1:8" ht="15" customHeight="1" x14ac:dyDescent="0.25">
      <c r="A59" s="8" t="s">
        <v>80</v>
      </c>
      <c r="B59" s="95" t="s">
        <v>497</v>
      </c>
      <c r="C59" s="96"/>
      <c r="D59" s="90"/>
    </row>
    <row r="60" spans="1:8" ht="15" customHeight="1" x14ac:dyDescent="0.25">
      <c r="A60" s="8" t="s">
        <v>81</v>
      </c>
      <c r="B60" s="95"/>
      <c r="C60" s="96"/>
      <c r="D60" s="90"/>
    </row>
    <row r="62" spans="1:8" ht="15" customHeight="1" x14ac:dyDescent="0.25">
      <c r="A62" s="94" t="s">
        <v>82</v>
      </c>
      <c r="B62" s="88"/>
      <c r="C62" s="88"/>
      <c r="D62" s="88"/>
      <c r="E62" s="88"/>
      <c r="F62" s="88"/>
      <c r="G62" s="88"/>
      <c r="H62" s="88"/>
    </row>
  </sheetData>
  <mergeCells count="37">
    <mergeCell ref="B11:D11"/>
    <mergeCell ref="B60:D60"/>
    <mergeCell ref="B14:D14"/>
    <mergeCell ref="B23:D23"/>
    <mergeCell ref="B57:D57"/>
    <mergeCell ref="B13:D13"/>
    <mergeCell ref="A45:H45"/>
    <mergeCell ref="A51:H53"/>
    <mergeCell ref="A41:H41"/>
    <mergeCell ref="A46:H46"/>
    <mergeCell ref="A55:H55"/>
    <mergeCell ref="B37:C37"/>
    <mergeCell ref="A42:H42"/>
    <mergeCell ref="A47:H47"/>
    <mergeCell ref="A1:H1"/>
    <mergeCell ref="A5:H6"/>
    <mergeCell ref="B10:D10"/>
    <mergeCell ref="B28:D28"/>
    <mergeCell ref="B19:D19"/>
    <mergeCell ref="B9:D9"/>
    <mergeCell ref="B15:D15"/>
    <mergeCell ref="B24:D24"/>
    <mergeCell ref="B20:D20"/>
    <mergeCell ref="A2:H2"/>
    <mergeCell ref="B26:D26"/>
    <mergeCell ref="B25:D25"/>
    <mergeCell ref="B16:D16"/>
    <mergeCell ref="A4:H4"/>
    <mergeCell ref="B21:D21"/>
    <mergeCell ref="B12:D12"/>
    <mergeCell ref="A62:H62"/>
    <mergeCell ref="B59:D59"/>
    <mergeCell ref="A43:H43"/>
    <mergeCell ref="B22:D22"/>
    <mergeCell ref="B27:D27"/>
    <mergeCell ref="B58:D58"/>
    <mergeCell ref="A44:H44"/>
  </mergeCells>
  <pageMargins left="0.5" right="0.5" top="0.6" bottom="0.6" header="0.5" footer="0.5"/>
  <pageSetup paperSize="9" fitToHeight="0" orientation="portrait" horizontalDpi="300" verticalDpi="300"/>
  <headerFooter>
    <oddHeader>&amp;LExcel Hands-On Assessment</oddHeader>
    <oddFooter>&amp;CConfidential assessment material&amp;RPage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B7950B"/>
    <pageSetUpPr fitToPage="1"/>
  </sheetPr>
  <dimension ref="A1:L52"/>
  <sheetViews>
    <sheetView showGridLines="0" tabSelected="1" zoomScale="130" zoomScaleNormal="100" workbookViewId="0">
      <pane ySplit="7" topLeftCell="A8" activePane="bottomLeft" state="frozen"/>
      <selection pane="bottomLeft" activeCell="H34" sqref="H34"/>
    </sheetView>
  </sheetViews>
  <sheetFormatPr defaultColWidth="8.7109375" defaultRowHeight="15" x14ac:dyDescent="0.25"/>
  <cols>
    <col min="1" max="1" width="15.28515625" customWidth="1"/>
    <col min="2" max="2" width="12" customWidth="1"/>
    <col min="3" max="3" width="8" customWidth="1"/>
    <col min="4" max="4" width="78" customWidth="1"/>
    <col min="5" max="5" width="26" customWidth="1"/>
    <col min="6" max="6" width="28" customWidth="1"/>
    <col min="7" max="7" width="16.28515625" customWidth="1"/>
    <col min="8" max="8" width="14.140625" customWidth="1"/>
  </cols>
  <sheetData>
    <row r="1" spans="1:7" ht="25.5" customHeight="1" x14ac:dyDescent="0.25">
      <c r="A1" s="93" t="s">
        <v>83</v>
      </c>
      <c r="B1" s="88"/>
      <c r="C1" s="88"/>
      <c r="D1" s="88"/>
      <c r="E1" s="88"/>
      <c r="F1" s="88"/>
      <c r="G1" s="88"/>
    </row>
    <row r="2" spans="1:7" ht="15" customHeight="1" x14ac:dyDescent="0.25">
      <c r="A2" s="91" t="s">
        <v>84</v>
      </c>
      <c r="B2" s="88"/>
      <c r="C2" s="88"/>
      <c r="D2" s="88"/>
      <c r="E2" s="88"/>
      <c r="F2" s="88"/>
      <c r="G2" s="88"/>
    </row>
    <row r="3" spans="1:7" ht="32.85" customHeight="1" x14ac:dyDescent="0.25">
      <c r="A3" s="9" t="s">
        <v>85</v>
      </c>
      <c r="B3" s="89" t="s">
        <v>496</v>
      </c>
      <c r="C3" s="90"/>
      <c r="D3" s="9" t="s">
        <v>86</v>
      </c>
      <c r="F3" s="10" t="s">
        <v>87</v>
      </c>
      <c r="G3" s="11">
        <f>SUM(G8:G47)</f>
        <v>0</v>
      </c>
    </row>
    <row r="7" spans="1:7" ht="21.75" customHeight="1" x14ac:dyDescent="0.25">
      <c r="A7" s="12" t="s">
        <v>88</v>
      </c>
      <c r="B7" s="12" t="s">
        <v>44</v>
      </c>
      <c r="C7" s="12" t="s">
        <v>46</v>
      </c>
      <c r="D7" s="12" t="s">
        <v>89</v>
      </c>
      <c r="E7" s="12" t="s">
        <v>90</v>
      </c>
      <c r="F7" s="12" t="s">
        <v>91</v>
      </c>
      <c r="G7" s="12" t="s">
        <v>92</v>
      </c>
    </row>
    <row r="8" spans="1:7" ht="52.15" customHeight="1" x14ac:dyDescent="0.25">
      <c r="A8" s="13">
        <v>1</v>
      </c>
      <c r="B8" s="14" t="s">
        <v>93</v>
      </c>
      <c r="C8" s="15">
        <v>2</v>
      </c>
      <c r="D8" s="65" t="s">
        <v>94</v>
      </c>
      <c r="E8" s="16">
        <f>SUM(Sales_Revenue)</f>
        <v>131833.75</v>
      </c>
      <c r="F8" s="17" t="s">
        <v>481</v>
      </c>
      <c r="G8" s="18"/>
    </row>
    <row r="9" spans="1:7" ht="52.15" customHeight="1" x14ac:dyDescent="0.25">
      <c r="A9" s="13">
        <v>2</v>
      </c>
      <c r="B9" s="14" t="s">
        <v>93</v>
      </c>
      <c r="C9" s="15">
        <v>2</v>
      </c>
      <c r="D9" s="65" t="s">
        <v>95</v>
      </c>
      <c r="E9" s="20">
        <f>AVERAGE(Data_Sales!I5:I154)</f>
        <v>9.9</v>
      </c>
      <c r="F9" s="17" t="s">
        <v>482</v>
      </c>
      <c r="G9" s="18"/>
    </row>
    <row r="10" spans="1:7" ht="52.15" customHeight="1" x14ac:dyDescent="0.25">
      <c r="A10" s="13">
        <v>3</v>
      </c>
      <c r="B10" s="14" t="s">
        <v>93</v>
      </c>
      <c r="C10" s="15">
        <v>2</v>
      </c>
      <c r="D10" s="65" t="s">
        <v>96</v>
      </c>
      <c r="E10" s="20">
        <f>COUNTA(Data_Sales!A5:A154)</f>
        <v>150</v>
      </c>
      <c r="F10" s="17" t="s">
        <v>488</v>
      </c>
      <c r="G10" s="18"/>
    </row>
    <row r="11" spans="1:7" ht="52.15" customHeight="1" x14ac:dyDescent="0.25">
      <c r="A11" s="13">
        <v>4</v>
      </c>
      <c r="B11" s="14" t="s">
        <v>93</v>
      </c>
      <c r="C11" s="15">
        <v>2</v>
      </c>
      <c r="D11" s="65" t="s">
        <v>97</v>
      </c>
      <c r="E11" s="16">
        <f>MAX(Sales_Revenue)</f>
        <v>8091</v>
      </c>
      <c r="F11" s="17" t="s">
        <v>483</v>
      </c>
      <c r="G11" s="18"/>
    </row>
    <row r="12" spans="1:7" ht="52.15" customHeight="1" x14ac:dyDescent="0.25">
      <c r="A12" s="13">
        <v>5</v>
      </c>
      <c r="B12" s="14" t="s">
        <v>93</v>
      </c>
      <c r="C12" s="15">
        <v>2</v>
      </c>
      <c r="D12" s="65" t="s">
        <v>98</v>
      </c>
      <c r="E12" s="16">
        <f>SUMIF(Sales_Region,"West",Sales_Revenue)</f>
        <v>46874.85</v>
      </c>
      <c r="F12" s="17" t="s">
        <v>484</v>
      </c>
      <c r="G12" s="18"/>
    </row>
    <row r="13" spans="1:7" ht="52.15" customHeight="1" x14ac:dyDescent="0.25">
      <c r="A13" s="13">
        <v>6</v>
      </c>
      <c r="B13" s="14" t="s">
        <v>93</v>
      </c>
      <c r="C13" s="15">
        <v>2</v>
      </c>
      <c r="D13" s="65" t="s">
        <v>99</v>
      </c>
      <c r="E13" s="20">
        <f>COUNTIF(Data_Sales!H4:H154,"Electronics")</f>
        <v>79</v>
      </c>
      <c r="F13" s="17" t="s">
        <v>485</v>
      </c>
      <c r="G13" s="18"/>
    </row>
    <row r="14" spans="1:7" ht="52.15" customHeight="1" x14ac:dyDescent="0.25">
      <c r="A14" s="13">
        <v>7</v>
      </c>
      <c r="B14" s="14" t="s">
        <v>93</v>
      </c>
      <c r="C14" s="15">
        <v>2</v>
      </c>
      <c r="D14" s="65" t="s">
        <v>100</v>
      </c>
      <c r="E14" s="19">
        <f>AVERAGEIF(Data_Sales!M5:M154,"Online",Sales_Revenue)</f>
        <v>857.93985714285736</v>
      </c>
      <c r="F14" s="17" t="s">
        <v>486</v>
      </c>
      <c r="G14" s="18"/>
    </row>
    <row r="15" spans="1:7" ht="52.15" customHeight="1" x14ac:dyDescent="0.25">
      <c r="A15" s="13">
        <v>8</v>
      </c>
      <c r="B15" s="14" t="s">
        <v>93</v>
      </c>
      <c r="C15" s="15">
        <v>2</v>
      </c>
      <c r="D15" s="65" t="s">
        <v>101</v>
      </c>
      <c r="E15" s="16">
        <f>SUMIFS(Data_Sales!L4:L154,Data_Sales!C4:C154,"North",Data_Sales!M4:M154,"Online")</f>
        <v>12141.22</v>
      </c>
      <c r="F15" s="17" t="s">
        <v>487</v>
      </c>
      <c r="G15" s="18"/>
    </row>
    <row r="16" spans="1:7" ht="52.15" customHeight="1" x14ac:dyDescent="0.25">
      <c r="A16" s="13">
        <v>9</v>
      </c>
      <c r="B16" s="14" t="s">
        <v>93</v>
      </c>
      <c r="C16" s="15">
        <v>2</v>
      </c>
      <c r="D16" s="65" t="s">
        <v>102</v>
      </c>
      <c r="E16" s="72">
        <f>AVERAGE(Sales_Revenue)</f>
        <v>878.89166666666665</v>
      </c>
      <c r="F16" s="17" t="s">
        <v>489</v>
      </c>
      <c r="G16" s="18"/>
    </row>
    <row r="17" spans="1:12" ht="52.15" customHeight="1" x14ac:dyDescent="0.25">
      <c r="A17" s="13">
        <v>10</v>
      </c>
      <c r="B17" s="14" t="s">
        <v>93</v>
      </c>
      <c r="C17" s="15">
        <v>2</v>
      </c>
      <c r="D17" s="76" t="s">
        <v>103</v>
      </c>
      <c r="E17" s="19" t="str">
        <f>IF(SUMIF(Sales_Region,"West",Sales_Revenue)&gt;=40000,"HIT","MISS")</f>
        <v>HIT</v>
      </c>
      <c r="F17" s="17" t="s">
        <v>490</v>
      </c>
      <c r="G17" s="18"/>
    </row>
    <row r="18" spans="1:12" ht="52.15" customHeight="1" x14ac:dyDescent="0.25">
      <c r="A18" s="13">
        <v>11</v>
      </c>
      <c r="B18" s="14" t="s">
        <v>93</v>
      </c>
      <c r="C18" s="15">
        <v>2</v>
      </c>
      <c r="D18" s="65" t="s">
        <v>104</v>
      </c>
      <c r="E18" s="73">
        <f>MONTH(MIN(Data_Sales!B5:B154))</f>
        <v>1</v>
      </c>
      <c r="F18" s="74"/>
      <c r="G18" s="18"/>
      <c r="I18" s="75" t="s">
        <v>184</v>
      </c>
      <c r="J18" s="75" t="s">
        <v>176</v>
      </c>
      <c r="K18" s="75" t="s">
        <v>166</v>
      </c>
      <c r="L18" s="75" t="s">
        <v>201</v>
      </c>
    </row>
    <row r="19" spans="1:12" ht="52.15" customHeight="1" x14ac:dyDescent="0.25">
      <c r="A19" s="13">
        <v>12</v>
      </c>
      <c r="B19" s="14" t="s">
        <v>93</v>
      </c>
      <c r="C19" s="15">
        <v>2</v>
      </c>
      <c r="D19" s="65" t="s">
        <v>105</v>
      </c>
      <c r="E19" s="19" t="s">
        <v>176</v>
      </c>
      <c r="F19" s="17"/>
      <c r="G19" s="18"/>
      <c r="I19" s="75">
        <f>SUMIF(Sales_Region,"East",Sales_Revenue)</f>
        <v>27747.09</v>
      </c>
      <c r="J19" s="75">
        <f>SUMIF(Sales_Region,"West",Sales_Revenue)</f>
        <v>46874.85</v>
      </c>
      <c r="K19" s="75">
        <f>SUMIF(Sales_Region,"North",Sales_Revenue)</f>
        <v>28196.26</v>
      </c>
      <c r="L19" s="75">
        <f>SUMIF(Sales_Region,"South",Sales_Revenue)</f>
        <v>29015.550000000007</v>
      </c>
    </row>
    <row r="20" spans="1:12" ht="52.15" customHeight="1" x14ac:dyDescent="0.25">
      <c r="A20" s="13">
        <v>13</v>
      </c>
      <c r="B20" s="21" t="s">
        <v>106</v>
      </c>
      <c r="C20" s="15">
        <v>2</v>
      </c>
      <c r="D20" s="76" t="s">
        <v>107</v>
      </c>
      <c r="E20" s="16">
        <f>MEDIAN(Sales_Revenue)</f>
        <v>483.52</v>
      </c>
      <c r="F20" s="17" t="s">
        <v>492</v>
      </c>
      <c r="G20" s="18"/>
      <c r="I20" s="75" t="s">
        <v>184</v>
      </c>
      <c r="J20" s="75" t="s">
        <v>176</v>
      </c>
      <c r="K20" s="75" t="s">
        <v>166</v>
      </c>
      <c r="L20" s="75" t="s">
        <v>201</v>
      </c>
    </row>
    <row r="21" spans="1:12" ht="52.15" customHeight="1" x14ac:dyDescent="0.25">
      <c r="A21" s="13">
        <v>14</v>
      </c>
      <c r="B21" s="21" t="s">
        <v>106</v>
      </c>
      <c r="C21" s="15">
        <v>2</v>
      </c>
      <c r="D21" s="76" t="s">
        <v>108</v>
      </c>
      <c r="E21" s="20">
        <f>_xlfn.MODE.SNGL(Data_Sales!I125:I154)</f>
        <v>4</v>
      </c>
      <c r="F21" s="17" t="s">
        <v>491</v>
      </c>
      <c r="G21" s="18"/>
    </row>
    <row r="22" spans="1:12" ht="52.15" customHeight="1" x14ac:dyDescent="0.25">
      <c r="A22" s="13">
        <v>15</v>
      </c>
      <c r="B22" s="21" t="s">
        <v>106</v>
      </c>
      <c r="C22" s="15">
        <v>2</v>
      </c>
      <c r="D22" s="76" t="s">
        <v>109</v>
      </c>
      <c r="E22" s="16">
        <f>_xlfn.STDEV.S(Sales_Revenue)</f>
        <v>1044.0575154272019</v>
      </c>
      <c r="F22" s="17" t="s">
        <v>493</v>
      </c>
      <c r="G22" s="18"/>
    </row>
    <row r="23" spans="1:12" ht="52.15" customHeight="1" x14ac:dyDescent="0.25">
      <c r="A23" s="13">
        <v>16</v>
      </c>
      <c r="B23" s="21" t="s">
        <v>106</v>
      </c>
      <c r="C23" s="15">
        <v>2</v>
      </c>
      <c r="D23" s="76" t="s">
        <v>110</v>
      </c>
      <c r="E23" s="16">
        <f>_xlfn.PERCENTILE.INC(Sales_Revenue,0.75)</f>
        <v>1338.2225000000001</v>
      </c>
      <c r="F23" s="17" t="s">
        <v>494</v>
      </c>
      <c r="G23" s="18"/>
    </row>
    <row r="24" spans="1:12" ht="52.15" customHeight="1" x14ac:dyDescent="0.25">
      <c r="A24" s="13">
        <v>17</v>
      </c>
      <c r="B24" s="21" t="s">
        <v>106</v>
      </c>
      <c r="C24" s="15">
        <v>2</v>
      </c>
      <c r="D24" s="76" t="s">
        <v>111</v>
      </c>
      <c r="E24" s="20">
        <f>_xlfn.XLOOKUP(1,Data_Sales!P5:P154,Sales_Revenue)</f>
        <v>8091</v>
      </c>
      <c r="F24" s="17" t="s">
        <v>518</v>
      </c>
      <c r="G24" s="18"/>
    </row>
    <row r="25" spans="1:12" ht="52.15" customHeight="1" x14ac:dyDescent="0.25">
      <c r="A25" s="13">
        <v>18</v>
      </c>
      <c r="B25" s="21" t="s">
        <v>106</v>
      </c>
      <c r="C25" s="15">
        <v>2</v>
      </c>
      <c r="D25" s="76" t="s">
        <v>112</v>
      </c>
      <c r="E25" s="22">
        <f>CORREL(Data_Sales!I5:I154,Sales_Revenue)</f>
        <v>-5.678478568605063E-2</v>
      </c>
      <c r="F25" s="17" t="s">
        <v>495</v>
      </c>
      <c r="G25" s="18"/>
    </row>
    <row r="26" spans="1:12" ht="52.15" customHeight="1" x14ac:dyDescent="0.25">
      <c r="A26" s="13">
        <v>19</v>
      </c>
      <c r="B26" s="23" t="s">
        <v>113</v>
      </c>
      <c r="C26" s="15">
        <v>3</v>
      </c>
      <c r="D26" s="76" t="s">
        <v>114</v>
      </c>
      <c r="E26" s="16" cm="1">
        <f t="array" ref="E26">_xlfn.XLOOKUP("EL-1001",Products[[#All],[ProductCode]],Products[[#All],[ListPrice]])</f>
        <v>899</v>
      </c>
      <c r="F26" s="17" t="s">
        <v>498</v>
      </c>
      <c r="G26" s="18"/>
    </row>
    <row r="27" spans="1:12" ht="52.15" customHeight="1" x14ac:dyDescent="0.25">
      <c r="A27" s="13">
        <v>20</v>
      </c>
      <c r="B27" s="23" t="s">
        <v>113</v>
      </c>
      <c r="C27" s="15">
        <v>3</v>
      </c>
      <c r="D27" s="65" t="s">
        <v>115</v>
      </c>
      <c r="E27" s="19" t="str" cm="1">
        <f t="array" ref="E27">IFERROR(_xlfn.XLOOKUP("ZZ-9999",Products[[#All],[ProductCode]],Products[[#All],[ProductName]]),"Not Listed")</f>
        <v>Not Listed</v>
      </c>
      <c r="F27" s="17" t="s">
        <v>498</v>
      </c>
      <c r="G27" s="18"/>
    </row>
    <row r="28" spans="1:12" ht="52.15" customHeight="1" x14ac:dyDescent="0.25">
      <c r="A28" s="13">
        <v>21</v>
      </c>
      <c r="B28" s="23" t="s">
        <v>113</v>
      </c>
      <c r="C28" s="15">
        <v>3</v>
      </c>
      <c r="D28" s="76" t="s">
        <v>116</v>
      </c>
      <c r="E28" s="24" cm="1">
        <f t="array" ref="E28">_xlfn.XLOOKUP(SUMIF(Sales_Region,"West",Sales_Revenue),Commission[[#All],[MinSales]],Commission[[#All],[CommissionRate]],"Not Found",-1)</f>
        <v>0.03</v>
      </c>
      <c r="F28" s="17" t="s">
        <v>499</v>
      </c>
      <c r="G28" s="18"/>
    </row>
    <row r="29" spans="1:12" ht="52.15" customHeight="1" x14ac:dyDescent="0.25">
      <c r="A29" s="13">
        <v>22</v>
      </c>
      <c r="B29" s="23" t="s">
        <v>113</v>
      </c>
      <c r="C29" s="15">
        <v>2</v>
      </c>
      <c r="D29" s="76" t="s">
        <v>117</v>
      </c>
      <c r="E29" s="72">
        <f>HLOOKUP("Mar",Data_Targets!A4:G5,2,FALSE)</f>
        <v>52000</v>
      </c>
      <c r="F29" s="17" t="s">
        <v>500</v>
      </c>
      <c r="G29" s="18"/>
    </row>
    <row r="30" spans="1:12" ht="52.15" customHeight="1" x14ac:dyDescent="0.25">
      <c r="A30" s="13">
        <v>23</v>
      </c>
      <c r="B30" s="23" t="s">
        <v>113</v>
      </c>
      <c r="C30" s="15">
        <v>2</v>
      </c>
      <c r="D30" s="76" t="s">
        <v>118</v>
      </c>
      <c r="E30" s="20">
        <f>HLOOKUP("Apr",Targets[#All],5,FALSE)</f>
        <v>65</v>
      </c>
      <c r="F30" s="17" t="s">
        <v>500</v>
      </c>
      <c r="G30" s="18"/>
    </row>
    <row r="31" spans="1:12" ht="52.15" customHeight="1" x14ac:dyDescent="0.25">
      <c r="A31" s="13">
        <v>24</v>
      </c>
      <c r="B31" s="23" t="s">
        <v>113</v>
      </c>
      <c r="C31" s="15">
        <v>3</v>
      </c>
      <c r="D31" s="76" t="s">
        <v>119</v>
      </c>
      <c r="E31" s="16">
        <f>VLOOKUP("Priya Sharma",Employees[[#All],[FullName]:[BaseSalary]],5,FALSE)</f>
        <v>58000</v>
      </c>
      <c r="F31" s="17" t="s">
        <v>501</v>
      </c>
      <c r="G31" s="18"/>
    </row>
    <row r="32" spans="1:12" ht="52.15" customHeight="1" x14ac:dyDescent="0.25">
      <c r="A32" s="13">
        <v>25</v>
      </c>
      <c r="B32" s="23" t="s">
        <v>113</v>
      </c>
      <c r="C32" s="15">
        <v>3</v>
      </c>
      <c r="D32" s="76" t="s">
        <v>120</v>
      </c>
      <c r="E32" s="19" t="str">
        <f>IFERROR(VLOOKUP("Ananya Roy",Employees[[#All],[FullName]],1,FALSE)," Contract associate")</f>
        <v xml:space="preserve"> Contract associate</v>
      </c>
      <c r="F32" s="17" t="s">
        <v>502</v>
      </c>
      <c r="G32" s="18"/>
    </row>
    <row r="33" spans="1:10" ht="52.15" customHeight="1" x14ac:dyDescent="0.25">
      <c r="A33" s="13">
        <v>26</v>
      </c>
      <c r="B33" s="23" t="s">
        <v>113</v>
      </c>
      <c r="C33" s="15">
        <v>3</v>
      </c>
      <c r="D33" s="76" t="s">
        <v>121</v>
      </c>
      <c r="E33" s="19" t="str" cm="1">
        <f t="array" ref="E33">_xlfn.XLOOKUP("Karan Singh",Employees[[#All],[FullName]],Employees[[#All],[EmpID]],"Not Found")</f>
        <v>E108</v>
      </c>
      <c r="F33" s="17" t="s">
        <v>503</v>
      </c>
      <c r="G33" s="18"/>
    </row>
    <row r="34" spans="1:10" ht="52.15" customHeight="1" x14ac:dyDescent="0.25">
      <c r="A34" s="13">
        <v>27</v>
      </c>
      <c r="B34" s="23" t="s">
        <v>113</v>
      </c>
      <c r="C34" s="15">
        <v>3</v>
      </c>
      <c r="D34" s="76" t="s">
        <v>122</v>
      </c>
      <c r="E34" s="16" cm="1">
        <f t="array" ref="E34">_xlfn.XLOOKUP("Standing Desk",Products[[#All],[ProductName]],Products[[#All],[UnitCost]],"No Data Found",2)</f>
        <v>275</v>
      </c>
      <c r="F34" s="17"/>
      <c r="G34" s="18"/>
    </row>
    <row r="35" spans="1:10" ht="67.900000000000006" customHeight="1" x14ac:dyDescent="0.25">
      <c r="A35" s="13">
        <v>28</v>
      </c>
      <c r="B35" s="23" t="s">
        <v>113</v>
      </c>
      <c r="C35" s="15">
        <v>3</v>
      </c>
      <c r="D35" s="76" t="s">
        <v>123</v>
      </c>
      <c r="E35" s="86">
        <f>(J35-I35)/J35</f>
        <v>0.40860215053763443</v>
      </c>
      <c r="F35" s="17"/>
      <c r="G35" s="18"/>
      <c r="H35" s="77" t="s">
        <v>209</v>
      </c>
      <c r="I35">
        <f>INDEX(Products[[#All],[UnitCost]],MATCH('01_Questions'!H35,Products[[#All],[ProductName]],0))</f>
        <v>165</v>
      </c>
      <c r="J35">
        <f>VLOOKUP(H35,Products[[#All],[ProductName]:[ListPrice]],3,FALSE)</f>
        <v>279</v>
      </c>
    </row>
    <row r="36" spans="1:10" ht="52.15" customHeight="1" x14ac:dyDescent="0.25">
      <c r="A36" s="13">
        <v>29</v>
      </c>
      <c r="B36" s="25" t="s">
        <v>124</v>
      </c>
      <c r="C36" s="15">
        <v>3</v>
      </c>
      <c r="D36" s="76" t="s">
        <v>125</v>
      </c>
      <c r="E36" s="19" t="s">
        <v>176</v>
      </c>
      <c r="F36" s="17"/>
      <c r="G36" s="18"/>
    </row>
    <row r="37" spans="1:10" ht="67.900000000000006" customHeight="1" x14ac:dyDescent="0.25">
      <c r="A37" s="13">
        <v>30</v>
      </c>
      <c r="B37" s="25" t="s">
        <v>124</v>
      </c>
      <c r="C37" s="15">
        <v>3</v>
      </c>
      <c r="D37" s="76" t="s">
        <v>126</v>
      </c>
      <c r="E37" s="16">
        <v>9978.4</v>
      </c>
      <c r="F37" s="17"/>
      <c r="G37" s="18"/>
    </row>
    <row r="38" spans="1:10" ht="67.900000000000006" customHeight="1" x14ac:dyDescent="0.25">
      <c r="A38" s="13">
        <v>31</v>
      </c>
      <c r="B38" s="25" t="s">
        <v>124</v>
      </c>
      <c r="C38" s="15">
        <v>3</v>
      </c>
      <c r="D38" s="76" t="s">
        <v>127</v>
      </c>
      <c r="E38" s="19" t="s">
        <v>178</v>
      </c>
      <c r="F38" s="17"/>
      <c r="G38" s="18"/>
    </row>
    <row r="39" spans="1:10" ht="52.15" customHeight="1" x14ac:dyDescent="0.25">
      <c r="A39" s="13">
        <v>32</v>
      </c>
      <c r="B39" s="25" t="s">
        <v>124</v>
      </c>
      <c r="C39" s="15">
        <v>3</v>
      </c>
      <c r="D39" s="76" t="s">
        <v>128</v>
      </c>
      <c r="E39" s="19" t="s">
        <v>509</v>
      </c>
      <c r="F39" s="17"/>
      <c r="G39" s="18"/>
    </row>
    <row r="40" spans="1:10" ht="67.900000000000006" customHeight="1" x14ac:dyDescent="0.25">
      <c r="A40" s="13">
        <v>33</v>
      </c>
      <c r="B40" s="25" t="s">
        <v>124</v>
      </c>
      <c r="C40" s="15">
        <v>3</v>
      </c>
      <c r="D40" s="76" t="s">
        <v>129</v>
      </c>
      <c r="E40" s="24">
        <v>0.35599999999999998</v>
      </c>
      <c r="F40" s="17"/>
      <c r="G40" s="18"/>
    </row>
    <row r="41" spans="1:10" ht="67.900000000000006" customHeight="1" x14ac:dyDescent="0.25">
      <c r="A41" s="13">
        <v>34</v>
      </c>
      <c r="B41" s="25" t="s">
        <v>124</v>
      </c>
      <c r="C41" s="15">
        <v>3</v>
      </c>
      <c r="D41" s="76" t="s">
        <v>130</v>
      </c>
      <c r="E41" s="19" t="s">
        <v>511</v>
      </c>
      <c r="F41" s="17"/>
      <c r="G41" s="18"/>
    </row>
    <row r="42" spans="1:10" ht="67.900000000000006" customHeight="1" x14ac:dyDescent="0.25">
      <c r="A42" s="13">
        <v>35</v>
      </c>
      <c r="B42" s="26" t="s">
        <v>131</v>
      </c>
      <c r="C42" s="15">
        <v>3</v>
      </c>
      <c r="D42" s="76" t="s">
        <v>132</v>
      </c>
      <c r="E42" s="19" t="s">
        <v>176</v>
      </c>
      <c r="F42" s="17"/>
      <c r="G42" s="18"/>
    </row>
    <row r="43" spans="1:10" ht="52.15" customHeight="1" x14ac:dyDescent="0.25">
      <c r="A43" s="13">
        <v>36</v>
      </c>
      <c r="B43" s="26" t="s">
        <v>131</v>
      </c>
      <c r="C43" s="15">
        <v>3</v>
      </c>
      <c r="D43" s="76" t="s">
        <v>133</v>
      </c>
      <c r="E43" s="19" t="s">
        <v>512</v>
      </c>
      <c r="F43" s="17"/>
      <c r="G43" s="18"/>
    </row>
    <row r="44" spans="1:10" ht="52.15" customHeight="1" x14ac:dyDescent="0.25">
      <c r="A44" s="13">
        <v>37</v>
      </c>
      <c r="B44" s="26" t="s">
        <v>131</v>
      </c>
      <c r="C44" s="15">
        <v>3</v>
      </c>
      <c r="D44" s="76" t="s">
        <v>134</v>
      </c>
      <c r="E44" s="19" t="s">
        <v>513</v>
      </c>
      <c r="F44" s="17"/>
      <c r="G44" s="18"/>
    </row>
    <row r="45" spans="1:10" ht="52.15" customHeight="1" x14ac:dyDescent="0.25">
      <c r="A45" s="13">
        <v>38</v>
      </c>
      <c r="B45" s="26" t="s">
        <v>131</v>
      </c>
      <c r="C45" s="15">
        <v>3</v>
      </c>
      <c r="D45" s="76" t="s">
        <v>135</v>
      </c>
      <c r="E45" s="19" t="s">
        <v>514</v>
      </c>
      <c r="F45" s="17"/>
      <c r="G45" s="18"/>
    </row>
    <row r="46" spans="1:10" ht="67.900000000000006" customHeight="1" x14ac:dyDescent="0.25">
      <c r="A46" s="13">
        <v>39</v>
      </c>
      <c r="B46" s="26" t="s">
        <v>131</v>
      </c>
      <c r="C46" s="15">
        <v>3</v>
      </c>
      <c r="D46" s="76" t="s">
        <v>136</v>
      </c>
      <c r="E46" s="19" t="s">
        <v>515</v>
      </c>
      <c r="F46" s="17"/>
      <c r="G46" s="18"/>
    </row>
    <row r="47" spans="1:10" ht="67.900000000000006" customHeight="1" x14ac:dyDescent="0.25">
      <c r="A47" s="13">
        <v>40</v>
      </c>
      <c r="B47" s="26" t="s">
        <v>131</v>
      </c>
      <c r="C47" s="15">
        <v>3</v>
      </c>
      <c r="D47" s="76" t="s">
        <v>137</v>
      </c>
      <c r="E47" s="19" t="s">
        <v>516</v>
      </c>
      <c r="F47" s="17"/>
      <c r="G47" s="18"/>
    </row>
    <row r="49" spans="1:7" ht="15" customHeight="1" x14ac:dyDescent="0.25">
      <c r="A49" s="92" t="s">
        <v>138</v>
      </c>
      <c r="B49" s="88"/>
      <c r="C49" s="88"/>
      <c r="D49" s="88"/>
      <c r="E49" s="88"/>
      <c r="F49" s="88"/>
      <c r="G49" s="88"/>
    </row>
    <row r="51" spans="1:7" ht="15" customHeight="1" x14ac:dyDescent="0.25">
      <c r="A51" s="87" t="s">
        <v>139</v>
      </c>
      <c r="B51" s="88"/>
      <c r="C51" s="88"/>
      <c r="D51" s="88"/>
      <c r="E51" s="88"/>
      <c r="F51" s="88"/>
      <c r="G51" s="88"/>
    </row>
    <row r="52" spans="1:7" ht="15" customHeight="1" x14ac:dyDescent="0.25">
      <c r="A52" s="88"/>
      <c r="B52" s="88"/>
      <c r="C52" s="88"/>
      <c r="D52" s="88"/>
      <c r="E52" s="88"/>
      <c r="F52" s="88"/>
      <c r="G52" s="88"/>
    </row>
  </sheetData>
  <autoFilter ref="A7:G47" xr:uid="{00000000-0009-0000-0000-000001000000}"/>
  <mergeCells count="5">
    <mergeCell ref="A51:G52"/>
    <mergeCell ref="B3:C3"/>
    <mergeCell ref="A2:G2"/>
    <mergeCell ref="A49:G49"/>
    <mergeCell ref="A1:G1"/>
  </mergeCells>
  <pageMargins left="0.75" right="0.75" top="1" bottom="1" header="0.5" footer="0.5"/>
  <pageSetup paperSize="9" fitToHeight="0" orientation="landscape" horizontalDpi="300" verticalDpi="300"/>
  <headerFooter>
    <oddHeader>&amp;LExcel Hands-On Test — Questions</oddHeader>
    <oddFooter>&amp;LYellow cells = answers&amp;CConfidential assessment material&amp;RPage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A5276"/>
    <pageSetUpPr fitToPage="1"/>
  </sheetPr>
  <dimension ref="A1:P156"/>
  <sheetViews>
    <sheetView showGridLines="0" zoomScale="105" zoomScaleNormal="100" workbookViewId="0">
      <pane ySplit="4" topLeftCell="A69" activePane="bottomLeft" state="frozen"/>
      <selection pane="bottomLeft" activeCell="T77" sqref="T77"/>
    </sheetView>
  </sheetViews>
  <sheetFormatPr defaultColWidth="8.7109375" defaultRowHeight="15" x14ac:dyDescent="0.25"/>
  <cols>
    <col min="1" max="1" width="12" customWidth="1"/>
    <col min="2" max="2" width="13" customWidth="1"/>
    <col min="3" max="3" width="10" customWidth="1"/>
    <col min="4" max="4" width="12" customWidth="1"/>
    <col min="5" max="5" width="16" customWidth="1"/>
    <col min="6" max="6" width="13" customWidth="1"/>
    <col min="7" max="7" width="20" customWidth="1"/>
    <col min="8" max="8" width="16" customWidth="1"/>
    <col min="9" max="9" width="8" customWidth="1"/>
    <col min="10" max="13" width="12" customWidth="1"/>
    <col min="14" max="14" width="14" customWidth="1"/>
    <col min="15" max="15" width="12" customWidth="1"/>
  </cols>
  <sheetData>
    <row r="1" spans="1:16" ht="21.75" customHeight="1" x14ac:dyDescent="0.25">
      <c r="A1" s="110" t="s">
        <v>149</v>
      </c>
      <c r="B1" s="88"/>
      <c r="C1" s="88"/>
      <c r="D1" s="88"/>
      <c r="E1" s="88"/>
      <c r="F1" s="88"/>
      <c r="G1" s="88"/>
      <c r="H1" s="88"/>
      <c r="I1" s="88"/>
      <c r="J1" s="88"/>
      <c r="K1" s="88"/>
      <c r="L1" s="88"/>
      <c r="M1" s="88"/>
      <c r="N1" s="88"/>
      <c r="O1" s="88"/>
    </row>
    <row r="2" spans="1:16" ht="15" customHeight="1" x14ac:dyDescent="0.25">
      <c r="A2" s="111" t="s">
        <v>150</v>
      </c>
      <c r="B2" s="88"/>
      <c r="C2" s="88"/>
      <c r="D2" s="88"/>
      <c r="E2" s="88"/>
      <c r="F2" s="88"/>
      <c r="G2" s="88"/>
      <c r="H2" s="88"/>
      <c r="I2" s="88"/>
      <c r="J2" s="88"/>
      <c r="K2" s="88"/>
      <c r="L2" s="88"/>
      <c r="M2" s="88"/>
      <c r="N2" s="88"/>
      <c r="O2" s="88"/>
    </row>
    <row r="4" spans="1:16" ht="21.75" customHeight="1" x14ac:dyDescent="0.25">
      <c r="A4" s="3" t="s">
        <v>151</v>
      </c>
      <c r="B4" s="3" t="s">
        <v>80</v>
      </c>
      <c r="C4" s="3" t="s">
        <v>152</v>
      </c>
      <c r="D4" s="3" t="s">
        <v>153</v>
      </c>
      <c r="E4" s="3" t="s">
        <v>154</v>
      </c>
      <c r="F4" s="3" t="s">
        <v>155</v>
      </c>
      <c r="G4" s="3" t="s">
        <v>156</v>
      </c>
      <c r="H4" s="3" t="s">
        <v>157</v>
      </c>
      <c r="I4" s="3" t="s">
        <v>158</v>
      </c>
      <c r="J4" s="3" t="s">
        <v>159</v>
      </c>
      <c r="K4" s="3" t="s">
        <v>160</v>
      </c>
      <c r="L4" s="3" t="s">
        <v>161</v>
      </c>
      <c r="M4" s="3" t="s">
        <v>162</v>
      </c>
      <c r="N4" s="3" t="s">
        <v>163</v>
      </c>
      <c r="O4" s="3" t="s">
        <v>164</v>
      </c>
      <c r="P4" s="85" t="s">
        <v>517</v>
      </c>
    </row>
    <row r="5" spans="1:16" ht="15" customHeight="1" x14ac:dyDescent="0.25">
      <c r="A5" s="29" t="s">
        <v>165</v>
      </c>
      <c r="B5" s="30">
        <v>45659</v>
      </c>
      <c r="C5" s="29" t="s">
        <v>166</v>
      </c>
      <c r="D5" s="29" t="s">
        <v>167</v>
      </c>
      <c r="E5" s="31" t="s">
        <v>168</v>
      </c>
      <c r="F5" s="29" t="s">
        <v>169</v>
      </c>
      <c r="G5" s="31" t="s">
        <v>170</v>
      </c>
      <c r="H5" s="29" t="s">
        <v>171</v>
      </c>
      <c r="I5" s="32">
        <v>1</v>
      </c>
      <c r="J5" s="33">
        <v>499</v>
      </c>
      <c r="K5" s="34">
        <v>0.12</v>
      </c>
      <c r="L5" s="33">
        <f t="shared" ref="L5:L36" si="0">ROUND(I5*J5*(1-K5),2)</f>
        <v>439.12</v>
      </c>
      <c r="M5" s="29" t="s">
        <v>172</v>
      </c>
      <c r="N5" s="29" t="s">
        <v>173</v>
      </c>
      <c r="O5" s="29" t="s">
        <v>174</v>
      </c>
      <c r="P5">
        <f t="shared" ref="P5:P36" si="1">RANK(L5,Sales_Revenue,0)</f>
        <v>83</v>
      </c>
    </row>
    <row r="6" spans="1:16" ht="15" customHeight="1" x14ac:dyDescent="0.25">
      <c r="A6" s="29" t="s">
        <v>175</v>
      </c>
      <c r="B6" s="30">
        <v>45660</v>
      </c>
      <c r="C6" s="29" t="s">
        <v>176</v>
      </c>
      <c r="D6" s="29" t="s">
        <v>177</v>
      </c>
      <c r="E6" s="31" t="s">
        <v>178</v>
      </c>
      <c r="F6" s="29" t="s">
        <v>179</v>
      </c>
      <c r="G6" s="31" t="s">
        <v>180</v>
      </c>
      <c r="H6" s="29" t="s">
        <v>181</v>
      </c>
      <c r="I6" s="32">
        <v>26</v>
      </c>
      <c r="J6" s="33">
        <v>6.5</v>
      </c>
      <c r="K6" s="34">
        <v>0</v>
      </c>
      <c r="L6" s="33">
        <f t="shared" si="0"/>
        <v>169</v>
      </c>
      <c r="M6" s="29" t="s">
        <v>172</v>
      </c>
      <c r="N6" s="29" t="s">
        <v>173</v>
      </c>
      <c r="O6" s="29" t="s">
        <v>182</v>
      </c>
      <c r="P6">
        <f t="shared" si="1"/>
        <v>122</v>
      </c>
    </row>
    <row r="7" spans="1:16" ht="15" customHeight="1" x14ac:dyDescent="0.25">
      <c r="A7" s="29" t="s">
        <v>183</v>
      </c>
      <c r="B7" s="30">
        <v>45664</v>
      </c>
      <c r="C7" s="29" t="s">
        <v>184</v>
      </c>
      <c r="D7" s="29" t="s">
        <v>185</v>
      </c>
      <c r="E7" s="31" t="s">
        <v>186</v>
      </c>
      <c r="F7" s="29" t="s">
        <v>169</v>
      </c>
      <c r="G7" s="31" t="s">
        <v>170</v>
      </c>
      <c r="H7" s="29" t="s">
        <v>171</v>
      </c>
      <c r="I7" s="32">
        <v>5</v>
      </c>
      <c r="J7" s="33">
        <v>499</v>
      </c>
      <c r="K7" s="34">
        <v>0.05</v>
      </c>
      <c r="L7" s="33">
        <f t="shared" si="0"/>
        <v>2370.25</v>
      </c>
      <c r="M7" s="29" t="s">
        <v>187</v>
      </c>
      <c r="N7" s="29" t="s">
        <v>173</v>
      </c>
      <c r="O7" s="29" t="s">
        <v>174</v>
      </c>
      <c r="P7">
        <f t="shared" si="1"/>
        <v>10</v>
      </c>
    </row>
    <row r="8" spans="1:16" ht="15" customHeight="1" x14ac:dyDescent="0.25">
      <c r="A8" s="29" t="s">
        <v>188</v>
      </c>
      <c r="B8" s="30">
        <v>45672</v>
      </c>
      <c r="C8" s="29" t="s">
        <v>176</v>
      </c>
      <c r="D8" s="29" t="s">
        <v>189</v>
      </c>
      <c r="E8" s="31" t="s">
        <v>190</v>
      </c>
      <c r="F8" s="29" t="s">
        <v>191</v>
      </c>
      <c r="G8" s="31" t="s">
        <v>192</v>
      </c>
      <c r="H8" s="29" t="s">
        <v>193</v>
      </c>
      <c r="I8" s="32">
        <v>6</v>
      </c>
      <c r="J8" s="33">
        <v>49</v>
      </c>
      <c r="K8" s="34">
        <v>0</v>
      </c>
      <c r="L8" s="33">
        <f t="shared" si="0"/>
        <v>294</v>
      </c>
      <c r="M8" s="29" t="s">
        <v>172</v>
      </c>
      <c r="N8" s="29" t="s">
        <v>194</v>
      </c>
      <c r="O8" s="29" t="s">
        <v>174</v>
      </c>
      <c r="P8">
        <f t="shared" si="1"/>
        <v>102</v>
      </c>
    </row>
    <row r="9" spans="1:16" ht="15" customHeight="1" x14ac:dyDescent="0.25">
      <c r="A9" s="29" t="s">
        <v>195</v>
      </c>
      <c r="B9" s="30">
        <v>45673</v>
      </c>
      <c r="C9" s="29" t="s">
        <v>166</v>
      </c>
      <c r="D9" s="29" t="s">
        <v>167</v>
      </c>
      <c r="E9" s="31" t="s">
        <v>168</v>
      </c>
      <c r="F9" s="29" t="s">
        <v>196</v>
      </c>
      <c r="G9" s="31" t="s">
        <v>197</v>
      </c>
      <c r="H9" s="29" t="s">
        <v>193</v>
      </c>
      <c r="I9" s="32">
        <v>1</v>
      </c>
      <c r="J9" s="33">
        <v>29</v>
      </c>
      <c r="K9" s="34">
        <v>0.1</v>
      </c>
      <c r="L9" s="33">
        <f t="shared" si="0"/>
        <v>26.1</v>
      </c>
      <c r="M9" s="29" t="s">
        <v>198</v>
      </c>
      <c r="N9" s="29" t="s">
        <v>173</v>
      </c>
      <c r="O9" s="29" t="s">
        <v>199</v>
      </c>
      <c r="P9">
        <f t="shared" si="1"/>
        <v>150</v>
      </c>
    </row>
    <row r="10" spans="1:16" ht="15" customHeight="1" x14ac:dyDescent="0.25">
      <c r="A10" s="29" t="s">
        <v>200</v>
      </c>
      <c r="B10" s="30">
        <v>45679</v>
      </c>
      <c r="C10" s="29" t="s">
        <v>201</v>
      </c>
      <c r="D10" s="29" t="s">
        <v>202</v>
      </c>
      <c r="E10" s="31" t="s">
        <v>203</v>
      </c>
      <c r="F10" s="29" t="s">
        <v>204</v>
      </c>
      <c r="G10" s="31" t="s">
        <v>205</v>
      </c>
      <c r="H10" s="29" t="s">
        <v>171</v>
      </c>
      <c r="I10" s="32">
        <v>4</v>
      </c>
      <c r="J10" s="33">
        <v>349</v>
      </c>
      <c r="K10" s="34">
        <v>0.03</v>
      </c>
      <c r="L10" s="33">
        <f t="shared" si="0"/>
        <v>1354.12</v>
      </c>
      <c r="M10" s="29" t="s">
        <v>172</v>
      </c>
      <c r="N10" s="29" t="s">
        <v>173</v>
      </c>
      <c r="O10" s="29" t="s">
        <v>199</v>
      </c>
      <c r="P10">
        <f t="shared" si="1"/>
        <v>37</v>
      </c>
    </row>
    <row r="11" spans="1:16" ht="15" customHeight="1" x14ac:dyDescent="0.25">
      <c r="A11" s="29" t="s">
        <v>206</v>
      </c>
      <c r="B11" s="30">
        <v>45681</v>
      </c>
      <c r="C11" s="29" t="s">
        <v>201</v>
      </c>
      <c r="D11" s="29" t="s">
        <v>202</v>
      </c>
      <c r="E11" s="31" t="s">
        <v>203</v>
      </c>
      <c r="F11" s="29" t="s">
        <v>191</v>
      </c>
      <c r="G11" s="31" t="s">
        <v>192</v>
      </c>
      <c r="H11" s="29" t="s">
        <v>193</v>
      </c>
      <c r="I11" s="32">
        <v>6</v>
      </c>
      <c r="J11" s="33">
        <v>49</v>
      </c>
      <c r="K11" s="34">
        <v>0.13</v>
      </c>
      <c r="L11" s="33">
        <f t="shared" si="0"/>
        <v>255.78</v>
      </c>
      <c r="M11" s="29" t="s">
        <v>187</v>
      </c>
      <c r="N11" s="29" t="s">
        <v>173</v>
      </c>
      <c r="O11" s="29" t="s">
        <v>199</v>
      </c>
      <c r="P11">
        <f t="shared" si="1"/>
        <v>109</v>
      </c>
    </row>
    <row r="12" spans="1:16" ht="15" customHeight="1" x14ac:dyDescent="0.25">
      <c r="A12" s="29" t="s">
        <v>207</v>
      </c>
      <c r="B12" s="30">
        <v>45681</v>
      </c>
      <c r="C12" s="29" t="s">
        <v>201</v>
      </c>
      <c r="D12" s="29" t="s">
        <v>202</v>
      </c>
      <c r="E12" s="31" t="s">
        <v>203</v>
      </c>
      <c r="F12" s="29" t="s">
        <v>208</v>
      </c>
      <c r="G12" s="31" t="s">
        <v>209</v>
      </c>
      <c r="H12" s="29" t="s">
        <v>193</v>
      </c>
      <c r="I12" s="32">
        <v>8</v>
      </c>
      <c r="J12" s="33">
        <v>279</v>
      </c>
      <c r="K12" s="34">
        <v>0.08</v>
      </c>
      <c r="L12" s="33">
        <f t="shared" si="0"/>
        <v>2053.44</v>
      </c>
      <c r="M12" s="29" t="s">
        <v>172</v>
      </c>
      <c r="N12" s="29" t="s">
        <v>194</v>
      </c>
      <c r="O12" s="29" t="s">
        <v>182</v>
      </c>
      <c r="P12">
        <f t="shared" si="1"/>
        <v>15</v>
      </c>
    </row>
    <row r="13" spans="1:16" ht="15" customHeight="1" x14ac:dyDescent="0.25">
      <c r="A13" s="29" t="s">
        <v>210</v>
      </c>
      <c r="B13" s="30">
        <v>45681</v>
      </c>
      <c r="C13" s="29" t="s">
        <v>184</v>
      </c>
      <c r="D13" s="29" t="s">
        <v>211</v>
      </c>
      <c r="E13" s="31" t="s">
        <v>212</v>
      </c>
      <c r="F13" s="29" t="s">
        <v>213</v>
      </c>
      <c r="G13" s="31" t="s">
        <v>214</v>
      </c>
      <c r="H13" s="29" t="s">
        <v>193</v>
      </c>
      <c r="I13" s="32">
        <v>3</v>
      </c>
      <c r="J13" s="33">
        <v>899</v>
      </c>
      <c r="K13" s="34">
        <v>0.08</v>
      </c>
      <c r="L13" s="33">
        <f t="shared" si="0"/>
        <v>2481.2399999999998</v>
      </c>
      <c r="M13" s="29" t="s">
        <v>172</v>
      </c>
      <c r="N13" s="29" t="s">
        <v>194</v>
      </c>
      <c r="O13" s="29" t="s">
        <v>174</v>
      </c>
      <c r="P13">
        <f t="shared" si="1"/>
        <v>6</v>
      </c>
    </row>
    <row r="14" spans="1:16" ht="15" customHeight="1" x14ac:dyDescent="0.25">
      <c r="A14" s="29" t="s">
        <v>215</v>
      </c>
      <c r="B14" s="30">
        <v>45681</v>
      </c>
      <c r="C14" s="29" t="s">
        <v>176</v>
      </c>
      <c r="D14" s="29" t="s">
        <v>189</v>
      </c>
      <c r="E14" s="31" t="s">
        <v>190</v>
      </c>
      <c r="F14" s="29" t="s">
        <v>169</v>
      </c>
      <c r="G14" s="31" t="s">
        <v>170</v>
      </c>
      <c r="H14" s="29" t="s">
        <v>171</v>
      </c>
      <c r="I14" s="32">
        <v>1</v>
      </c>
      <c r="J14" s="33">
        <v>499</v>
      </c>
      <c r="K14" s="34">
        <v>0.1</v>
      </c>
      <c r="L14" s="33">
        <f t="shared" si="0"/>
        <v>449.1</v>
      </c>
      <c r="M14" s="29" t="s">
        <v>198</v>
      </c>
      <c r="N14" s="29" t="s">
        <v>173</v>
      </c>
      <c r="O14" s="29" t="s">
        <v>199</v>
      </c>
      <c r="P14">
        <f t="shared" si="1"/>
        <v>79</v>
      </c>
    </row>
    <row r="15" spans="1:16" ht="15" customHeight="1" x14ac:dyDescent="0.25">
      <c r="A15" s="29" t="s">
        <v>216</v>
      </c>
      <c r="B15" s="30">
        <v>45685</v>
      </c>
      <c r="C15" s="29" t="s">
        <v>184</v>
      </c>
      <c r="D15" s="29" t="s">
        <v>185</v>
      </c>
      <c r="E15" s="31" t="s">
        <v>186</v>
      </c>
      <c r="F15" s="29" t="s">
        <v>204</v>
      </c>
      <c r="G15" s="31" t="s">
        <v>205</v>
      </c>
      <c r="H15" s="29" t="s">
        <v>171</v>
      </c>
      <c r="I15" s="32">
        <v>2</v>
      </c>
      <c r="J15" s="33">
        <v>349</v>
      </c>
      <c r="K15" s="34">
        <v>0.1</v>
      </c>
      <c r="L15" s="33">
        <f t="shared" si="0"/>
        <v>628.20000000000005</v>
      </c>
      <c r="M15" s="29" t="s">
        <v>198</v>
      </c>
      <c r="N15" s="29" t="s">
        <v>173</v>
      </c>
      <c r="O15" s="29" t="s">
        <v>174</v>
      </c>
      <c r="P15">
        <f t="shared" si="1"/>
        <v>68</v>
      </c>
    </row>
    <row r="16" spans="1:16" ht="15" customHeight="1" x14ac:dyDescent="0.25">
      <c r="A16" s="29" t="s">
        <v>217</v>
      </c>
      <c r="B16" s="30">
        <v>45687</v>
      </c>
      <c r="C16" s="29" t="s">
        <v>184</v>
      </c>
      <c r="D16" s="29" t="s">
        <v>211</v>
      </c>
      <c r="E16" s="31" t="s">
        <v>212</v>
      </c>
      <c r="F16" s="29" t="s">
        <v>196</v>
      </c>
      <c r="G16" s="31" t="s">
        <v>197</v>
      </c>
      <c r="H16" s="29" t="s">
        <v>193</v>
      </c>
      <c r="I16" s="32">
        <v>7</v>
      </c>
      <c r="J16" s="33">
        <v>29</v>
      </c>
      <c r="K16" s="34">
        <v>0.12</v>
      </c>
      <c r="L16" s="33">
        <f t="shared" si="0"/>
        <v>178.64</v>
      </c>
      <c r="M16" s="29" t="s">
        <v>172</v>
      </c>
      <c r="N16" s="29" t="s">
        <v>173</v>
      </c>
      <c r="O16" s="29" t="s">
        <v>199</v>
      </c>
      <c r="P16">
        <f t="shared" si="1"/>
        <v>120</v>
      </c>
    </row>
    <row r="17" spans="1:16" ht="15" customHeight="1" x14ac:dyDescent="0.25">
      <c r="A17" s="29" t="s">
        <v>218</v>
      </c>
      <c r="B17" s="30">
        <v>45687</v>
      </c>
      <c r="C17" s="29" t="s">
        <v>176</v>
      </c>
      <c r="D17" s="29" t="s">
        <v>177</v>
      </c>
      <c r="E17" s="31" t="s">
        <v>178</v>
      </c>
      <c r="F17" s="29" t="s">
        <v>219</v>
      </c>
      <c r="G17" s="31" t="s">
        <v>220</v>
      </c>
      <c r="H17" s="29" t="s">
        <v>221</v>
      </c>
      <c r="I17" s="32">
        <v>11</v>
      </c>
      <c r="J17" s="33">
        <v>28</v>
      </c>
      <c r="K17" s="34">
        <v>0.15</v>
      </c>
      <c r="L17" s="33">
        <f t="shared" si="0"/>
        <v>261.8</v>
      </c>
      <c r="M17" s="29" t="s">
        <v>198</v>
      </c>
      <c r="N17" s="29" t="s">
        <v>194</v>
      </c>
      <c r="O17" s="29" t="s">
        <v>182</v>
      </c>
      <c r="P17">
        <f t="shared" si="1"/>
        <v>107</v>
      </c>
    </row>
    <row r="18" spans="1:16" ht="15" customHeight="1" x14ac:dyDescent="0.25">
      <c r="A18" s="29" t="s">
        <v>222</v>
      </c>
      <c r="B18" s="30">
        <v>45689</v>
      </c>
      <c r="C18" s="29" t="s">
        <v>176</v>
      </c>
      <c r="D18" s="29" t="s">
        <v>223</v>
      </c>
      <c r="E18" s="31" t="s">
        <v>224</v>
      </c>
      <c r="F18" s="29" t="s">
        <v>204</v>
      </c>
      <c r="G18" s="31" t="s">
        <v>205</v>
      </c>
      <c r="H18" s="29" t="s">
        <v>171</v>
      </c>
      <c r="I18" s="32">
        <v>5</v>
      </c>
      <c r="J18" s="33">
        <v>349</v>
      </c>
      <c r="K18" s="34">
        <v>0.12</v>
      </c>
      <c r="L18" s="33">
        <f t="shared" si="0"/>
        <v>1535.6</v>
      </c>
      <c r="M18" s="29" t="s">
        <v>198</v>
      </c>
      <c r="N18" s="29" t="s">
        <v>173</v>
      </c>
      <c r="O18" s="29" t="s">
        <v>174</v>
      </c>
      <c r="P18">
        <f t="shared" si="1"/>
        <v>27</v>
      </c>
    </row>
    <row r="19" spans="1:16" ht="15" customHeight="1" x14ac:dyDescent="0.25">
      <c r="A19" s="29" t="s">
        <v>225</v>
      </c>
      <c r="B19" s="30">
        <v>45690</v>
      </c>
      <c r="C19" s="29" t="s">
        <v>176</v>
      </c>
      <c r="D19" s="29" t="s">
        <v>177</v>
      </c>
      <c r="E19" s="31" t="s">
        <v>178</v>
      </c>
      <c r="F19" s="29" t="s">
        <v>204</v>
      </c>
      <c r="G19" s="31" t="s">
        <v>205</v>
      </c>
      <c r="H19" s="29" t="s">
        <v>171</v>
      </c>
      <c r="I19" s="32">
        <v>4</v>
      </c>
      <c r="J19" s="33">
        <v>349</v>
      </c>
      <c r="K19" s="34">
        <v>0.14000000000000001</v>
      </c>
      <c r="L19" s="33">
        <f t="shared" si="0"/>
        <v>1200.56</v>
      </c>
      <c r="M19" s="29" t="s">
        <v>172</v>
      </c>
      <c r="N19" s="29" t="s">
        <v>226</v>
      </c>
      <c r="O19" s="29" t="s">
        <v>199</v>
      </c>
      <c r="P19">
        <f t="shared" si="1"/>
        <v>42</v>
      </c>
    </row>
    <row r="20" spans="1:16" ht="15" customHeight="1" x14ac:dyDescent="0.25">
      <c r="A20" s="29" t="s">
        <v>227</v>
      </c>
      <c r="B20" s="30">
        <v>45690</v>
      </c>
      <c r="C20" s="29" t="s">
        <v>176</v>
      </c>
      <c r="D20" s="29" t="s">
        <v>223</v>
      </c>
      <c r="E20" s="31" t="s">
        <v>224</v>
      </c>
      <c r="F20" s="29" t="s">
        <v>228</v>
      </c>
      <c r="G20" s="31" t="s">
        <v>229</v>
      </c>
      <c r="H20" s="29" t="s">
        <v>221</v>
      </c>
      <c r="I20" s="32">
        <v>9</v>
      </c>
      <c r="J20" s="33">
        <v>45</v>
      </c>
      <c r="K20" s="34">
        <v>0.1</v>
      </c>
      <c r="L20" s="33">
        <f t="shared" si="0"/>
        <v>364.5</v>
      </c>
      <c r="M20" s="29" t="s">
        <v>198</v>
      </c>
      <c r="N20" s="29" t="s">
        <v>194</v>
      </c>
      <c r="O20" s="29" t="s">
        <v>182</v>
      </c>
      <c r="P20">
        <f t="shared" si="1"/>
        <v>89</v>
      </c>
    </row>
    <row r="21" spans="1:16" ht="15" customHeight="1" x14ac:dyDescent="0.25">
      <c r="A21" s="29" t="s">
        <v>230</v>
      </c>
      <c r="B21" s="30">
        <v>45690</v>
      </c>
      <c r="C21" s="29" t="s">
        <v>201</v>
      </c>
      <c r="D21" s="29" t="s">
        <v>231</v>
      </c>
      <c r="E21" s="31" t="s">
        <v>232</v>
      </c>
      <c r="F21" s="29" t="s">
        <v>219</v>
      </c>
      <c r="G21" s="31" t="s">
        <v>220</v>
      </c>
      <c r="H21" s="29" t="s">
        <v>221</v>
      </c>
      <c r="I21" s="32">
        <v>15</v>
      </c>
      <c r="J21" s="33">
        <v>28</v>
      </c>
      <c r="K21" s="34">
        <v>0.08</v>
      </c>
      <c r="L21" s="33">
        <f t="shared" si="0"/>
        <v>386.4</v>
      </c>
      <c r="M21" s="29" t="s">
        <v>187</v>
      </c>
      <c r="N21" s="29" t="s">
        <v>173</v>
      </c>
      <c r="O21" s="29" t="s">
        <v>182</v>
      </c>
      <c r="P21">
        <f t="shared" si="1"/>
        <v>88</v>
      </c>
    </row>
    <row r="22" spans="1:16" ht="15" customHeight="1" x14ac:dyDescent="0.25">
      <c r="A22" s="29" t="s">
        <v>233</v>
      </c>
      <c r="B22" s="30">
        <v>45696</v>
      </c>
      <c r="C22" s="29" t="s">
        <v>201</v>
      </c>
      <c r="D22" s="29" t="s">
        <v>202</v>
      </c>
      <c r="E22" s="31" t="s">
        <v>203</v>
      </c>
      <c r="F22" s="29" t="s">
        <v>169</v>
      </c>
      <c r="G22" s="31" t="s">
        <v>170</v>
      </c>
      <c r="H22" s="29" t="s">
        <v>171</v>
      </c>
      <c r="I22" s="32">
        <v>1</v>
      </c>
      <c r="J22" s="33">
        <v>499</v>
      </c>
      <c r="K22" s="34">
        <v>0.11</v>
      </c>
      <c r="L22" s="33">
        <f t="shared" si="0"/>
        <v>444.11</v>
      </c>
      <c r="M22" s="29" t="s">
        <v>187</v>
      </c>
      <c r="N22" s="29" t="s">
        <v>173</v>
      </c>
      <c r="O22" s="29" t="s">
        <v>182</v>
      </c>
      <c r="P22">
        <f t="shared" si="1"/>
        <v>82</v>
      </c>
    </row>
    <row r="23" spans="1:16" ht="15" customHeight="1" x14ac:dyDescent="0.25">
      <c r="A23" s="29" t="s">
        <v>234</v>
      </c>
      <c r="B23" s="30">
        <v>45696</v>
      </c>
      <c r="C23" s="29" t="s">
        <v>176</v>
      </c>
      <c r="D23" s="29" t="s">
        <v>177</v>
      </c>
      <c r="E23" s="31" t="s">
        <v>178</v>
      </c>
      <c r="F23" s="29" t="s">
        <v>235</v>
      </c>
      <c r="G23" s="31" t="s">
        <v>236</v>
      </c>
      <c r="H23" s="29" t="s">
        <v>171</v>
      </c>
      <c r="I23" s="32">
        <v>4</v>
      </c>
      <c r="J23" s="33">
        <v>189</v>
      </c>
      <c r="K23" s="34">
        <v>0</v>
      </c>
      <c r="L23" s="33">
        <f t="shared" si="0"/>
        <v>756</v>
      </c>
      <c r="M23" s="29" t="s">
        <v>172</v>
      </c>
      <c r="N23" s="29" t="s">
        <v>173</v>
      </c>
      <c r="O23" s="29" t="s">
        <v>199</v>
      </c>
      <c r="P23">
        <f t="shared" si="1"/>
        <v>56</v>
      </c>
    </row>
    <row r="24" spans="1:16" ht="15" customHeight="1" x14ac:dyDescent="0.25">
      <c r="A24" s="29" t="s">
        <v>237</v>
      </c>
      <c r="B24" s="30">
        <v>45697</v>
      </c>
      <c r="C24" s="29" t="s">
        <v>201</v>
      </c>
      <c r="D24" s="29" t="s">
        <v>231</v>
      </c>
      <c r="E24" s="31" t="s">
        <v>232</v>
      </c>
      <c r="F24" s="29" t="s">
        <v>235</v>
      </c>
      <c r="G24" s="31" t="s">
        <v>236</v>
      </c>
      <c r="H24" s="29" t="s">
        <v>171</v>
      </c>
      <c r="I24" s="32">
        <v>4</v>
      </c>
      <c r="J24" s="33">
        <v>189</v>
      </c>
      <c r="K24" s="34">
        <v>0.11</v>
      </c>
      <c r="L24" s="33">
        <f t="shared" si="0"/>
        <v>672.84</v>
      </c>
      <c r="M24" s="29" t="s">
        <v>172</v>
      </c>
      <c r="N24" s="29" t="s">
        <v>173</v>
      </c>
      <c r="O24" s="29" t="s">
        <v>182</v>
      </c>
      <c r="P24">
        <f t="shared" si="1"/>
        <v>66</v>
      </c>
    </row>
    <row r="25" spans="1:16" ht="15" customHeight="1" x14ac:dyDescent="0.25">
      <c r="A25" s="29" t="s">
        <v>238</v>
      </c>
      <c r="B25" s="30">
        <v>45697</v>
      </c>
      <c r="C25" s="29" t="s">
        <v>176</v>
      </c>
      <c r="D25" s="29" t="s">
        <v>177</v>
      </c>
      <c r="E25" s="31" t="s">
        <v>178</v>
      </c>
      <c r="F25" s="29" t="s">
        <v>239</v>
      </c>
      <c r="G25" s="31" t="s">
        <v>240</v>
      </c>
      <c r="H25" s="29" t="s">
        <v>181</v>
      </c>
      <c r="I25" s="32">
        <v>52</v>
      </c>
      <c r="J25" s="33">
        <v>32</v>
      </c>
      <c r="K25" s="34">
        <v>0.1</v>
      </c>
      <c r="L25" s="33">
        <f t="shared" si="0"/>
        <v>1497.6</v>
      </c>
      <c r="M25" s="29" t="s">
        <v>187</v>
      </c>
      <c r="N25" s="29" t="s">
        <v>226</v>
      </c>
      <c r="O25" s="29" t="s">
        <v>182</v>
      </c>
      <c r="P25">
        <f t="shared" si="1"/>
        <v>31</v>
      </c>
    </row>
    <row r="26" spans="1:16" ht="15" customHeight="1" x14ac:dyDescent="0.25">
      <c r="A26" s="29" t="s">
        <v>241</v>
      </c>
      <c r="B26" s="30">
        <v>45697</v>
      </c>
      <c r="C26" s="29" t="s">
        <v>166</v>
      </c>
      <c r="D26" s="29" t="s">
        <v>242</v>
      </c>
      <c r="E26" s="31" t="s">
        <v>243</v>
      </c>
      <c r="F26" s="29" t="s">
        <v>244</v>
      </c>
      <c r="G26" s="31" t="s">
        <v>245</v>
      </c>
      <c r="H26" s="29" t="s">
        <v>193</v>
      </c>
      <c r="I26" s="32">
        <v>5</v>
      </c>
      <c r="J26" s="33">
        <v>119</v>
      </c>
      <c r="K26" s="34">
        <v>0.12</v>
      </c>
      <c r="L26" s="33">
        <f t="shared" si="0"/>
        <v>523.6</v>
      </c>
      <c r="M26" s="29" t="s">
        <v>172</v>
      </c>
      <c r="N26" s="29" t="s">
        <v>173</v>
      </c>
      <c r="O26" s="29" t="s">
        <v>174</v>
      </c>
      <c r="P26">
        <f t="shared" si="1"/>
        <v>73</v>
      </c>
    </row>
    <row r="27" spans="1:16" ht="15" customHeight="1" x14ac:dyDescent="0.25">
      <c r="A27" s="29" t="s">
        <v>246</v>
      </c>
      <c r="B27" s="30">
        <v>45698</v>
      </c>
      <c r="C27" s="29" t="s">
        <v>201</v>
      </c>
      <c r="D27" s="29" t="s">
        <v>231</v>
      </c>
      <c r="E27" s="31" t="s">
        <v>232</v>
      </c>
      <c r="F27" s="29" t="s">
        <v>196</v>
      </c>
      <c r="G27" s="31" t="s">
        <v>197</v>
      </c>
      <c r="H27" s="29" t="s">
        <v>193</v>
      </c>
      <c r="I27" s="32">
        <v>1</v>
      </c>
      <c r="J27" s="33">
        <v>29</v>
      </c>
      <c r="K27" s="34">
        <v>0.03</v>
      </c>
      <c r="L27" s="33">
        <f t="shared" si="0"/>
        <v>28.13</v>
      </c>
      <c r="M27" s="29" t="s">
        <v>172</v>
      </c>
      <c r="N27" s="29" t="s">
        <v>173</v>
      </c>
      <c r="O27" s="29" t="s">
        <v>182</v>
      </c>
      <c r="P27">
        <f t="shared" si="1"/>
        <v>149</v>
      </c>
    </row>
    <row r="28" spans="1:16" ht="15" customHeight="1" x14ac:dyDescent="0.25">
      <c r="A28" s="29" t="s">
        <v>247</v>
      </c>
      <c r="B28" s="30">
        <v>45698</v>
      </c>
      <c r="C28" s="29" t="s">
        <v>176</v>
      </c>
      <c r="D28" s="29" t="s">
        <v>189</v>
      </c>
      <c r="E28" s="31" t="s">
        <v>190</v>
      </c>
      <c r="F28" s="29" t="s">
        <v>239</v>
      </c>
      <c r="G28" s="31" t="s">
        <v>240</v>
      </c>
      <c r="H28" s="29" t="s">
        <v>181</v>
      </c>
      <c r="I28" s="32">
        <v>37</v>
      </c>
      <c r="J28" s="33">
        <v>32</v>
      </c>
      <c r="K28" s="34">
        <v>0.15</v>
      </c>
      <c r="L28" s="33">
        <f t="shared" si="0"/>
        <v>1006.4</v>
      </c>
      <c r="M28" s="29" t="s">
        <v>198</v>
      </c>
      <c r="N28" s="29" t="s">
        <v>194</v>
      </c>
      <c r="O28" s="29" t="s">
        <v>174</v>
      </c>
      <c r="P28">
        <f t="shared" si="1"/>
        <v>44</v>
      </c>
    </row>
    <row r="29" spans="1:16" ht="15" customHeight="1" x14ac:dyDescent="0.25">
      <c r="A29" s="29" t="s">
        <v>248</v>
      </c>
      <c r="B29" s="30">
        <v>45702</v>
      </c>
      <c r="C29" s="29" t="s">
        <v>184</v>
      </c>
      <c r="D29" s="29" t="s">
        <v>211</v>
      </c>
      <c r="E29" s="31" t="s">
        <v>212</v>
      </c>
      <c r="F29" s="29" t="s">
        <v>169</v>
      </c>
      <c r="G29" s="31" t="s">
        <v>170</v>
      </c>
      <c r="H29" s="29" t="s">
        <v>171</v>
      </c>
      <c r="I29" s="32">
        <v>4</v>
      </c>
      <c r="J29" s="33">
        <v>499</v>
      </c>
      <c r="K29" s="34">
        <v>7.0000000000000007E-2</v>
      </c>
      <c r="L29" s="33">
        <f t="shared" si="0"/>
        <v>1856.28</v>
      </c>
      <c r="M29" s="29" t="s">
        <v>172</v>
      </c>
      <c r="N29" s="29" t="s">
        <v>226</v>
      </c>
      <c r="O29" s="29" t="s">
        <v>182</v>
      </c>
      <c r="P29">
        <f t="shared" si="1"/>
        <v>17</v>
      </c>
    </row>
    <row r="30" spans="1:16" ht="15" customHeight="1" x14ac:dyDescent="0.25">
      <c r="A30" s="29" t="s">
        <v>249</v>
      </c>
      <c r="B30" s="30">
        <v>45702</v>
      </c>
      <c r="C30" s="29" t="s">
        <v>184</v>
      </c>
      <c r="D30" s="29" t="s">
        <v>211</v>
      </c>
      <c r="E30" s="31" t="s">
        <v>212</v>
      </c>
      <c r="F30" s="29" t="s">
        <v>196</v>
      </c>
      <c r="G30" s="31" t="s">
        <v>197</v>
      </c>
      <c r="H30" s="29" t="s">
        <v>193</v>
      </c>
      <c r="I30" s="32">
        <v>1</v>
      </c>
      <c r="J30" s="33">
        <v>29</v>
      </c>
      <c r="K30" s="34">
        <v>0</v>
      </c>
      <c r="L30" s="33">
        <f t="shared" si="0"/>
        <v>29</v>
      </c>
      <c r="M30" s="29" t="s">
        <v>172</v>
      </c>
      <c r="N30" s="29" t="s">
        <v>173</v>
      </c>
      <c r="O30" s="29" t="s">
        <v>199</v>
      </c>
      <c r="P30">
        <f t="shared" si="1"/>
        <v>148</v>
      </c>
    </row>
    <row r="31" spans="1:16" ht="15" customHeight="1" x14ac:dyDescent="0.25">
      <c r="A31" s="29" t="s">
        <v>250</v>
      </c>
      <c r="B31" s="30">
        <v>45706</v>
      </c>
      <c r="C31" s="29" t="s">
        <v>201</v>
      </c>
      <c r="D31" s="29" t="s">
        <v>202</v>
      </c>
      <c r="E31" s="31" t="s">
        <v>203</v>
      </c>
      <c r="F31" s="29" t="s">
        <v>239</v>
      </c>
      <c r="G31" s="31" t="s">
        <v>240</v>
      </c>
      <c r="H31" s="29" t="s">
        <v>181</v>
      </c>
      <c r="I31" s="32">
        <v>34</v>
      </c>
      <c r="J31" s="33">
        <v>32</v>
      </c>
      <c r="K31" s="34">
        <v>0.18</v>
      </c>
      <c r="L31" s="33">
        <f t="shared" si="0"/>
        <v>892.16</v>
      </c>
      <c r="M31" s="29" t="s">
        <v>198</v>
      </c>
      <c r="N31" s="29" t="s">
        <v>194</v>
      </c>
      <c r="O31" s="29" t="s">
        <v>199</v>
      </c>
      <c r="P31">
        <f t="shared" si="1"/>
        <v>50</v>
      </c>
    </row>
    <row r="32" spans="1:16" ht="15" customHeight="1" x14ac:dyDescent="0.25">
      <c r="A32" s="29" t="s">
        <v>251</v>
      </c>
      <c r="B32" s="30">
        <v>45707</v>
      </c>
      <c r="C32" s="29" t="s">
        <v>176</v>
      </c>
      <c r="D32" s="29" t="s">
        <v>223</v>
      </c>
      <c r="E32" s="31" t="s">
        <v>224</v>
      </c>
      <c r="F32" s="29" t="s">
        <v>191</v>
      </c>
      <c r="G32" s="31" t="s">
        <v>192</v>
      </c>
      <c r="H32" s="29" t="s">
        <v>193</v>
      </c>
      <c r="I32" s="32">
        <v>1</v>
      </c>
      <c r="J32" s="33">
        <v>49</v>
      </c>
      <c r="K32" s="34">
        <v>0.08</v>
      </c>
      <c r="L32" s="33">
        <f t="shared" si="0"/>
        <v>45.08</v>
      </c>
      <c r="M32" s="29" t="s">
        <v>187</v>
      </c>
      <c r="N32" s="29" t="s">
        <v>194</v>
      </c>
      <c r="O32" s="29" t="s">
        <v>182</v>
      </c>
      <c r="P32">
        <f t="shared" si="1"/>
        <v>147</v>
      </c>
    </row>
    <row r="33" spans="1:16" ht="15" customHeight="1" x14ac:dyDescent="0.25">
      <c r="A33" s="29" t="s">
        <v>252</v>
      </c>
      <c r="B33" s="30">
        <v>45710</v>
      </c>
      <c r="C33" s="29" t="s">
        <v>176</v>
      </c>
      <c r="D33" s="29" t="s">
        <v>223</v>
      </c>
      <c r="E33" s="31" t="s">
        <v>224</v>
      </c>
      <c r="F33" s="29" t="s">
        <v>179</v>
      </c>
      <c r="G33" s="31" t="s">
        <v>180</v>
      </c>
      <c r="H33" s="29" t="s">
        <v>181</v>
      </c>
      <c r="I33" s="32">
        <v>44</v>
      </c>
      <c r="J33" s="33">
        <v>6.5</v>
      </c>
      <c r="K33" s="34">
        <v>0.18</v>
      </c>
      <c r="L33" s="33">
        <f t="shared" si="0"/>
        <v>234.52</v>
      </c>
      <c r="M33" s="29" t="s">
        <v>198</v>
      </c>
      <c r="N33" s="29" t="s">
        <v>194</v>
      </c>
      <c r="O33" s="29" t="s">
        <v>174</v>
      </c>
      <c r="P33">
        <f t="shared" si="1"/>
        <v>113</v>
      </c>
    </row>
    <row r="34" spans="1:16" ht="15" customHeight="1" x14ac:dyDescent="0.25">
      <c r="A34" s="29" t="s">
        <v>253</v>
      </c>
      <c r="B34" s="30">
        <v>45713</v>
      </c>
      <c r="C34" s="29" t="s">
        <v>201</v>
      </c>
      <c r="D34" s="29" t="s">
        <v>231</v>
      </c>
      <c r="E34" s="31" t="s">
        <v>232</v>
      </c>
      <c r="F34" s="29" t="s">
        <v>204</v>
      </c>
      <c r="G34" s="31" t="s">
        <v>205</v>
      </c>
      <c r="H34" s="29" t="s">
        <v>171</v>
      </c>
      <c r="I34" s="32">
        <v>5</v>
      </c>
      <c r="J34" s="33">
        <v>349</v>
      </c>
      <c r="K34" s="34">
        <v>0.08</v>
      </c>
      <c r="L34" s="33">
        <f t="shared" si="0"/>
        <v>1605.4</v>
      </c>
      <c r="M34" s="29" t="s">
        <v>187</v>
      </c>
      <c r="N34" s="29" t="s">
        <v>194</v>
      </c>
      <c r="O34" s="29" t="s">
        <v>199</v>
      </c>
      <c r="P34">
        <f t="shared" si="1"/>
        <v>25</v>
      </c>
    </row>
    <row r="35" spans="1:16" ht="15" customHeight="1" x14ac:dyDescent="0.25">
      <c r="A35" s="29" t="s">
        <v>254</v>
      </c>
      <c r="B35" s="30">
        <v>45713</v>
      </c>
      <c r="C35" s="29" t="s">
        <v>201</v>
      </c>
      <c r="D35" s="29" t="s">
        <v>202</v>
      </c>
      <c r="E35" s="31" t="s">
        <v>203</v>
      </c>
      <c r="F35" s="29" t="s">
        <v>196</v>
      </c>
      <c r="G35" s="31" t="s">
        <v>197</v>
      </c>
      <c r="H35" s="29" t="s">
        <v>193</v>
      </c>
      <c r="I35" s="32">
        <v>2</v>
      </c>
      <c r="J35" s="33">
        <v>29</v>
      </c>
      <c r="K35" s="34">
        <v>0.03</v>
      </c>
      <c r="L35" s="33">
        <f t="shared" si="0"/>
        <v>56.26</v>
      </c>
      <c r="M35" s="29" t="s">
        <v>172</v>
      </c>
      <c r="N35" s="29" t="s">
        <v>194</v>
      </c>
      <c r="O35" s="29" t="s">
        <v>174</v>
      </c>
      <c r="P35">
        <f t="shared" si="1"/>
        <v>145</v>
      </c>
    </row>
    <row r="36" spans="1:16" ht="15" customHeight="1" x14ac:dyDescent="0.25">
      <c r="A36" s="29" t="s">
        <v>255</v>
      </c>
      <c r="B36" s="30">
        <v>45713</v>
      </c>
      <c r="C36" s="29" t="s">
        <v>184</v>
      </c>
      <c r="D36" s="29" t="s">
        <v>185</v>
      </c>
      <c r="E36" s="31" t="s">
        <v>186</v>
      </c>
      <c r="F36" s="29" t="s">
        <v>239</v>
      </c>
      <c r="G36" s="31" t="s">
        <v>240</v>
      </c>
      <c r="H36" s="29" t="s">
        <v>181</v>
      </c>
      <c r="I36" s="32">
        <v>49</v>
      </c>
      <c r="J36" s="33">
        <v>32</v>
      </c>
      <c r="K36" s="34">
        <v>0.05</v>
      </c>
      <c r="L36" s="33">
        <f t="shared" si="0"/>
        <v>1489.6</v>
      </c>
      <c r="M36" s="29" t="s">
        <v>172</v>
      </c>
      <c r="N36" s="29" t="s">
        <v>173</v>
      </c>
      <c r="O36" s="29" t="s">
        <v>199</v>
      </c>
      <c r="P36">
        <f t="shared" si="1"/>
        <v>33</v>
      </c>
    </row>
    <row r="37" spans="1:16" ht="15" customHeight="1" x14ac:dyDescent="0.25">
      <c r="A37" s="29" t="s">
        <v>256</v>
      </c>
      <c r="B37" s="30">
        <v>45714</v>
      </c>
      <c r="C37" s="29" t="s">
        <v>184</v>
      </c>
      <c r="D37" s="29" t="s">
        <v>185</v>
      </c>
      <c r="E37" s="31" t="s">
        <v>186</v>
      </c>
      <c r="F37" s="29" t="s">
        <v>244</v>
      </c>
      <c r="G37" s="31" t="s">
        <v>245</v>
      </c>
      <c r="H37" s="29" t="s">
        <v>193</v>
      </c>
      <c r="I37" s="32">
        <v>8</v>
      </c>
      <c r="J37" s="33">
        <v>119</v>
      </c>
      <c r="K37" s="34">
        <v>0</v>
      </c>
      <c r="L37" s="33">
        <f t="shared" ref="L37:L68" si="2">ROUND(I37*J37*(1-K37),2)</f>
        <v>952</v>
      </c>
      <c r="M37" s="29" t="s">
        <v>172</v>
      </c>
      <c r="N37" s="29" t="s">
        <v>194</v>
      </c>
      <c r="O37" s="29" t="s">
        <v>174</v>
      </c>
      <c r="P37">
        <f t="shared" ref="P37:P68" si="3">RANK(L37,Sales_Revenue,0)</f>
        <v>47</v>
      </c>
    </row>
    <row r="38" spans="1:16" ht="15" customHeight="1" x14ac:dyDescent="0.25">
      <c r="A38" s="29" t="s">
        <v>257</v>
      </c>
      <c r="B38" s="30">
        <v>45714</v>
      </c>
      <c r="C38" s="29" t="s">
        <v>201</v>
      </c>
      <c r="D38" s="29" t="s">
        <v>231</v>
      </c>
      <c r="E38" s="31" t="s">
        <v>232</v>
      </c>
      <c r="F38" s="29" t="s">
        <v>213</v>
      </c>
      <c r="G38" s="31" t="s">
        <v>214</v>
      </c>
      <c r="H38" s="29" t="s">
        <v>193</v>
      </c>
      <c r="I38" s="32">
        <v>5</v>
      </c>
      <c r="J38" s="33">
        <v>899</v>
      </c>
      <c r="K38" s="34">
        <v>0.08</v>
      </c>
      <c r="L38" s="33">
        <f t="shared" si="2"/>
        <v>4135.3999999999996</v>
      </c>
      <c r="M38" s="29" t="s">
        <v>172</v>
      </c>
      <c r="N38" s="29" t="s">
        <v>194</v>
      </c>
      <c r="O38" s="29" t="s">
        <v>182</v>
      </c>
      <c r="P38">
        <f t="shared" si="3"/>
        <v>3</v>
      </c>
    </row>
    <row r="39" spans="1:16" ht="15" customHeight="1" x14ac:dyDescent="0.25">
      <c r="A39" s="29" t="s">
        <v>258</v>
      </c>
      <c r="B39" s="30">
        <v>45715</v>
      </c>
      <c r="C39" s="29" t="s">
        <v>176</v>
      </c>
      <c r="D39" s="29" t="s">
        <v>189</v>
      </c>
      <c r="E39" s="31" t="s">
        <v>190</v>
      </c>
      <c r="F39" s="29" t="s">
        <v>204</v>
      </c>
      <c r="G39" s="31" t="s">
        <v>205</v>
      </c>
      <c r="H39" s="29" t="s">
        <v>171</v>
      </c>
      <c r="I39" s="32">
        <v>1</v>
      </c>
      <c r="J39" s="33">
        <v>349</v>
      </c>
      <c r="K39" s="34">
        <v>0.05</v>
      </c>
      <c r="L39" s="33">
        <f t="shared" si="2"/>
        <v>331.55</v>
      </c>
      <c r="M39" s="29" t="s">
        <v>187</v>
      </c>
      <c r="N39" s="29" t="s">
        <v>194</v>
      </c>
      <c r="O39" s="29" t="s">
        <v>199</v>
      </c>
      <c r="P39">
        <f t="shared" si="3"/>
        <v>94</v>
      </c>
    </row>
    <row r="40" spans="1:16" ht="15" customHeight="1" x14ac:dyDescent="0.25">
      <c r="A40" s="29" t="s">
        <v>259</v>
      </c>
      <c r="B40" s="30">
        <v>45718</v>
      </c>
      <c r="C40" s="29" t="s">
        <v>166</v>
      </c>
      <c r="D40" s="29" t="s">
        <v>167</v>
      </c>
      <c r="E40" s="31" t="s">
        <v>168</v>
      </c>
      <c r="F40" s="29" t="s">
        <v>196</v>
      </c>
      <c r="G40" s="31" t="s">
        <v>197</v>
      </c>
      <c r="H40" s="29" t="s">
        <v>193</v>
      </c>
      <c r="I40" s="32">
        <v>10</v>
      </c>
      <c r="J40" s="33">
        <v>29</v>
      </c>
      <c r="K40" s="34">
        <v>0.08</v>
      </c>
      <c r="L40" s="33">
        <f t="shared" si="2"/>
        <v>266.8</v>
      </c>
      <c r="M40" s="29" t="s">
        <v>172</v>
      </c>
      <c r="N40" s="29" t="s">
        <v>173</v>
      </c>
      <c r="O40" s="29" t="s">
        <v>182</v>
      </c>
      <c r="P40">
        <f t="shared" si="3"/>
        <v>106</v>
      </c>
    </row>
    <row r="41" spans="1:16" ht="15" customHeight="1" x14ac:dyDescent="0.25">
      <c r="A41" s="29" t="s">
        <v>260</v>
      </c>
      <c r="B41" s="30">
        <v>45718</v>
      </c>
      <c r="C41" s="29" t="s">
        <v>201</v>
      </c>
      <c r="D41" s="29" t="s">
        <v>202</v>
      </c>
      <c r="E41" s="31" t="s">
        <v>203</v>
      </c>
      <c r="F41" s="29" t="s">
        <v>191</v>
      </c>
      <c r="G41" s="31" t="s">
        <v>192</v>
      </c>
      <c r="H41" s="29" t="s">
        <v>193</v>
      </c>
      <c r="I41" s="32">
        <v>8</v>
      </c>
      <c r="J41" s="33">
        <v>49</v>
      </c>
      <c r="K41" s="34">
        <v>0.08</v>
      </c>
      <c r="L41" s="33">
        <f t="shared" si="2"/>
        <v>360.64</v>
      </c>
      <c r="M41" s="29" t="s">
        <v>172</v>
      </c>
      <c r="N41" s="29" t="s">
        <v>194</v>
      </c>
      <c r="O41" s="29" t="s">
        <v>182</v>
      </c>
      <c r="P41">
        <f t="shared" si="3"/>
        <v>90</v>
      </c>
    </row>
    <row r="42" spans="1:16" ht="15" customHeight="1" x14ac:dyDescent="0.25">
      <c r="A42" s="29" t="s">
        <v>261</v>
      </c>
      <c r="B42" s="30">
        <v>45718</v>
      </c>
      <c r="C42" s="29" t="s">
        <v>176</v>
      </c>
      <c r="D42" s="29" t="s">
        <v>223</v>
      </c>
      <c r="E42" s="31" t="s">
        <v>224</v>
      </c>
      <c r="F42" s="29" t="s">
        <v>191</v>
      </c>
      <c r="G42" s="31" t="s">
        <v>192</v>
      </c>
      <c r="H42" s="29" t="s">
        <v>193</v>
      </c>
      <c r="I42" s="32">
        <v>8</v>
      </c>
      <c r="J42" s="33">
        <v>49</v>
      </c>
      <c r="K42" s="34">
        <v>0.08</v>
      </c>
      <c r="L42" s="33">
        <f t="shared" si="2"/>
        <v>360.64</v>
      </c>
      <c r="M42" s="29" t="s">
        <v>187</v>
      </c>
      <c r="N42" s="29" t="s">
        <v>194</v>
      </c>
      <c r="O42" s="29" t="s">
        <v>174</v>
      </c>
      <c r="P42">
        <f t="shared" si="3"/>
        <v>90</v>
      </c>
    </row>
    <row r="43" spans="1:16" ht="15" customHeight="1" x14ac:dyDescent="0.25">
      <c r="A43" s="29" t="s">
        <v>262</v>
      </c>
      <c r="B43" s="30">
        <v>45719</v>
      </c>
      <c r="C43" s="29" t="s">
        <v>176</v>
      </c>
      <c r="D43" s="29" t="s">
        <v>189</v>
      </c>
      <c r="E43" s="31" t="s">
        <v>190</v>
      </c>
      <c r="F43" s="29" t="s">
        <v>169</v>
      </c>
      <c r="G43" s="31" t="s">
        <v>170</v>
      </c>
      <c r="H43" s="29" t="s">
        <v>171</v>
      </c>
      <c r="I43" s="32">
        <v>1</v>
      </c>
      <c r="J43" s="33">
        <v>499</v>
      </c>
      <c r="K43" s="34">
        <v>0.1</v>
      </c>
      <c r="L43" s="33">
        <f t="shared" si="2"/>
        <v>449.1</v>
      </c>
      <c r="M43" s="29" t="s">
        <v>172</v>
      </c>
      <c r="N43" s="29" t="s">
        <v>226</v>
      </c>
      <c r="O43" s="29" t="s">
        <v>174</v>
      </c>
      <c r="P43">
        <f t="shared" si="3"/>
        <v>79</v>
      </c>
    </row>
    <row r="44" spans="1:16" ht="15" customHeight="1" x14ac:dyDescent="0.25">
      <c r="A44" s="29" t="s">
        <v>263</v>
      </c>
      <c r="B44" s="30">
        <v>45720</v>
      </c>
      <c r="C44" s="29" t="s">
        <v>176</v>
      </c>
      <c r="D44" s="29" t="s">
        <v>189</v>
      </c>
      <c r="E44" s="31" t="s">
        <v>190</v>
      </c>
      <c r="F44" s="29" t="s">
        <v>219</v>
      </c>
      <c r="G44" s="31" t="s">
        <v>220</v>
      </c>
      <c r="H44" s="29" t="s">
        <v>221</v>
      </c>
      <c r="I44" s="32">
        <v>6</v>
      </c>
      <c r="J44" s="33">
        <v>28</v>
      </c>
      <c r="K44" s="34">
        <v>0.18</v>
      </c>
      <c r="L44" s="33">
        <f t="shared" si="2"/>
        <v>137.76</v>
      </c>
      <c r="M44" s="29" t="s">
        <v>198</v>
      </c>
      <c r="N44" s="29" t="s">
        <v>173</v>
      </c>
      <c r="O44" s="29" t="s">
        <v>174</v>
      </c>
      <c r="P44">
        <f t="shared" si="3"/>
        <v>127</v>
      </c>
    </row>
    <row r="45" spans="1:16" ht="15" customHeight="1" x14ac:dyDescent="0.25">
      <c r="A45" s="29" t="s">
        <v>264</v>
      </c>
      <c r="B45" s="30">
        <v>45720</v>
      </c>
      <c r="C45" s="29" t="s">
        <v>176</v>
      </c>
      <c r="D45" s="29" t="s">
        <v>189</v>
      </c>
      <c r="E45" s="31" t="s">
        <v>190</v>
      </c>
      <c r="F45" s="29" t="s">
        <v>244</v>
      </c>
      <c r="G45" s="31" t="s">
        <v>245</v>
      </c>
      <c r="H45" s="29" t="s">
        <v>193</v>
      </c>
      <c r="I45" s="32">
        <v>2</v>
      </c>
      <c r="J45" s="33">
        <v>119</v>
      </c>
      <c r="K45" s="34">
        <v>0</v>
      </c>
      <c r="L45" s="33">
        <f t="shared" si="2"/>
        <v>238</v>
      </c>
      <c r="M45" s="29" t="s">
        <v>172</v>
      </c>
      <c r="N45" s="29" t="s">
        <v>173</v>
      </c>
      <c r="O45" s="29" t="s">
        <v>199</v>
      </c>
      <c r="P45">
        <f t="shared" si="3"/>
        <v>112</v>
      </c>
    </row>
    <row r="46" spans="1:16" ht="15" customHeight="1" x14ac:dyDescent="0.25">
      <c r="A46" s="29" t="s">
        <v>265</v>
      </c>
      <c r="B46" s="30">
        <v>45721</v>
      </c>
      <c r="C46" s="29" t="s">
        <v>176</v>
      </c>
      <c r="D46" s="29" t="s">
        <v>177</v>
      </c>
      <c r="E46" s="31" t="s">
        <v>178</v>
      </c>
      <c r="F46" s="29" t="s">
        <v>228</v>
      </c>
      <c r="G46" s="31" t="s">
        <v>229</v>
      </c>
      <c r="H46" s="29" t="s">
        <v>221</v>
      </c>
      <c r="I46" s="32">
        <v>9</v>
      </c>
      <c r="J46" s="33">
        <v>45</v>
      </c>
      <c r="K46" s="34">
        <v>0.12</v>
      </c>
      <c r="L46" s="33">
        <f t="shared" si="2"/>
        <v>356.4</v>
      </c>
      <c r="M46" s="29" t="s">
        <v>172</v>
      </c>
      <c r="N46" s="29" t="s">
        <v>173</v>
      </c>
      <c r="O46" s="29" t="s">
        <v>199</v>
      </c>
      <c r="P46">
        <f t="shared" si="3"/>
        <v>93</v>
      </c>
    </row>
    <row r="47" spans="1:16" ht="15" customHeight="1" x14ac:dyDescent="0.25">
      <c r="A47" s="29" t="s">
        <v>266</v>
      </c>
      <c r="B47" s="30">
        <v>45722</v>
      </c>
      <c r="C47" s="29" t="s">
        <v>201</v>
      </c>
      <c r="D47" s="29" t="s">
        <v>202</v>
      </c>
      <c r="E47" s="31" t="s">
        <v>203</v>
      </c>
      <c r="F47" s="29" t="s">
        <v>179</v>
      </c>
      <c r="G47" s="31" t="s">
        <v>180</v>
      </c>
      <c r="H47" s="29" t="s">
        <v>181</v>
      </c>
      <c r="I47" s="32">
        <v>13</v>
      </c>
      <c r="J47" s="33">
        <v>6.5</v>
      </c>
      <c r="K47" s="34">
        <v>0.05</v>
      </c>
      <c r="L47" s="33">
        <f t="shared" si="2"/>
        <v>80.28</v>
      </c>
      <c r="M47" s="29" t="s">
        <v>172</v>
      </c>
      <c r="N47" s="29" t="s">
        <v>226</v>
      </c>
      <c r="O47" s="29" t="s">
        <v>182</v>
      </c>
      <c r="P47">
        <f t="shared" si="3"/>
        <v>143</v>
      </c>
    </row>
    <row r="48" spans="1:16" ht="15" customHeight="1" x14ac:dyDescent="0.25">
      <c r="A48" s="29" t="s">
        <v>267</v>
      </c>
      <c r="B48" s="30">
        <v>45725</v>
      </c>
      <c r="C48" s="29" t="s">
        <v>176</v>
      </c>
      <c r="D48" s="29" t="s">
        <v>177</v>
      </c>
      <c r="E48" s="31" t="s">
        <v>178</v>
      </c>
      <c r="F48" s="29" t="s">
        <v>169</v>
      </c>
      <c r="G48" s="31" t="s">
        <v>170</v>
      </c>
      <c r="H48" s="29" t="s">
        <v>171</v>
      </c>
      <c r="I48" s="32">
        <v>4</v>
      </c>
      <c r="J48" s="33">
        <v>499</v>
      </c>
      <c r="K48" s="34">
        <v>0.17</v>
      </c>
      <c r="L48" s="33">
        <f t="shared" si="2"/>
        <v>1656.68</v>
      </c>
      <c r="M48" s="29" t="s">
        <v>198</v>
      </c>
      <c r="N48" s="29" t="s">
        <v>226</v>
      </c>
      <c r="O48" s="29" t="s">
        <v>174</v>
      </c>
      <c r="P48">
        <f t="shared" si="3"/>
        <v>23</v>
      </c>
    </row>
    <row r="49" spans="1:16" ht="15" customHeight="1" x14ac:dyDescent="0.25">
      <c r="A49" s="29" t="s">
        <v>268</v>
      </c>
      <c r="B49" s="30">
        <v>45725</v>
      </c>
      <c r="C49" s="29" t="s">
        <v>166</v>
      </c>
      <c r="D49" s="29" t="s">
        <v>242</v>
      </c>
      <c r="E49" s="31" t="s">
        <v>243</v>
      </c>
      <c r="F49" s="29" t="s">
        <v>244</v>
      </c>
      <c r="G49" s="31" t="s">
        <v>245</v>
      </c>
      <c r="H49" s="29" t="s">
        <v>193</v>
      </c>
      <c r="I49" s="32">
        <v>2</v>
      </c>
      <c r="J49" s="33">
        <v>119</v>
      </c>
      <c r="K49" s="34">
        <v>0.1</v>
      </c>
      <c r="L49" s="33">
        <f t="shared" si="2"/>
        <v>214.2</v>
      </c>
      <c r="M49" s="29" t="s">
        <v>187</v>
      </c>
      <c r="N49" s="29" t="s">
        <v>173</v>
      </c>
      <c r="O49" s="29" t="s">
        <v>199</v>
      </c>
      <c r="P49">
        <f t="shared" si="3"/>
        <v>115</v>
      </c>
    </row>
    <row r="50" spans="1:16" ht="15" customHeight="1" x14ac:dyDescent="0.25">
      <c r="A50" s="29" t="s">
        <v>269</v>
      </c>
      <c r="B50" s="30">
        <v>45726</v>
      </c>
      <c r="C50" s="29" t="s">
        <v>184</v>
      </c>
      <c r="D50" s="29" t="s">
        <v>185</v>
      </c>
      <c r="E50" s="31" t="s">
        <v>186</v>
      </c>
      <c r="F50" s="29" t="s">
        <v>244</v>
      </c>
      <c r="G50" s="31" t="s">
        <v>245</v>
      </c>
      <c r="H50" s="29" t="s">
        <v>193</v>
      </c>
      <c r="I50" s="32">
        <v>4</v>
      </c>
      <c r="J50" s="33">
        <v>119</v>
      </c>
      <c r="K50" s="34">
        <v>0.05</v>
      </c>
      <c r="L50" s="33">
        <f t="shared" si="2"/>
        <v>452.2</v>
      </c>
      <c r="M50" s="29" t="s">
        <v>187</v>
      </c>
      <c r="N50" s="29" t="s">
        <v>194</v>
      </c>
      <c r="O50" s="29" t="s">
        <v>174</v>
      </c>
      <c r="P50">
        <f t="shared" si="3"/>
        <v>78</v>
      </c>
    </row>
    <row r="51" spans="1:16" ht="15" customHeight="1" x14ac:dyDescent="0.25">
      <c r="A51" s="29" t="s">
        <v>270</v>
      </c>
      <c r="B51" s="30">
        <v>45727</v>
      </c>
      <c r="C51" s="29" t="s">
        <v>201</v>
      </c>
      <c r="D51" s="29" t="s">
        <v>202</v>
      </c>
      <c r="E51" s="31" t="s">
        <v>203</v>
      </c>
      <c r="F51" s="29" t="s">
        <v>208</v>
      </c>
      <c r="G51" s="31" t="s">
        <v>209</v>
      </c>
      <c r="H51" s="29" t="s">
        <v>193</v>
      </c>
      <c r="I51" s="32">
        <v>5</v>
      </c>
      <c r="J51" s="33">
        <v>279</v>
      </c>
      <c r="K51" s="34">
        <v>0.03</v>
      </c>
      <c r="L51" s="33">
        <f t="shared" si="2"/>
        <v>1353.15</v>
      </c>
      <c r="M51" s="29" t="s">
        <v>172</v>
      </c>
      <c r="N51" s="29" t="s">
        <v>173</v>
      </c>
      <c r="O51" s="29" t="s">
        <v>199</v>
      </c>
      <c r="P51">
        <f t="shared" si="3"/>
        <v>38</v>
      </c>
    </row>
    <row r="52" spans="1:16" ht="15" customHeight="1" x14ac:dyDescent="0.25">
      <c r="A52" s="29" t="s">
        <v>271</v>
      </c>
      <c r="B52" s="30">
        <v>45727</v>
      </c>
      <c r="C52" s="29" t="s">
        <v>166</v>
      </c>
      <c r="D52" s="29" t="s">
        <v>167</v>
      </c>
      <c r="E52" s="31" t="s">
        <v>168</v>
      </c>
      <c r="F52" s="29" t="s">
        <v>208</v>
      </c>
      <c r="G52" s="31" t="s">
        <v>209</v>
      </c>
      <c r="H52" s="29" t="s">
        <v>193</v>
      </c>
      <c r="I52" s="32">
        <v>5</v>
      </c>
      <c r="J52" s="33">
        <v>279</v>
      </c>
      <c r="K52" s="34">
        <v>0.02</v>
      </c>
      <c r="L52" s="33">
        <f t="shared" si="2"/>
        <v>1367.1</v>
      </c>
      <c r="M52" s="29" t="s">
        <v>187</v>
      </c>
      <c r="N52" s="29" t="s">
        <v>226</v>
      </c>
      <c r="O52" s="29" t="s">
        <v>199</v>
      </c>
      <c r="P52">
        <f t="shared" si="3"/>
        <v>36</v>
      </c>
    </row>
    <row r="53" spans="1:16" ht="15" customHeight="1" x14ac:dyDescent="0.25">
      <c r="A53" s="29" t="s">
        <v>272</v>
      </c>
      <c r="B53" s="30">
        <v>45729</v>
      </c>
      <c r="C53" s="29" t="s">
        <v>166</v>
      </c>
      <c r="D53" s="29" t="s">
        <v>167</v>
      </c>
      <c r="E53" s="31" t="s">
        <v>168</v>
      </c>
      <c r="F53" s="29" t="s">
        <v>244</v>
      </c>
      <c r="G53" s="31" t="s">
        <v>245</v>
      </c>
      <c r="H53" s="29" t="s">
        <v>193</v>
      </c>
      <c r="I53" s="32">
        <v>6</v>
      </c>
      <c r="J53" s="33">
        <v>119</v>
      </c>
      <c r="K53" s="34">
        <v>0.05</v>
      </c>
      <c r="L53" s="33">
        <f t="shared" si="2"/>
        <v>678.3</v>
      </c>
      <c r="M53" s="29" t="s">
        <v>187</v>
      </c>
      <c r="N53" s="29" t="s">
        <v>173</v>
      </c>
      <c r="O53" s="29" t="s">
        <v>182</v>
      </c>
      <c r="P53">
        <f t="shared" si="3"/>
        <v>64</v>
      </c>
    </row>
    <row r="54" spans="1:16" ht="15" customHeight="1" x14ac:dyDescent="0.25">
      <c r="A54" s="29" t="s">
        <v>273</v>
      </c>
      <c r="B54" s="30">
        <v>45731</v>
      </c>
      <c r="C54" s="29" t="s">
        <v>176</v>
      </c>
      <c r="D54" s="29" t="s">
        <v>177</v>
      </c>
      <c r="E54" s="31" t="s">
        <v>178</v>
      </c>
      <c r="F54" s="29" t="s">
        <v>244</v>
      </c>
      <c r="G54" s="31" t="s">
        <v>245</v>
      </c>
      <c r="H54" s="29" t="s">
        <v>193</v>
      </c>
      <c r="I54" s="32">
        <v>4</v>
      </c>
      <c r="J54" s="33">
        <v>119</v>
      </c>
      <c r="K54" s="34">
        <v>0.12</v>
      </c>
      <c r="L54" s="33">
        <f t="shared" si="2"/>
        <v>418.88</v>
      </c>
      <c r="M54" s="29" t="s">
        <v>187</v>
      </c>
      <c r="N54" s="29" t="s">
        <v>226</v>
      </c>
      <c r="O54" s="29" t="s">
        <v>199</v>
      </c>
      <c r="P54">
        <f t="shared" si="3"/>
        <v>86</v>
      </c>
    </row>
    <row r="55" spans="1:16" ht="15" customHeight="1" x14ac:dyDescent="0.25">
      <c r="A55" s="29" t="s">
        <v>274</v>
      </c>
      <c r="B55" s="30">
        <v>45731</v>
      </c>
      <c r="C55" s="29" t="s">
        <v>176</v>
      </c>
      <c r="D55" s="29" t="s">
        <v>223</v>
      </c>
      <c r="E55" s="31" t="s">
        <v>224</v>
      </c>
      <c r="F55" s="29" t="s">
        <v>204</v>
      </c>
      <c r="G55" s="31" t="s">
        <v>205</v>
      </c>
      <c r="H55" s="29" t="s">
        <v>171</v>
      </c>
      <c r="I55" s="32">
        <v>1</v>
      </c>
      <c r="J55" s="33">
        <v>349</v>
      </c>
      <c r="K55" s="34">
        <v>0.05</v>
      </c>
      <c r="L55" s="33">
        <f t="shared" si="2"/>
        <v>331.55</v>
      </c>
      <c r="M55" s="29" t="s">
        <v>172</v>
      </c>
      <c r="N55" s="29" t="s">
        <v>173</v>
      </c>
      <c r="O55" s="29" t="s">
        <v>182</v>
      </c>
      <c r="P55">
        <f t="shared" si="3"/>
        <v>94</v>
      </c>
    </row>
    <row r="56" spans="1:16" ht="15" customHeight="1" x14ac:dyDescent="0.25">
      <c r="A56" s="29" t="s">
        <v>275</v>
      </c>
      <c r="B56" s="30">
        <v>45732</v>
      </c>
      <c r="C56" s="29" t="s">
        <v>176</v>
      </c>
      <c r="D56" s="29" t="s">
        <v>189</v>
      </c>
      <c r="E56" s="31" t="s">
        <v>190</v>
      </c>
      <c r="F56" s="29" t="s">
        <v>208</v>
      </c>
      <c r="G56" s="31" t="s">
        <v>209</v>
      </c>
      <c r="H56" s="29" t="s">
        <v>193</v>
      </c>
      <c r="I56" s="32">
        <v>6</v>
      </c>
      <c r="J56" s="33">
        <v>279</v>
      </c>
      <c r="K56" s="34">
        <v>0.1</v>
      </c>
      <c r="L56" s="33">
        <f t="shared" si="2"/>
        <v>1506.6</v>
      </c>
      <c r="M56" s="29" t="s">
        <v>198</v>
      </c>
      <c r="N56" s="29" t="s">
        <v>173</v>
      </c>
      <c r="O56" s="29" t="s">
        <v>174</v>
      </c>
      <c r="P56">
        <f t="shared" si="3"/>
        <v>30</v>
      </c>
    </row>
    <row r="57" spans="1:16" ht="15" customHeight="1" x14ac:dyDescent="0.25">
      <c r="A57" s="29" t="s">
        <v>276</v>
      </c>
      <c r="B57" s="30">
        <v>45736</v>
      </c>
      <c r="C57" s="29" t="s">
        <v>184</v>
      </c>
      <c r="D57" s="29" t="s">
        <v>211</v>
      </c>
      <c r="E57" s="31" t="s">
        <v>212</v>
      </c>
      <c r="F57" s="29" t="s">
        <v>191</v>
      </c>
      <c r="G57" s="31" t="s">
        <v>192</v>
      </c>
      <c r="H57" s="29" t="s">
        <v>193</v>
      </c>
      <c r="I57" s="32">
        <v>2</v>
      </c>
      <c r="J57" s="33">
        <v>49</v>
      </c>
      <c r="K57" s="34">
        <v>0.08</v>
      </c>
      <c r="L57" s="33">
        <f t="shared" si="2"/>
        <v>90.16</v>
      </c>
      <c r="M57" s="29" t="s">
        <v>187</v>
      </c>
      <c r="N57" s="29" t="s">
        <v>173</v>
      </c>
      <c r="O57" s="29" t="s">
        <v>182</v>
      </c>
      <c r="P57">
        <f t="shared" si="3"/>
        <v>137</v>
      </c>
    </row>
    <row r="58" spans="1:16" ht="15" customHeight="1" x14ac:dyDescent="0.25">
      <c r="A58" s="29" t="s">
        <v>277</v>
      </c>
      <c r="B58" s="30">
        <v>45736</v>
      </c>
      <c r="C58" s="29" t="s">
        <v>176</v>
      </c>
      <c r="D58" s="29" t="s">
        <v>189</v>
      </c>
      <c r="E58" s="31" t="s">
        <v>190</v>
      </c>
      <c r="F58" s="29" t="s">
        <v>228</v>
      </c>
      <c r="G58" s="31" t="s">
        <v>229</v>
      </c>
      <c r="H58" s="29" t="s">
        <v>221</v>
      </c>
      <c r="I58" s="32">
        <v>11</v>
      </c>
      <c r="J58" s="33">
        <v>45</v>
      </c>
      <c r="K58" s="34">
        <v>0</v>
      </c>
      <c r="L58" s="33">
        <f t="shared" si="2"/>
        <v>495</v>
      </c>
      <c r="M58" s="29" t="s">
        <v>172</v>
      </c>
      <c r="N58" s="29" t="s">
        <v>173</v>
      </c>
      <c r="O58" s="29" t="s">
        <v>199</v>
      </c>
      <c r="P58">
        <f t="shared" si="3"/>
        <v>74</v>
      </c>
    </row>
    <row r="59" spans="1:16" ht="15" customHeight="1" x14ac:dyDescent="0.25">
      <c r="A59" s="29" t="s">
        <v>278</v>
      </c>
      <c r="B59" s="30">
        <v>45737</v>
      </c>
      <c r="C59" s="29" t="s">
        <v>176</v>
      </c>
      <c r="D59" s="29" t="s">
        <v>223</v>
      </c>
      <c r="E59" s="31" t="s">
        <v>224</v>
      </c>
      <c r="F59" s="29" t="s">
        <v>235</v>
      </c>
      <c r="G59" s="31" t="s">
        <v>236</v>
      </c>
      <c r="H59" s="29" t="s">
        <v>171</v>
      </c>
      <c r="I59" s="32">
        <v>4</v>
      </c>
      <c r="J59" s="33">
        <v>189</v>
      </c>
      <c r="K59" s="34">
        <v>0.05</v>
      </c>
      <c r="L59" s="33">
        <f t="shared" si="2"/>
        <v>718.2</v>
      </c>
      <c r="M59" s="29" t="s">
        <v>187</v>
      </c>
      <c r="N59" s="29" t="s">
        <v>194</v>
      </c>
      <c r="O59" s="29" t="s">
        <v>199</v>
      </c>
      <c r="P59">
        <f t="shared" si="3"/>
        <v>60</v>
      </c>
    </row>
    <row r="60" spans="1:16" ht="15" customHeight="1" x14ac:dyDescent="0.25">
      <c r="A60" s="29" t="s">
        <v>279</v>
      </c>
      <c r="B60" s="30">
        <v>45737</v>
      </c>
      <c r="C60" s="29" t="s">
        <v>201</v>
      </c>
      <c r="D60" s="29" t="s">
        <v>231</v>
      </c>
      <c r="E60" s="31" t="s">
        <v>232</v>
      </c>
      <c r="F60" s="29" t="s">
        <v>213</v>
      </c>
      <c r="G60" s="31" t="s">
        <v>214</v>
      </c>
      <c r="H60" s="29" t="s">
        <v>193</v>
      </c>
      <c r="I60" s="32">
        <v>2</v>
      </c>
      <c r="J60" s="33">
        <v>899</v>
      </c>
      <c r="K60" s="34">
        <v>0.17</v>
      </c>
      <c r="L60" s="33">
        <f t="shared" si="2"/>
        <v>1492.34</v>
      </c>
      <c r="M60" s="29" t="s">
        <v>198</v>
      </c>
      <c r="N60" s="29" t="s">
        <v>226</v>
      </c>
      <c r="O60" s="29" t="s">
        <v>182</v>
      </c>
      <c r="P60">
        <f t="shared" si="3"/>
        <v>32</v>
      </c>
    </row>
    <row r="61" spans="1:16" ht="15" customHeight="1" x14ac:dyDescent="0.25">
      <c r="A61" s="29" t="s">
        <v>280</v>
      </c>
      <c r="B61" s="30">
        <v>45738</v>
      </c>
      <c r="C61" s="29" t="s">
        <v>184</v>
      </c>
      <c r="D61" s="29" t="s">
        <v>211</v>
      </c>
      <c r="E61" s="31" t="s">
        <v>212</v>
      </c>
      <c r="F61" s="29" t="s">
        <v>179</v>
      </c>
      <c r="G61" s="31" t="s">
        <v>180</v>
      </c>
      <c r="H61" s="29" t="s">
        <v>181</v>
      </c>
      <c r="I61" s="32">
        <v>20</v>
      </c>
      <c r="J61" s="33">
        <v>6.5</v>
      </c>
      <c r="K61" s="34">
        <v>0.1</v>
      </c>
      <c r="L61" s="33">
        <f t="shared" si="2"/>
        <v>117</v>
      </c>
      <c r="M61" s="29" t="s">
        <v>187</v>
      </c>
      <c r="N61" s="29" t="s">
        <v>194</v>
      </c>
      <c r="O61" s="29" t="s">
        <v>182</v>
      </c>
      <c r="P61">
        <f t="shared" si="3"/>
        <v>130</v>
      </c>
    </row>
    <row r="62" spans="1:16" ht="15" customHeight="1" x14ac:dyDescent="0.25">
      <c r="A62" s="29" t="s">
        <v>281</v>
      </c>
      <c r="B62" s="30">
        <v>45741</v>
      </c>
      <c r="C62" s="29" t="s">
        <v>201</v>
      </c>
      <c r="D62" s="29" t="s">
        <v>202</v>
      </c>
      <c r="E62" s="31" t="s">
        <v>203</v>
      </c>
      <c r="F62" s="29" t="s">
        <v>244</v>
      </c>
      <c r="G62" s="31" t="s">
        <v>245</v>
      </c>
      <c r="H62" s="29" t="s">
        <v>193</v>
      </c>
      <c r="I62" s="32">
        <v>6</v>
      </c>
      <c r="J62" s="33">
        <v>119</v>
      </c>
      <c r="K62" s="34">
        <v>0.03</v>
      </c>
      <c r="L62" s="33">
        <f t="shared" si="2"/>
        <v>692.58</v>
      </c>
      <c r="M62" s="29" t="s">
        <v>172</v>
      </c>
      <c r="N62" s="29" t="s">
        <v>173</v>
      </c>
      <c r="O62" s="29" t="s">
        <v>182</v>
      </c>
      <c r="P62">
        <f t="shared" si="3"/>
        <v>63</v>
      </c>
    </row>
    <row r="63" spans="1:16" ht="15" customHeight="1" x14ac:dyDescent="0.25">
      <c r="A63" s="29" t="s">
        <v>282</v>
      </c>
      <c r="B63" s="30">
        <v>45741</v>
      </c>
      <c r="C63" s="29" t="s">
        <v>166</v>
      </c>
      <c r="D63" s="29" t="s">
        <v>167</v>
      </c>
      <c r="E63" s="31" t="s">
        <v>168</v>
      </c>
      <c r="F63" s="29" t="s">
        <v>208</v>
      </c>
      <c r="G63" s="31" t="s">
        <v>209</v>
      </c>
      <c r="H63" s="29" t="s">
        <v>193</v>
      </c>
      <c r="I63" s="32">
        <v>3</v>
      </c>
      <c r="J63" s="33">
        <v>279</v>
      </c>
      <c r="K63" s="34">
        <v>0</v>
      </c>
      <c r="L63" s="33">
        <f t="shared" si="2"/>
        <v>837</v>
      </c>
      <c r="M63" s="29" t="s">
        <v>172</v>
      </c>
      <c r="N63" s="29" t="s">
        <v>173</v>
      </c>
      <c r="O63" s="29" t="s">
        <v>199</v>
      </c>
      <c r="P63">
        <f t="shared" si="3"/>
        <v>52</v>
      </c>
    </row>
    <row r="64" spans="1:16" ht="15" customHeight="1" x14ac:dyDescent="0.25">
      <c r="A64" s="29" t="s">
        <v>283</v>
      </c>
      <c r="B64" s="30">
        <v>45742</v>
      </c>
      <c r="C64" s="29" t="s">
        <v>166</v>
      </c>
      <c r="D64" s="29" t="s">
        <v>242</v>
      </c>
      <c r="E64" s="31" t="s">
        <v>243</v>
      </c>
      <c r="F64" s="29" t="s">
        <v>169</v>
      </c>
      <c r="G64" s="31" t="s">
        <v>170</v>
      </c>
      <c r="H64" s="29" t="s">
        <v>171</v>
      </c>
      <c r="I64" s="32">
        <v>5</v>
      </c>
      <c r="J64" s="33">
        <v>499</v>
      </c>
      <c r="K64" s="34">
        <v>7.0000000000000007E-2</v>
      </c>
      <c r="L64" s="33">
        <f t="shared" si="2"/>
        <v>2320.35</v>
      </c>
      <c r="M64" s="29" t="s">
        <v>172</v>
      </c>
      <c r="N64" s="29" t="s">
        <v>226</v>
      </c>
      <c r="O64" s="29" t="s">
        <v>174</v>
      </c>
      <c r="P64">
        <f t="shared" si="3"/>
        <v>13</v>
      </c>
    </row>
    <row r="65" spans="1:16" ht="15" customHeight="1" x14ac:dyDescent="0.25">
      <c r="A65" s="29" t="s">
        <v>284</v>
      </c>
      <c r="B65" s="30">
        <v>45743</v>
      </c>
      <c r="C65" s="29" t="s">
        <v>176</v>
      </c>
      <c r="D65" s="29" t="s">
        <v>189</v>
      </c>
      <c r="E65" s="31" t="s">
        <v>190</v>
      </c>
      <c r="F65" s="29" t="s">
        <v>196</v>
      </c>
      <c r="G65" s="31" t="s">
        <v>197</v>
      </c>
      <c r="H65" s="29" t="s">
        <v>193</v>
      </c>
      <c r="I65" s="32">
        <v>4</v>
      </c>
      <c r="J65" s="33">
        <v>29</v>
      </c>
      <c r="K65" s="34">
        <v>0.08</v>
      </c>
      <c r="L65" s="33">
        <f t="shared" si="2"/>
        <v>106.72</v>
      </c>
      <c r="M65" s="29" t="s">
        <v>172</v>
      </c>
      <c r="N65" s="29" t="s">
        <v>173</v>
      </c>
      <c r="O65" s="29" t="s">
        <v>199</v>
      </c>
      <c r="P65">
        <f t="shared" si="3"/>
        <v>134</v>
      </c>
    </row>
    <row r="66" spans="1:16" ht="15" customHeight="1" x14ac:dyDescent="0.25">
      <c r="A66" s="29" t="s">
        <v>285</v>
      </c>
      <c r="B66" s="30">
        <v>45743</v>
      </c>
      <c r="C66" s="29" t="s">
        <v>176</v>
      </c>
      <c r="D66" s="29" t="s">
        <v>189</v>
      </c>
      <c r="E66" s="31" t="s">
        <v>190</v>
      </c>
      <c r="F66" s="29" t="s">
        <v>204</v>
      </c>
      <c r="G66" s="31" t="s">
        <v>205</v>
      </c>
      <c r="H66" s="29" t="s">
        <v>171</v>
      </c>
      <c r="I66" s="32">
        <v>2</v>
      </c>
      <c r="J66" s="33">
        <v>349</v>
      </c>
      <c r="K66" s="34">
        <v>0</v>
      </c>
      <c r="L66" s="33">
        <f t="shared" si="2"/>
        <v>698</v>
      </c>
      <c r="M66" s="29" t="s">
        <v>172</v>
      </c>
      <c r="N66" s="29" t="s">
        <v>173</v>
      </c>
      <c r="O66" s="29" t="s">
        <v>182</v>
      </c>
      <c r="P66">
        <f t="shared" si="3"/>
        <v>62</v>
      </c>
    </row>
    <row r="67" spans="1:16" ht="15" customHeight="1" x14ac:dyDescent="0.25">
      <c r="A67" s="29" t="s">
        <v>286</v>
      </c>
      <c r="B67" s="30">
        <v>45743</v>
      </c>
      <c r="C67" s="29" t="s">
        <v>176</v>
      </c>
      <c r="D67" s="29" t="s">
        <v>189</v>
      </c>
      <c r="E67" s="31" t="s">
        <v>190</v>
      </c>
      <c r="F67" s="29" t="s">
        <v>169</v>
      </c>
      <c r="G67" s="31" t="s">
        <v>170</v>
      </c>
      <c r="H67" s="29" t="s">
        <v>171</v>
      </c>
      <c r="I67" s="32">
        <v>3</v>
      </c>
      <c r="J67" s="33">
        <v>499</v>
      </c>
      <c r="K67" s="34">
        <v>0.05</v>
      </c>
      <c r="L67" s="33">
        <f t="shared" si="2"/>
        <v>1422.15</v>
      </c>
      <c r="M67" s="29" t="s">
        <v>187</v>
      </c>
      <c r="N67" s="29" t="s">
        <v>194</v>
      </c>
      <c r="O67" s="29" t="s">
        <v>199</v>
      </c>
      <c r="P67">
        <f t="shared" si="3"/>
        <v>34</v>
      </c>
    </row>
    <row r="68" spans="1:16" ht="15" customHeight="1" x14ac:dyDescent="0.25">
      <c r="A68" s="29" t="s">
        <v>287</v>
      </c>
      <c r="B68" s="30">
        <v>45744</v>
      </c>
      <c r="C68" s="29" t="s">
        <v>176</v>
      </c>
      <c r="D68" s="29" t="s">
        <v>223</v>
      </c>
      <c r="E68" s="31" t="s">
        <v>224</v>
      </c>
      <c r="F68" s="29" t="s">
        <v>208</v>
      </c>
      <c r="G68" s="31" t="s">
        <v>209</v>
      </c>
      <c r="H68" s="29" t="s">
        <v>193</v>
      </c>
      <c r="I68" s="32">
        <v>9</v>
      </c>
      <c r="J68" s="33">
        <v>279</v>
      </c>
      <c r="K68" s="34">
        <v>0.12</v>
      </c>
      <c r="L68" s="33">
        <f t="shared" si="2"/>
        <v>2209.6799999999998</v>
      </c>
      <c r="M68" s="29" t="s">
        <v>172</v>
      </c>
      <c r="N68" s="29" t="s">
        <v>194</v>
      </c>
      <c r="O68" s="29" t="s">
        <v>182</v>
      </c>
      <c r="P68">
        <f t="shared" si="3"/>
        <v>14</v>
      </c>
    </row>
    <row r="69" spans="1:16" ht="15" customHeight="1" x14ac:dyDescent="0.25">
      <c r="A69" s="29" t="s">
        <v>288</v>
      </c>
      <c r="B69" s="30">
        <v>45744</v>
      </c>
      <c r="C69" s="29" t="s">
        <v>166</v>
      </c>
      <c r="D69" s="29" t="s">
        <v>167</v>
      </c>
      <c r="E69" s="31" t="s">
        <v>168</v>
      </c>
      <c r="F69" s="29" t="s">
        <v>169</v>
      </c>
      <c r="G69" s="31" t="s">
        <v>170</v>
      </c>
      <c r="H69" s="29" t="s">
        <v>171</v>
      </c>
      <c r="I69" s="32">
        <v>5</v>
      </c>
      <c r="J69" s="33">
        <v>499</v>
      </c>
      <c r="K69" s="34">
        <v>0.05</v>
      </c>
      <c r="L69" s="33">
        <f t="shared" ref="L69:L100" si="4">ROUND(I69*J69*(1-K69),2)</f>
        <v>2370.25</v>
      </c>
      <c r="M69" s="29" t="s">
        <v>187</v>
      </c>
      <c r="N69" s="29" t="s">
        <v>194</v>
      </c>
      <c r="O69" s="29" t="s">
        <v>182</v>
      </c>
      <c r="P69">
        <f t="shared" ref="P69:P100" si="5">RANK(L69,Sales_Revenue,0)</f>
        <v>10</v>
      </c>
    </row>
    <row r="70" spans="1:16" ht="15" customHeight="1" x14ac:dyDescent="0.25">
      <c r="A70" s="29" t="s">
        <v>289</v>
      </c>
      <c r="B70" s="30">
        <v>45745</v>
      </c>
      <c r="C70" s="29" t="s">
        <v>176</v>
      </c>
      <c r="D70" s="29" t="s">
        <v>189</v>
      </c>
      <c r="E70" s="31" t="s">
        <v>190</v>
      </c>
      <c r="F70" s="29" t="s">
        <v>228</v>
      </c>
      <c r="G70" s="31" t="s">
        <v>229</v>
      </c>
      <c r="H70" s="29" t="s">
        <v>221</v>
      </c>
      <c r="I70" s="32">
        <v>4</v>
      </c>
      <c r="J70" s="33">
        <v>45</v>
      </c>
      <c r="K70" s="34">
        <v>0.14000000000000001</v>
      </c>
      <c r="L70" s="33">
        <f t="shared" si="4"/>
        <v>154.80000000000001</v>
      </c>
      <c r="M70" s="29" t="s">
        <v>172</v>
      </c>
      <c r="N70" s="29" t="s">
        <v>226</v>
      </c>
      <c r="O70" s="29" t="s">
        <v>182</v>
      </c>
      <c r="P70">
        <f t="shared" si="5"/>
        <v>126</v>
      </c>
    </row>
    <row r="71" spans="1:16" ht="15" customHeight="1" x14ac:dyDescent="0.25">
      <c r="A71" s="29" t="s">
        <v>290</v>
      </c>
      <c r="B71" s="30">
        <v>45746</v>
      </c>
      <c r="C71" s="29" t="s">
        <v>176</v>
      </c>
      <c r="D71" s="29" t="s">
        <v>177</v>
      </c>
      <c r="E71" s="31" t="s">
        <v>178</v>
      </c>
      <c r="F71" s="29" t="s">
        <v>213</v>
      </c>
      <c r="G71" s="31" t="s">
        <v>214</v>
      </c>
      <c r="H71" s="29" t="s">
        <v>193</v>
      </c>
      <c r="I71" s="32">
        <v>9</v>
      </c>
      <c r="J71" s="33">
        <v>899</v>
      </c>
      <c r="K71" s="34">
        <v>0</v>
      </c>
      <c r="L71" s="33">
        <f t="shared" si="4"/>
        <v>8091</v>
      </c>
      <c r="M71" s="29" t="s">
        <v>187</v>
      </c>
      <c r="N71" s="29" t="s">
        <v>194</v>
      </c>
      <c r="O71" s="29" t="s">
        <v>182</v>
      </c>
      <c r="P71">
        <f t="shared" si="5"/>
        <v>1</v>
      </c>
    </row>
    <row r="72" spans="1:16" ht="15" customHeight="1" x14ac:dyDescent="0.25">
      <c r="A72" s="29" t="s">
        <v>291</v>
      </c>
      <c r="B72" s="30">
        <v>45747</v>
      </c>
      <c r="C72" s="29" t="s">
        <v>201</v>
      </c>
      <c r="D72" s="29" t="s">
        <v>202</v>
      </c>
      <c r="E72" s="31" t="s">
        <v>203</v>
      </c>
      <c r="F72" s="29" t="s">
        <v>292</v>
      </c>
      <c r="G72" s="31" t="s">
        <v>293</v>
      </c>
      <c r="H72" s="29" t="s">
        <v>221</v>
      </c>
      <c r="I72" s="32">
        <v>11</v>
      </c>
      <c r="J72" s="33">
        <v>16</v>
      </c>
      <c r="K72" s="34">
        <v>0.1</v>
      </c>
      <c r="L72" s="33">
        <f t="shared" si="4"/>
        <v>158.4</v>
      </c>
      <c r="M72" s="29" t="s">
        <v>187</v>
      </c>
      <c r="N72" s="29" t="s">
        <v>226</v>
      </c>
      <c r="O72" s="29" t="s">
        <v>182</v>
      </c>
      <c r="P72">
        <f t="shared" si="5"/>
        <v>124</v>
      </c>
    </row>
    <row r="73" spans="1:16" ht="15" customHeight="1" x14ac:dyDescent="0.25">
      <c r="A73" s="29" t="s">
        <v>294</v>
      </c>
      <c r="B73" s="30">
        <v>45748</v>
      </c>
      <c r="C73" s="29" t="s">
        <v>184</v>
      </c>
      <c r="D73" s="29" t="s">
        <v>211</v>
      </c>
      <c r="E73" s="31" t="s">
        <v>212</v>
      </c>
      <c r="F73" s="29" t="s">
        <v>208</v>
      </c>
      <c r="G73" s="31" t="s">
        <v>209</v>
      </c>
      <c r="H73" s="29" t="s">
        <v>193</v>
      </c>
      <c r="I73" s="32">
        <v>3</v>
      </c>
      <c r="J73" s="33">
        <v>279</v>
      </c>
      <c r="K73" s="34">
        <v>0.05</v>
      </c>
      <c r="L73" s="33">
        <f t="shared" si="4"/>
        <v>795.15</v>
      </c>
      <c r="M73" s="29" t="s">
        <v>187</v>
      </c>
      <c r="N73" s="29" t="s">
        <v>194</v>
      </c>
      <c r="O73" s="29" t="s">
        <v>174</v>
      </c>
      <c r="P73">
        <f t="shared" si="5"/>
        <v>54</v>
      </c>
    </row>
    <row r="74" spans="1:16" ht="15" customHeight="1" x14ac:dyDescent="0.25">
      <c r="A74" s="29" t="s">
        <v>295</v>
      </c>
      <c r="B74" s="30">
        <v>45750</v>
      </c>
      <c r="C74" s="29" t="s">
        <v>184</v>
      </c>
      <c r="D74" s="29" t="s">
        <v>211</v>
      </c>
      <c r="E74" s="31" t="s">
        <v>212</v>
      </c>
      <c r="F74" s="29" t="s">
        <v>191</v>
      </c>
      <c r="G74" s="31" t="s">
        <v>192</v>
      </c>
      <c r="H74" s="29" t="s">
        <v>193</v>
      </c>
      <c r="I74" s="32">
        <v>2</v>
      </c>
      <c r="J74" s="33">
        <v>49</v>
      </c>
      <c r="K74" s="34">
        <v>0.1</v>
      </c>
      <c r="L74" s="33">
        <f t="shared" si="4"/>
        <v>88.2</v>
      </c>
      <c r="M74" s="29" t="s">
        <v>172</v>
      </c>
      <c r="N74" s="29" t="s">
        <v>226</v>
      </c>
      <c r="O74" s="29" t="s">
        <v>174</v>
      </c>
      <c r="P74">
        <f t="shared" si="5"/>
        <v>138</v>
      </c>
    </row>
    <row r="75" spans="1:16" ht="15" customHeight="1" x14ac:dyDescent="0.25">
      <c r="A75" s="29" t="s">
        <v>296</v>
      </c>
      <c r="B75" s="30">
        <v>45752</v>
      </c>
      <c r="C75" s="29" t="s">
        <v>201</v>
      </c>
      <c r="D75" s="29" t="s">
        <v>202</v>
      </c>
      <c r="E75" s="31" t="s">
        <v>203</v>
      </c>
      <c r="F75" s="29" t="s">
        <v>204</v>
      </c>
      <c r="G75" s="31" t="s">
        <v>205</v>
      </c>
      <c r="H75" s="29" t="s">
        <v>171</v>
      </c>
      <c r="I75" s="32">
        <v>5</v>
      </c>
      <c r="J75" s="33">
        <v>349</v>
      </c>
      <c r="K75" s="34">
        <v>0.05</v>
      </c>
      <c r="L75" s="33">
        <f t="shared" si="4"/>
        <v>1657.75</v>
      </c>
      <c r="M75" s="29" t="s">
        <v>172</v>
      </c>
      <c r="N75" s="29" t="s">
        <v>226</v>
      </c>
      <c r="O75" s="29" t="s">
        <v>174</v>
      </c>
      <c r="P75">
        <f t="shared" si="5"/>
        <v>22</v>
      </c>
    </row>
    <row r="76" spans="1:16" ht="15" customHeight="1" x14ac:dyDescent="0.25">
      <c r="A76" s="29" t="s">
        <v>297</v>
      </c>
      <c r="B76" s="30">
        <v>45753</v>
      </c>
      <c r="C76" s="29" t="s">
        <v>176</v>
      </c>
      <c r="D76" s="29" t="s">
        <v>177</v>
      </c>
      <c r="E76" s="31" t="s">
        <v>178</v>
      </c>
      <c r="F76" s="29" t="s">
        <v>244</v>
      </c>
      <c r="G76" s="31" t="s">
        <v>245</v>
      </c>
      <c r="H76" s="29" t="s">
        <v>193</v>
      </c>
      <c r="I76" s="32">
        <v>6</v>
      </c>
      <c r="J76" s="33">
        <v>119</v>
      </c>
      <c r="K76" s="34">
        <v>0</v>
      </c>
      <c r="L76" s="33">
        <f t="shared" si="4"/>
        <v>714</v>
      </c>
      <c r="M76" s="29" t="s">
        <v>172</v>
      </c>
      <c r="N76" s="29" t="s">
        <v>194</v>
      </c>
      <c r="O76" s="29" t="s">
        <v>182</v>
      </c>
      <c r="P76">
        <f t="shared" si="5"/>
        <v>61</v>
      </c>
    </row>
    <row r="77" spans="1:16" ht="15" customHeight="1" x14ac:dyDescent="0.25">
      <c r="A77" s="29" t="s">
        <v>298</v>
      </c>
      <c r="B77" s="30">
        <v>45753</v>
      </c>
      <c r="C77" s="29" t="s">
        <v>201</v>
      </c>
      <c r="D77" s="29" t="s">
        <v>231</v>
      </c>
      <c r="E77" s="31" t="s">
        <v>232</v>
      </c>
      <c r="F77" s="29" t="s">
        <v>299</v>
      </c>
      <c r="G77" s="31" t="s">
        <v>300</v>
      </c>
      <c r="H77" s="29" t="s">
        <v>181</v>
      </c>
      <c r="I77" s="32">
        <v>9</v>
      </c>
      <c r="J77" s="33">
        <v>14</v>
      </c>
      <c r="K77" s="34">
        <v>0.03</v>
      </c>
      <c r="L77" s="33">
        <f t="shared" si="4"/>
        <v>122.22</v>
      </c>
      <c r="M77" s="29" t="s">
        <v>187</v>
      </c>
      <c r="N77" s="29" t="s">
        <v>194</v>
      </c>
      <c r="O77" s="29" t="s">
        <v>182</v>
      </c>
      <c r="P77">
        <f t="shared" si="5"/>
        <v>128</v>
      </c>
    </row>
    <row r="78" spans="1:16" ht="15" customHeight="1" x14ac:dyDescent="0.25">
      <c r="A78" s="29" t="s">
        <v>301</v>
      </c>
      <c r="B78" s="30">
        <v>45757</v>
      </c>
      <c r="C78" s="29" t="s">
        <v>176</v>
      </c>
      <c r="D78" s="29" t="s">
        <v>223</v>
      </c>
      <c r="E78" s="31" t="s">
        <v>224</v>
      </c>
      <c r="F78" s="29" t="s">
        <v>169</v>
      </c>
      <c r="G78" s="31" t="s">
        <v>170</v>
      </c>
      <c r="H78" s="29" t="s">
        <v>171</v>
      </c>
      <c r="I78" s="32">
        <v>1</v>
      </c>
      <c r="J78" s="33">
        <v>499</v>
      </c>
      <c r="K78" s="34">
        <v>0.1</v>
      </c>
      <c r="L78" s="33">
        <f t="shared" si="4"/>
        <v>449.1</v>
      </c>
      <c r="M78" s="29" t="s">
        <v>187</v>
      </c>
      <c r="N78" s="29" t="s">
        <v>173</v>
      </c>
      <c r="O78" s="29" t="s">
        <v>182</v>
      </c>
      <c r="P78">
        <f t="shared" si="5"/>
        <v>79</v>
      </c>
    </row>
    <row r="79" spans="1:16" ht="15" customHeight="1" x14ac:dyDescent="0.25">
      <c r="A79" s="29" t="s">
        <v>302</v>
      </c>
      <c r="B79" s="30">
        <v>45759</v>
      </c>
      <c r="C79" s="29" t="s">
        <v>176</v>
      </c>
      <c r="D79" s="29" t="s">
        <v>189</v>
      </c>
      <c r="E79" s="31" t="s">
        <v>190</v>
      </c>
      <c r="F79" s="29" t="s">
        <v>213</v>
      </c>
      <c r="G79" s="31" t="s">
        <v>214</v>
      </c>
      <c r="H79" s="29" t="s">
        <v>193</v>
      </c>
      <c r="I79" s="32">
        <v>7</v>
      </c>
      <c r="J79" s="33">
        <v>899</v>
      </c>
      <c r="K79" s="34">
        <v>0.2</v>
      </c>
      <c r="L79" s="33">
        <f t="shared" si="4"/>
        <v>5034.3999999999996</v>
      </c>
      <c r="M79" s="29" t="s">
        <v>198</v>
      </c>
      <c r="N79" s="29" t="s">
        <v>226</v>
      </c>
      <c r="O79" s="29" t="s">
        <v>199</v>
      </c>
      <c r="P79">
        <f t="shared" si="5"/>
        <v>2</v>
      </c>
    </row>
    <row r="80" spans="1:16" ht="15" customHeight="1" x14ac:dyDescent="0.25">
      <c r="A80" s="29" t="s">
        <v>303</v>
      </c>
      <c r="B80" s="30">
        <v>45761</v>
      </c>
      <c r="C80" s="29" t="s">
        <v>166</v>
      </c>
      <c r="D80" s="29" t="s">
        <v>242</v>
      </c>
      <c r="E80" s="31" t="s">
        <v>243</v>
      </c>
      <c r="F80" s="29" t="s">
        <v>196</v>
      </c>
      <c r="G80" s="31" t="s">
        <v>197</v>
      </c>
      <c r="H80" s="29" t="s">
        <v>193</v>
      </c>
      <c r="I80" s="32">
        <v>3</v>
      </c>
      <c r="J80" s="33">
        <v>29</v>
      </c>
      <c r="K80" s="34">
        <v>0.05</v>
      </c>
      <c r="L80" s="33">
        <f t="shared" si="4"/>
        <v>82.65</v>
      </c>
      <c r="M80" s="29" t="s">
        <v>172</v>
      </c>
      <c r="N80" s="29" t="s">
        <v>173</v>
      </c>
      <c r="O80" s="29" t="s">
        <v>182</v>
      </c>
      <c r="P80">
        <f t="shared" si="5"/>
        <v>142</v>
      </c>
    </row>
    <row r="81" spans="1:16" ht="15" customHeight="1" x14ac:dyDescent="0.25">
      <c r="A81" s="29" t="s">
        <v>304</v>
      </c>
      <c r="B81" s="30">
        <v>45763</v>
      </c>
      <c r="C81" s="29" t="s">
        <v>176</v>
      </c>
      <c r="D81" s="29" t="s">
        <v>177</v>
      </c>
      <c r="E81" s="31" t="s">
        <v>178</v>
      </c>
      <c r="F81" s="29" t="s">
        <v>208</v>
      </c>
      <c r="G81" s="31" t="s">
        <v>209</v>
      </c>
      <c r="H81" s="29" t="s">
        <v>193</v>
      </c>
      <c r="I81" s="32">
        <v>4</v>
      </c>
      <c r="J81" s="33">
        <v>279</v>
      </c>
      <c r="K81" s="34">
        <v>0.17</v>
      </c>
      <c r="L81" s="33">
        <f t="shared" si="4"/>
        <v>926.28</v>
      </c>
      <c r="M81" s="29" t="s">
        <v>198</v>
      </c>
      <c r="N81" s="29" t="s">
        <v>226</v>
      </c>
      <c r="O81" s="29" t="s">
        <v>174</v>
      </c>
      <c r="P81">
        <f t="shared" si="5"/>
        <v>49</v>
      </c>
    </row>
    <row r="82" spans="1:16" ht="15" customHeight="1" x14ac:dyDescent="0.25">
      <c r="A82" s="29" t="s">
        <v>305</v>
      </c>
      <c r="B82" s="30">
        <v>45764</v>
      </c>
      <c r="C82" s="29" t="s">
        <v>176</v>
      </c>
      <c r="D82" s="29" t="s">
        <v>189</v>
      </c>
      <c r="E82" s="31" t="s">
        <v>190</v>
      </c>
      <c r="F82" s="29" t="s">
        <v>204</v>
      </c>
      <c r="G82" s="31" t="s">
        <v>205</v>
      </c>
      <c r="H82" s="29" t="s">
        <v>171</v>
      </c>
      <c r="I82" s="32">
        <v>2</v>
      </c>
      <c r="J82" s="33">
        <v>349</v>
      </c>
      <c r="K82" s="34">
        <v>0.15</v>
      </c>
      <c r="L82" s="33">
        <f t="shared" si="4"/>
        <v>593.29999999999995</v>
      </c>
      <c r="M82" s="29" t="s">
        <v>198</v>
      </c>
      <c r="N82" s="29" t="s">
        <v>173</v>
      </c>
      <c r="O82" s="29" t="s">
        <v>174</v>
      </c>
      <c r="P82">
        <f t="shared" si="5"/>
        <v>70</v>
      </c>
    </row>
    <row r="83" spans="1:16" ht="15" customHeight="1" x14ac:dyDescent="0.25">
      <c r="A83" s="29" t="s">
        <v>306</v>
      </c>
      <c r="B83" s="30">
        <v>45766</v>
      </c>
      <c r="C83" s="29" t="s">
        <v>176</v>
      </c>
      <c r="D83" s="29" t="s">
        <v>189</v>
      </c>
      <c r="E83" s="31" t="s">
        <v>190</v>
      </c>
      <c r="F83" s="29" t="s">
        <v>191</v>
      </c>
      <c r="G83" s="31" t="s">
        <v>192</v>
      </c>
      <c r="H83" s="29" t="s">
        <v>193</v>
      </c>
      <c r="I83" s="32">
        <v>7</v>
      </c>
      <c r="J83" s="33">
        <v>49</v>
      </c>
      <c r="K83" s="34">
        <v>0.05</v>
      </c>
      <c r="L83" s="33">
        <f t="shared" si="4"/>
        <v>325.85000000000002</v>
      </c>
      <c r="M83" s="29" t="s">
        <v>187</v>
      </c>
      <c r="N83" s="29" t="s">
        <v>173</v>
      </c>
      <c r="O83" s="29" t="s">
        <v>199</v>
      </c>
      <c r="P83">
        <f t="shared" si="5"/>
        <v>97</v>
      </c>
    </row>
    <row r="84" spans="1:16" ht="15" customHeight="1" x14ac:dyDescent="0.25">
      <c r="A84" s="29" t="s">
        <v>307</v>
      </c>
      <c r="B84" s="30">
        <v>45768</v>
      </c>
      <c r="C84" s="29" t="s">
        <v>176</v>
      </c>
      <c r="D84" s="29" t="s">
        <v>177</v>
      </c>
      <c r="E84" s="31" t="s">
        <v>178</v>
      </c>
      <c r="F84" s="29" t="s">
        <v>208</v>
      </c>
      <c r="G84" s="31" t="s">
        <v>209</v>
      </c>
      <c r="H84" s="29" t="s">
        <v>193</v>
      </c>
      <c r="I84" s="32">
        <v>5</v>
      </c>
      <c r="J84" s="33">
        <v>279</v>
      </c>
      <c r="K84" s="34">
        <v>0.14000000000000001</v>
      </c>
      <c r="L84" s="33">
        <f t="shared" si="4"/>
        <v>1199.7</v>
      </c>
      <c r="M84" s="29" t="s">
        <v>172</v>
      </c>
      <c r="N84" s="29" t="s">
        <v>226</v>
      </c>
      <c r="O84" s="29" t="s">
        <v>199</v>
      </c>
      <c r="P84">
        <f t="shared" si="5"/>
        <v>43</v>
      </c>
    </row>
    <row r="85" spans="1:16" ht="15" customHeight="1" x14ac:dyDescent="0.25">
      <c r="A85" s="29" t="s">
        <v>308</v>
      </c>
      <c r="B85" s="30">
        <v>45768</v>
      </c>
      <c r="C85" s="29" t="s">
        <v>176</v>
      </c>
      <c r="D85" s="29" t="s">
        <v>177</v>
      </c>
      <c r="E85" s="31" t="s">
        <v>178</v>
      </c>
      <c r="F85" s="29" t="s">
        <v>299</v>
      </c>
      <c r="G85" s="31" t="s">
        <v>300</v>
      </c>
      <c r="H85" s="29" t="s">
        <v>181</v>
      </c>
      <c r="I85" s="32">
        <v>49</v>
      </c>
      <c r="J85" s="33">
        <v>14</v>
      </c>
      <c r="K85" s="34">
        <v>0.08</v>
      </c>
      <c r="L85" s="33">
        <f t="shared" si="4"/>
        <v>631.12</v>
      </c>
      <c r="M85" s="29" t="s">
        <v>187</v>
      </c>
      <c r="N85" s="29" t="s">
        <v>173</v>
      </c>
      <c r="O85" s="29" t="s">
        <v>199</v>
      </c>
      <c r="P85">
        <f t="shared" si="5"/>
        <v>67</v>
      </c>
    </row>
    <row r="86" spans="1:16" ht="15" customHeight="1" x14ac:dyDescent="0.25">
      <c r="A86" s="29" t="s">
        <v>309</v>
      </c>
      <c r="B86" s="30">
        <v>45768</v>
      </c>
      <c r="C86" s="29" t="s">
        <v>201</v>
      </c>
      <c r="D86" s="29" t="s">
        <v>231</v>
      </c>
      <c r="E86" s="31" t="s">
        <v>232</v>
      </c>
      <c r="F86" s="29" t="s">
        <v>213</v>
      </c>
      <c r="G86" s="31" t="s">
        <v>214</v>
      </c>
      <c r="H86" s="29" t="s">
        <v>193</v>
      </c>
      <c r="I86" s="32">
        <v>1</v>
      </c>
      <c r="J86" s="33">
        <v>899</v>
      </c>
      <c r="K86" s="34">
        <v>0.08</v>
      </c>
      <c r="L86" s="33">
        <f t="shared" si="4"/>
        <v>827.08</v>
      </c>
      <c r="M86" s="29" t="s">
        <v>172</v>
      </c>
      <c r="N86" s="29" t="s">
        <v>173</v>
      </c>
      <c r="O86" s="29" t="s">
        <v>174</v>
      </c>
      <c r="P86">
        <f t="shared" si="5"/>
        <v>53</v>
      </c>
    </row>
    <row r="87" spans="1:16" ht="15" customHeight="1" x14ac:dyDescent="0.25">
      <c r="A87" s="29" t="s">
        <v>310</v>
      </c>
      <c r="B87" s="30">
        <v>45769</v>
      </c>
      <c r="C87" s="29" t="s">
        <v>166</v>
      </c>
      <c r="D87" s="29" t="s">
        <v>167</v>
      </c>
      <c r="E87" s="31" t="s">
        <v>168</v>
      </c>
      <c r="F87" s="29" t="s">
        <v>204</v>
      </c>
      <c r="G87" s="31" t="s">
        <v>205</v>
      </c>
      <c r="H87" s="29" t="s">
        <v>171</v>
      </c>
      <c r="I87" s="32">
        <v>3</v>
      </c>
      <c r="J87" s="33">
        <v>349</v>
      </c>
      <c r="K87" s="34">
        <v>0.05</v>
      </c>
      <c r="L87" s="33">
        <f t="shared" si="4"/>
        <v>994.65</v>
      </c>
      <c r="M87" s="29" t="s">
        <v>187</v>
      </c>
      <c r="N87" s="29" t="s">
        <v>173</v>
      </c>
      <c r="O87" s="29" t="s">
        <v>182</v>
      </c>
      <c r="P87">
        <f t="shared" si="5"/>
        <v>45</v>
      </c>
    </row>
    <row r="88" spans="1:16" ht="15" customHeight="1" x14ac:dyDescent="0.25">
      <c r="A88" s="29" t="s">
        <v>311</v>
      </c>
      <c r="B88" s="30">
        <v>45770</v>
      </c>
      <c r="C88" s="29" t="s">
        <v>184</v>
      </c>
      <c r="D88" s="29" t="s">
        <v>211</v>
      </c>
      <c r="E88" s="31" t="s">
        <v>212</v>
      </c>
      <c r="F88" s="29" t="s">
        <v>213</v>
      </c>
      <c r="G88" s="31" t="s">
        <v>214</v>
      </c>
      <c r="H88" s="29" t="s">
        <v>193</v>
      </c>
      <c r="I88" s="32">
        <v>2</v>
      </c>
      <c r="J88" s="33">
        <v>899</v>
      </c>
      <c r="K88" s="34">
        <v>0.1</v>
      </c>
      <c r="L88" s="33">
        <f t="shared" si="4"/>
        <v>1618.2</v>
      </c>
      <c r="M88" s="29" t="s">
        <v>172</v>
      </c>
      <c r="N88" s="29" t="s">
        <v>226</v>
      </c>
      <c r="O88" s="29" t="s">
        <v>174</v>
      </c>
      <c r="P88">
        <f t="shared" si="5"/>
        <v>24</v>
      </c>
    </row>
    <row r="89" spans="1:16" ht="15" customHeight="1" x14ac:dyDescent="0.25">
      <c r="A89" s="29" t="s">
        <v>312</v>
      </c>
      <c r="B89" s="30">
        <v>45770</v>
      </c>
      <c r="C89" s="29" t="s">
        <v>176</v>
      </c>
      <c r="D89" s="29" t="s">
        <v>177</v>
      </c>
      <c r="E89" s="31" t="s">
        <v>178</v>
      </c>
      <c r="F89" s="29" t="s">
        <v>235</v>
      </c>
      <c r="G89" s="31" t="s">
        <v>236</v>
      </c>
      <c r="H89" s="29" t="s">
        <v>171</v>
      </c>
      <c r="I89" s="32">
        <v>1</v>
      </c>
      <c r="J89" s="33">
        <v>189</v>
      </c>
      <c r="K89" s="34">
        <v>0.1</v>
      </c>
      <c r="L89" s="33">
        <f t="shared" si="4"/>
        <v>170.1</v>
      </c>
      <c r="M89" s="29" t="s">
        <v>198</v>
      </c>
      <c r="N89" s="29" t="s">
        <v>173</v>
      </c>
      <c r="O89" s="29" t="s">
        <v>182</v>
      </c>
      <c r="P89">
        <f t="shared" si="5"/>
        <v>121</v>
      </c>
    </row>
    <row r="90" spans="1:16" ht="15" customHeight="1" x14ac:dyDescent="0.25">
      <c r="A90" s="29" t="s">
        <v>313</v>
      </c>
      <c r="B90" s="30">
        <v>45772</v>
      </c>
      <c r="C90" s="29" t="s">
        <v>166</v>
      </c>
      <c r="D90" s="29" t="s">
        <v>242</v>
      </c>
      <c r="E90" s="31" t="s">
        <v>243</v>
      </c>
      <c r="F90" s="29" t="s">
        <v>213</v>
      </c>
      <c r="G90" s="31" t="s">
        <v>214</v>
      </c>
      <c r="H90" s="29" t="s">
        <v>193</v>
      </c>
      <c r="I90" s="32">
        <v>3</v>
      </c>
      <c r="J90" s="33">
        <v>899</v>
      </c>
      <c r="K90" s="34">
        <v>0.12</v>
      </c>
      <c r="L90" s="33">
        <f t="shared" si="4"/>
        <v>2373.36</v>
      </c>
      <c r="M90" s="29" t="s">
        <v>198</v>
      </c>
      <c r="N90" s="29" t="s">
        <v>173</v>
      </c>
      <c r="O90" s="29" t="s">
        <v>182</v>
      </c>
      <c r="P90">
        <f t="shared" si="5"/>
        <v>9</v>
      </c>
    </row>
    <row r="91" spans="1:16" ht="15" customHeight="1" x14ac:dyDescent="0.25">
      <c r="A91" s="29" t="s">
        <v>314</v>
      </c>
      <c r="B91" s="30">
        <v>45773</v>
      </c>
      <c r="C91" s="29" t="s">
        <v>201</v>
      </c>
      <c r="D91" s="29" t="s">
        <v>202</v>
      </c>
      <c r="E91" s="31" t="s">
        <v>203</v>
      </c>
      <c r="F91" s="29" t="s">
        <v>299</v>
      </c>
      <c r="G91" s="31" t="s">
        <v>300</v>
      </c>
      <c r="H91" s="29" t="s">
        <v>181</v>
      </c>
      <c r="I91" s="32">
        <v>28</v>
      </c>
      <c r="J91" s="33">
        <v>14</v>
      </c>
      <c r="K91" s="34">
        <v>0.08</v>
      </c>
      <c r="L91" s="33">
        <f t="shared" si="4"/>
        <v>360.64</v>
      </c>
      <c r="M91" s="29" t="s">
        <v>172</v>
      </c>
      <c r="N91" s="29" t="s">
        <v>173</v>
      </c>
      <c r="O91" s="29" t="s">
        <v>182</v>
      </c>
      <c r="P91">
        <f t="shared" si="5"/>
        <v>90</v>
      </c>
    </row>
    <row r="92" spans="1:16" ht="15" customHeight="1" x14ac:dyDescent="0.25">
      <c r="A92" s="29" t="s">
        <v>315</v>
      </c>
      <c r="B92" s="30">
        <v>45774</v>
      </c>
      <c r="C92" s="29" t="s">
        <v>176</v>
      </c>
      <c r="D92" s="29" t="s">
        <v>177</v>
      </c>
      <c r="E92" s="31" t="s">
        <v>178</v>
      </c>
      <c r="F92" s="29" t="s">
        <v>179</v>
      </c>
      <c r="G92" s="31" t="s">
        <v>180</v>
      </c>
      <c r="H92" s="29" t="s">
        <v>181</v>
      </c>
      <c r="I92" s="32">
        <v>20</v>
      </c>
      <c r="J92" s="33">
        <v>6.5</v>
      </c>
      <c r="K92" s="34">
        <v>0.08</v>
      </c>
      <c r="L92" s="33">
        <f t="shared" si="4"/>
        <v>119.6</v>
      </c>
      <c r="M92" s="29" t="s">
        <v>187</v>
      </c>
      <c r="N92" s="29" t="s">
        <v>173</v>
      </c>
      <c r="O92" s="29" t="s">
        <v>182</v>
      </c>
      <c r="P92">
        <f t="shared" si="5"/>
        <v>129</v>
      </c>
    </row>
    <row r="93" spans="1:16" ht="15" customHeight="1" x14ac:dyDescent="0.25">
      <c r="A93" s="29" t="s">
        <v>316</v>
      </c>
      <c r="B93" s="30">
        <v>45774</v>
      </c>
      <c r="C93" s="29" t="s">
        <v>176</v>
      </c>
      <c r="D93" s="29" t="s">
        <v>223</v>
      </c>
      <c r="E93" s="31" t="s">
        <v>224</v>
      </c>
      <c r="F93" s="29" t="s">
        <v>208</v>
      </c>
      <c r="G93" s="31" t="s">
        <v>209</v>
      </c>
      <c r="H93" s="29" t="s">
        <v>193</v>
      </c>
      <c r="I93" s="32">
        <v>2</v>
      </c>
      <c r="J93" s="33">
        <v>279</v>
      </c>
      <c r="K93" s="34">
        <v>0.12</v>
      </c>
      <c r="L93" s="33">
        <f t="shared" si="4"/>
        <v>491.04</v>
      </c>
      <c r="M93" s="29" t="s">
        <v>172</v>
      </c>
      <c r="N93" s="29" t="s">
        <v>194</v>
      </c>
      <c r="O93" s="29" t="s">
        <v>174</v>
      </c>
      <c r="P93">
        <f t="shared" si="5"/>
        <v>75</v>
      </c>
    </row>
    <row r="94" spans="1:16" ht="15" customHeight="1" x14ac:dyDescent="0.25">
      <c r="A94" s="29" t="s">
        <v>317</v>
      </c>
      <c r="B94" s="30">
        <v>45775</v>
      </c>
      <c r="C94" s="29" t="s">
        <v>176</v>
      </c>
      <c r="D94" s="29" t="s">
        <v>189</v>
      </c>
      <c r="E94" s="31" t="s">
        <v>190</v>
      </c>
      <c r="F94" s="29" t="s">
        <v>299</v>
      </c>
      <c r="G94" s="31" t="s">
        <v>300</v>
      </c>
      <c r="H94" s="29" t="s">
        <v>181</v>
      </c>
      <c r="I94" s="32">
        <v>36</v>
      </c>
      <c r="J94" s="33">
        <v>14</v>
      </c>
      <c r="K94" s="34">
        <v>0.15</v>
      </c>
      <c r="L94" s="33">
        <f t="shared" si="4"/>
        <v>428.4</v>
      </c>
      <c r="M94" s="29" t="s">
        <v>198</v>
      </c>
      <c r="N94" s="29" t="s">
        <v>173</v>
      </c>
      <c r="O94" s="29" t="s">
        <v>182</v>
      </c>
      <c r="P94">
        <f t="shared" si="5"/>
        <v>84</v>
      </c>
    </row>
    <row r="95" spans="1:16" ht="15" customHeight="1" x14ac:dyDescent="0.25">
      <c r="A95" s="29" t="s">
        <v>318</v>
      </c>
      <c r="B95" s="30">
        <v>45776</v>
      </c>
      <c r="C95" s="29" t="s">
        <v>176</v>
      </c>
      <c r="D95" s="29" t="s">
        <v>189</v>
      </c>
      <c r="E95" s="31" t="s">
        <v>190</v>
      </c>
      <c r="F95" s="29" t="s">
        <v>239</v>
      </c>
      <c r="G95" s="31" t="s">
        <v>240</v>
      </c>
      <c r="H95" s="29" t="s">
        <v>181</v>
      </c>
      <c r="I95" s="32">
        <v>47</v>
      </c>
      <c r="J95" s="33">
        <v>32</v>
      </c>
      <c r="K95" s="34">
        <v>0.14000000000000001</v>
      </c>
      <c r="L95" s="33">
        <f t="shared" si="4"/>
        <v>1293.44</v>
      </c>
      <c r="M95" s="29" t="s">
        <v>172</v>
      </c>
      <c r="N95" s="29" t="s">
        <v>226</v>
      </c>
      <c r="O95" s="29" t="s">
        <v>174</v>
      </c>
      <c r="P95">
        <f t="shared" si="5"/>
        <v>39</v>
      </c>
    </row>
    <row r="96" spans="1:16" ht="15" customHeight="1" x14ac:dyDescent="0.25">
      <c r="A96" s="29" t="s">
        <v>319</v>
      </c>
      <c r="B96" s="30">
        <v>45776</v>
      </c>
      <c r="C96" s="29" t="s">
        <v>184</v>
      </c>
      <c r="D96" s="29" t="s">
        <v>185</v>
      </c>
      <c r="E96" s="31" t="s">
        <v>186</v>
      </c>
      <c r="F96" s="29" t="s">
        <v>244</v>
      </c>
      <c r="G96" s="31" t="s">
        <v>245</v>
      </c>
      <c r="H96" s="29" t="s">
        <v>193</v>
      </c>
      <c r="I96" s="32">
        <v>1</v>
      </c>
      <c r="J96" s="33">
        <v>119</v>
      </c>
      <c r="K96" s="34">
        <v>0.1</v>
      </c>
      <c r="L96" s="33">
        <f t="shared" si="4"/>
        <v>107.1</v>
      </c>
      <c r="M96" s="29" t="s">
        <v>198</v>
      </c>
      <c r="N96" s="29" t="s">
        <v>173</v>
      </c>
      <c r="O96" s="29" t="s">
        <v>182</v>
      </c>
      <c r="P96">
        <f t="shared" si="5"/>
        <v>133</v>
      </c>
    </row>
    <row r="97" spans="1:16" ht="15" customHeight="1" x14ac:dyDescent="0.25">
      <c r="A97" s="29" t="s">
        <v>320</v>
      </c>
      <c r="B97" s="30">
        <v>45776</v>
      </c>
      <c r="C97" s="29" t="s">
        <v>166</v>
      </c>
      <c r="D97" s="29" t="s">
        <v>167</v>
      </c>
      <c r="E97" s="31" t="s">
        <v>168</v>
      </c>
      <c r="F97" s="29" t="s">
        <v>208</v>
      </c>
      <c r="G97" s="31" t="s">
        <v>209</v>
      </c>
      <c r="H97" s="29" t="s">
        <v>193</v>
      </c>
      <c r="I97" s="32">
        <v>5</v>
      </c>
      <c r="J97" s="33">
        <v>279</v>
      </c>
      <c r="K97" s="34">
        <v>0.08</v>
      </c>
      <c r="L97" s="33">
        <f t="shared" si="4"/>
        <v>1283.4000000000001</v>
      </c>
      <c r="M97" s="29" t="s">
        <v>172</v>
      </c>
      <c r="N97" s="29" t="s">
        <v>194</v>
      </c>
      <c r="O97" s="29" t="s">
        <v>174</v>
      </c>
      <c r="P97">
        <f t="shared" si="5"/>
        <v>40</v>
      </c>
    </row>
    <row r="98" spans="1:16" ht="15" customHeight="1" x14ac:dyDescent="0.25">
      <c r="A98" s="29" t="s">
        <v>321</v>
      </c>
      <c r="B98" s="30">
        <v>45776</v>
      </c>
      <c r="C98" s="29" t="s">
        <v>184</v>
      </c>
      <c r="D98" s="29" t="s">
        <v>185</v>
      </c>
      <c r="E98" s="31" t="s">
        <v>186</v>
      </c>
      <c r="F98" s="29" t="s">
        <v>169</v>
      </c>
      <c r="G98" s="31" t="s">
        <v>170</v>
      </c>
      <c r="H98" s="29" t="s">
        <v>171</v>
      </c>
      <c r="I98" s="32">
        <v>6</v>
      </c>
      <c r="J98" s="33">
        <v>499</v>
      </c>
      <c r="K98" s="34">
        <v>0.2</v>
      </c>
      <c r="L98" s="33">
        <f t="shared" si="4"/>
        <v>2395.1999999999998</v>
      </c>
      <c r="M98" s="29" t="s">
        <v>198</v>
      </c>
      <c r="N98" s="29" t="s">
        <v>226</v>
      </c>
      <c r="O98" s="29" t="s">
        <v>199</v>
      </c>
      <c r="P98">
        <f t="shared" si="5"/>
        <v>8</v>
      </c>
    </row>
    <row r="99" spans="1:16" ht="15" customHeight="1" x14ac:dyDescent="0.25">
      <c r="A99" s="29" t="s">
        <v>322</v>
      </c>
      <c r="B99" s="30">
        <v>45777</v>
      </c>
      <c r="C99" s="29" t="s">
        <v>176</v>
      </c>
      <c r="D99" s="29" t="s">
        <v>177</v>
      </c>
      <c r="E99" s="31" t="s">
        <v>178</v>
      </c>
      <c r="F99" s="29" t="s">
        <v>244</v>
      </c>
      <c r="G99" s="31" t="s">
        <v>245</v>
      </c>
      <c r="H99" s="29" t="s">
        <v>193</v>
      </c>
      <c r="I99" s="32">
        <v>2</v>
      </c>
      <c r="J99" s="33">
        <v>119</v>
      </c>
      <c r="K99" s="34">
        <v>0.1</v>
      </c>
      <c r="L99" s="33">
        <f t="shared" si="4"/>
        <v>214.2</v>
      </c>
      <c r="M99" s="29" t="s">
        <v>187</v>
      </c>
      <c r="N99" s="29" t="s">
        <v>226</v>
      </c>
      <c r="O99" s="29" t="s">
        <v>199</v>
      </c>
      <c r="P99">
        <f t="shared" si="5"/>
        <v>115</v>
      </c>
    </row>
    <row r="100" spans="1:16" ht="15" customHeight="1" x14ac:dyDescent="0.25">
      <c r="A100" s="29" t="s">
        <v>323</v>
      </c>
      <c r="B100" s="30">
        <v>45780</v>
      </c>
      <c r="C100" s="29" t="s">
        <v>176</v>
      </c>
      <c r="D100" s="29" t="s">
        <v>223</v>
      </c>
      <c r="E100" s="31" t="s">
        <v>224</v>
      </c>
      <c r="F100" s="29" t="s">
        <v>179</v>
      </c>
      <c r="G100" s="31" t="s">
        <v>180</v>
      </c>
      <c r="H100" s="29" t="s">
        <v>181</v>
      </c>
      <c r="I100" s="32">
        <v>55</v>
      </c>
      <c r="J100" s="33">
        <v>6.5</v>
      </c>
      <c r="K100" s="34">
        <v>0.14000000000000001</v>
      </c>
      <c r="L100" s="33">
        <f t="shared" si="4"/>
        <v>307.45</v>
      </c>
      <c r="M100" s="29" t="s">
        <v>198</v>
      </c>
      <c r="N100" s="29" t="s">
        <v>226</v>
      </c>
      <c r="O100" s="29" t="s">
        <v>182</v>
      </c>
      <c r="P100">
        <f t="shared" si="5"/>
        <v>101</v>
      </c>
    </row>
    <row r="101" spans="1:16" ht="15" customHeight="1" x14ac:dyDescent="0.25">
      <c r="A101" s="29" t="s">
        <v>324</v>
      </c>
      <c r="B101" s="30">
        <v>45782</v>
      </c>
      <c r="C101" s="29" t="s">
        <v>166</v>
      </c>
      <c r="D101" s="29" t="s">
        <v>167</v>
      </c>
      <c r="E101" s="31" t="s">
        <v>168</v>
      </c>
      <c r="F101" s="29" t="s">
        <v>213</v>
      </c>
      <c r="G101" s="31" t="s">
        <v>214</v>
      </c>
      <c r="H101" s="29" t="s">
        <v>193</v>
      </c>
      <c r="I101" s="32">
        <v>2</v>
      </c>
      <c r="J101" s="33">
        <v>899</v>
      </c>
      <c r="K101" s="34">
        <v>0</v>
      </c>
      <c r="L101" s="33">
        <f t="shared" ref="L101:L132" si="6">ROUND(I101*J101*(1-K101),2)</f>
        <v>1798</v>
      </c>
      <c r="M101" s="29" t="s">
        <v>172</v>
      </c>
      <c r="N101" s="29" t="s">
        <v>194</v>
      </c>
      <c r="O101" s="29" t="s">
        <v>182</v>
      </c>
      <c r="P101">
        <f t="shared" ref="P101:P132" si="7">RANK(L101,Sales_Revenue,0)</f>
        <v>18</v>
      </c>
    </row>
    <row r="102" spans="1:16" ht="15" customHeight="1" x14ac:dyDescent="0.25">
      <c r="A102" s="29" t="s">
        <v>325</v>
      </c>
      <c r="B102" s="30">
        <v>45782</v>
      </c>
      <c r="C102" s="29" t="s">
        <v>166</v>
      </c>
      <c r="D102" s="29" t="s">
        <v>242</v>
      </c>
      <c r="E102" s="31" t="s">
        <v>243</v>
      </c>
      <c r="F102" s="29" t="s">
        <v>208</v>
      </c>
      <c r="G102" s="31" t="s">
        <v>209</v>
      </c>
      <c r="H102" s="29" t="s">
        <v>193</v>
      </c>
      <c r="I102" s="32">
        <v>1</v>
      </c>
      <c r="J102" s="33">
        <v>279</v>
      </c>
      <c r="K102" s="34">
        <v>0.12</v>
      </c>
      <c r="L102" s="33">
        <f t="shared" si="6"/>
        <v>245.52</v>
      </c>
      <c r="M102" s="29" t="s">
        <v>198</v>
      </c>
      <c r="N102" s="29" t="s">
        <v>173</v>
      </c>
      <c r="O102" s="29" t="s">
        <v>182</v>
      </c>
      <c r="P102">
        <f t="shared" si="7"/>
        <v>110</v>
      </c>
    </row>
    <row r="103" spans="1:16" ht="15" customHeight="1" x14ac:dyDescent="0.25">
      <c r="A103" s="29" t="s">
        <v>326</v>
      </c>
      <c r="B103" s="30">
        <v>45782</v>
      </c>
      <c r="C103" s="29" t="s">
        <v>201</v>
      </c>
      <c r="D103" s="29" t="s">
        <v>202</v>
      </c>
      <c r="E103" s="31" t="s">
        <v>203</v>
      </c>
      <c r="F103" s="29" t="s">
        <v>213</v>
      </c>
      <c r="G103" s="31" t="s">
        <v>214</v>
      </c>
      <c r="H103" s="29" t="s">
        <v>193</v>
      </c>
      <c r="I103" s="32">
        <v>3</v>
      </c>
      <c r="J103" s="33">
        <v>899</v>
      </c>
      <c r="K103" s="34">
        <v>0.11</v>
      </c>
      <c r="L103" s="33">
        <f t="shared" si="6"/>
        <v>2400.33</v>
      </c>
      <c r="M103" s="29" t="s">
        <v>172</v>
      </c>
      <c r="N103" s="29" t="s">
        <v>173</v>
      </c>
      <c r="O103" s="29" t="s">
        <v>182</v>
      </c>
      <c r="P103">
        <f t="shared" si="7"/>
        <v>7</v>
      </c>
    </row>
    <row r="104" spans="1:16" ht="15" customHeight="1" x14ac:dyDescent="0.25">
      <c r="A104" s="29" t="s">
        <v>327</v>
      </c>
      <c r="B104" s="30">
        <v>45786</v>
      </c>
      <c r="C104" s="29" t="s">
        <v>201</v>
      </c>
      <c r="D104" s="29" t="s">
        <v>231</v>
      </c>
      <c r="E104" s="31" t="s">
        <v>232</v>
      </c>
      <c r="F104" s="29" t="s">
        <v>179</v>
      </c>
      <c r="G104" s="31" t="s">
        <v>180</v>
      </c>
      <c r="H104" s="29" t="s">
        <v>181</v>
      </c>
      <c r="I104" s="32">
        <v>49</v>
      </c>
      <c r="J104" s="33">
        <v>6.5</v>
      </c>
      <c r="K104" s="34">
        <v>0.13</v>
      </c>
      <c r="L104" s="33">
        <f t="shared" si="6"/>
        <v>277.10000000000002</v>
      </c>
      <c r="M104" s="29" t="s">
        <v>198</v>
      </c>
      <c r="N104" s="29" t="s">
        <v>173</v>
      </c>
      <c r="O104" s="29" t="s">
        <v>182</v>
      </c>
      <c r="P104">
        <f t="shared" si="7"/>
        <v>105</v>
      </c>
    </row>
    <row r="105" spans="1:16" ht="15" customHeight="1" x14ac:dyDescent="0.25">
      <c r="A105" s="29" t="s">
        <v>328</v>
      </c>
      <c r="B105" s="30">
        <v>45787</v>
      </c>
      <c r="C105" s="29" t="s">
        <v>176</v>
      </c>
      <c r="D105" s="29" t="s">
        <v>189</v>
      </c>
      <c r="E105" s="31" t="s">
        <v>190</v>
      </c>
      <c r="F105" s="29" t="s">
        <v>179</v>
      </c>
      <c r="G105" s="31" t="s">
        <v>180</v>
      </c>
      <c r="H105" s="29" t="s">
        <v>181</v>
      </c>
      <c r="I105" s="32">
        <v>17</v>
      </c>
      <c r="J105" s="33">
        <v>6.5</v>
      </c>
      <c r="K105" s="34">
        <v>0.18</v>
      </c>
      <c r="L105" s="33">
        <f t="shared" si="6"/>
        <v>90.61</v>
      </c>
      <c r="M105" s="29" t="s">
        <v>198</v>
      </c>
      <c r="N105" s="29" t="s">
        <v>173</v>
      </c>
      <c r="O105" s="29" t="s">
        <v>199</v>
      </c>
      <c r="P105">
        <f t="shared" si="7"/>
        <v>136</v>
      </c>
    </row>
    <row r="106" spans="1:16" ht="15" customHeight="1" x14ac:dyDescent="0.25">
      <c r="A106" s="29" t="s">
        <v>329</v>
      </c>
      <c r="B106" s="30">
        <v>45787</v>
      </c>
      <c r="C106" s="29" t="s">
        <v>201</v>
      </c>
      <c r="D106" s="29" t="s">
        <v>231</v>
      </c>
      <c r="E106" s="31" t="s">
        <v>232</v>
      </c>
      <c r="F106" s="29" t="s">
        <v>228</v>
      </c>
      <c r="G106" s="31" t="s">
        <v>229</v>
      </c>
      <c r="H106" s="29" t="s">
        <v>221</v>
      </c>
      <c r="I106" s="32">
        <v>8</v>
      </c>
      <c r="J106" s="33">
        <v>45</v>
      </c>
      <c r="K106" s="34">
        <v>0.11</v>
      </c>
      <c r="L106" s="33">
        <f t="shared" si="6"/>
        <v>320.39999999999998</v>
      </c>
      <c r="M106" s="29" t="s">
        <v>187</v>
      </c>
      <c r="N106" s="29" t="s">
        <v>194</v>
      </c>
      <c r="O106" s="29" t="s">
        <v>174</v>
      </c>
      <c r="P106">
        <f t="shared" si="7"/>
        <v>100</v>
      </c>
    </row>
    <row r="107" spans="1:16" ht="15" customHeight="1" x14ac:dyDescent="0.25">
      <c r="A107" s="29" t="s">
        <v>330</v>
      </c>
      <c r="B107" s="30">
        <v>45789</v>
      </c>
      <c r="C107" s="29" t="s">
        <v>201</v>
      </c>
      <c r="D107" s="29" t="s">
        <v>231</v>
      </c>
      <c r="E107" s="31" t="s">
        <v>232</v>
      </c>
      <c r="F107" s="29" t="s">
        <v>213</v>
      </c>
      <c r="G107" s="31" t="s">
        <v>214</v>
      </c>
      <c r="H107" s="29" t="s">
        <v>193</v>
      </c>
      <c r="I107" s="32">
        <v>4</v>
      </c>
      <c r="J107" s="33">
        <v>899</v>
      </c>
      <c r="K107" s="34">
        <v>0.15</v>
      </c>
      <c r="L107" s="33">
        <f t="shared" si="6"/>
        <v>3056.6</v>
      </c>
      <c r="M107" s="29" t="s">
        <v>198</v>
      </c>
      <c r="N107" s="29" t="s">
        <v>194</v>
      </c>
      <c r="O107" s="29" t="s">
        <v>182</v>
      </c>
      <c r="P107">
        <f t="shared" si="7"/>
        <v>5</v>
      </c>
    </row>
    <row r="108" spans="1:16" ht="15" customHeight="1" x14ac:dyDescent="0.25">
      <c r="A108" s="29" t="s">
        <v>331</v>
      </c>
      <c r="B108" s="30">
        <v>45795</v>
      </c>
      <c r="C108" s="29" t="s">
        <v>176</v>
      </c>
      <c r="D108" s="29" t="s">
        <v>223</v>
      </c>
      <c r="E108" s="31" t="s">
        <v>224</v>
      </c>
      <c r="F108" s="29" t="s">
        <v>179</v>
      </c>
      <c r="G108" s="31" t="s">
        <v>180</v>
      </c>
      <c r="H108" s="29" t="s">
        <v>181</v>
      </c>
      <c r="I108" s="32">
        <v>52</v>
      </c>
      <c r="J108" s="33">
        <v>6.5</v>
      </c>
      <c r="K108" s="34">
        <v>0.02</v>
      </c>
      <c r="L108" s="33">
        <f t="shared" si="6"/>
        <v>331.24</v>
      </c>
      <c r="M108" s="29" t="s">
        <v>172</v>
      </c>
      <c r="N108" s="29" t="s">
        <v>226</v>
      </c>
      <c r="O108" s="29" t="s">
        <v>174</v>
      </c>
      <c r="P108">
        <f t="shared" si="7"/>
        <v>96</v>
      </c>
    </row>
    <row r="109" spans="1:16" ht="15" customHeight="1" x14ac:dyDescent="0.25">
      <c r="A109" s="29" t="s">
        <v>332</v>
      </c>
      <c r="B109" s="30">
        <v>45798</v>
      </c>
      <c r="C109" s="29" t="s">
        <v>166</v>
      </c>
      <c r="D109" s="29" t="s">
        <v>167</v>
      </c>
      <c r="E109" s="31" t="s">
        <v>168</v>
      </c>
      <c r="F109" s="29" t="s">
        <v>239</v>
      </c>
      <c r="G109" s="31" t="s">
        <v>240</v>
      </c>
      <c r="H109" s="29" t="s">
        <v>181</v>
      </c>
      <c r="I109" s="32">
        <v>28</v>
      </c>
      <c r="J109" s="33">
        <v>32</v>
      </c>
      <c r="K109" s="34">
        <v>0.12</v>
      </c>
      <c r="L109" s="33">
        <f t="shared" si="6"/>
        <v>788.48</v>
      </c>
      <c r="M109" s="29" t="s">
        <v>172</v>
      </c>
      <c r="N109" s="29" t="s">
        <v>173</v>
      </c>
      <c r="O109" s="29" t="s">
        <v>174</v>
      </c>
      <c r="P109">
        <f t="shared" si="7"/>
        <v>55</v>
      </c>
    </row>
    <row r="110" spans="1:16" ht="15" customHeight="1" x14ac:dyDescent="0.25">
      <c r="A110" s="29" t="s">
        <v>333</v>
      </c>
      <c r="B110" s="30">
        <v>45798</v>
      </c>
      <c r="C110" s="29" t="s">
        <v>176</v>
      </c>
      <c r="D110" s="29" t="s">
        <v>177</v>
      </c>
      <c r="E110" s="31" t="s">
        <v>178</v>
      </c>
      <c r="F110" s="29" t="s">
        <v>191</v>
      </c>
      <c r="G110" s="31" t="s">
        <v>192</v>
      </c>
      <c r="H110" s="29" t="s">
        <v>193</v>
      </c>
      <c r="I110" s="32">
        <v>2</v>
      </c>
      <c r="J110" s="33">
        <v>49</v>
      </c>
      <c r="K110" s="34">
        <v>0.12</v>
      </c>
      <c r="L110" s="33">
        <f t="shared" si="6"/>
        <v>86.24</v>
      </c>
      <c r="M110" s="29" t="s">
        <v>172</v>
      </c>
      <c r="N110" s="29" t="s">
        <v>194</v>
      </c>
      <c r="O110" s="29" t="s">
        <v>182</v>
      </c>
      <c r="P110">
        <f t="shared" si="7"/>
        <v>140</v>
      </c>
    </row>
    <row r="111" spans="1:16" ht="15" customHeight="1" x14ac:dyDescent="0.25">
      <c r="A111" s="29" t="s">
        <v>334</v>
      </c>
      <c r="B111" s="30">
        <v>45800</v>
      </c>
      <c r="C111" s="29" t="s">
        <v>184</v>
      </c>
      <c r="D111" s="29" t="s">
        <v>185</v>
      </c>
      <c r="E111" s="31" t="s">
        <v>186</v>
      </c>
      <c r="F111" s="29" t="s">
        <v>204</v>
      </c>
      <c r="G111" s="31" t="s">
        <v>205</v>
      </c>
      <c r="H111" s="29" t="s">
        <v>171</v>
      </c>
      <c r="I111" s="32">
        <v>4</v>
      </c>
      <c r="J111" s="33">
        <v>349</v>
      </c>
      <c r="K111" s="34">
        <v>0</v>
      </c>
      <c r="L111" s="33">
        <f t="shared" si="6"/>
        <v>1396</v>
      </c>
      <c r="M111" s="29" t="s">
        <v>187</v>
      </c>
      <c r="N111" s="29" t="s">
        <v>173</v>
      </c>
      <c r="O111" s="29" t="s">
        <v>174</v>
      </c>
      <c r="P111">
        <f t="shared" si="7"/>
        <v>35</v>
      </c>
    </row>
    <row r="112" spans="1:16" ht="15" customHeight="1" x14ac:dyDescent="0.25">
      <c r="A112" s="29" t="s">
        <v>335</v>
      </c>
      <c r="B112" s="30">
        <v>45800</v>
      </c>
      <c r="C112" s="29" t="s">
        <v>166</v>
      </c>
      <c r="D112" s="29" t="s">
        <v>242</v>
      </c>
      <c r="E112" s="31" t="s">
        <v>243</v>
      </c>
      <c r="F112" s="29" t="s">
        <v>213</v>
      </c>
      <c r="G112" s="31" t="s">
        <v>214</v>
      </c>
      <c r="H112" s="29" t="s">
        <v>193</v>
      </c>
      <c r="I112" s="32">
        <v>5</v>
      </c>
      <c r="J112" s="33">
        <v>899</v>
      </c>
      <c r="K112" s="34">
        <v>0.1</v>
      </c>
      <c r="L112" s="33">
        <f t="shared" si="6"/>
        <v>4045.5</v>
      </c>
      <c r="M112" s="29" t="s">
        <v>187</v>
      </c>
      <c r="N112" s="29" t="s">
        <v>173</v>
      </c>
      <c r="O112" s="29" t="s">
        <v>199</v>
      </c>
      <c r="P112">
        <f t="shared" si="7"/>
        <v>4</v>
      </c>
    </row>
    <row r="113" spans="1:16" ht="15" customHeight="1" x14ac:dyDescent="0.25">
      <c r="A113" s="29" t="s">
        <v>336</v>
      </c>
      <c r="B113" s="30">
        <v>45800</v>
      </c>
      <c r="C113" s="29" t="s">
        <v>166</v>
      </c>
      <c r="D113" s="29" t="s">
        <v>242</v>
      </c>
      <c r="E113" s="31" t="s">
        <v>243</v>
      </c>
      <c r="F113" s="29" t="s">
        <v>204</v>
      </c>
      <c r="G113" s="31" t="s">
        <v>205</v>
      </c>
      <c r="H113" s="29" t="s">
        <v>171</v>
      </c>
      <c r="I113" s="32">
        <v>5</v>
      </c>
      <c r="J113" s="33">
        <v>349</v>
      </c>
      <c r="K113" s="34">
        <v>0.12</v>
      </c>
      <c r="L113" s="33">
        <f t="shared" si="6"/>
        <v>1535.6</v>
      </c>
      <c r="M113" s="29" t="s">
        <v>198</v>
      </c>
      <c r="N113" s="29" t="s">
        <v>226</v>
      </c>
      <c r="O113" s="29" t="s">
        <v>174</v>
      </c>
      <c r="P113">
        <f t="shared" si="7"/>
        <v>27</v>
      </c>
    </row>
    <row r="114" spans="1:16" ht="15" customHeight="1" x14ac:dyDescent="0.25">
      <c r="A114" s="29" t="s">
        <v>337</v>
      </c>
      <c r="B114" s="30">
        <v>45804</v>
      </c>
      <c r="C114" s="29" t="s">
        <v>184</v>
      </c>
      <c r="D114" s="29" t="s">
        <v>211</v>
      </c>
      <c r="E114" s="31" t="s">
        <v>212</v>
      </c>
      <c r="F114" s="29" t="s">
        <v>208</v>
      </c>
      <c r="G114" s="31" t="s">
        <v>209</v>
      </c>
      <c r="H114" s="29" t="s">
        <v>193</v>
      </c>
      <c r="I114" s="32">
        <v>7</v>
      </c>
      <c r="J114" s="33">
        <v>279</v>
      </c>
      <c r="K114" s="34">
        <v>0.08</v>
      </c>
      <c r="L114" s="33">
        <f t="shared" si="6"/>
        <v>1796.76</v>
      </c>
      <c r="M114" s="29" t="s">
        <v>172</v>
      </c>
      <c r="N114" s="29" t="s">
        <v>173</v>
      </c>
      <c r="O114" s="29" t="s">
        <v>174</v>
      </c>
      <c r="P114">
        <f t="shared" si="7"/>
        <v>20</v>
      </c>
    </row>
    <row r="115" spans="1:16" ht="15" customHeight="1" x14ac:dyDescent="0.25">
      <c r="A115" s="29" t="s">
        <v>338</v>
      </c>
      <c r="B115" s="30">
        <v>45805</v>
      </c>
      <c r="C115" s="29" t="s">
        <v>166</v>
      </c>
      <c r="D115" s="29" t="s">
        <v>242</v>
      </c>
      <c r="E115" s="31" t="s">
        <v>243</v>
      </c>
      <c r="F115" s="29" t="s">
        <v>244</v>
      </c>
      <c r="G115" s="31" t="s">
        <v>245</v>
      </c>
      <c r="H115" s="29" t="s">
        <v>193</v>
      </c>
      <c r="I115" s="32">
        <v>7</v>
      </c>
      <c r="J115" s="33">
        <v>119</v>
      </c>
      <c r="K115" s="34">
        <v>0.12</v>
      </c>
      <c r="L115" s="33">
        <f t="shared" si="6"/>
        <v>733.04</v>
      </c>
      <c r="M115" s="29" t="s">
        <v>187</v>
      </c>
      <c r="N115" s="29" t="s">
        <v>226</v>
      </c>
      <c r="O115" s="29" t="s">
        <v>182</v>
      </c>
      <c r="P115">
        <f t="shared" si="7"/>
        <v>59</v>
      </c>
    </row>
    <row r="116" spans="1:16" ht="15" customHeight="1" x14ac:dyDescent="0.25">
      <c r="A116" s="29" t="s">
        <v>339</v>
      </c>
      <c r="B116" s="30">
        <v>45805</v>
      </c>
      <c r="C116" s="29" t="s">
        <v>176</v>
      </c>
      <c r="D116" s="29" t="s">
        <v>189</v>
      </c>
      <c r="E116" s="31" t="s">
        <v>190</v>
      </c>
      <c r="F116" s="29" t="s">
        <v>244</v>
      </c>
      <c r="G116" s="31" t="s">
        <v>245</v>
      </c>
      <c r="H116" s="29" t="s">
        <v>193</v>
      </c>
      <c r="I116" s="32">
        <v>4</v>
      </c>
      <c r="J116" s="33">
        <v>119</v>
      </c>
      <c r="K116" s="34">
        <v>0.1</v>
      </c>
      <c r="L116" s="33">
        <f t="shared" si="6"/>
        <v>428.4</v>
      </c>
      <c r="M116" s="29" t="s">
        <v>187</v>
      </c>
      <c r="N116" s="29" t="s">
        <v>226</v>
      </c>
      <c r="O116" s="29" t="s">
        <v>199</v>
      </c>
      <c r="P116">
        <f t="shared" si="7"/>
        <v>84</v>
      </c>
    </row>
    <row r="117" spans="1:16" ht="15" customHeight="1" x14ac:dyDescent="0.25">
      <c r="A117" s="29" t="s">
        <v>340</v>
      </c>
      <c r="B117" s="30">
        <v>45806</v>
      </c>
      <c r="C117" s="29" t="s">
        <v>201</v>
      </c>
      <c r="D117" s="29" t="s">
        <v>231</v>
      </c>
      <c r="E117" s="31" t="s">
        <v>232</v>
      </c>
      <c r="F117" s="29" t="s">
        <v>208</v>
      </c>
      <c r="G117" s="31" t="s">
        <v>209</v>
      </c>
      <c r="H117" s="29" t="s">
        <v>193</v>
      </c>
      <c r="I117" s="32">
        <v>4</v>
      </c>
      <c r="J117" s="33">
        <v>279</v>
      </c>
      <c r="K117" s="34">
        <v>0.11</v>
      </c>
      <c r="L117" s="33">
        <f t="shared" si="6"/>
        <v>993.24</v>
      </c>
      <c r="M117" s="29" t="s">
        <v>187</v>
      </c>
      <c r="N117" s="29" t="s">
        <v>173</v>
      </c>
      <c r="O117" s="29" t="s">
        <v>174</v>
      </c>
      <c r="P117">
        <f t="shared" si="7"/>
        <v>46</v>
      </c>
    </row>
    <row r="118" spans="1:16" ht="15" customHeight="1" x14ac:dyDescent="0.25">
      <c r="A118" s="29" t="s">
        <v>341</v>
      </c>
      <c r="B118" s="30">
        <v>45807</v>
      </c>
      <c r="C118" s="29" t="s">
        <v>201</v>
      </c>
      <c r="D118" s="29" t="s">
        <v>231</v>
      </c>
      <c r="E118" s="31" t="s">
        <v>232</v>
      </c>
      <c r="F118" s="29" t="s">
        <v>208</v>
      </c>
      <c r="G118" s="31" t="s">
        <v>209</v>
      </c>
      <c r="H118" s="29" t="s">
        <v>193</v>
      </c>
      <c r="I118" s="32">
        <v>1</v>
      </c>
      <c r="J118" s="33">
        <v>279</v>
      </c>
      <c r="K118" s="34">
        <v>0.13</v>
      </c>
      <c r="L118" s="33">
        <f t="shared" si="6"/>
        <v>242.73</v>
      </c>
      <c r="M118" s="29" t="s">
        <v>198</v>
      </c>
      <c r="N118" s="29" t="s">
        <v>194</v>
      </c>
      <c r="O118" s="29" t="s">
        <v>182</v>
      </c>
      <c r="P118">
        <f t="shared" si="7"/>
        <v>111</v>
      </c>
    </row>
    <row r="119" spans="1:16" ht="15" customHeight="1" x14ac:dyDescent="0.25">
      <c r="A119" s="29" t="s">
        <v>342</v>
      </c>
      <c r="B119" s="30">
        <v>45808</v>
      </c>
      <c r="C119" s="29" t="s">
        <v>184</v>
      </c>
      <c r="D119" s="29" t="s">
        <v>185</v>
      </c>
      <c r="E119" s="31" t="s">
        <v>186</v>
      </c>
      <c r="F119" s="29" t="s">
        <v>235</v>
      </c>
      <c r="G119" s="31" t="s">
        <v>236</v>
      </c>
      <c r="H119" s="29" t="s">
        <v>171</v>
      </c>
      <c r="I119" s="32">
        <v>4</v>
      </c>
      <c r="J119" s="33">
        <v>189</v>
      </c>
      <c r="K119" s="34">
        <v>0</v>
      </c>
      <c r="L119" s="33">
        <f t="shared" si="6"/>
        <v>756</v>
      </c>
      <c r="M119" s="29" t="s">
        <v>172</v>
      </c>
      <c r="N119" s="29" t="s">
        <v>194</v>
      </c>
      <c r="O119" s="29" t="s">
        <v>174</v>
      </c>
      <c r="P119">
        <f t="shared" si="7"/>
        <v>56</v>
      </c>
    </row>
    <row r="120" spans="1:16" ht="15" customHeight="1" x14ac:dyDescent="0.25">
      <c r="A120" s="29" t="s">
        <v>343</v>
      </c>
      <c r="B120" s="30">
        <v>45809</v>
      </c>
      <c r="C120" s="29" t="s">
        <v>176</v>
      </c>
      <c r="D120" s="29" t="s">
        <v>177</v>
      </c>
      <c r="E120" s="31" t="s">
        <v>178</v>
      </c>
      <c r="F120" s="29" t="s">
        <v>213</v>
      </c>
      <c r="G120" s="31" t="s">
        <v>214</v>
      </c>
      <c r="H120" s="29" t="s">
        <v>193</v>
      </c>
      <c r="I120" s="32">
        <v>2</v>
      </c>
      <c r="J120" s="33">
        <v>899</v>
      </c>
      <c r="K120" s="34">
        <v>0.02</v>
      </c>
      <c r="L120" s="33">
        <f t="shared" si="6"/>
        <v>1762.04</v>
      </c>
      <c r="M120" s="29" t="s">
        <v>187</v>
      </c>
      <c r="N120" s="29" t="s">
        <v>226</v>
      </c>
      <c r="O120" s="29" t="s">
        <v>199</v>
      </c>
      <c r="P120">
        <f t="shared" si="7"/>
        <v>21</v>
      </c>
    </row>
    <row r="121" spans="1:16" ht="15" customHeight="1" x14ac:dyDescent="0.25">
      <c r="A121" s="29" t="s">
        <v>344</v>
      </c>
      <c r="B121" s="30">
        <v>45810</v>
      </c>
      <c r="C121" s="29" t="s">
        <v>176</v>
      </c>
      <c r="D121" s="29" t="s">
        <v>189</v>
      </c>
      <c r="E121" s="31" t="s">
        <v>190</v>
      </c>
      <c r="F121" s="29" t="s">
        <v>244</v>
      </c>
      <c r="G121" s="31" t="s">
        <v>245</v>
      </c>
      <c r="H121" s="29" t="s">
        <v>193</v>
      </c>
      <c r="I121" s="32">
        <v>2</v>
      </c>
      <c r="J121" s="33">
        <v>119</v>
      </c>
      <c r="K121" s="34">
        <v>0.1</v>
      </c>
      <c r="L121" s="33">
        <f t="shared" si="6"/>
        <v>214.2</v>
      </c>
      <c r="M121" s="29" t="s">
        <v>187</v>
      </c>
      <c r="N121" s="29" t="s">
        <v>194</v>
      </c>
      <c r="O121" s="29" t="s">
        <v>199</v>
      </c>
      <c r="P121">
        <f t="shared" si="7"/>
        <v>115</v>
      </c>
    </row>
    <row r="122" spans="1:16" ht="15" customHeight="1" x14ac:dyDescent="0.25">
      <c r="A122" s="29" t="s">
        <v>345</v>
      </c>
      <c r="B122" s="30">
        <v>45811</v>
      </c>
      <c r="C122" s="29" t="s">
        <v>201</v>
      </c>
      <c r="D122" s="29" t="s">
        <v>202</v>
      </c>
      <c r="E122" s="31" t="s">
        <v>203</v>
      </c>
      <c r="F122" s="29" t="s">
        <v>191</v>
      </c>
      <c r="G122" s="31" t="s">
        <v>192</v>
      </c>
      <c r="H122" s="29" t="s">
        <v>193</v>
      </c>
      <c r="I122" s="32">
        <v>9</v>
      </c>
      <c r="J122" s="33">
        <v>49</v>
      </c>
      <c r="K122" s="34">
        <v>0.08</v>
      </c>
      <c r="L122" s="33">
        <f t="shared" si="6"/>
        <v>405.72</v>
      </c>
      <c r="M122" s="29" t="s">
        <v>187</v>
      </c>
      <c r="N122" s="29" t="s">
        <v>173</v>
      </c>
      <c r="O122" s="29" t="s">
        <v>199</v>
      </c>
      <c r="P122">
        <f t="shared" si="7"/>
        <v>87</v>
      </c>
    </row>
    <row r="123" spans="1:16" ht="15" customHeight="1" x14ac:dyDescent="0.25">
      <c r="A123" s="29" t="s">
        <v>346</v>
      </c>
      <c r="B123" s="30">
        <v>45812</v>
      </c>
      <c r="C123" s="29" t="s">
        <v>166</v>
      </c>
      <c r="D123" s="29" t="s">
        <v>242</v>
      </c>
      <c r="E123" s="31" t="s">
        <v>243</v>
      </c>
      <c r="F123" s="29" t="s">
        <v>196</v>
      </c>
      <c r="G123" s="31" t="s">
        <v>197</v>
      </c>
      <c r="H123" s="29" t="s">
        <v>193</v>
      </c>
      <c r="I123" s="32">
        <v>4</v>
      </c>
      <c r="J123" s="33">
        <v>29</v>
      </c>
      <c r="K123" s="34">
        <v>0.12</v>
      </c>
      <c r="L123" s="33">
        <f t="shared" si="6"/>
        <v>102.08</v>
      </c>
      <c r="M123" s="29" t="s">
        <v>187</v>
      </c>
      <c r="N123" s="29" t="s">
        <v>226</v>
      </c>
      <c r="O123" s="29" t="s">
        <v>199</v>
      </c>
      <c r="P123">
        <f t="shared" si="7"/>
        <v>135</v>
      </c>
    </row>
    <row r="124" spans="1:16" ht="15" customHeight="1" x14ac:dyDescent="0.25">
      <c r="A124" s="29" t="s">
        <v>347</v>
      </c>
      <c r="B124" s="30">
        <v>45812</v>
      </c>
      <c r="C124" s="29" t="s">
        <v>166</v>
      </c>
      <c r="D124" s="29" t="s">
        <v>167</v>
      </c>
      <c r="E124" s="31" t="s">
        <v>168</v>
      </c>
      <c r="F124" s="29" t="s">
        <v>213</v>
      </c>
      <c r="G124" s="31" t="s">
        <v>214</v>
      </c>
      <c r="H124" s="29" t="s">
        <v>193</v>
      </c>
      <c r="I124" s="32">
        <v>2</v>
      </c>
      <c r="J124" s="33">
        <v>899</v>
      </c>
      <c r="K124" s="34">
        <v>0.14000000000000001</v>
      </c>
      <c r="L124" s="33">
        <f t="shared" si="6"/>
        <v>1546.28</v>
      </c>
      <c r="M124" s="29" t="s">
        <v>172</v>
      </c>
      <c r="N124" s="29" t="s">
        <v>226</v>
      </c>
      <c r="O124" s="29" t="s">
        <v>182</v>
      </c>
      <c r="P124">
        <f t="shared" si="7"/>
        <v>26</v>
      </c>
    </row>
    <row r="125" spans="1:16" ht="15" customHeight="1" x14ac:dyDescent="0.25">
      <c r="A125" s="29" t="s">
        <v>348</v>
      </c>
      <c r="B125" s="30">
        <v>45813</v>
      </c>
      <c r="C125" s="29" t="s">
        <v>166</v>
      </c>
      <c r="D125" s="29" t="s">
        <v>167</v>
      </c>
      <c r="E125" s="31" t="s">
        <v>168</v>
      </c>
      <c r="F125" s="29" t="s">
        <v>196</v>
      </c>
      <c r="G125" s="31" t="s">
        <v>197</v>
      </c>
      <c r="H125" s="29" t="s">
        <v>193</v>
      </c>
      <c r="I125" s="32">
        <v>3</v>
      </c>
      <c r="J125" s="33">
        <v>29</v>
      </c>
      <c r="K125" s="34">
        <v>0</v>
      </c>
      <c r="L125" s="33">
        <f t="shared" si="6"/>
        <v>87</v>
      </c>
      <c r="M125" s="29" t="s">
        <v>172</v>
      </c>
      <c r="N125" s="29" t="s">
        <v>173</v>
      </c>
      <c r="O125" s="29" t="s">
        <v>199</v>
      </c>
      <c r="P125">
        <f t="shared" si="7"/>
        <v>139</v>
      </c>
    </row>
    <row r="126" spans="1:16" ht="15" customHeight="1" x14ac:dyDescent="0.25">
      <c r="A126" s="29" t="s">
        <v>349</v>
      </c>
      <c r="B126" s="30">
        <v>45813</v>
      </c>
      <c r="C126" s="29" t="s">
        <v>184</v>
      </c>
      <c r="D126" s="29" t="s">
        <v>211</v>
      </c>
      <c r="E126" s="31" t="s">
        <v>212</v>
      </c>
      <c r="F126" s="29" t="s">
        <v>191</v>
      </c>
      <c r="G126" s="31" t="s">
        <v>192</v>
      </c>
      <c r="H126" s="29" t="s">
        <v>193</v>
      </c>
      <c r="I126" s="32">
        <v>6</v>
      </c>
      <c r="J126" s="33">
        <v>49</v>
      </c>
      <c r="K126" s="34">
        <v>0.05</v>
      </c>
      <c r="L126" s="33">
        <f t="shared" si="6"/>
        <v>279.3</v>
      </c>
      <c r="M126" s="29" t="s">
        <v>172</v>
      </c>
      <c r="N126" s="29" t="s">
        <v>173</v>
      </c>
      <c r="O126" s="29" t="s">
        <v>182</v>
      </c>
      <c r="P126">
        <f t="shared" si="7"/>
        <v>104</v>
      </c>
    </row>
    <row r="127" spans="1:16" ht="15" customHeight="1" x14ac:dyDescent="0.25">
      <c r="A127" s="29" t="s">
        <v>350</v>
      </c>
      <c r="B127" s="30">
        <v>45813</v>
      </c>
      <c r="C127" s="29" t="s">
        <v>201</v>
      </c>
      <c r="D127" s="29" t="s">
        <v>231</v>
      </c>
      <c r="E127" s="31" t="s">
        <v>232</v>
      </c>
      <c r="F127" s="29" t="s">
        <v>179</v>
      </c>
      <c r="G127" s="31" t="s">
        <v>180</v>
      </c>
      <c r="H127" s="29" t="s">
        <v>181</v>
      </c>
      <c r="I127" s="32">
        <v>51</v>
      </c>
      <c r="J127" s="33">
        <v>6.5</v>
      </c>
      <c r="K127" s="34">
        <v>0.13</v>
      </c>
      <c r="L127" s="33">
        <f t="shared" si="6"/>
        <v>288.41000000000003</v>
      </c>
      <c r="M127" s="29" t="s">
        <v>172</v>
      </c>
      <c r="N127" s="29" t="s">
        <v>226</v>
      </c>
      <c r="O127" s="29" t="s">
        <v>182</v>
      </c>
      <c r="P127">
        <f t="shared" si="7"/>
        <v>103</v>
      </c>
    </row>
    <row r="128" spans="1:16" ht="15" customHeight="1" x14ac:dyDescent="0.25">
      <c r="A128" s="29" t="s">
        <v>351</v>
      </c>
      <c r="B128" s="30">
        <v>45815</v>
      </c>
      <c r="C128" s="29" t="s">
        <v>201</v>
      </c>
      <c r="D128" s="29" t="s">
        <v>231</v>
      </c>
      <c r="E128" s="31" t="s">
        <v>232</v>
      </c>
      <c r="F128" s="29" t="s">
        <v>244</v>
      </c>
      <c r="G128" s="31" t="s">
        <v>245</v>
      </c>
      <c r="H128" s="29" t="s">
        <v>193</v>
      </c>
      <c r="I128" s="32">
        <v>4</v>
      </c>
      <c r="J128" s="33">
        <v>119</v>
      </c>
      <c r="K128" s="34">
        <v>0.03</v>
      </c>
      <c r="L128" s="33">
        <f t="shared" si="6"/>
        <v>461.72</v>
      </c>
      <c r="M128" s="29" t="s">
        <v>172</v>
      </c>
      <c r="N128" s="29" t="s">
        <v>173</v>
      </c>
      <c r="O128" s="29" t="s">
        <v>182</v>
      </c>
      <c r="P128">
        <f t="shared" si="7"/>
        <v>77</v>
      </c>
    </row>
    <row r="129" spans="1:16" ht="15" customHeight="1" x14ac:dyDescent="0.25">
      <c r="A129" s="29" t="s">
        <v>352</v>
      </c>
      <c r="B129" s="30">
        <v>45815</v>
      </c>
      <c r="C129" s="29" t="s">
        <v>201</v>
      </c>
      <c r="D129" s="29" t="s">
        <v>202</v>
      </c>
      <c r="E129" s="31" t="s">
        <v>203</v>
      </c>
      <c r="F129" s="29" t="s">
        <v>239</v>
      </c>
      <c r="G129" s="31" t="s">
        <v>240</v>
      </c>
      <c r="H129" s="29" t="s">
        <v>181</v>
      </c>
      <c r="I129" s="32">
        <v>52</v>
      </c>
      <c r="J129" s="33">
        <v>32</v>
      </c>
      <c r="K129" s="34">
        <v>0.08</v>
      </c>
      <c r="L129" s="33">
        <f t="shared" si="6"/>
        <v>1530.88</v>
      </c>
      <c r="M129" s="29" t="s">
        <v>172</v>
      </c>
      <c r="N129" s="29" t="s">
        <v>194</v>
      </c>
      <c r="O129" s="29" t="s">
        <v>199</v>
      </c>
      <c r="P129">
        <f t="shared" si="7"/>
        <v>29</v>
      </c>
    </row>
    <row r="130" spans="1:16" ht="15" customHeight="1" x14ac:dyDescent="0.25">
      <c r="A130" s="29" t="s">
        <v>353</v>
      </c>
      <c r="B130" s="30">
        <v>45817</v>
      </c>
      <c r="C130" s="29" t="s">
        <v>184</v>
      </c>
      <c r="D130" s="29" t="s">
        <v>185</v>
      </c>
      <c r="E130" s="31" t="s">
        <v>186</v>
      </c>
      <c r="F130" s="29" t="s">
        <v>213</v>
      </c>
      <c r="G130" s="31" t="s">
        <v>214</v>
      </c>
      <c r="H130" s="29" t="s">
        <v>193</v>
      </c>
      <c r="I130" s="32">
        <v>2</v>
      </c>
      <c r="J130" s="33">
        <v>899</v>
      </c>
      <c r="K130" s="34">
        <v>0</v>
      </c>
      <c r="L130" s="33">
        <f t="shared" si="6"/>
        <v>1798</v>
      </c>
      <c r="M130" s="29" t="s">
        <v>172</v>
      </c>
      <c r="N130" s="29" t="s">
        <v>194</v>
      </c>
      <c r="O130" s="29" t="s">
        <v>174</v>
      </c>
      <c r="P130">
        <f t="shared" si="7"/>
        <v>18</v>
      </c>
    </row>
    <row r="131" spans="1:16" ht="15" customHeight="1" x14ac:dyDescent="0.25">
      <c r="A131" s="29" t="s">
        <v>354</v>
      </c>
      <c r="B131" s="30">
        <v>45818</v>
      </c>
      <c r="C131" s="29" t="s">
        <v>166</v>
      </c>
      <c r="D131" s="29" t="s">
        <v>242</v>
      </c>
      <c r="E131" s="31" t="s">
        <v>243</v>
      </c>
      <c r="F131" s="29" t="s">
        <v>239</v>
      </c>
      <c r="G131" s="31" t="s">
        <v>240</v>
      </c>
      <c r="H131" s="29" t="s">
        <v>181</v>
      </c>
      <c r="I131" s="32">
        <v>29</v>
      </c>
      <c r="J131" s="33">
        <v>32</v>
      </c>
      <c r="K131" s="34">
        <v>0</v>
      </c>
      <c r="L131" s="33">
        <f t="shared" si="6"/>
        <v>928</v>
      </c>
      <c r="M131" s="29" t="s">
        <v>172</v>
      </c>
      <c r="N131" s="29" t="s">
        <v>194</v>
      </c>
      <c r="O131" s="29" t="s">
        <v>199</v>
      </c>
      <c r="P131">
        <f t="shared" si="7"/>
        <v>48</v>
      </c>
    </row>
    <row r="132" spans="1:16" ht="15" customHeight="1" x14ac:dyDescent="0.25">
      <c r="A132" s="29" t="s">
        <v>355</v>
      </c>
      <c r="B132" s="30">
        <v>45818</v>
      </c>
      <c r="C132" s="29" t="s">
        <v>176</v>
      </c>
      <c r="D132" s="29" t="s">
        <v>223</v>
      </c>
      <c r="E132" s="31" t="s">
        <v>224</v>
      </c>
      <c r="F132" s="29" t="s">
        <v>244</v>
      </c>
      <c r="G132" s="31" t="s">
        <v>245</v>
      </c>
      <c r="H132" s="29" t="s">
        <v>193</v>
      </c>
      <c r="I132" s="32">
        <v>5</v>
      </c>
      <c r="J132" s="33">
        <v>119</v>
      </c>
      <c r="K132" s="34">
        <v>0.08</v>
      </c>
      <c r="L132" s="33">
        <f t="shared" si="6"/>
        <v>547.4</v>
      </c>
      <c r="M132" s="29" t="s">
        <v>187</v>
      </c>
      <c r="N132" s="29" t="s">
        <v>173</v>
      </c>
      <c r="O132" s="29" t="s">
        <v>182</v>
      </c>
      <c r="P132">
        <f t="shared" si="7"/>
        <v>72</v>
      </c>
    </row>
    <row r="133" spans="1:16" ht="15" customHeight="1" x14ac:dyDescent="0.25">
      <c r="A133" s="29" t="s">
        <v>356</v>
      </c>
      <c r="B133" s="30">
        <v>45819</v>
      </c>
      <c r="C133" s="29" t="s">
        <v>166</v>
      </c>
      <c r="D133" s="29" t="s">
        <v>167</v>
      </c>
      <c r="E133" s="31" t="s">
        <v>168</v>
      </c>
      <c r="F133" s="29" t="s">
        <v>299</v>
      </c>
      <c r="G133" s="31" t="s">
        <v>300</v>
      </c>
      <c r="H133" s="29" t="s">
        <v>181</v>
      </c>
      <c r="I133" s="32">
        <v>54</v>
      </c>
      <c r="J133" s="33">
        <v>14</v>
      </c>
      <c r="K133" s="34">
        <v>0.18</v>
      </c>
      <c r="L133" s="33">
        <f t="shared" ref="L133:L154" si="8">ROUND(I133*J133*(1-K133),2)</f>
        <v>619.91999999999996</v>
      </c>
      <c r="M133" s="29" t="s">
        <v>198</v>
      </c>
      <c r="N133" s="29" t="s">
        <v>194</v>
      </c>
      <c r="O133" s="29" t="s">
        <v>182</v>
      </c>
      <c r="P133">
        <f t="shared" ref="P133:P154" si="9">RANK(L133,Sales_Revenue,0)</f>
        <v>69</v>
      </c>
    </row>
    <row r="134" spans="1:16" ht="15" customHeight="1" x14ac:dyDescent="0.25">
      <c r="A134" s="29" t="s">
        <v>357</v>
      </c>
      <c r="B134" s="30">
        <v>45820</v>
      </c>
      <c r="C134" s="29" t="s">
        <v>184</v>
      </c>
      <c r="D134" s="29" t="s">
        <v>211</v>
      </c>
      <c r="E134" s="31" t="s">
        <v>212</v>
      </c>
      <c r="F134" s="29" t="s">
        <v>191</v>
      </c>
      <c r="G134" s="31" t="s">
        <v>192</v>
      </c>
      <c r="H134" s="29" t="s">
        <v>193</v>
      </c>
      <c r="I134" s="32">
        <v>5</v>
      </c>
      <c r="J134" s="33">
        <v>49</v>
      </c>
      <c r="K134" s="34">
        <v>0.08</v>
      </c>
      <c r="L134" s="33">
        <f t="shared" si="8"/>
        <v>225.4</v>
      </c>
      <c r="M134" s="29" t="s">
        <v>172</v>
      </c>
      <c r="N134" s="29" t="s">
        <v>194</v>
      </c>
      <c r="O134" s="29" t="s">
        <v>174</v>
      </c>
      <c r="P134">
        <f t="shared" si="9"/>
        <v>114</v>
      </c>
    </row>
    <row r="135" spans="1:16" ht="15" customHeight="1" x14ac:dyDescent="0.25">
      <c r="A135" s="29" t="s">
        <v>358</v>
      </c>
      <c r="B135" s="30">
        <v>45820</v>
      </c>
      <c r="C135" s="29" t="s">
        <v>176</v>
      </c>
      <c r="D135" s="29" t="s">
        <v>177</v>
      </c>
      <c r="E135" s="31" t="s">
        <v>178</v>
      </c>
      <c r="F135" s="29" t="s">
        <v>196</v>
      </c>
      <c r="G135" s="31" t="s">
        <v>197</v>
      </c>
      <c r="H135" s="29" t="s">
        <v>193</v>
      </c>
      <c r="I135" s="32">
        <v>4</v>
      </c>
      <c r="J135" s="33">
        <v>29</v>
      </c>
      <c r="K135" s="34">
        <v>7.0000000000000007E-2</v>
      </c>
      <c r="L135" s="33">
        <f t="shared" si="8"/>
        <v>107.88</v>
      </c>
      <c r="M135" s="29" t="s">
        <v>172</v>
      </c>
      <c r="N135" s="29" t="s">
        <v>226</v>
      </c>
      <c r="O135" s="29" t="s">
        <v>199</v>
      </c>
      <c r="P135">
        <f t="shared" si="9"/>
        <v>132</v>
      </c>
    </row>
    <row r="136" spans="1:16" ht="15" customHeight="1" x14ac:dyDescent="0.25">
      <c r="A136" s="29" t="s">
        <v>359</v>
      </c>
      <c r="B136" s="30">
        <v>45821</v>
      </c>
      <c r="C136" s="29" t="s">
        <v>166</v>
      </c>
      <c r="D136" s="29" t="s">
        <v>242</v>
      </c>
      <c r="E136" s="31" t="s">
        <v>243</v>
      </c>
      <c r="F136" s="29" t="s">
        <v>191</v>
      </c>
      <c r="G136" s="31" t="s">
        <v>192</v>
      </c>
      <c r="H136" s="29" t="s">
        <v>193</v>
      </c>
      <c r="I136" s="32">
        <v>2</v>
      </c>
      <c r="J136" s="33">
        <v>49</v>
      </c>
      <c r="K136" s="34">
        <v>0.12</v>
      </c>
      <c r="L136" s="33">
        <f t="shared" si="8"/>
        <v>86.24</v>
      </c>
      <c r="M136" s="29" t="s">
        <v>172</v>
      </c>
      <c r="N136" s="29" t="s">
        <v>194</v>
      </c>
      <c r="O136" s="29" t="s">
        <v>199</v>
      </c>
      <c r="P136">
        <f t="shared" si="9"/>
        <v>140</v>
      </c>
    </row>
    <row r="137" spans="1:16" ht="15" customHeight="1" x14ac:dyDescent="0.25">
      <c r="A137" s="29" t="s">
        <v>360</v>
      </c>
      <c r="B137" s="30">
        <v>45821</v>
      </c>
      <c r="C137" s="29" t="s">
        <v>176</v>
      </c>
      <c r="D137" s="29" t="s">
        <v>189</v>
      </c>
      <c r="E137" s="31" t="s">
        <v>190</v>
      </c>
      <c r="F137" s="29" t="s">
        <v>191</v>
      </c>
      <c r="G137" s="31" t="s">
        <v>192</v>
      </c>
      <c r="H137" s="29" t="s">
        <v>193</v>
      </c>
      <c r="I137" s="32">
        <v>4</v>
      </c>
      <c r="J137" s="33">
        <v>49</v>
      </c>
      <c r="K137" s="34">
        <v>0.02</v>
      </c>
      <c r="L137" s="33">
        <f t="shared" si="8"/>
        <v>192.08</v>
      </c>
      <c r="M137" s="29" t="s">
        <v>172</v>
      </c>
      <c r="N137" s="29" t="s">
        <v>226</v>
      </c>
      <c r="O137" s="29" t="s">
        <v>199</v>
      </c>
      <c r="P137">
        <f t="shared" si="9"/>
        <v>119</v>
      </c>
    </row>
    <row r="138" spans="1:16" ht="15" customHeight="1" x14ac:dyDescent="0.25">
      <c r="A138" s="29" t="s">
        <v>361</v>
      </c>
      <c r="B138" s="30">
        <v>45822</v>
      </c>
      <c r="C138" s="29" t="s">
        <v>176</v>
      </c>
      <c r="D138" s="29" t="s">
        <v>189</v>
      </c>
      <c r="E138" s="31" t="s">
        <v>190</v>
      </c>
      <c r="F138" s="29" t="s">
        <v>244</v>
      </c>
      <c r="G138" s="31" t="s">
        <v>245</v>
      </c>
      <c r="H138" s="29" t="s">
        <v>193</v>
      </c>
      <c r="I138" s="32">
        <v>1</v>
      </c>
      <c r="J138" s="33">
        <v>119</v>
      </c>
      <c r="K138" s="34">
        <v>0.05</v>
      </c>
      <c r="L138" s="33">
        <f t="shared" si="8"/>
        <v>113.05</v>
      </c>
      <c r="M138" s="29" t="s">
        <v>187</v>
      </c>
      <c r="N138" s="29" t="s">
        <v>173</v>
      </c>
      <c r="O138" s="29" t="s">
        <v>182</v>
      </c>
      <c r="P138">
        <f t="shared" si="9"/>
        <v>131</v>
      </c>
    </row>
    <row r="139" spans="1:16" ht="15" customHeight="1" x14ac:dyDescent="0.25">
      <c r="A139" s="29" t="s">
        <v>362</v>
      </c>
      <c r="B139" s="30">
        <v>45822</v>
      </c>
      <c r="C139" s="29" t="s">
        <v>176</v>
      </c>
      <c r="D139" s="29" t="s">
        <v>177</v>
      </c>
      <c r="E139" s="31" t="s">
        <v>178</v>
      </c>
      <c r="F139" s="29" t="s">
        <v>244</v>
      </c>
      <c r="G139" s="31" t="s">
        <v>245</v>
      </c>
      <c r="H139" s="29" t="s">
        <v>193</v>
      </c>
      <c r="I139" s="32">
        <v>3</v>
      </c>
      <c r="J139" s="33">
        <v>119</v>
      </c>
      <c r="K139" s="34">
        <v>0.1</v>
      </c>
      <c r="L139" s="33">
        <f t="shared" si="8"/>
        <v>321.3</v>
      </c>
      <c r="M139" s="29" t="s">
        <v>198</v>
      </c>
      <c r="N139" s="29" t="s">
        <v>194</v>
      </c>
      <c r="O139" s="29" t="s">
        <v>182</v>
      </c>
      <c r="P139">
        <f t="shared" si="9"/>
        <v>99</v>
      </c>
    </row>
    <row r="140" spans="1:16" ht="15" customHeight="1" x14ac:dyDescent="0.25">
      <c r="A140" s="29" t="s">
        <v>363</v>
      </c>
      <c r="B140" s="30">
        <v>45823</v>
      </c>
      <c r="C140" s="29" t="s">
        <v>166</v>
      </c>
      <c r="D140" s="29" t="s">
        <v>167</v>
      </c>
      <c r="E140" s="31" t="s">
        <v>168</v>
      </c>
      <c r="F140" s="29" t="s">
        <v>244</v>
      </c>
      <c r="G140" s="31" t="s">
        <v>245</v>
      </c>
      <c r="H140" s="29" t="s">
        <v>193</v>
      </c>
      <c r="I140" s="32">
        <v>6</v>
      </c>
      <c r="J140" s="33">
        <v>119</v>
      </c>
      <c r="K140" s="34">
        <v>0.05</v>
      </c>
      <c r="L140" s="33">
        <f t="shared" si="8"/>
        <v>678.3</v>
      </c>
      <c r="M140" s="29" t="s">
        <v>172</v>
      </c>
      <c r="N140" s="29" t="s">
        <v>173</v>
      </c>
      <c r="O140" s="29" t="s">
        <v>182</v>
      </c>
      <c r="P140">
        <f t="shared" si="9"/>
        <v>64</v>
      </c>
    </row>
    <row r="141" spans="1:16" ht="15" customHeight="1" x14ac:dyDescent="0.25">
      <c r="A141" s="29" t="s">
        <v>364</v>
      </c>
      <c r="B141" s="30">
        <v>45825</v>
      </c>
      <c r="C141" s="29" t="s">
        <v>166</v>
      </c>
      <c r="D141" s="29" t="s">
        <v>242</v>
      </c>
      <c r="E141" s="31" t="s">
        <v>243</v>
      </c>
      <c r="F141" s="29" t="s">
        <v>244</v>
      </c>
      <c r="G141" s="31" t="s">
        <v>245</v>
      </c>
      <c r="H141" s="29" t="s">
        <v>193</v>
      </c>
      <c r="I141" s="32">
        <v>4</v>
      </c>
      <c r="J141" s="33">
        <v>119</v>
      </c>
      <c r="K141" s="34">
        <v>0</v>
      </c>
      <c r="L141" s="33">
        <f t="shared" si="8"/>
        <v>476</v>
      </c>
      <c r="M141" s="29" t="s">
        <v>172</v>
      </c>
      <c r="N141" s="29" t="s">
        <v>173</v>
      </c>
      <c r="O141" s="29" t="s">
        <v>174</v>
      </c>
      <c r="P141">
        <f t="shared" si="9"/>
        <v>76</v>
      </c>
    </row>
    <row r="142" spans="1:16" ht="15" customHeight="1" x14ac:dyDescent="0.25">
      <c r="A142" s="29" t="s">
        <v>365</v>
      </c>
      <c r="B142" s="30">
        <v>45825</v>
      </c>
      <c r="C142" s="29" t="s">
        <v>184</v>
      </c>
      <c r="D142" s="29" t="s">
        <v>211</v>
      </c>
      <c r="E142" s="31" t="s">
        <v>212</v>
      </c>
      <c r="F142" s="29" t="s">
        <v>169</v>
      </c>
      <c r="G142" s="31" t="s">
        <v>170</v>
      </c>
      <c r="H142" s="29" t="s">
        <v>171</v>
      </c>
      <c r="I142" s="32">
        <v>5</v>
      </c>
      <c r="J142" s="33">
        <v>499</v>
      </c>
      <c r="K142" s="34">
        <v>0.05</v>
      </c>
      <c r="L142" s="33">
        <f t="shared" si="8"/>
        <v>2370.25</v>
      </c>
      <c r="M142" s="29" t="s">
        <v>172</v>
      </c>
      <c r="N142" s="29" t="s">
        <v>194</v>
      </c>
      <c r="O142" s="29" t="s">
        <v>199</v>
      </c>
      <c r="P142">
        <f t="shared" si="9"/>
        <v>10</v>
      </c>
    </row>
    <row r="143" spans="1:16" ht="15" customHeight="1" x14ac:dyDescent="0.25">
      <c r="A143" s="29" t="s">
        <v>366</v>
      </c>
      <c r="B143" s="30">
        <v>45825</v>
      </c>
      <c r="C143" s="29" t="s">
        <v>176</v>
      </c>
      <c r="D143" s="29" t="s">
        <v>177</v>
      </c>
      <c r="E143" s="31" t="s">
        <v>178</v>
      </c>
      <c r="F143" s="29" t="s">
        <v>208</v>
      </c>
      <c r="G143" s="31" t="s">
        <v>209</v>
      </c>
      <c r="H143" s="29" t="s">
        <v>193</v>
      </c>
      <c r="I143" s="32">
        <v>3</v>
      </c>
      <c r="J143" s="33">
        <v>279</v>
      </c>
      <c r="K143" s="34">
        <v>0.1</v>
      </c>
      <c r="L143" s="33">
        <f t="shared" si="8"/>
        <v>753.3</v>
      </c>
      <c r="M143" s="29" t="s">
        <v>187</v>
      </c>
      <c r="N143" s="29" t="s">
        <v>173</v>
      </c>
      <c r="O143" s="29" t="s">
        <v>182</v>
      </c>
      <c r="P143">
        <f t="shared" si="9"/>
        <v>58</v>
      </c>
    </row>
    <row r="144" spans="1:16" ht="15" customHeight="1" x14ac:dyDescent="0.25">
      <c r="A144" s="29" t="s">
        <v>367</v>
      </c>
      <c r="B144" s="30">
        <v>45827</v>
      </c>
      <c r="C144" s="29" t="s">
        <v>184</v>
      </c>
      <c r="D144" s="29" t="s">
        <v>211</v>
      </c>
      <c r="E144" s="31" t="s">
        <v>212</v>
      </c>
      <c r="F144" s="29" t="s">
        <v>204</v>
      </c>
      <c r="G144" s="31" t="s">
        <v>205</v>
      </c>
      <c r="H144" s="29" t="s">
        <v>171</v>
      </c>
      <c r="I144" s="32">
        <v>4</v>
      </c>
      <c r="J144" s="33">
        <v>349</v>
      </c>
      <c r="K144" s="34">
        <v>0.12</v>
      </c>
      <c r="L144" s="33">
        <f t="shared" si="8"/>
        <v>1228.48</v>
      </c>
      <c r="M144" s="29" t="s">
        <v>172</v>
      </c>
      <c r="N144" s="29" t="s">
        <v>194</v>
      </c>
      <c r="O144" s="29" t="s">
        <v>182</v>
      </c>
      <c r="P144">
        <f t="shared" si="9"/>
        <v>41</v>
      </c>
    </row>
    <row r="145" spans="1:16" ht="15" customHeight="1" x14ac:dyDescent="0.25">
      <c r="A145" s="29" t="s">
        <v>368</v>
      </c>
      <c r="B145" s="30">
        <v>45827</v>
      </c>
      <c r="C145" s="29" t="s">
        <v>176</v>
      </c>
      <c r="D145" s="29" t="s">
        <v>177</v>
      </c>
      <c r="E145" s="31" t="s">
        <v>178</v>
      </c>
      <c r="F145" s="29" t="s">
        <v>196</v>
      </c>
      <c r="G145" s="31" t="s">
        <v>197</v>
      </c>
      <c r="H145" s="29" t="s">
        <v>193</v>
      </c>
      <c r="I145" s="32">
        <v>6</v>
      </c>
      <c r="J145" s="33">
        <v>29</v>
      </c>
      <c r="K145" s="34">
        <v>0.1</v>
      </c>
      <c r="L145" s="33">
        <f t="shared" si="8"/>
        <v>156.6</v>
      </c>
      <c r="M145" s="29" t="s">
        <v>198</v>
      </c>
      <c r="N145" s="29" t="s">
        <v>194</v>
      </c>
      <c r="O145" s="29" t="s">
        <v>174</v>
      </c>
      <c r="P145">
        <f t="shared" si="9"/>
        <v>125</v>
      </c>
    </row>
    <row r="146" spans="1:16" ht="15" customHeight="1" x14ac:dyDescent="0.25">
      <c r="A146" s="29" t="s">
        <v>369</v>
      </c>
      <c r="B146" s="30">
        <v>45828</v>
      </c>
      <c r="C146" s="29" t="s">
        <v>166</v>
      </c>
      <c r="D146" s="29" t="s">
        <v>167</v>
      </c>
      <c r="E146" s="31" t="s">
        <v>168</v>
      </c>
      <c r="F146" s="29" t="s">
        <v>235</v>
      </c>
      <c r="G146" s="31" t="s">
        <v>236</v>
      </c>
      <c r="H146" s="29" t="s">
        <v>171</v>
      </c>
      <c r="I146" s="32">
        <v>1</v>
      </c>
      <c r="J146" s="33">
        <v>189</v>
      </c>
      <c r="K146" s="34">
        <v>0.12</v>
      </c>
      <c r="L146" s="33">
        <f t="shared" si="8"/>
        <v>166.32</v>
      </c>
      <c r="M146" s="29" t="s">
        <v>198</v>
      </c>
      <c r="N146" s="29" t="s">
        <v>194</v>
      </c>
      <c r="O146" s="29" t="s">
        <v>182</v>
      </c>
      <c r="P146">
        <f t="shared" si="9"/>
        <v>123</v>
      </c>
    </row>
    <row r="147" spans="1:16" ht="15" customHeight="1" x14ac:dyDescent="0.25">
      <c r="A147" s="29" t="s">
        <v>370</v>
      </c>
      <c r="B147" s="30">
        <v>45830</v>
      </c>
      <c r="C147" s="29" t="s">
        <v>184</v>
      </c>
      <c r="D147" s="29" t="s">
        <v>185</v>
      </c>
      <c r="E147" s="31" t="s">
        <v>186</v>
      </c>
      <c r="F147" s="29" t="s">
        <v>204</v>
      </c>
      <c r="G147" s="31" t="s">
        <v>205</v>
      </c>
      <c r="H147" s="29" t="s">
        <v>171</v>
      </c>
      <c r="I147" s="32">
        <v>6</v>
      </c>
      <c r="J147" s="33">
        <v>349</v>
      </c>
      <c r="K147" s="34">
        <v>0.08</v>
      </c>
      <c r="L147" s="33">
        <f t="shared" si="8"/>
        <v>1926.48</v>
      </c>
      <c r="M147" s="29" t="s">
        <v>187</v>
      </c>
      <c r="N147" s="29" t="s">
        <v>173</v>
      </c>
      <c r="O147" s="29" t="s">
        <v>174</v>
      </c>
      <c r="P147">
        <f t="shared" si="9"/>
        <v>16</v>
      </c>
    </row>
    <row r="148" spans="1:16" ht="15" customHeight="1" x14ac:dyDescent="0.25">
      <c r="A148" s="29" t="s">
        <v>371</v>
      </c>
      <c r="B148" s="30">
        <v>45832</v>
      </c>
      <c r="C148" s="29" t="s">
        <v>184</v>
      </c>
      <c r="D148" s="29" t="s">
        <v>211</v>
      </c>
      <c r="E148" s="31" t="s">
        <v>212</v>
      </c>
      <c r="F148" s="29" t="s">
        <v>299</v>
      </c>
      <c r="G148" s="31" t="s">
        <v>300</v>
      </c>
      <c r="H148" s="29" t="s">
        <v>181</v>
      </c>
      <c r="I148" s="32">
        <v>25</v>
      </c>
      <c r="J148" s="33">
        <v>14</v>
      </c>
      <c r="K148" s="34">
        <v>0.08</v>
      </c>
      <c r="L148" s="33">
        <f t="shared" si="8"/>
        <v>322</v>
      </c>
      <c r="M148" s="29" t="s">
        <v>172</v>
      </c>
      <c r="N148" s="29" t="s">
        <v>194</v>
      </c>
      <c r="O148" s="29" t="s">
        <v>199</v>
      </c>
      <c r="P148">
        <f t="shared" si="9"/>
        <v>98</v>
      </c>
    </row>
    <row r="149" spans="1:16" ht="15" customHeight="1" x14ac:dyDescent="0.25">
      <c r="A149" s="29" t="s">
        <v>372</v>
      </c>
      <c r="B149" s="30">
        <v>45834</v>
      </c>
      <c r="C149" s="29" t="s">
        <v>166</v>
      </c>
      <c r="D149" s="29" t="s">
        <v>167</v>
      </c>
      <c r="E149" s="31" t="s">
        <v>168</v>
      </c>
      <c r="F149" s="29" t="s">
        <v>244</v>
      </c>
      <c r="G149" s="31" t="s">
        <v>245</v>
      </c>
      <c r="H149" s="29" t="s">
        <v>193</v>
      </c>
      <c r="I149" s="32">
        <v>5</v>
      </c>
      <c r="J149" s="33">
        <v>119</v>
      </c>
      <c r="K149" s="34">
        <v>0.02</v>
      </c>
      <c r="L149" s="33">
        <f t="shared" si="8"/>
        <v>583.1</v>
      </c>
      <c r="M149" s="29" t="s">
        <v>187</v>
      </c>
      <c r="N149" s="29" t="s">
        <v>226</v>
      </c>
      <c r="O149" s="29" t="s">
        <v>199</v>
      </c>
      <c r="P149">
        <f t="shared" si="9"/>
        <v>71</v>
      </c>
    </row>
    <row r="150" spans="1:16" ht="15" customHeight="1" x14ac:dyDescent="0.25">
      <c r="A150" s="29" t="s">
        <v>373</v>
      </c>
      <c r="B150" s="30">
        <v>45834</v>
      </c>
      <c r="C150" s="29" t="s">
        <v>176</v>
      </c>
      <c r="D150" s="29" t="s">
        <v>223</v>
      </c>
      <c r="E150" s="31" t="s">
        <v>224</v>
      </c>
      <c r="F150" s="29" t="s">
        <v>292</v>
      </c>
      <c r="G150" s="31" t="s">
        <v>293</v>
      </c>
      <c r="H150" s="29" t="s">
        <v>221</v>
      </c>
      <c r="I150" s="32">
        <v>5</v>
      </c>
      <c r="J150" s="33">
        <v>16</v>
      </c>
      <c r="K150" s="34">
        <v>0.05</v>
      </c>
      <c r="L150" s="33">
        <f t="shared" si="8"/>
        <v>76</v>
      </c>
      <c r="M150" s="29" t="s">
        <v>187</v>
      </c>
      <c r="N150" s="29" t="s">
        <v>173</v>
      </c>
      <c r="O150" s="29" t="s">
        <v>199</v>
      </c>
      <c r="P150">
        <f t="shared" si="9"/>
        <v>144</v>
      </c>
    </row>
    <row r="151" spans="1:16" ht="15" customHeight="1" x14ac:dyDescent="0.25">
      <c r="A151" s="29" t="s">
        <v>374</v>
      </c>
      <c r="B151" s="30">
        <v>45836</v>
      </c>
      <c r="C151" s="29" t="s">
        <v>176</v>
      </c>
      <c r="D151" s="29" t="s">
        <v>177</v>
      </c>
      <c r="E151" s="31" t="s">
        <v>178</v>
      </c>
      <c r="F151" s="29" t="s">
        <v>179</v>
      </c>
      <c r="G151" s="31" t="s">
        <v>180</v>
      </c>
      <c r="H151" s="29" t="s">
        <v>181</v>
      </c>
      <c r="I151" s="32">
        <v>43</v>
      </c>
      <c r="J151" s="33">
        <v>6.5</v>
      </c>
      <c r="K151" s="34">
        <v>0.08</v>
      </c>
      <c r="L151" s="33">
        <f t="shared" si="8"/>
        <v>257.14</v>
      </c>
      <c r="M151" s="29" t="s">
        <v>172</v>
      </c>
      <c r="N151" s="29" t="s">
        <v>194</v>
      </c>
      <c r="O151" s="29" t="s">
        <v>182</v>
      </c>
      <c r="P151">
        <f t="shared" si="9"/>
        <v>108</v>
      </c>
    </row>
    <row r="152" spans="1:16" ht="15" customHeight="1" x14ac:dyDescent="0.25">
      <c r="A152" s="29" t="s">
        <v>375</v>
      </c>
      <c r="B152" s="30">
        <v>45836</v>
      </c>
      <c r="C152" s="29" t="s">
        <v>201</v>
      </c>
      <c r="D152" s="29" t="s">
        <v>202</v>
      </c>
      <c r="E152" s="31" t="s">
        <v>203</v>
      </c>
      <c r="F152" s="29" t="s">
        <v>196</v>
      </c>
      <c r="G152" s="31" t="s">
        <v>197</v>
      </c>
      <c r="H152" s="29" t="s">
        <v>193</v>
      </c>
      <c r="I152" s="32">
        <v>2</v>
      </c>
      <c r="J152" s="33">
        <v>29</v>
      </c>
      <c r="K152" s="34">
        <v>0.15</v>
      </c>
      <c r="L152" s="33">
        <f t="shared" si="8"/>
        <v>49.3</v>
      </c>
      <c r="M152" s="29" t="s">
        <v>187</v>
      </c>
      <c r="N152" s="29" t="s">
        <v>226</v>
      </c>
      <c r="O152" s="29" t="s">
        <v>174</v>
      </c>
      <c r="P152">
        <f t="shared" si="9"/>
        <v>146</v>
      </c>
    </row>
    <row r="153" spans="1:16" ht="15" customHeight="1" x14ac:dyDescent="0.25">
      <c r="A153" s="29" t="s">
        <v>376</v>
      </c>
      <c r="B153" s="30">
        <v>45837</v>
      </c>
      <c r="C153" s="29" t="s">
        <v>176</v>
      </c>
      <c r="D153" s="29" t="s">
        <v>223</v>
      </c>
      <c r="E153" s="31" t="s">
        <v>224</v>
      </c>
      <c r="F153" s="29" t="s">
        <v>169</v>
      </c>
      <c r="G153" s="31" t="s">
        <v>170</v>
      </c>
      <c r="H153" s="29" t="s">
        <v>171</v>
      </c>
      <c r="I153" s="32">
        <v>2</v>
      </c>
      <c r="J153" s="33">
        <v>499</v>
      </c>
      <c r="K153" s="34">
        <v>0.15</v>
      </c>
      <c r="L153" s="33">
        <f t="shared" si="8"/>
        <v>848.3</v>
      </c>
      <c r="M153" s="29" t="s">
        <v>198</v>
      </c>
      <c r="N153" s="29" t="s">
        <v>173</v>
      </c>
      <c r="O153" s="29" t="s">
        <v>199</v>
      </c>
      <c r="P153">
        <f t="shared" si="9"/>
        <v>51</v>
      </c>
    </row>
    <row r="154" spans="1:16" ht="15" customHeight="1" x14ac:dyDescent="0.25">
      <c r="A154" s="29" t="s">
        <v>377</v>
      </c>
      <c r="B154" s="30">
        <v>45838</v>
      </c>
      <c r="C154" s="29" t="s">
        <v>176</v>
      </c>
      <c r="D154" s="29" t="s">
        <v>177</v>
      </c>
      <c r="E154" s="31" t="s">
        <v>178</v>
      </c>
      <c r="F154" s="29" t="s">
        <v>179</v>
      </c>
      <c r="G154" s="31" t="s">
        <v>180</v>
      </c>
      <c r="H154" s="29" t="s">
        <v>181</v>
      </c>
      <c r="I154" s="32">
        <v>36</v>
      </c>
      <c r="J154" s="33">
        <v>6.5</v>
      </c>
      <c r="K154" s="34">
        <v>0.17</v>
      </c>
      <c r="L154" s="33">
        <f t="shared" si="8"/>
        <v>194.22</v>
      </c>
      <c r="M154" s="29" t="s">
        <v>198</v>
      </c>
      <c r="N154" s="29" t="s">
        <v>226</v>
      </c>
      <c r="O154" s="29" t="s">
        <v>174</v>
      </c>
      <c r="P154">
        <f t="shared" si="9"/>
        <v>118</v>
      </c>
    </row>
    <row r="156" spans="1:16" ht="15" customHeight="1" x14ac:dyDescent="0.25">
      <c r="H156" s="35" t="s">
        <v>378</v>
      </c>
      <c r="I156" s="36" t="e">
        <f>SUM(#REF!)</f>
        <v>#REF!</v>
      </c>
      <c r="L156" s="37" t="e">
        <f>SUM(#REF!)</f>
        <v>#REF!</v>
      </c>
    </row>
  </sheetData>
  <autoFilter ref="A4:O154" xr:uid="{00000000-0009-0000-0000-000003000000}"/>
  <sortState xmlns:xlrd2="http://schemas.microsoft.com/office/spreadsheetml/2017/richdata2" ref="P5:P154">
    <sortCondition ref="P5:P154"/>
  </sortState>
  <mergeCells count="2">
    <mergeCell ref="A1:O1"/>
    <mergeCell ref="A2:O2"/>
  </mergeCells>
  <pageMargins left="0.75" right="0.75" top="1" bottom="1" header="0.511811023622047" footer="0.5"/>
  <pageSetup fitToHeight="0" orientation="portrait" horizontalDpi="300" verticalDpi="300" r:id="rId1"/>
  <headerFooter>
    <oddFooter>&amp;CConfidential assessment material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6C3483"/>
    <pageSetUpPr fitToPage="1"/>
  </sheetPr>
  <dimension ref="A1:G23"/>
  <sheetViews>
    <sheetView showGridLines="0" zoomScaleNormal="100" workbookViewId="0">
      <pane ySplit="4" topLeftCell="A5" activePane="bottomLeft" state="frozen"/>
      <selection pane="bottomLeft" activeCell="B8" sqref="B8:D8"/>
    </sheetView>
  </sheetViews>
  <sheetFormatPr defaultColWidth="8.7109375" defaultRowHeight="15" x14ac:dyDescent="0.25"/>
  <cols>
    <col min="1" max="1" width="16" customWidth="1"/>
    <col min="2" max="2" width="24" customWidth="1"/>
    <col min="3" max="3" width="18" customWidth="1"/>
    <col min="4" max="7" width="14" customWidth="1"/>
  </cols>
  <sheetData>
    <row r="1" spans="1:7" ht="21.75" customHeight="1" x14ac:dyDescent="0.25">
      <c r="A1" s="110" t="s">
        <v>379</v>
      </c>
      <c r="B1" s="88"/>
      <c r="C1" s="88"/>
      <c r="D1" s="88"/>
      <c r="E1" s="88"/>
      <c r="F1" s="88"/>
      <c r="G1" s="88"/>
    </row>
    <row r="2" spans="1:7" ht="15" customHeight="1" x14ac:dyDescent="0.25">
      <c r="A2" s="111" t="s">
        <v>380</v>
      </c>
      <c r="B2" s="88"/>
      <c r="C2" s="88"/>
      <c r="D2" s="88"/>
      <c r="E2" s="88"/>
      <c r="F2" s="88"/>
      <c r="G2" s="88"/>
    </row>
    <row r="4" spans="1:7" ht="15" customHeight="1" x14ac:dyDescent="0.25">
      <c r="A4" s="3" t="s">
        <v>155</v>
      </c>
      <c r="B4" s="3" t="s">
        <v>381</v>
      </c>
      <c r="C4" s="3" t="s">
        <v>157</v>
      </c>
      <c r="D4" s="3" t="s">
        <v>382</v>
      </c>
      <c r="E4" s="3" t="s">
        <v>383</v>
      </c>
      <c r="F4" s="3" t="s">
        <v>384</v>
      </c>
      <c r="G4" s="3" t="s">
        <v>385</v>
      </c>
    </row>
    <row r="5" spans="1:7" ht="15" customHeight="1" x14ac:dyDescent="0.25">
      <c r="A5" s="38" t="s">
        <v>213</v>
      </c>
      <c r="B5" s="38" t="s">
        <v>214</v>
      </c>
      <c r="C5" s="38" t="s">
        <v>193</v>
      </c>
      <c r="D5" s="39">
        <v>899</v>
      </c>
      <c r="E5" s="39">
        <v>620</v>
      </c>
      <c r="F5" s="38" t="s">
        <v>386</v>
      </c>
      <c r="G5" s="38" t="s">
        <v>387</v>
      </c>
    </row>
    <row r="6" spans="1:7" ht="15" customHeight="1" x14ac:dyDescent="0.25">
      <c r="A6" s="40" t="s">
        <v>196</v>
      </c>
      <c r="B6" s="40" t="s">
        <v>197</v>
      </c>
      <c r="C6" s="40" t="s">
        <v>193</v>
      </c>
      <c r="D6" s="41">
        <v>29</v>
      </c>
      <c r="E6" s="41">
        <v>11</v>
      </c>
      <c r="F6" s="40" t="s">
        <v>386</v>
      </c>
      <c r="G6" s="40" t="s">
        <v>387</v>
      </c>
    </row>
    <row r="7" spans="1:7" ht="15" customHeight="1" x14ac:dyDescent="0.25">
      <c r="A7" s="38" t="s">
        <v>191</v>
      </c>
      <c r="B7" s="38" t="s">
        <v>192</v>
      </c>
      <c r="C7" s="38" t="s">
        <v>193</v>
      </c>
      <c r="D7" s="39">
        <v>49</v>
      </c>
      <c r="E7" s="39">
        <v>18</v>
      </c>
      <c r="F7" s="38" t="s">
        <v>386</v>
      </c>
      <c r="G7" s="38" t="s">
        <v>388</v>
      </c>
    </row>
    <row r="8" spans="1:7" ht="15" customHeight="1" x14ac:dyDescent="0.25">
      <c r="A8" s="40" t="s">
        <v>208</v>
      </c>
      <c r="B8" s="40" t="s">
        <v>209</v>
      </c>
      <c r="C8" s="40" t="s">
        <v>193</v>
      </c>
      <c r="D8" s="41">
        <v>279</v>
      </c>
      <c r="E8" s="41">
        <v>165</v>
      </c>
      <c r="F8" s="40" t="s">
        <v>389</v>
      </c>
      <c r="G8" s="40" t="s">
        <v>387</v>
      </c>
    </row>
    <row r="9" spans="1:7" ht="15" customHeight="1" x14ac:dyDescent="0.25">
      <c r="A9" s="38" t="s">
        <v>244</v>
      </c>
      <c r="B9" s="38" t="s">
        <v>245</v>
      </c>
      <c r="C9" s="38" t="s">
        <v>193</v>
      </c>
      <c r="D9" s="39">
        <v>119</v>
      </c>
      <c r="E9" s="39">
        <v>54</v>
      </c>
      <c r="F9" s="38" t="s">
        <v>389</v>
      </c>
      <c r="G9" s="38" t="s">
        <v>388</v>
      </c>
    </row>
    <row r="10" spans="1:7" ht="15" customHeight="1" x14ac:dyDescent="0.25">
      <c r="A10" s="40" t="s">
        <v>204</v>
      </c>
      <c r="B10" s="40" t="s">
        <v>205</v>
      </c>
      <c r="C10" s="40" t="s">
        <v>171</v>
      </c>
      <c r="D10" s="41">
        <v>349</v>
      </c>
      <c r="E10" s="41">
        <v>190</v>
      </c>
      <c r="F10" s="40" t="s">
        <v>390</v>
      </c>
      <c r="G10" s="40" t="s">
        <v>391</v>
      </c>
    </row>
    <row r="11" spans="1:7" ht="15" customHeight="1" x14ac:dyDescent="0.25">
      <c r="A11" s="38" t="s">
        <v>169</v>
      </c>
      <c r="B11" s="38" t="s">
        <v>170</v>
      </c>
      <c r="C11" s="38" t="s">
        <v>171</v>
      </c>
      <c r="D11" s="39">
        <v>499</v>
      </c>
      <c r="E11" s="39">
        <v>275</v>
      </c>
      <c r="F11" s="38" t="s">
        <v>390</v>
      </c>
      <c r="G11" s="38" t="s">
        <v>391</v>
      </c>
    </row>
    <row r="12" spans="1:7" ht="15" customHeight="1" x14ac:dyDescent="0.25">
      <c r="A12" s="40" t="s">
        <v>235</v>
      </c>
      <c r="B12" s="40" t="s">
        <v>236</v>
      </c>
      <c r="C12" s="40" t="s">
        <v>171</v>
      </c>
      <c r="D12" s="41">
        <v>189</v>
      </c>
      <c r="E12" s="41">
        <v>95</v>
      </c>
      <c r="F12" s="40" t="s">
        <v>392</v>
      </c>
      <c r="G12" s="40" t="s">
        <v>391</v>
      </c>
    </row>
    <row r="13" spans="1:7" ht="15" customHeight="1" x14ac:dyDescent="0.25">
      <c r="A13" s="38" t="s">
        <v>179</v>
      </c>
      <c r="B13" s="38" t="s">
        <v>180</v>
      </c>
      <c r="C13" s="38" t="s">
        <v>181</v>
      </c>
      <c r="D13" s="39">
        <v>6.5</v>
      </c>
      <c r="E13" s="39">
        <v>3.1</v>
      </c>
      <c r="F13" s="38" t="s">
        <v>393</v>
      </c>
      <c r="G13" s="38" t="s">
        <v>394</v>
      </c>
    </row>
    <row r="14" spans="1:7" ht="15" customHeight="1" x14ac:dyDescent="0.25">
      <c r="A14" s="40" t="s">
        <v>299</v>
      </c>
      <c r="B14" s="40" t="s">
        <v>300</v>
      </c>
      <c r="C14" s="40" t="s">
        <v>181</v>
      </c>
      <c r="D14" s="41">
        <v>14</v>
      </c>
      <c r="E14" s="41">
        <v>5.5</v>
      </c>
      <c r="F14" s="40" t="s">
        <v>393</v>
      </c>
      <c r="G14" s="40" t="s">
        <v>394</v>
      </c>
    </row>
    <row r="15" spans="1:7" ht="15" customHeight="1" x14ac:dyDescent="0.25">
      <c r="A15" s="38" t="s">
        <v>239</v>
      </c>
      <c r="B15" s="38" t="s">
        <v>240</v>
      </c>
      <c r="C15" s="38" t="s">
        <v>181</v>
      </c>
      <c r="D15" s="39">
        <v>32</v>
      </c>
      <c r="E15" s="39">
        <v>12</v>
      </c>
      <c r="F15" s="38" t="s">
        <v>395</v>
      </c>
      <c r="G15" s="38" t="s">
        <v>394</v>
      </c>
    </row>
    <row r="16" spans="1:7" ht="15" customHeight="1" x14ac:dyDescent="0.25">
      <c r="A16" s="40" t="s">
        <v>219</v>
      </c>
      <c r="B16" s="40" t="s">
        <v>220</v>
      </c>
      <c r="C16" s="40" t="s">
        <v>221</v>
      </c>
      <c r="D16" s="41">
        <v>28</v>
      </c>
      <c r="E16" s="41">
        <v>11</v>
      </c>
      <c r="F16" s="40" t="s">
        <v>396</v>
      </c>
      <c r="G16" s="40" t="s">
        <v>397</v>
      </c>
    </row>
    <row r="17" spans="1:7" ht="15" customHeight="1" x14ac:dyDescent="0.25">
      <c r="A17" s="38" t="s">
        <v>228</v>
      </c>
      <c r="B17" s="38" t="s">
        <v>229</v>
      </c>
      <c r="C17" s="38" t="s">
        <v>221</v>
      </c>
      <c r="D17" s="39">
        <v>45</v>
      </c>
      <c r="E17" s="39">
        <v>18</v>
      </c>
      <c r="F17" s="38" t="s">
        <v>396</v>
      </c>
      <c r="G17" s="38" t="s">
        <v>397</v>
      </c>
    </row>
    <row r="18" spans="1:7" ht="15" customHeight="1" x14ac:dyDescent="0.25">
      <c r="A18" s="40" t="s">
        <v>292</v>
      </c>
      <c r="B18" s="40" t="s">
        <v>293</v>
      </c>
      <c r="C18" s="40" t="s">
        <v>221</v>
      </c>
      <c r="D18" s="41">
        <v>16</v>
      </c>
      <c r="E18" s="41">
        <v>5.5</v>
      </c>
      <c r="F18" s="40" t="s">
        <v>396</v>
      </c>
      <c r="G18" s="40" t="s">
        <v>397</v>
      </c>
    </row>
    <row r="20" spans="1:7" ht="15" customHeight="1" x14ac:dyDescent="0.25">
      <c r="A20" s="42" t="s">
        <v>398</v>
      </c>
    </row>
    <row r="21" spans="1:7" ht="15" customHeight="1" x14ac:dyDescent="0.25">
      <c r="A21" s="112" t="s">
        <v>399</v>
      </c>
      <c r="B21" s="88"/>
      <c r="C21" s="88"/>
      <c r="D21" s="88"/>
      <c r="E21" s="88"/>
      <c r="F21" s="88"/>
      <c r="G21" s="88"/>
    </row>
    <row r="22" spans="1:7" ht="15" customHeight="1" x14ac:dyDescent="0.25">
      <c r="A22" s="88"/>
      <c r="B22" s="88"/>
      <c r="C22" s="88"/>
      <c r="D22" s="88"/>
      <c r="E22" s="88"/>
      <c r="F22" s="88"/>
      <c r="G22" s="88"/>
    </row>
    <row r="23" spans="1:7" ht="15" customHeight="1" x14ac:dyDescent="0.25">
      <c r="A23" s="88"/>
      <c r="B23" s="88"/>
      <c r="C23" s="88"/>
      <c r="D23" s="88"/>
      <c r="E23" s="88"/>
      <c r="F23" s="88"/>
      <c r="G23" s="88"/>
    </row>
  </sheetData>
  <mergeCells count="3">
    <mergeCell ref="A21:G23"/>
    <mergeCell ref="A2:G2"/>
    <mergeCell ref="A1:G1"/>
  </mergeCells>
  <pageMargins left="0.75" right="0.75" top="1" bottom="1" header="0.511811023622047" footer="0.5"/>
  <pageSetup fitToHeight="0" orientation="portrait" horizontalDpi="300" verticalDpi="300" r:id="rId1"/>
  <headerFooter>
    <oddFooter>&amp;CConfidential assessment material</oddFoot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E8449"/>
    <pageSetUpPr fitToPage="1"/>
  </sheetPr>
  <dimension ref="A1:I36"/>
  <sheetViews>
    <sheetView showGridLines="0" zoomScaleNormal="100" workbookViewId="0">
      <pane ySplit="4" topLeftCell="A5" activePane="bottomLeft" state="frozen"/>
      <selection pane="bottomLeft" activeCell="F11" sqref="F11"/>
    </sheetView>
  </sheetViews>
  <sheetFormatPr defaultColWidth="8.7109375" defaultRowHeight="15" x14ac:dyDescent="0.25"/>
  <cols>
    <col min="1" max="1" width="12" customWidth="1"/>
    <col min="2" max="2" width="20" customWidth="1"/>
    <col min="3" max="3" width="16" customWidth="1"/>
    <col min="4" max="4" width="20" customWidth="1"/>
    <col min="5" max="7" width="14" customWidth="1"/>
    <col min="8" max="8" width="20" customWidth="1"/>
    <col min="9" max="9" width="14" customWidth="1"/>
  </cols>
  <sheetData>
    <row r="1" spans="1:9" ht="17.45" customHeight="1" x14ac:dyDescent="0.25">
      <c r="A1" s="110" t="s">
        <v>400</v>
      </c>
      <c r="B1" s="88"/>
      <c r="C1" s="88"/>
      <c r="D1" s="88"/>
      <c r="E1" s="88"/>
      <c r="F1" s="88"/>
      <c r="G1" s="88"/>
      <c r="H1" s="88"/>
      <c r="I1" s="88"/>
    </row>
    <row r="2" spans="1:9" ht="15" customHeight="1" x14ac:dyDescent="0.25">
      <c r="A2" s="111" t="s">
        <v>401</v>
      </c>
      <c r="B2" s="88"/>
      <c r="C2" s="88"/>
      <c r="D2" s="88"/>
      <c r="E2" s="88"/>
      <c r="F2" s="88"/>
      <c r="G2" s="88"/>
      <c r="H2" s="88"/>
      <c r="I2" s="88"/>
    </row>
    <row r="4" spans="1:9" ht="15" customHeight="1" x14ac:dyDescent="0.25">
      <c r="A4" s="3" t="s">
        <v>402</v>
      </c>
      <c r="B4" s="3" t="s">
        <v>403</v>
      </c>
      <c r="C4" s="3" t="s">
        <v>404</v>
      </c>
      <c r="D4" s="3" t="s">
        <v>405</v>
      </c>
      <c r="E4" s="3" t="s">
        <v>406</v>
      </c>
      <c r="F4" s="3" t="s">
        <v>407</v>
      </c>
      <c r="G4" s="3" t="s">
        <v>408</v>
      </c>
      <c r="H4" s="3" t="s">
        <v>409</v>
      </c>
      <c r="I4" s="3" t="s">
        <v>410</v>
      </c>
    </row>
    <row r="5" spans="1:9" ht="15" customHeight="1" x14ac:dyDescent="0.25">
      <c r="A5" s="38" t="s">
        <v>411</v>
      </c>
      <c r="B5" s="38" t="s">
        <v>412</v>
      </c>
      <c r="C5" s="38" t="s">
        <v>413</v>
      </c>
      <c r="D5" s="38" t="s">
        <v>414</v>
      </c>
      <c r="E5" s="38"/>
      <c r="F5" s="43">
        <v>92000</v>
      </c>
      <c r="G5" s="38" t="s">
        <v>189</v>
      </c>
      <c r="H5" s="44">
        <v>4.5999999999999996</v>
      </c>
      <c r="I5" s="45">
        <v>43171</v>
      </c>
    </row>
    <row r="6" spans="1:9" ht="15" customHeight="1" x14ac:dyDescent="0.25">
      <c r="A6" s="40" t="s">
        <v>415</v>
      </c>
      <c r="B6" s="40" t="s">
        <v>190</v>
      </c>
      <c r="C6" s="40" t="s">
        <v>413</v>
      </c>
      <c r="D6" s="40" t="s">
        <v>416</v>
      </c>
      <c r="E6" s="40" t="s">
        <v>411</v>
      </c>
      <c r="F6" s="46">
        <v>54000</v>
      </c>
      <c r="G6" s="40" t="s">
        <v>189</v>
      </c>
      <c r="H6" s="47">
        <v>4.0999999999999996</v>
      </c>
      <c r="I6" s="48">
        <v>44013</v>
      </c>
    </row>
    <row r="7" spans="1:9" ht="15" customHeight="1" x14ac:dyDescent="0.25">
      <c r="A7" s="38" t="s">
        <v>417</v>
      </c>
      <c r="B7" s="38" t="s">
        <v>168</v>
      </c>
      <c r="C7" s="38" t="s">
        <v>413</v>
      </c>
      <c r="D7" s="38" t="s">
        <v>416</v>
      </c>
      <c r="E7" s="38" t="s">
        <v>411</v>
      </c>
      <c r="F7" s="43">
        <v>58000</v>
      </c>
      <c r="G7" s="38" t="s">
        <v>167</v>
      </c>
      <c r="H7" s="44">
        <v>4.8</v>
      </c>
      <c r="I7" s="45">
        <v>43480</v>
      </c>
    </row>
    <row r="8" spans="1:9" ht="15" customHeight="1" x14ac:dyDescent="0.25">
      <c r="A8" s="40" t="s">
        <v>418</v>
      </c>
      <c r="B8" s="40" t="s">
        <v>224</v>
      </c>
      <c r="C8" s="40" t="s">
        <v>413</v>
      </c>
      <c r="D8" s="40" t="s">
        <v>416</v>
      </c>
      <c r="E8" s="40" t="s">
        <v>411</v>
      </c>
      <c r="F8" s="46">
        <v>51000</v>
      </c>
      <c r="G8" s="40" t="s">
        <v>223</v>
      </c>
      <c r="H8" s="47">
        <v>3.7</v>
      </c>
      <c r="I8" s="48">
        <v>44503</v>
      </c>
    </row>
    <row r="9" spans="1:9" ht="15" customHeight="1" x14ac:dyDescent="0.25">
      <c r="A9" s="38" t="s">
        <v>419</v>
      </c>
      <c r="B9" s="38" t="s">
        <v>203</v>
      </c>
      <c r="C9" s="38" t="s">
        <v>413</v>
      </c>
      <c r="D9" s="38" t="s">
        <v>416</v>
      </c>
      <c r="E9" s="38" t="s">
        <v>411</v>
      </c>
      <c r="F9" s="43">
        <v>56000</v>
      </c>
      <c r="G9" s="38" t="s">
        <v>202</v>
      </c>
      <c r="H9" s="44">
        <v>4.4000000000000004</v>
      </c>
      <c r="I9" s="45">
        <v>43881</v>
      </c>
    </row>
    <row r="10" spans="1:9" ht="15" customHeight="1" x14ac:dyDescent="0.25">
      <c r="A10" s="40" t="s">
        <v>420</v>
      </c>
      <c r="B10" s="40" t="s">
        <v>232</v>
      </c>
      <c r="C10" s="40" t="s">
        <v>413</v>
      </c>
      <c r="D10" s="40" t="s">
        <v>416</v>
      </c>
      <c r="E10" s="40" t="s">
        <v>411</v>
      </c>
      <c r="F10" s="46">
        <v>53000</v>
      </c>
      <c r="G10" s="40" t="s">
        <v>231</v>
      </c>
      <c r="H10" s="47">
        <v>3.9</v>
      </c>
      <c r="I10" s="48">
        <v>44690</v>
      </c>
    </row>
    <row r="11" spans="1:9" ht="15" customHeight="1" x14ac:dyDescent="0.25">
      <c r="A11" s="38" t="s">
        <v>421</v>
      </c>
      <c r="B11" s="38" t="s">
        <v>178</v>
      </c>
      <c r="C11" s="38" t="s">
        <v>413</v>
      </c>
      <c r="D11" s="38" t="s">
        <v>416</v>
      </c>
      <c r="E11" s="38" t="s">
        <v>411</v>
      </c>
      <c r="F11" s="43">
        <v>55000</v>
      </c>
      <c r="G11" s="38" t="s">
        <v>177</v>
      </c>
      <c r="H11" s="44">
        <v>4.2</v>
      </c>
      <c r="I11" s="45">
        <v>43726</v>
      </c>
    </row>
    <row r="12" spans="1:9" ht="15" customHeight="1" x14ac:dyDescent="0.25">
      <c r="A12" s="40" t="s">
        <v>422</v>
      </c>
      <c r="B12" s="40" t="s">
        <v>243</v>
      </c>
      <c r="C12" s="40" t="s">
        <v>413</v>
      </c>
      <c r="D12" s="40" t="s">
        <v>416</v>
      </c>
      <c r="E12" s="40" t="s">
        <v>411</v>
      </c>
      <c r="F12" s="46">
        <v>50000</v>
      </c>
      <c r="G12" s="40" t="s">
        <v>242</v>
      </c>
      <c r="H12" s="47">
        <v>3.5</v>
      </c>
      <c r="I12" s="48">
        <v>45020</v>
      </c>
    </row>
    <row r="13" spans="1:9" ht="15" customHeight="1" x14ac:dyDescent="0.25">
      <c r="A13" s="38" t="s">
        <v>423</v>
      </c>
      <c r="B13" s="38" t="s">
        <v>424</v>
      </c>
      <c r="C13" s="38" t="s">
        <v>425</v>
      </c>
      <c r="D13" s="38" t="s">
        <v>426</v>
      </c>
      <c r="E13" s="38"/>
      <c r="F13" s="43">
        <v>98000</v>
      </c>
      <c r="G13" s="38" t="s">
        <v>189</v>
      </c>
      <c r="H13" s="44">
        <v>4.7</v>
      </c>
      <c r="I13" s="45">
        <v>42887</v>
      </c>
    </row>
    <row r="14" spans="1:9" ht="15" customHeight="1" x14ac:dyDescent="0.25">
      <c r="A14" s="40" t="s">
        <v>427</v>
      </c>
      <c r="B14" s="40" t="s">
        <v>428</v>
      </c>
      <c r="C14" s="40" t="s">
        <v>425</v>
      </c>
      <c r="D14" s="40" t="s">
        <v>429</v>
      </c>
      <c r="E14" s="40" t="s">
        <v>423</v>
      </c>
      <c r="F14" s="46">
        <v>62000</v>
      </c>
      <c r="G14" s="40" t="s">
        <v>189</v>
      </c>
      <c r="H14" s="47">
        <v>4</v>
      </c>
      <c r="I14" s="48">
        <v>44424</v>
      </c>
    </row>
    <row r="15" spans="1:9" ht="15" customHeight="1" x14ac:dyDescent="0.25">
      <c r="A15" s="38" t="s">
        <v>430</v>
      </c>
      <c r="B15" s="38" t="s">
        <v>431</v>
      </c>
      <c r="C15" s="38" t="s">
        <v>432</v>
      </c>
      <c r="D15" s="38" t="s">
        <v>433</v>
      </c>
      <c r="E15" s="38"/>
      <c r="F15" s="43">
        <v>88000</v>
      </c>
      <c r="G15" s="38" t="s">
        <v>211</v>
      </c>
      <c r="H15" s="44">
        <v>4.3</v>
      </c>
      <c r="I15" s="45">
        <v>43395</v>
      </c>
    </row>
    <row r="16" spans="1:9" ht="15" customHeight="1" x14ac:dyDescent="0.25">
      <c r="A16" s="40" t="s">
        <v>434</v>
      </c>
      <c r="B16" s="40" t="s">
        <v>435</v>
      </c>
      <c r="C16" s="40" t="s">
        <v>432</v>
      </c>
      <c r="D16" s="40" t="s">
        <v>436</v>
      </c>
      <c r="E16" s="40" t="s">
        <v>430</v>
      </c>
      <c r="F16" s="46">
        <v>46000</v>
      </c>
      <c r="G16" s="40" t="s">
        <v>211</v>
      </c>
      <c r="H16" s="47">
        <v>3.8</v>
      </c>
      <c r="I16" s="48">
        <v>44571</v>
      </c>
    </row>
    <row r="17" spans="1:9" ht="15" customHeight="1" x14ac:dyDescent="0.25">
      <c r="A17" s="38" t="s">
        <v>437</v>
      </c>
      <c r="B17" s="38" t="s">
        <v>438</v>
      </c>
      <c r="C17" s="38" t="s">
        <v>439</v>
      </c>
      <c r="D17" s="38" t="s">
        <v>440</v>
      </c>
      <c r="E17" s="38"/>
      <c r="F17" s="43">
        <v>84000</v>
      </c>
      <c r="G17" s="38" t="s">
        <v>231</v>
      </c>
      <c r="H17" s="44">
        <v>4.5</v>
      </c>
      <c r="I17" s="45">
        <v>42709</v>
      </c>
    </row>
    <row r="18" spans="1:9" ht="15" customHeight="1" x14ac:dyDescent="0.25">
      <c r="A18" s="40" t="s">
        <v>441</v>
      </c>
      <c r="B18" s="40" t="s">
        <v>442</v>
      </c>
      <c r="C18" s="40" t="s">
        <v>439</v>
      </c>
      <c r="D18" s="40" t="s">
        <v>443</v>
      </c>
      <c r="E18" s="40" t="s">
        <v>437</v>
      </c>
      <c r="F18" s="46">
        <v>42000</v>
      </c>
      <c r="G18" s="40" t="s">
        <v>231</v>
      </c>
      <c r="H18" s="47">
        <v>3.6</v>
      </c>
      <c r="I18" s="48">
        <v>44971</v>
      </c>
    </row>
    <row r="21" spans="1:9" ht="15" customHeight="1" x14ac:dyDescent="0.25">
      <c r="A21" s="49" t="s">
        <v>444</v>
      </c>
      <c r="D21" s="113" t="s">
        <v>445</v>
      </c>
      <c r="E21" s="88"/>
      <c r="F21" s="88"/>
      <c r="G21" s="88"/>
      <c r="H21" s="88"/>
      <c r="I21" s="88"/>
    </row>
    <row r="22" spans="1:9" ht="15" customHeight="1" x14ac:dyDescent="0.25">
      <c r="A22" s="6" t="s">
        <v>402</v>
      </c>
      <c r="B22" s="6" t="s">
        <v>446</v>
      </c>
      <c r="D22" s="88"/>
      <c r="E22" s="88"/>
      <c r="F22" s="88"/>
      <c r="G22" s="88"/>
      <c r="H22" s="88"/>
      <c r="I22" s="88"/>
    </row>
    <row r="23" spans="1:9" ht="15" customHeight="1" x14ac:dyDescent="0.25">
      <c r="A23" s="50" t="s">
        <v>411</v>
      </c>
      <c r="B23" s="50" t="str">
        <f>IF(E5="","— Head of department",IFERROR(INDEX(Employees[FullName],MATCH(E5,Employees[EmpID],0)),"Not found"))</f>
        <v>— Head of department</v>
      </c>
      <c r="D23" s="88"/>
      <c r="E23" s="88"/>
      <c r="F23" s="88"/>
      <c r="G23" s="88"/>
      <c r="H23" s="88"/>
      <c r="I23" s="88"/>
    </row>
    <row r="24" spans="1:9" ht="15" customHeight="1" x14ac:dyDescent="0.25">
      <c r="A24" s="50" t="s">
        <v>415</v>
      </c>
      <c r="B24" s="50" t="str">
        <f>IF(E6="","— Head of department",IFERROR(INDEX(Employees[FullName],MATCH(E6,Employees[EmpID],0)),"Not found"))</f>
        <v>Aisha Khan</v>
      </c>
    </row>
    <row r="25" spans="1:9" ht="15" customHeight="1" x14ac:dyDescent="0.25">
      <c r="A25" s="50" t="s">
        <v>417</v>
      </c>
      <c r="B25" s="50" t="str">
        <f>IF(E7="","— Head of department",IFERROR(INDEX(Employees[FullName],MATCH(E7,Employees[EmpID],0)),"Not found"))</f>
        <v>Aisha Khan</v>
      </c>
    </row>
    <row r="26" spans="1:9" ht="15" customHeight="1" x14ac:dyDescent="0.25">
      <c r="A26" s="50" t="s">
        <v>418</v>
      </c>
      <c r="B26" s="50" t="str">
        <f>IF(E8="","— Head of department",IFERROR(INDEX(Employees[FullName],MATCH(E8,Employees[EmpID],0)),"Not found"))</f>
        <v>Aisha Khan</v>
      </c>
    </row>
    <row r="27" spans="1:9" ht="15" customHeight="1" x14ac:dyDescent="0.25">
      <c r="A27" s="50" t="s">
        <v>419</v>
      </c>
      <c r="B27" s="50" t="str">
        <f>IF(E9="","— Head of department",IFERROR(INDEX(Employees[FullName],MATCH(E9,Employees[EmpID],0)),"Not found"))</f>
        <v>Aisha Khan</v>
      </c>
    </row>
    <row r="28" spans="1:9" ht="15" customHeight="1" x14ac:dyDescent="0.25">
      <c r="A28" s="50" t="s">
        <v>420</v>
      </c>
      <c r="B28" s="50" t="str">
        <f>IF(E10="","— Head of department",IFERROR(INDEX(Employees[FullName],MATCH(E10,Employees[EmpID],0)),"Not found"))</f>
        <v>Aisha Khan</v>
      </c>
    </row>
    <row r="29" spans="1:9" ht="15" customHeight="1" x14ac:dyDescent="0.25">
      <c r="A29" s="50" t="s">
        <v>421</v>
      </c>
      <c r="B29" s="50" t="str">
        <f>IF(E11="","— Head of department",IFERROR(INDEX(Employees[FullName],MATCH(E11,Employees[EmpID],0)),"Not found"))</f>
        <v>Aisha Khan</v>
      </c>
    </row>
    <row r="30" spans="1:9" ht="15" customHeight="1" x14ac:dyDescent="0.25">
      <c r="A30" s="50" t="s">
        <v>422</v>
      </c>
      <c r="B30" s="50" t="str">
        <f>IF(E12="","— Head of department",IFERROR(INDEX(Employees[FullName],MATCH(E12,Employees[EmpID],0)),"Not found"))</f>
        <v>Aisha Khan</v>
      </c>
    </row>
    <row r="31" spans="1:9" ht="15" customHeight="1" x14ac:dyDescent="0.25">
      <c r="A31" s="50" t="s">
        <v>423</v>
      </c>
      <c r="B31" s="50" t="str">
        <f>IF(E13="","— Head of department",IFERROR(INDEX(Employees[FullName],MATCH(E13,Employees[EmpID],0)),"Not found"))</f>
        <v>— Head of department</v>
      </c>
    </row>
    <row r="32" spans="1:9" ht="15" customHeight="1" x14ac:dyDescent="0.25">
      <c r="A32" s="50" t="s">
        <v>427</v>
      </c>
      <c r="B32" s="50" t="str">
        <f>IF(E14="","— Head of department",IFERROR(INDEX(Employees[FullName],MATCH(E14,Employees[EmpID],0)),"Not found"))</f>
        <v>Meera Iyer</v>
      </c>
    </row>
    <row r="33" spans="1:2" ht="15" customHeight="1" x14ac:dyDescent="0.25">
      <c r="A33" s="50" t="s">
        <v>430</v>
      </c>
      <c r="B33" s="50" t="str">
        <f>IF(E15="","— Head of department",IFERROR(INDEX(Employees[FullName],MATCH(E15,Employees[EmpID],0)),"Not found"))</f>
        <v>— Head of department</v>
      </c>
    </row>
    <row r="34" spans="1:2" ht="15" customHeight="1" x14ac:dyDescent="0.25">
      <c r="A34" s="50" t="s">
        <v>434</v>
      </c>
      <c r="B34" s="50" t="str">
        <f>IF(E16="","— Head of department",IFERROR(INDEX(Employees[FullName],MATCH(E16,Employees[EmpID],0)),"Not found"))</f>
        <v>Anita Bose</v>
      </c>
    </row>
    <row r="35" spans="1:2" ht="15" customHeight="1" x14ac:dyDescent="0.25">
      <c r="A35" s="50" t="s">
        <v>437</v>
      </c>
      <c r="B35" s="50" t="str">
        <f>IF(E17="","— Head of department",IFERROR(INDEX(Employees[FullName],MATCH(E17,Employees[EmpID],0)),"Not found"))</f>
        <v>— Head of department</v>
      </c>
    </row>
    <row r="36" spans="1:2" ht="15" customHeight="1" x14ac:dyDescent="0.25">
      <c r="A36" s="50" t="s">
        <v>441</v>
      </c>
      <c r="B36" s="50" t="str">
        <f>IF(E18="","— Head of department",IFERROR(INDEX(Employees[FullName],MATCH(E18,Employees[EmpID],0)),"Not found"))</f>
        <v>Leena Joseph</v>
      </c>
    </row>
  </sheetData>
  <mergeCells count="3">
    <mergeCell ref="A1:I1"/>
    <mergeCell ref="D21:I23"/>
    <mergeCell ref="A2:I2"/>
  </mergeCells>
  <pageMargins left="0.75" right="0.75" top="1" bottom="1" header="0.511811023622047" footer="0.5"/>
  <pageSetup fitToHeight="0" orientation="portrait" horizontalDpi="300" verticalDpi="300"/>
  <headerFooter>
    <oddFooter>&amp;CConfidential assessment material</oddFoot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B9770E"/>
    <pageSetUpPr fitToPage="1"/>
  </sheetPr>
  <dimension ref="A1:H29"/>
  <sheetViews>
    <sheetView showGridLines="0" zoomScaleNormal="100" workbookViewId="0">
      <selection sqref="A1:H1"/>
    </sheetView>
  </sheetViews>
  <sheetFormatPr defaultColWidth="8.7109375" defaultRowHeight="15" x14ac:dyDescent="0.25"/>
  <cols>
    <col min="1" max="1" width="20" customWidth="1"/>
    <col min="2" max="2" width="16" customWidth="1"/>
    <col min="3" max="7" width="14" customWidth="1"/>
    <col min="8" max="8" width="16" customWidth="1"/>
  </cols>
  <sheetData>
    <row r="1" spans="1:8" ht="17.45" customHeight="1" x14ac:dyDescent="0.25">
      <c r="A1" s="110" t="s">
        <v>447</v>
      </c>
      <c r="B1" s="88"/>
      <c r="C1" s="88"/>
      <c r="D1" s="88"/>
      <c r="E1" s="88"/>
      <c r="F1" s="88"/>
      <c r="G1" s="88"/>
      <c r="H1" s="88"/>
    </row>
    <row r="2" spans="1:8" ht="15" customHeight="1" x14ac:dyDescent="0.25">
      <c r="A2" s="91" t="s">
        <v>448</v>
      </c>
      <c r="B2" s="88"/>
      <c r="C2" s="88"/>
      <c r="D2" s="88"/>
      <c r="E2" s="88"/>
      <c r="F2" s="88"/>
      <c r="G2" s="88"/>
      <c r="H2" s="88"/>
    </row>
    <row r="4" spans="1:8" ht="15" customHeight="1" x14ac:dyDescent="0.25">
      <c r="A4" s="3" t="s">
        <v>449</v>
      </c>
      <c r="B4" s="3" t="s">
        <v>450</v>
      </c>
      <c r="C4" s="3" t="s">
        <v>451</v>
      </c>
      <c r="D4" s="3" t="s">
        <v>452</v>
      </c>
      <c r="E4" s="3" t="s">
        <v>453</v>
      </c>
      <c r="F4" s="3" t="s">
        <v>454</v>
      </c>
      <c r="G4" s="3" t="s">
        <v>455</v>
      </c>
    </row>
    <row r="5" spans="1:8" ht="15" customHeight="1" x14ac:dyDescent="0.25">
      <c r="A5" s="8" t="s">
        <v>456</v>
      </c>
      <c r="B5" s="51">
        <v>38000</v>
      </c>
      <c r="C5" s="51">
        <v>40000</v>
      </c>
      <c r="D5" s="51">
        <v>52000</v>
      </c>
      <c r="E5" s="51">
        <v>45000</v>
      </c>
      <c r="F5" s="51">
        <v>42000</v>
      </c>
      <c r="G5" s="51">
        <v>55000</v>
      </c>
    </row>
    <row r="6" spans="1:8" ht="15" customHeight="1" x14ac:dyDescent="0.25">
      <c r="A6" s="8" t="s">
        <v>457</v>
      </c>
      <c r="B6" s="52">
        <v>280</v>
      </c>
      <c r="C6" s="52">
        <v>300</v>
      </c>
      <c r="D6" s="52">
        <v>380</v>
      </c>
      <c r="E6" s="52">
        <v>320</v>
      </c>
      <c r="F6" s="52">
        <v>300</v>
      </c>
      <c r="G6" s="52">
        <v>400</v>
      </c>
    </row>
    <row r="7" spans="1:8" ht="15" customHeight="1" x14ac:dyDescent="0.25">
      <c r="A7" s="8" t="s">
        <v>458</v>
      </c>
      <c r="B7" s="53">
        <v>0.04</v>
      </c>
      <c r="C7" s="53">
        <v>0.04</v>
      </c>
      <c r="D7" s="53">
        <v>0.05</v>
      </c>
      <c r="E7" s="53">
        <v>0.04</v>
      </c>
      <c r="F7" s="53">
        <v>0.04</v>
      </c>
      <c r="G7" s="53">
        <v>0.05</v>
      </c>
    </row>
    <row r="8" spans="1:8" ht="15" customHeight="1" x14ac:dyDescent="0.25">
      <c r="A8" s="8" t="s">
        <v>459</v>
      </c>
      <c r="B8" s="54">
        <v>62</v>
      </c>
      <c r="C8" s="54">
        <v>64</v>
      </c>
      <c r="D8" s="54">
        <v>66</v>
      </c>
      <c r="E8" s="54">
        <v>65</v>
      </c>
      <c r="F8" s="54">
        <v>64</v>
      </c>
      <c r="G8" s="54">
        <v>68</v>
      </c>
    </row>
    <row r="11" spans="1:8" ht="15" customHeight="1" x14ac:dyDescent="0.25">
      <c r="A11" s="71" t="s">
        <v>460</v>
      </c>
    </row>
    <row r="12" spans="1:8" ht="15" customHeight="1" x14ac:dyDescent="0.25">
      <c r="A12" s="114" t="s">
        <v>461</v>
      </c>
      <c r="B12" s="88"/>
      <c r="C12" s="88"/>
      <c r="D12" s="88"/>
    </row>
    <row r="14" spans="1:8" ht="23.85" customHeight="1" x14ac:dyDescent="0.25">
      <c r="A14" s="55" t="s">
        <v>462</v>
      </c>
      <c r="B14" s="55" t="s">
        <v>463</v>
      </c>
      <c r="D14" s="115" t="s">
        <v>464</v>
      </c>
      <c r="E14" s="88"/>
      <c r="F14" s="88"/>
      <c r="G14" s="88"/>
      <c r="H14" s="88"/>
    </row>
    <row r="15" spans="1:8" ht="15" customHeight="1" x14ac:dyDescent="0.25">
      <c r="A15" s="51">
        <v>0</v>
      </c>
      <c r="B15" s="53">
        <v>0.02</v>
      </c>
      <c r="D15" s="88"/>
      <c r="E15" s="88"/>
      <c r="F15" s="88"/>
      <c r="G15" s="88"/>
      <c r="H15" s="88"/>
    </row>
    <row r="16" spans="1:8" ht="15" customHeight="1" x14ac:dyDescent="0.25">
      <c r="A16" s="51">
        <v>25000</v>
      </c>
      <c r="B16" s="53">
        <v>0.03</v>
      </c>
      <c r="D16" s="88"/>
      <c r="E16" s="88"/>
      <c r="F16" s="88"/>
      <c r="G16" s="88"/>
      <c r="H16" s="88"/>
    </row>
    <row r="17" spans="1:8" ht="15" customHeight="1" x14ac:dyDescent="0.25">
      <c r="A17" s="51">
        <v>50000</v>
      </c>
      <c r="B17" s="53">
        <v>4.4999999999999998E-2</v>
      </c>
      <c r="D17" s="88"/>
      <c r="E17" s="88"/>
      <c r="F17" s="88"/>
      <c r="G17" s="88"/>
      <c r="H17" s="88"/>
    </row>
    <row r="18" spans="1:8" ht="15" customHeight="1" x14ac:dyDescent="0.25">
      <c r="A18" s="51">
        <v>100000</v>
      </c>
      <c r="B18" s="53">
        <v>0.06</v>
      </c>
    </row>
    <row r="19" spans="1:8" ht="15" customHeight="1" x14ac:dyDescent="0.25">
      <c r="A19" s="51">
        <v>150000</v>
      </c>
      <c r="B19" s="53">
        <v>0.08</v>
      </c>
    </row>
    <row r="22" spans="1:8" ht="15" customHeight="1" x14ac:dyDescent="0.25">
      <c r="A22" s="49" t="s">
        <v>465</v>
      </c>
    </row>
    <row r="23" spans="1:8" ht="15" customHeight="1" x14ac:dyDescent="0.25">
      <c r="A23" s="6" t="s">
        <v>466</v>
      </c>
      <c r="B23" s="6" t="s">
        <v>467</v>
      </c>
    </row>
    <row r="24" spans="1:8" ht="15" customHeight="1" x14ac:dyDescent="0.25">
      <c r="A24" s="56">
        <v>1</v>
      </c>
      <c r="B24" s="56" t="s">
        <v>450</v>
      </c>
    </row>
    <row r="25" spans="1:8" ht="15" customHeight="1" x14ac:dyDescent="0.25">
      <c r="A25" s="56">
        <v>2</v>
      </c>
      <c r="B25" s="56" t="s">
        <v>451</v>
      </c>
    </row>
    <row r="26" spans="1:8" ht="15" customHeight="1" x14ac:dyDescent="0.25">
      <c r="A26" s="56">
        <v>3</v>
      </c>
      <c r="B26" s="56" t="s">
        <v>452</v>
      </c>
    </row>
    <row r="27" spans="1:8" ht="15" customHeight="1" x14ac:dyDescent="0.25">
      <c r="A27" s="56">
        <v>4</v>
      </c>
      <c r="B27" s="56" t="s">
        <v>453</v>
      </c>
    </row>
    <row r="28" spans="1:8" ht="15" customHeight="1" x14ac:dyDescent="0.25">
      <c r="A28" s="56">
        <v>5</v>
      </c>
      <c r="B28" s="56" t="s">
        <v>454</v>
      </c>
    </row>
    <row r="29" spans="1:8" ht="15" customHeight="1" x14ac:dyDescent="0.25">
      <c r="A29" s="56">
        <v>6</v>
      </c>
      <c r="B29" s="56" t="s">
        <v>455</v>
      </c>
    </row>
  </sheetData>
  <mergeCells count="4">
    <mergeCell ref="A1:H1"/>
    <mergeCell ref="A12:D12"/>
    <mergeCell ref="A2:H2"/>
    <mergeCell ref="D14:H17"/>
  </mergeCells>
  <pageMargins left="0.75" right="0.75" top="1" bottom="1" header="0.511811023622047" footer="0.5"/>
  <pageSetup fitToHeight="0" orientation="portrait" horizontalDpi="300" verticalDpi="300"/>
  <headerFooter>
    <oddFooter>&amp;CConfidential assessment material</oddFooter>
  </headerFooter>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E6655"/>
    <pageSetUpPr fitToPage="1"/>
  </sheetPr>
  <dimension ref="A1:Q103"/>
  <sheetViews>
    <sheetView zoomScaleNormal="100" workbookViewId="0">
      <pane ySplit="3" topLeftCell="A47" activePane="bottomLeft" state="frozen"/>
      <selection pane="bottomLeft" activeCell="K63" sqref="K63"/>
    </sheetView>
  </sheetViews>
  <sheetFormatPr defaultColWidth="8.7109375" defaultRowHeight="15" x14ac:dyDescent="0.25"/>
  <cols>
    <col min="1" max="1" width="22" customWidth="1"/>
    <col min="2" max="19" width="16" customWidth="1"/>
  </cols>
  <sheetData>
    <row r="1" spans="1:17" ht="21.75" customHeight="1" x14ac:dyDescent="0.25">
      <c r="A1" s="117" t="s">
        <v>140</v>
      </c>
      <c r="B1" s="88"/>
      <c r="C1" s="88"/>
      <c r="D1" s="88"/>
      <c r="E1" s="88"/>
      <c r="F1" s="88"/>
      <c r="G1" s="88"/>
      <c r="H1" s="88"/>
      <c r="I1" s="88"/>
      <c r="J1" s="88"/>
    </row>
    <row r="2" spans="1:17" ht="15" customHeight="1" x14ac:dyDescent="0.25">
      <c r="A2" s="111" t="s">
        <v>141</v>
      </c>
      <c r="B2" s="88"/>
      <c r="C2" s="88"/>
      <c r="D2" s="88"/>
      <c r="E2" s="88"/>
      <c r="F2" s="88"/>
      <c r="G2" s="88"/>
      <c r="H2" s="88"/>
      <c r="I2" s="88"/>
      <c r="J2" s="88"/>
    </row>
    <row r="4" spans="1:17" ht="15" customHeight="1" x14ac:dyDescent="0.25">
      <c r="A4" s="116" t="s">
        <v>142</v>
      </c>
      <c r="B4" s="88"/>
      <c r="C4" s="88"/>
      <c r="D4" s="88"/>
      <c r="E4" s="88"/>
      <c r="F4" s="88"/>
      <c r="G4" s="88"/>
      <c r="H4" s="88"/>
      <c r="L4" s="27" t="s">
        <v>143</v>
      </c>
      <c r="M4" s="28"/>
      <c r="N4" s="28"/>
      <c r="O4" s="28"/>
      <c r="P4" s="28"/>
      <c r="Q4" s="28"/>
    </row>
    <row r="6" spans="1:17" x14ac:dyDescent="0.25">
      <c r="A6" s="78" t="s">
        <v>504</v>
      </c>
      <c r="B6" t="s">
        <v>506</v>
      </c>
    </row>
    <row r="7" spans="1:17" x14ac:dyDescent="0.25">
      <c r="A7" s="79" t="s">
        <v>184</v>
      </c>
      <c r="B7" s="80">
        <v>27747.09</v>
      </c>
    </row>
    <row r="8" spans="1:17" x14ac:dyDescent="0.25">
      <c r="A8" s="79" t="s">
        <v>166</v>
      </c>
      <c r="B8" s="80">
        <v>28196.26</v>
      </c>
    </row>
    <row r="9" spans="1:17" x14ac:dyDescent="0.25">
      <c r="A9" s="79" t="s">
        <v>201</v>
      </c>
      <c r="B9" s="80">
        <v>29015.550000000007</v>
      </c>
    </row>
    <row r="10" spans="1:17" x14ac:dyDescent="0.25">
      <c r="A10" s="81" t="s">
        <v>176</v>
      </c>
      <c r="B10" s="82">
        <v>46874.85</v>
      </c>
    </row>
    <row r="11" spans="1:17" x14ac:dyDescent="0.25">
      <c r="A11" s="79" t="s">
        <v>505</v>
      </c>
      <c r="B11" s="80">
        <v>131833.75</v>
      </c>
    </row>
    <row r="18" spans="1:8" ht="15" customHeight="1" x14ac:dyDescent="0.25">
      <c r="A18" s="116" t="s">
        <v>144</v>
      </c>
      <c r="B18" s="88"/>
      <c r="C18" s="88"/>
      <c r="D18" s="88"/>
      <c r="E18" s="88"/>
      <c r="F18" s="88"/>
      <c r="G18" s="88"/>
      <c r="H18" s="88"/>
    </row>
    <row r="20" spans="1:8" x14ac:dyDescent="0.25">
      <c r="A20" s="78" t="s">
        <v>506</v>
      </c>
      <c r="B20" s="78" t="s">
        <v>507</v>
      </c>
    </row>
    <row r="21" spans="1:8" x14ac:dyDescent="0.25">
      <c r="A21" s="78" t="s">
        <v>504</v>
      </c>
      <c r="B21" t="s">
        <v>172</v>
      </c>
      <c r="C21" t="s">
        <v>187</v>
      </c>
      <c r="D21" t="s">
        <v>198</v>
      </c>
      <c r="E21" t="s">
        <v>505</v>
      </c>
    </row>
    <row r="22" spans="1:8" x14ac:dyDescent="0.25">
      <c r="A22" s="79" t="s">
        <v>221</v>
      </c>
      <c r="B22" s="80">
        <v>1006.2</v>
      </c>
      <c r="C22" s="80">
        <v>941.19999999999993</v>
      </c>
      <c r="D22" s="80">
        <v>764.06</v>
      </c>
      <c r="E22" s="80">
        <v>2711.46</v>
      </c>
    </row>
    <row r="23" spans="1:8" x14ac:dyDescent="0.25">
      <c r="A23" s="79" t="s">
        <v>193</v>
      </c>
      <c r="B23" s="80">
        <v>35120.080000000009</v>
      </c>
      <c r="C23" s="80">
        <v>24038.910000000007</v>
      </c>
      <c r="D23" s="80">
        <v>15488.93</v>
      </c>
      <c r="E23" s="80">
        <v>74647.920000000013</v>
      </c>
    </row>
    <row r="24" spans="1:8" x14ac:dyDescent="0.25">
      <c r="A24" s="79" t="s">
        <v>171</v>
      </c>
      <c r="B24" s="80">
        <v>16090.4</v>
      </c>
      <c r="C24" s="80">
        <v>14028.14</v>
      </c>
      <c r="D24" s="80">
        <v>9978.4</v>
      </c>
      <c r="E24" s="80">
        <v>40096.94</v>
      </c>
    </row>
    <row r="25" spans="1:8" x14ac:dyDescent="0.25">
      <c r="A25" s="79" t="s">
        <v>181</v>
      </c>
      <c r="B25" s="80">
        <v>7839.1100000000006</v>
      </c>
      <c r="C25" s="80">
        <v>2487.54</v>
      </c>
      <c r="D25" s="80">
        <v>4050.7799999999997</v>
      </c>
      <c r="E25" s="80">
        <v>14377.43</v>
      </c>
    </row>
    <row r="26" spans="1:8" x14ac:dyDescent="0.25">
      <c r="A26" s="79" t="s">
        <v>505</v>
      </c>
      <c r="B26" s="80">
        <v>60055.790000000008</v>
      </c>
      <c r="C26" s="80">
        <v>41495.790000000008</v>
      </c>
      <c r="D26" s="80">
        <v>30282.17</v>
      </c>
      <c r="E26" s="80">
        <v>131833.75000000003</v>
      </c>
    </row>
    <row r="34" spans="1:8" ht="15" customHeight="1" x14ac:dyDescent="0.25">
      <c r="A34" s="116" t="s">
        <v>145</v>
      </c>
      <c r="B34" s="88"/>
      <c r="C34" s="88"/>
      <c r="D34" s="88"/>
      <c r="E34" s="88"/>
      <c r="F34" s="88"/>
      <c r="G34" s="88"/>
      <c r="H34" s="88"/>
    </row>
    <row r="36" spans="1:8" x14ac:dyDescent="0.25">
      <c r="A36" s="78" t="s">
        <v>504</v>
      </c>
      <c r="B36" t="s">
        <v>506</v>
      </c>
      <c r="C36" t="s">
        <v>508</v>
      </c>
    </row>
    <row r="37" spans="1:8" x14ac:dyDescent="0.25">
      <c r="A37" s="79" t="s">
        <v>212</v>
      </c>
      <c r="B37" s="80">
        <v>13476.059999999998</v>
      </c>
      <c r="C37">
        <v>15</v>
      </c>
    </row>
    <row r="38" spans="1:8" x14ac:dyDescent="0.25">
      <c r="A38" s="79" t="s">
        <v>232</v>
      </c>
      <c r="B38" s="80">
        <v>14910.009999999998</v>
      </c>
      <c r="C38">
        <v>15</v>
      </c>
    </row>
    <row r="39" spans="1:8" x14ac:dyDescent="0.25">
      <c r="A39" s="79" t="s">
        <v>243</v>
      </c>
      <c r="B39" s="80">
        <v>13666.14</v>
      </c>
      <c r="C39">
        <v>13</v>
      </c>
    </row>
    <row r="40" spans="1:8" x14ac:dyDescent="0.25">
      <c r="A40" s="79" t="s">
        <v>186</v>
      </c>
      <c r="B40" s="80">
        <v>14271.029999999999</v>
      </c>
      <c r="C40">
        <v>11</v>
      </c>
    </row>
    <row r="41" spans="1:8" x14ac:dyDescent="0.25">
      <c r="A41" s="79" t="s">
        <v>203</v>
      </c>
      <c r="B41" s="80">
        <v>14105.539999999997</v>
      </c>
      <c r="C41">
        <v>17</v>
      </c>
    </row>
    <row r="42" spans="1:8" x14ac:dyDescent="0.25">
      <c r="A42" s="79" t="s">
        <v>168</v>
      </c>
      <c r="B42" s="80">
        <v>14530.119999999999</v>
      </c>
      <c r="C42">
        <v>17</v>
      </c>
    </row>
    <row r="43" spans="1:8" x14ac:dyDescent="0.25">
      <c r="A43" s="79" t="s">
        <v>190</v>
      </c>
      <c r="B43" s="80">
        <v>16002.910000000002</v>
      </c>
      <c r="C43">
        <v>23</v>
      </c>
    </row>
    <row r="44" spans="1:8" x14ac:dyDescent="0.25">
      <c r="A44" s="79" t="s">
        <v>178</v>
      </c>
      <c r="B44" s="80">
        <v>22021.64</v>
      </c>
      <c r="C44">
        <v>24</v>
      </c>
    </row>
    <row r="45" spans="1:8" x14ac:dyDescent="0.25">
      <c r="A45" s="79" t="s">
        <v>224</v>
      </c>
      <c r="B45" s="80">
        <v>8850.2999999999993</v>
      </c>
      <c r="C45">
        <v>15</v>
      </c>
    </row>
    <row r="46" spans="1:8" x14ac:dyDescent="0.25">
      <c r="A46" s="79" t="s">
        <v>505</v>
      </c>
      <c r="B46" s="80">
        <v>131833.75000000003</v>
      </c>
      <c r="C46">
        <v>150</v>
      </c>
    </row>
    <row r="52" spans="1:8" ht="15" customHeight="1" x14ac:dyDescent="0.25">
      <c r="A52" s="116" t="s">
        <v>146</v>
      </c>
      <c r="B52" s="88"/>
      <c r="C52" s="88"/>
      <c r="D52" s="88"/>
      <c r="E52" s="88"/>
      <c r="F52" s="88"/>
      <c r="G52" s="88"/>
      <c r="H52" s="88"/>
    </row>
    <row r="54" spans="1:8" x14ac:dyDescent="0.25">
      <c r="A54" s="78" t="s">
        <v>504</v>
      </c>
      <c r="B54" t="s">
        <v>506</v>
      </c>
    </row>
    <row r="55" spans="1:8" x14ac:dyDescent="0.25">
      <c r="A55" s="79" t="s">
        <v>450</v>
      </c>
      <c r="B55" s="80">
        <v>10960.789999999999</v>
      </c>
    </row>
    <row r="56" spans="1:8" x14ac:dyDescent="0.25">
      <c r="A56" s="79" t="s">
        <v>451</v>
      </c>
      <c r="B56" s="80">
        <v>20042.990000000002</v>
      </c>
    </row>
    <row r="57" spans="1:8" x14ac:dyDescent="0.25">
      <c r="A57" s="79" t="s">
        <v>452</v>
      </c>
      <c r="B57" s="80">
        <v>32201.910000000003</v>
      </c>
    </row>
    <row r="58" spans="1:8" x14ac:dyDescent="0.25">
      <c r="A58" s="79" t="s">
        <v>453</v>
      </c>
      <c r="B58" s="80">
        <v>25296.13</v>
      </c>
    </row>
    <row r="59" spans="1:8" x14ac:dyDescent="0.25">
      <c r="A59" s="79" t="s">
        <v>454</v>
      </c>
      <c r="B59" s="80">
        <v>21629.239999999998</v>
      </c>
    </row>
    <row r="60" spans="1:8" x14ac:dyDescent="0.25">
      <c r="A60" s="79" t="s">
        <v>455</v>
      </c>
      <c r="B60" s="80">
        <v>21702.689999999991</v>
      </c>
    </row>
    <row r="61" spans="1:8" x14ac:dyDescent="0.25">
      <c r="A61" s="79" t="s">
        <v>505</v>
      </c>
      <c r="B61" s="80">
        <v>131833.75</v>
      </c>
    </row>
    <row r="68" spans="1:8" ht="15" customHeight="1" x14ac:dyDescent="0.25">
      <c r="A68" s="116" t="s">
        <v>147</v>
      </c>
      <c r="B68" s="88"/>
      <c r="C68" s="88"/>
      <c r="D68" s="88"/>
      <c r="E68" s="88"/>
      <c r="F68" s="88"/>
      <c r="G68" s="88"/>
      <c r="H68" s="88"/>
    </row>
    <row r="70" spans="1:8" x14ac:dyDescent="0.25">
      <c r="A70" s="78" t="s">
        <v>504</v>
      </c>
      <c r="B70" t="s">
        <v>506</v>
      </c>
      <c r="C70" t="s">
        <v>510</v>
      </c>
    </row>
    <row r="71" spans="1:8" x14ac:dyDescent="0.25">
      <c r="A71" s="79" t="s">
        <v>184</v>
      </c>
      <c r="B71" s="80">
        <v>27747.09</v>
      </c>
      <c r="C71" s="84">
        <v>0.21047030824807761</v>
      </c>
    </row>
    <row r="72" spans="1:8" x14ac:dyDescent="0.25">
      <c r="A72" s="79" t="s">
        <v>166</v>
      </c>
      <c r="B72" s="80">
        <v>28196.26</v>
      </c>
      <c r="C72" s="84">
        <v>0.21387740241023256</v>
      </c>
    </row>
    <row r="73" spans="1:8" x14ac:dyDescent="0.25">
      <c r="A73" s="79" t="s">
        <v>201</v>
      </c>
      <c r="B73" s="80">
        <v>29015.550000000007</v>
      </c>
      <c r="C73" s="84">
        <v>0.22009197189642263</v>
      </c>
    </row>
    <row r="74" spans="1:8" x14ac:dyDescent="0.25">
      <c r="A74" s="79" t="s">
        <v>176</v>
      </c>
      <c r="B74" s="80">
        <v>46874.85</v>
      </c>
      <c r="C74" s="84">
        <v>0.35556031744526723</v>
      </c>
    </row>
    <row r="75" spans="1:8" x14ac:dyDescent="0.25">
      <c r="A75" s="79" t="s">
        <v>505</v>
      </c>
      <c r="B75" s="80">
        <v>131833.75</v>
      </c>
      <c r="C75" s="84">
        <v>1</v>
      </c>
    </row>
    <row r="82" spans="1:8" ht="15" customHeight="1" x14ac:dyDescent="0.25">
      <c r="A82" s="116" t="s">
        <v>148</v>
      </c>
      <c r="B82" s="88"/>
      <c r="C82" s="88"/>
      <c r="D82" s="88"/>
      <c r="E82" s="88"/>
      <c r="F82" s="88"/>
      <c r="G82" s="88"/>
      <c r="H82" s="88"/>
    </row>
    <row r="84" spans="1:8" x14ac:dyDescent="0.25">
      <c r="A84" s="78" t="s">
        <v>504</v>
      </c>
      <c r="B84" t="s">
        <v>506</v>
      </c>
      <c r="C84" t="s">
        <v>510</v>
      </c>
    </row>
    <row r="85" spans="1:8" x14ac:dyDescent="0.25">
      <c r="A85" s="79" t="s">
        <v>184</v>
      </c>
      <c r="B85" s="80">
        <v>27747.089999999997</v>
      </c>
      <c r="C85" s="84">
        <v>0.21047030824807758</v>
      </c>
    </row>
    <row r="86" spans="1:8" x14ac:dyDescent="0.25">
      <c r="A86" s="83" t="s">
        <v>193</v>
      </c>
      <c r="B86" s="80">
        <v>10891.349999999999</v>
      </c>
      <c r="C86" s="84">
        <v>8.2614277451714749E-2</v>
      </c>
    </row>
    <row r="87" spans="1:8" x14ac:dyDescent="0.25">
      <c r="A87" s="83" t="s">
        <v>171</v>
      </c>
      <c r="B87" s="80">
        <v>14927.14</v>
      </c>
      <c r="C87" s="84">
        <v>0.11322699991466524</v>
      </c>
    </row>
    <row r="88" spans="1:8" x14ac:dyDescent="0.25">
      <c r="A88" s="83" t="s">
        <v>181</v>
      </c>
      <c r="B88" s="80">
        <v>1928.6</v>
      </c>
      <c r="C88" s="84">
        <v>1.4629030881697591E-2</v>
      </c>
    </row>
    <row r="89" spans="1:8" x14ac:dyDescent="0.25">
      <c r="A89" s="79" t="s">
        <v>166</v>
      </c>
      <c r="B89" s="80">
        <v>28196.260000000002</v>
      </c>
      <c r="C89" s="84">
        <v>0.21387740241023259</v>
      </c>
    </row>
    <row r="90" spans="1:8" x14ac:dyDescent="0.25">
      <c r="A90" s="83" t="s">
        <v>193</v>
      </c>
      <c r="B90" s="80">
        <v>18033.57</v>
      </c>
      <c r="C90" s="84">
        <v>0.13679023770468487</v>
      </c>
    </row>
    <row r="91" spans="1:8" x14ac:dyDescent="0.25">
      <c r="A91" s="83" t="s">
        <v>171</v>
      </c>
      <c r="B91" s="80">
        <v>7826.2899999999991</v>
      </c>
      <c r="C91" s="84">
        <v>5.936484397963343E-2</v>
      </c>
    </row>
    <row r="92" spans="1:8" x14ac:dyDescent="0.25">
      <c r="A92" s="83" t="s">
        <v>181</v>
      </c>
      <c r="B92" s="80">
        <v>2336.4</v>
      </c>
      <c r="C92" s="84">
        <v>1.7722320725914269E-2</v>
      </c>
    </row>
    <row r="93" spans="1:8" x14ac:dyDescent="0.25">
      <c r="A93" s="79" t="s">
        <v>201</v>
      </c>
      <c r="B93" s="80">
        <v>29015.550000000003</v>
      </c>
      <c r="C93" s="84">
        <v>0.2200919718964226</v>
      </c>
    </row>
    <row r="94" spans="1:8" x14ac:dyDescent="0.25">
      <c r="A94" s="83" t="s">
        <v>221</v>
      </c>
      <c r="B94" s="80">
        <v>865.19999999999993</v>
      </c>
      <c r="C94" s="84">
        <v>6.5628111162733364E-3</v>
      </c>
    </row>
    <row r="95" spans="1:8" x14ac:dyDescent="0.25">
      <c r="A95" s="83" t="s">
        <v>193</v>
      </c>
      <c r="B95" s="80">
        <v>18864.440000000002</v>
      </c>
      <c r="C95" s="84">
        <v>0.14309264509277786</v>
      </c>
    </row>
    <row r="96" spans="1:8" x14ac:dyDescent="0.25">
      <c r="A96" s="83" t="s">
        <v>171</v>
      </c>
      <c r="B96" s="80">
        <v>5734.22</v>
      </c>
      <c r="C96" s="84">
        <v>4.3495842301383376E-2</v>
      </c>
    </row>
    <row r="97" spans="1:3" x14ac:dyDescent="0.25">
      <c r="A97" s="83" t="s">
        <v>181</v>
      </c>
      <c r="B97" s="80">
        <v>3551.6899999999996</v>
      </c>
      <c r="C97" s="84">
        <v>2.6940673385988032E-2</v>
      </c>
    </row>
    <row r="98" spans="1:3" x14ac:dyDescent="0.25">
      <c r="A98" s="79" t="s">
        <v>176</v>
      </c>
      <c r="B98" s="80">
        <v>46874.85</v>
      </c>
      <c r="C98" s="84">
        <v>0.35556031744526723</v>
      </c>
    </row>
    <row r="99" spans="1:3" x14ac:dyDescent="0.25">
      <c r="A99" s="83" t="s">
        <v>221</v>
      </c>
      <c r="B99" s="80">
        <v>1846.26</v>
      </c>
      <c r="C99" s="84">
        <v>1.4004456370239032E-2</v>
      </c>
    </row>
    <row r="100" spans="1:3" x14ac:dyDescent="0.25">
      <c r="A100" s="83" t="s">
        <v>193</v>
      </c>
      <c r="B100" s="80">
        <v>26858.560000000005</v>
      </c>
      <c r="C100" s="84">
        <v>0.20373053182512069</v>
      </c>
    </row>
    <row r="101" spans="1:3" x14ac:dyDescent="0.25">
      <c r="A101" s="83" t="s">
        <v>171</v>
      </c>
      <c r="B101" s="80">
        <v>11609.289999999999</v>
      </c>
      <c r="C101" s="84">
        <v>8.8060075663477663E-2</v>
      </c>
    </row>
    <row r="102" spans="1:3" x14ac:dyDescent="0.25">
      <c r="A102" s="83" t="s">
        <v>181</v>
      </c>
      <c r="B102" s="80">
        <v>6560.74</v>
      </c>
      <c r="C102" s="84">
        <v>4.9765253586429879E-2</v>
      </c>
    </row>
    <row r="103" spans="1:3" x14ac:dyDescent="0.25">
      <c r="A103" s="79" t="s">
        <v>505</v>
      </c>
      <c r="B103" s="80">
        <v>131833.75</v>
      </c>
      <c r="C103" s="84">
        <v>1</v>
      </c>
    </row>
  </sheetData>
  <mergeCells count="8">
    <mergeCell ref="A18:H18"/>
    <mergeCell ref="A4:H4"/>
    <mergeCell ref="A1:J1"/>
    <mergeCell ref="A52:H52"/>
    <mergeCell ref="A82:H82"/>
    <mergeCell ref="A68:H68"/>
    <mergeCell ref="A2:J2"/>
    <mergeCell ref="A34:H34"/>
  </mergeCells>
  <pageMargins left="0.75" right="0.75" top="1" bottom="1" header="0.511811023622047" footer="0.5"/>
  <pageSetup fitToHeight="0" orientation="portrait" horizontalDpi="300" verticalDpi="300"/>
  <headerFooter>
    <oddFooter>&amp;CConfidential assessment material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2B21"/>
    <pageSetUpPr fitToPage="1"/>
  </sheetPr>
  <dimension ref="A1:L58"/>
  <sheetViews>
    <sheetView showGridLines="0" topLeftCell="G1" zoomScaleNormal="100" workbookViewId="0">
      <pane ySplit="3" topLeftCell="A4" activePane="bottomLeft" state="frozen"/>
      <selection pane="bottomLeft" activeCell="D6" sqref="D6"/>
    </sheetView>
  </sheetViews>
  <sheetFormatPr defaultColWidth="8.7109375" defaultRowHeight="15" x14ac:dyDescent="0.25"/>
  <cols>
    <col min="1" max="1" width="20" customWidth="1"/>
    <col min="2" max="2" width="16" customWidth="1"/>
    <col min="3" max="4" width="14" customWidth="1"/>
    <col min="5" max="5" width="16" customWidth="1"/>
    <col min="6" max="12" width="14" customWidth="1"/>
  </cols>
  <sheetData>
    <row r="1" spans="1:12" ht="21.75" customHeight="1" x14ac:dyDescent="0.25">
      <c r="A1" s="110" t="s">
        <v>468</v>
      </c>
      <c r="B1" s="88"/>
      <c r="C1" s="88"/>
      <c r="D1" s="88"/>
      <c r="E1" s="88"/>
      <c r="F1" s="88"/>
      <c r="G1" s="88"/>
      <c r="H1" s="88"/>
      <c r="I1" s="88"/>
      <c r="J1" s="88"/>
      <c r="K1" s="88"/>
      <c r="L1" s="88"/>
    </row>
    <row r="2" spans="1:12" ht="15" customHeight="1" x14ac:dyDescent="0.25">
      <c r="A2" s="111" t="s">
        <v>469</v>
      </c>
      <c r="B2" s="88"/>
      <c r="C2" s="88"/>
      <c r="D2" s="88"/>
      <c r="E2" s="88"/>
      <c r="F2" s="88"/>
      <c r="G2" s="88"/>
      <c r="H2" s="88"/>
      <c r="I2" s="88"/>
      <c r="J2" s="88"/>
      <c r="K2" s="88"/>
      <c r="L2" s="88"/>
    </row>
    <row r="4" spans="1:12" ht="15" customHeight="1" x14ac:dyDescent="0.25">
      <c r="A4" s="42" t="s">
        <v>470</v>
      </c>
    </row>
    <row r="5" spans="1:12" ht="15" customHeight="1" x14ac:dyDescent="0.25">
      <c r="A5" s="3" t="s">
        <v>152</v>
      </c>
      <c r="B5" s="3" t="s">
        <v>161</v>
      </c>
      <c r="C5" s="3" t="s">
        <v>471</v>
      </c>
      <c r="D5" s="3" t="s">
        <v>472</v>
      </c>
      <c r="E5" s="3" t="s">
        <v>473</v>
      </c>
    </row>
    <row r="6" spans="1:12" ht="15" customHeight="1" x14ac:dyDescent="0.25">
      <c r="A6" s="56" t="s">
        <v>166</v>
      </c>
      <c r="B6" s="57" t="e">
        <f>SUMIF(#REF!,A6,#REF!)</f>
        <v>#REF!</v>
      </c>
      <c r="C6" s="53" t="e">
        <f>IF($B$10=0,0,B6/$B$10)</f>
        <v>#REF!</v>
      </c>
      <c r="D6" s="52" t="e">
        <f>COUNTIF(#REF!,A6)</f>
        <v>#REF!</v>
      </c>
      <c r="E6" s="57" t="e">
        <f>IF(D6=0,0,B6/D6)</f>
        <v>#REF!</v>
      </c>
    </row>
    <row r="7" spans="1:12" ht="15" customHeight="1" x14ac:dyDescent="0.25">
      <c r="A7" s="56" t="s">
        <v>201</v>
      </c>
      <c r="B7" s="57" t="e">
        <f>SUMIF(#REF!,A7,#REF!)</f>
        <v>#REF!</v>
      </c>
      <c r="C7" s="53" t="e">
        <f>IF($B$10=0,0,B7/$B$10)</f>
        <v>#REF!</v>
      </c>
      <c r="D7" s="52" t="e">
        <f>COUNTIF(#REF!,A7)</f>
        <v>#REF!</v>
      </c>
      <c r="E7" s="57" t="e">
        <f>IF(D7=0,0,B7/D7)</f>
        <v>#REF!</v>
      </c>
    </row>
    <row r="8" spans="1:12" ht="15" customHeight="1" x14ac:dyDescent="0.25">
      <c r="A8" s="56" t="s">
        <v>184</v>
      </c>
      <c r="B8" s="57" t="e">
        <f>SUMIF(#REF!,A8,#REF!)</f>
        <v>#REF!</v>
      </c>
      <c r="C8" s="53" t="e">
        <f>IF($B$10=0,0,B8/$B$10)</f>
        <v>#REF!</v>
      </c>
      <c r="D8" s="52" t="e">
        <f>COUNTIF(#REF!,A8)</f>
        <v>#REF!</v>
      </c>
      <c r="E8" s="57" t="e">
        <f>IF(D8=0,0,B8/D8)</f>
        <v>#REF!</v>
      </c>
    </row>
    <row r="9" spans="1:12" ht="15" customHeight="1" x14ac:dyDescent="0.25">
      <c r="A9" s="56" t="s">
        <v>176</v>
      </c>
      <c r="B9" s="57" t="e">
        <f>SUMIF(#REF!,A9,#REF!)</f>
        <v>#REF!</v>
      </c>
      <c r="C9" s="53" t="e">
        <f>IF($B$10=0,0,B9/$B$10)</f>
        <v>#REF!</v>
      </c>
      <c r="D9" s="52" t="e">
        <f>COUNTIF(#REF!,A9)</f>
        <v>#REF!</v>
      </c>
      <c r="E9" s="57" t="e">
        <f>IF(D9=0,0,B9/D9)</f>
        <v>#REF!</v>
      </c>
    </row>
    <row r="10" spans="1:12" ht="15" customHeight="1" x14ac:dyDescent="0.25">
      <c r="A10" s="58" t="s">
        <v>66</v>
      </c>
      <c r="B10" s="59" t="e">
        <f>SUM(B6:B9)</f>
        <v>#REF!</v>
      </c>
      <c r="C10" s="60" t="e">
        <f>SUM(C6:C9)</f>
        <v>#REF!</v>
      </c>
      <c r="D10" s="61" t="e">
        <f>SUM(D6:D9)</f>
        <v>#REF!</v>
      </c>
      <c r="E10" s="59" t="e">
        <f>IF(D10=0,0,B10/D10)</f>
        <v>#REF!</v>
      </c>
    </row>
    <row r="13" spans="1:12" ht="15" customHeight="1" x14ac:dyDescent="0.25">
      <c r="A13" s="42" t="s">
        <v>474</v>
      </c>
    </row>
    <row r="14" spans="1:12" ht="15" customHeight="1" x14ac:dyDescent="0.25">
      <c r="A14" s="6" t="s">
        <v>467</v>
      </c>
      <c r="B14" s="6" t="s">
        <v>172</v>
      </c>
      <c r="C14" s="6" t="s">
        <v>187</v>
      </c>
      <c r="D14" s="6" t="s">
        <v>198</v>
      </c>
      <c r="E14" s="6" t="s">
        <v>66</v>
      </c>
    </row>
    <row r="15" spans="1:12" ht="15" customHeight="1" x14ac:dyDescent="0.25">
      <c r="A15" s="56" t="s">
        <v>450</v>
      </c>
      <c r="B15" s="51" t="e">
        <f>SUMPRODUCT((MONTH(#REF!)=1)*(#REF!="Online")*(#REF!))</f>
        <v>#REF!</v>
      </c>
      <c r="C15" s="51" t="e">
        <f>SUMPRODUCT((MONTH(#REF!)=1)*(#REF!="Retail")*(#REF!))</f>
        <v>#REF!</v>
      </c>
      <c r="D15" s="51" t="e">
        <f>SUMPRODUCT((MONTH(#REF!)=1)*(#REF!="Wholesale")*(#REF!))</f>
        <v>#REF!</v>
      </c>
      <c r="E15" s="51" t="e">
        <f t="shared" ref="E15:E20" si="0">SUM(B15:D15)</f>
        <v>#REF!</v>
      </c>
    </row>
    <row r="16" spans="1:12" ht="15" customHeight="1" x14ac:dyDescent="0.25">
      <c r="A16" s="56" t="s">
        <v>451</v>
      </c>
      <c r="B16" s="51" t="e">
        <f>SUMPRODUCT((MONTH(#REF!)=2)*(#REF!="Online")*(#REF!))</f>
        <v>#REF!</v>
      </c>
      <c r="C16" s="51" t="e">
        <f>SUMPRODUCT((MONTH(#REF!)=2)*(#REF!="Retail")*(#REF!))</f>
        <v>#REF!</v>
      </c>
      <c r="D16" s="51" t="e">
        <f>SUMPRODUCT((MONTH(#REF!)=2)*(#REF!="Wholesale")*(#REF!))</f>
        <v>#REF!</v>
      </c>
      <c r="E16" s="51" t="e">
        <f t="shared" si="0"/>
        <v>#REF!</v>
      </c>
    </row>
    <row r="17" spans="1:5" ht="15" customHeight="1" x14ac:dyDescent="0.25">
      <c r="A17" s="56" t="s">
        <v>452</v>
      </c>
      <c r="B17" s="51" t="e">
        <f>SUMPRODUCT((MONTH(#REF!)=3)*(#REF!="Online")*(#REF!))</f>
        <v>#REF!</v>
      </c>
      <c r="C17" s="51" t="e">
        <f>SUMPRODUCT((MONTH(#REF!)=3)*(#REF!="Retail")*(#REF!))</f>
        <v>#REF!</v>
      </c>
      <c r="D17" s="51" t="e">
        <f>SUMPRODUCT((MONTH(#REF!)=3)*(#REF!="Wholesale")*(#REF!))</f>
        <v>#REF!</v>
      </c>
      <c r="E17" s="51" t="e">
        <f t="shared" si="0"/>
        <v>#REF!</v>
      </c>
    </row>
    <row r="18" spans="1:5" ht="15" customHeight="1" x14ac:dyDescent="0.25">
      <c r="A18" s="56" t="s">
        <v>453</v>
      </c>
      <c r="B18" s="51" t="e">
        <f>SUMPRODUCT((MONTH(#REF!)=4)*(#REF!="Online")*(#REF!))</f>
        <v>#REF!</v>
      </c>
      <c r="C18" s="51" t="e">
        <f>SUMPRODUCT((MONTH(#REF!)=4)*(#REF!="Retail")*(#REF!))</f>
        <v>#REF!</v>
      </c>
      <c r="D18" s="51" t="e">
        <f>SUMPRODUCT((MONTH(#REF!)=4)*(#REF!="Wholesale")*(#REF!))</f>
        <v>#REF!</v>
      </c>
      <c r="E18" s="51" t="e">
        <f t="shared" si="0"/>
        <v>#REF!</v>
      </c>
    </row>
    <row r="19" spans="1:5" ht="15" customHeight="1" x14ac:dyDescent="0.25">
      <c r="A19" s="56" t="s">
        <v>454</v>
      </c>
      <c r="B19" s="51" t="e">
        <f>SUMPRODUCT((MONTH(#REF!)=5)*(#REF!="Online")*(#REF!))</f>
        <v>#REF!</v>
      </c>
      <c r="C19" s="51" t="e">
        <f>SUMPRODUCT((MONTH(#REF!)=5)*(#REF!="Retail")*(#REF!))</f>
        <v>#REF!</v>
      </c>
      <c r="D19" s="51" t="e">
        <f>SUMPRODUCT((MONTH(#REF!)=5)*(#REF!="Wholesale")*(#REF!))</f>
        <v>#REF!</v>
      </c>
      <c r="E19" s="51" t="e">
        <f t="shared" si="0"/>
        <v>#REF!</v>
      </c>
    </row>
    <row r="20" spans="1:5" ht="15" customHeight="1" x14ac:dyDescent="0.25">
      <c r="A20" s="56" t="s">
        <v>455</v>
      </c>
      <c r="B20" s="51" t="e">
        <f>SUMPRODUCT((MONTH(#REF!)=6)*(#REF!="Online")*(#REF!))</f>
        <v>#REF!</v>
      </c>
      <c r="C20" s="51" t="e">
        <f>SUMPRODUCT((MONTH(#REF!)=6)*(#REF!="Retail")*(#REF!))</f>
        <v>#REF!</v>
      </c>
      <c r="D20" s="51" t="e">
        <f>SUMPRODUCT((MONTH(#REF!)=6)*(#REF!="Wholesale")*(#REF!))</f>
        <v>#REF!</v>
      </c>
      <c r="E20" s="51" t="e">
        <f t="shared" si="0"/>
        <v>#REF!</v>
      </c>
    </row>
    <row r="21" spans="1:5" ht="15" customHeight="1" x14ac:dyDescent="0.25">
      <c r="A21" s="62" t="s">
        <v>66</v>
      </c>
      <c r="B21" s="62" t="e">
        <f>SUM(B15:B20)</f>
        <v>#REF!</v>
      </c>
      <c r="C21" s="62" t="e">
        <f>SUM(C15:C20)</f>
        <v>#REF!</v>
      </c>
      <c r="D21" s="62" t="e">
        <f>SUM(D15:D20)</f>
        <v>#REF!</v>
      </c>
      <c r="E21" s="62" t="e">
        <f>SUM(E15:E20)</f>
        <v>#REF!</v>
      </c>
    </row>
    <row r="24" spans="1:5" ht="15" customHeight="1" x14ac:dyDescent="0.25">
      <c r="A24" s="42" t="s">
        <v>475</v>
      </c>
    </row>
    <row r="25" spans="1:5" ht="15" customHeight="1" x14ac:dyDescent="0.25">
      <c r="A25" s="3" t="s">
        <v>157</v>
      </c>
      <c r="B25" s="3" t="s">
        <v>161</v>
      </c>
      <c r="C25" s="3" t="s">
        <v>471</v>
      </c>
    </row>
    <row r="26" spans="1:5" ht="15" customHeight="1" x14ac:dyDescent="0.25">
      <c r="A26" s="56" t="s">
        <v>193</v>
      </c>
      <c r="B26" s="57" t="e">
        <f>SUMIF(#REF!,A26,#REF!)</f>
        <v>#REF!</v>
      </c>
      <c r="C26" s="53" t="e">
        <f>IF($B$30=0,0,B26/$B$30)</f>
        <v>#REF!</v>
      </c>
    </row>
    <row r="27" spans="1:5" ht="15" customHeight="1" x14ac:dyDescent="0.25">
      <c r="A27" s="56" t="s">
        <v>171</v>
      </c>
      <c r="B27" s="57" t="e">
        <f>SUMIF(#REF!,A27,#REF!)</f>
        <v>#REF!</v>
      </c>
      <c r="C27" s="53" t="e">
        <f>IF($B$30=0,0,B27/$B$30)</f>
        <v>#REF!</v>
      </c>
    </row>
    <row r="28" spans="1:5" ht="15" customHeight="1" x14ac:dyDescent="0.25">
      <c r="A28" s="56" t="s">
        <v>181</v>
      </c>
      <c r="B28" s="57" t="e">
        <f>SUMIF(#REF!,A28,#REF!)</f>
        <v>#REF!</v>
      </c>
      <c r="C28" s="53" t="e">
        <f>IF($B$30=0,0,B28/$B$30)</f>
        <v>#REF!</v>
      </c>
    </row>
    <row r="29" spans="1:5" ht="15" customHeight="1" x14ac:dyDescent="0.25">
      <c r="A29" s="56" t="s">
        <v>221</v>
      </c>
      <c r="B29" s="57" t="e">
        <f>SUMIF(#REF!,A29,#REF!)</f>
        <v>#REF!</v>
      </c>
      <c r="C29" s="53" t="e">
        <f>IF($B$30=0,0,B29/$B$30)</f>
        <v>#REF!</v>
      </c>
    </row>
    <row r="30" spans="1:5" ht="15" customHeight="1" x14ac:dyDescent="0.25">
      <c r="A30" s="58" t="s">
        <v>66</v>
      </c>
      <c r="B30" s="59" t="e">
        <f>SUM(B26:B29)</f>
        <v>#REF!</v>
      </c>
      <c r="C30" s="60" t="e">
        <f>SUM(C26:C29)</f>
        <v>#REF!</v>
      </c>
    </row>
    <row r="33" spans="1:6" ht="15" customHeight="1" x14ac:dyDescent="0.25">
      <c r="A33" s="42" t="s">
        <v>476</v>
      </c>
    </row>
    <row r="34" spans="1:6" ht="15" customHeight="1" x14ac:dyDescent="0.25">
      <c r="A34" s="55" t="s">
        <v>157</v>
      </c>
      <c r="B34" s="55" t="s">
        <v>172</v>
      </c>
      <c r="C34" s="55" t="s">
        <v>187</v>
      </c>
      <c r="D34" s="55" t="s">
        <v>198</v>
      </c>
    </row>
    <row r="35" spans="1:6" ht="15" customHeight="1" x14ac:dyDescent="0.25">
      <c r="A35" s="56" t="s">
        <v>193</v>
      </c>
      <c r="B35" s="51" t="e">
        <f>SUMIFS(#REF!,#REF!,A35,#REF!,"Online")</f>
        <v>#REF!</v>
      </c>
      <c r="C35" s="51" t="e">
        <f>SUMIFS(#REF!,#REF!,A35,#REF!,"Retail")</f>
        <v>#REF!</v>
      </c>
      <c r="D35" s="51" t="e">
        <f>SUMIFS(#REF!,#REF!,A35,#REF!,"Wholesale")</f>
        <v>#REF!</v>
      </c>
    </row>
    <row r="36" spans="1:6" ht="15" customHeight="1" x14ac:dyDescent="0.25">
      <c r="A36" s="56" t="s">
        <v>171</v>
      </c>
      <c r="B36" s="51" t="e">
        <f>SUMIFS(#REF!,#REF!,A36,#REF!,"Online")</f>
        <v>#REF!</v>
      </c>
      <c r="C36" s="51" t="e">
        <f>SUMIFS(#REF!,#REF!,A36,#REF!,"Retail")</f>
        <v>#REF!</v>
      </c>
      <c r="D36" s="51" t="e">
        <f>SUMIFS(#REF!,#REF!,A36,#REF!,"Wholesale")</f>
        <v>#REF!</v>
      </c>
    </row>
    <row r="37" spans="1:6" ht="15" customHeight="1" x14ac:dyDescent="0.25">
      <c r="A37" s="56" t="s">
        <v>181</v>
      </c>
      <c r="B37" s="51" t="e">
        <f>SUMIFS(#REF!,#REF!,A37,#REF!,"Online")</f>
        <v>#REF!</v>
      </c>
      <c r="C37" s="51" t="e">
        <f>SUMIFS(#REF!,#REF!,A37,#REF!,"Retail")</f>
        <v>#REF!</v>
      </c>
      <c r="D37" s="51" t="e">
        <f>SUMIFS(#REF!,#REF!,A37,#REF!,"Wholesale")</f>
        <v>#REF!</v>
      </c>
    </row>
    <row r="38" spans="1:6" ht="15" customHeight="1" x14ac:dyDescent="0.25">
      <c r="A38" s="56" t="s">
        <v>221</v>
      </c>
      <c r="B38" s="51" t="e">
        <f>SUMIFS(#REF!,#REF!,A38,#REF!,"Online")</f>
        <v>#REF!</v>
      </c>
      <c r="C38" s="51" t="e">
        <f>SUMIFS(#REF!,#REF!,A38,#REF!,"Retail")</f>
        <v>#REF!</v>
      </c>
      <c r="D38" s="51" t="e">
        <f>SUMIFS(#REF!,#REF!,A38,#REF!,"Wholesale")</f>
        <v>#REF!</v>
      </c>
    </row>
    <row r="41" spans="1:6" ht="15" customHeight="1" x14ac:dyDescent="0.25">
      <c r="A41" s="49" t="s">
        <v>477</v>
      </c>
      <c r="E41" s="49" t="s">
        <v>478</v>
      </c>
    </row>
    <row r="42" spans="1:6" ht="15" customHeight="1" x14ac:dyDescent="0.25">
      <c r="A42" s="6" t="s">
        <v>154</v>
      </c>
      <c r="B42" s="6" t="s">
        <v>161</v>
      </c>
      <c r="C42" s="6" t="s">
        <v>472</v>
      </c>
      <c r="E42" s="6" t="s">
        <v>152</v>
      </c>
      <c r="F42" s="6" t="s">
        <v>479</v>
      </c>
    </row>
    <row r="43" spans="1:6" ht="15" customHeight="1" x14ac:dyDescent="0.25">
      <c r="A43" s="31" t="s">
        <v>190</v>
      </c>
      <c r="B43" s="33" t="e">
        <f>SUMIF(#REF!,A43,#REF!)</f>
        <v>#REF!</v>
      </c>
      <c r="C43" s="29" t="e">
        <f>COUNTIF(#REF!,A43)</f>
        <v>#REF!</v>
      </c>
      <c r="E43" s="63" t="s">
        <v>166</v>
      </c>
      <c r="F43" s="64" t="e">
        <f>AVERAGEIF(#REF!,E43,#REF!)</f>
        <v>#REF!</v>
      </c>
    </row>
    <row r="44" spans="1:6" ht="15" customHeight="1" x14ac:dyDescent="0.25">
      <c r="A44" s="31" t="s">
        <v>168</v>
      </c>
      <c r="B44" s="33" t="e">
        <f>SUMIF(#REF!,A44,#REF!)</f>
        <v>#REF!</v>
      </c>
      <c r="C44" s="29" t="e">
        <f>COUNTIF(#REF!,A44)</f>
        <v>#REF!</v>
      </c>
      <c r="E44" s="63" t="s">
        <v>201</v>
      </c>
      <c r="F44" s="64" t="e">
        <f>AVERAGEIF(#REF!,E44,#REF!)</f>
        <v>#REF!</v>
      </c>
    </row>
    <row r="45" spans="1:6" ht="15" customHeight="1" x14ac:dyDescent="0.25">
      <c r="A45" s="31" t="s">
        <v>224</v>
      </c>
      <c r="B45" s="33" t="e">
        <f>SUMIF(#REF!,A45,#REF!)</f>
        <v>#REF!</v>
      </c>
      <c r="C45" s="29" t="e">
        <f>COUNTIF(#REF!,A45)</f>
        <v>#REF!</v>
      </c>
      <c r="E45" s="63" t="s">
        <v>184</v>
      </c>
      <c r="F45" s="64" t="e">
        <f>AVERAGEIF(#REF!,E45,#REF!)</f>
        <v>#REF!</v>
      </c>
    </row>
    <row r="46" spans="1:6" ht="15" customHeight="1" x14ac:dyDescent="0.25">
      <c r="A46" s="31" t="s">
        <v>203</v>
      </c>
      <c r="B46" s="33" t="e">
        <f>SUMIF(#REF!,A46,#REF!)</f>
        <v>#REF!</v>
      </c>
      <c r="C46" s="29" t="e">
        <f>COUNTIF(#REF!,A46)</f>
        <v>#REF!</v>
      </c>
      <c r="E46" s="63" t="s">
        <v>176</v>
      </c>
      <c r="F46" s="64" t="e">
        <f>AVERAGEIF(#REF!,E46,#REF!)</f>
        <v>#REF!</v>
      </c>
    </row>
    <row r="47" spans="1:6" ht="15" customHeight="1" x14ac:dyDescent="0.25">
      <c r="A47" s="31" t="s">
        <v>232</v>
      </c>
      <c r="B47" s="33" t="e">
        <f>SUMIF(#REF!,A47,#REF!)</f>
        <v>#REF!</v>
      </c>
      <c r="C47" s="29" t="e">
        <f>COUNTIF(#REF!,A47)</f>
        <v>#REF!</v>
      </c>
    </row>
    <row r="48" spans="1:6" ht="15" customHeight="1" x14ac:dyDescent="0.25">
      <c r="A48" s="31" t="s">
        <v>178</v>
      </c>
      <c r="B48" s="33" t="e">
        <f>SUMIF(#REF!,A48,#REF!)</f>
        <v>#REF!</v>
      </c>
      <c r="C48" s="29" t="e">
        <f>COUNTIF(#REF!,A48)</f>
        <v>#REF!</v>
      </c>
    </row>
    <row r="49" spans="1:12" ht="15" customHeight="1" x14ac:dyDescent="0.25">
      <c r="A49" s="31" t="s">
        <v>243</v>
      </c>
      <c r="B49" s="33" t="e">
        <f>SUMIF(#REF!,A49,#REF!)</f>
        <v>#REF!</v>
      </c>
      <c r="C49" s="29" t="e">
        <f>COUNTIF(#REF!,A49)</f>
        <v>#REF!</v>
      </c>
    </row>
    <row r="50" spans="1:12" ht="15" customHeight="1" x14ac:dyDescent="0.25">
      <c r="A50" s="31" t="s">
        <v>212</v>
      </c>
      <c r="B50" s="33" t="e">
        <f>SUMIF(#REF!,A50,#REF!)</f>
        <v>#REF!</v>
      </c>
      <c r="C50" s="29" t="e">
        <f>COUNTIF(#REF!,A50)</f>
        <v>#REF!</v>
      </c>
    </row>
    <row r="51" spans="1:12" ht="15" customHeight="1" x14ac:dyDescent="0.25">
      <c r="A51" s="31" t="s">
        <v>186</v>
      </c>
      <c r="B51" s="33" t="e">
        <f>SUMIF(#REF!,A51,#REF!)</f>
        <v>#REF!</v>
      </c>
      <c r="C51" s="29" t="e">
        <f>COUNTIF(#REF!,A51)</f>
        <v>#REF!</v>
      </c>
    </row>
    <row r="56" spans="1:12" ht="15" customHeight="1" x14ac:dyDescent="0.25">
      <c r="A56" s="118" t="s">
        <v>480</v>
      </c>
      <c r="B56" s="88"/>
      <c r="C56" s="88"/>
      <c r="D56" s="88"/>
      <c r="E56" s="88"/>
      <c r="F56" s="88"/>
      <c r="G56" s="88"/>
      <c r="H56" s="88"/>
      <c r="I56" s="88"/>
      <c r="J56" s="88"/>
      <c r="K56" s="88"/>
      <c r="L56" s="88"/>
    </row>
    <row r="57" spans="1:12" ht="15" customHeight="1" x14ac:dyDescent="0.25">
      <c r="A57" s="88"/>
      <c r="B57" s="88"/>
      <c r="C57" s="88"/>
      <c r="D57" s="88"/>
      <c r="E57" s="88"/>
      <c r="F57" s="88"/>
      <c r="G57" s="88"/>
      <c r="H57" s="88"/>
      <c r="I57" s="88"/>
      <c r="J57" s="88"/>
      <c r="K57" s="88"/>
      <c r="L57" s="88"/>
    </row>
    <row r="58" spans="1:12" ht="15" customHeight="1" x14ac:dyDescent="0.25">
      <c r="A58" s="88"/>
      <c r="B58" s="88"/>
      <c r="C58" s="88"/>
      <c r="D58" s="88"/>
      <c r="E58" s="88"/>
      <c r="F58" s="88"/>
      <c r="G58" s="88"/>
      <c r="H58" s="88"/>
      <c r="I58" s="88"/>
      <c r="J58" s="88"/>
      <c r="K58" s="88"/>
      <c r="L58" s="88"/>
    </row>
  </sheetData>
  <mergeCells count="3">
    <mergeCell ref="A2:L2"/>
    <mergeCell ref="A1:L1"/>
    <mergeCell ref="A56:L58"/>
  </mergeCells>
  <pageMargins left="0.75" right="0.75" top="1" bottom="1" header="0.511811023622047" footer="0.5"/>
  <pageSetup fitToHeight="0" orientation="portrait" horizontalDpi="300" verticalDpi="300"/>
  <headerFooter>
    <oddFooter>&amp;CConfidential assessment material</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00_Instructions</vt:lpstr>
      <vt:lpstr>01_Questions</vt:lpstr>
      <vt:lpstr>Data_Sales</vt:lpstr>
      <vt:lpstr>Data_Products</vt:lpstr>
      <vt:lpstr>Data_Employees</vt:lpstr>
      <vt:lpstr>Data_Targets</vt:lpstr>
      <vt:lpstr>02_Workspace</vt:lpstr>
      <vt:lpstr>Data_Charts</vt:lpstr>
      <vt:lpstr>'00_Instructions'!Print_Titles</vt:lpstr>
      <vt:lpstr>'01_Questions'!Print_Titles</vt:lpstr>
      <vt:lpstr>Sales_Region</vt:lpstr>
      <vt:lpstr>Sales_Revenue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BADAL LAD</cp:lastModifiedBy>
  <cp:revision>1</cp:revision>
  <dcterms:created xsi:type="dcterms:W3CDTF">2026-08-29T07:50:19Z</dcterms:created>
  <dcterms:modified xsi:type="dcterms:W3CDTF">2026-08-31T06:13:42Z</dcterms:modified>
  <dc:language>en-US</dc:language>
</cp:coreProperties>
</file>