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ss-UpGrad\Excle\"/>
    </mc:Choice>
  </mc:AlternateContent>
  <xr:revisionPtr revIDLastSave="0" documentId="13_ncr:1_{6B330F20-9242-478B-9E4F-B4CF706489FA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📋_Your_Tasks" sheetId="1" r:id="rId1"/>
    <sheet name="Employee_Master" sheetId="2" r:id="rId2"/>
    <sheet name="Department_Ref" sheetId="3" r:id="rId3"/>
    <sheet name="Grade_Bonus_Ref" sheetId="4" r:id="rId4"/>
    <sheet name="Task1" sheetId="5" r:id="rId5"/>
    <sheet name="Task3" sheetId="6" r:id="rId6"/>
    <sheet name="Task4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5" l="1"/>
  <c r="D32" i="5"/>
  <c r="D33" i="5"/>
  <c r="D34" i="5"/>
  <c r="D35" i="5"/>
  <c r="D36" i="5"/>
  <c r="D37" i="5"/>
  <c r="D38" i="5"/>
  <c r="D39" i="5"/>
  <c r="D40" i="5"/>
  <c r="D41" i="5"/>
  <c r="D4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" i="5"/>
  <c r="E3" i="4"/>
</calcChain>
</file>

<file path=xl/sharedStrings.xml><?xml version="1.0" encoding="utf-8"?>
<sst xmlns="http://schemas.openxmlformats.org/spreadsheetml/2006/main" count="752" uniqueCount="188">
  <si>
    <t>VLOOKUP, XLOOKUP &amp; LINKING DATA</t>
  </si>
  <si>
    <t>NAME:</t>
  </si>
  <si>
    <t>DATE:</t>
  </si>
  <si>
    <t>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</si>
  <si>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TASK 1 — VLOOKUP: Find Department Name (Beginner)</t>
  </si>
  <si>
    <t>Go to the 'Task1_VLOOKUP' sheet.</t>
  </si>
  <si>
    <t>In column D, use VLOOKUP to pull the Department Name from the Department_Ref table.</t>
  </si>
  <si>
    <t>Lookup key: column C (Dept ID) → Table: Department_Ref!$A:$B → Return column 2</t>
  </si>
  <si>
    <t>Formula to write:  =VLOOKUP(C2, Department_Ref!$A:$B, 2, 0)</t>
  </si>
  <si>
    <t>Copy the formula down for all 40 employees.</t>
  </si>
  <si>
    <t>TASK 2 — VLOOKUP with IFERROR: Find Bonus % (Intermediate)</t>
  </si>
  <si>
    <t>In column E of 'Task1_VLOOKUP', find the Bonus % for each employee from Grade_Bonus_Ref.</t>
  </si>
  <si>
    <t>Use IFERROR to show 'Not Found' if the grade doesn't exist in the lookup table.</t>
  </si>
  <si>
    <t>In column F, calculate the Bonus Amount = Salary × Bonus%</t>
  </si>
  <si>
    <t>TASK 3 — XLOOKUP: Pull Head of Department (Intermediate)</t>
  </si>
  <si>
    <t>Go to 'Task3_XLOOKUP'. In column D, use XLOOKUP to pull the 'Head of Dept' from Department_Ref.</t>
  </si>
  <si>
    <t>Notice: XLOOKUP doesn't need a column number — you specify the return array directly.</t>
  </si>
  <si>
    <t>Formula: =XLOOKUP(C2, Department_Ref!$A:$A, Department_Ref!$C:$C, "Not Found")</t>
  </si>
  <si>
    <t>TASK 4 — INDEX-MATCH: Lookup by Name (Advanced)</t>
  </si>
  <si>
    <t>Go to 'Task4_INDEX_MATCH'. Column A has employee names.</t>
  </si>
  <si>
    <t>Use INDEX-MATCH to find each employee's Emp ID, Salary, and City.</t>
  </si>
  <si>
    <t>Hint: =INDEX(Employee_Master!$A:$A, MATCH(A2, Employee_Master!$B:$B, 0))</t>
  </si>
  <si>
    <t>Why is this better than VLOOKUP for this task? Write your answer below:</t>
  </si>
  <si>
    <t>Answer: _______________________________________________________________</t>
  </si>
  <si>
    <t>CHALLENGE — Compare all 3 methods side by side in 'Bonus_Compare'</t>
  </si>
  <si>
    <t>For the same lookup (find Department Name from Dept ID), write:</t>
  </si>
  <si>
    <t xml:space="preserve">  Col C: VLOOKUP formula</t>
  </si>
  <si>
    <t xml:space="preserve">  Col D: XLOOKUP formula</t>
  </si>
  <si>
    <t xml:space="preserve">  Col E: INDEX-MATCH formula</t>
  </si>
  <si>
    <t>All three should return the same result. Which syntax do you prefer and why?</t>
  </si>
  <si>
    <t>Emp ID</t>
  </si>
  <si>
    <t>Full Name</t>
  </si>
  <si>
    <t>Dept ID</t>
  </si>
  <si>
    <t>Job Title</t>
  </si>
  <si>
    <t>Grade</t>
  </si>
  <si>
    <t>City</t>
  </si>
  <si>
    <t>Experience (Yrs)</t>
  </si>
  <si>
    <t>Annual Salary (₹)</t>
  </si>
  <si>
    <t>Perf Rating</t>
  </si>
  <si>
    <t>EMP1001</t>
  </si>
  <si>
    <t>Vivek Chopra</t>
  </si>
  <si>
    <t>D002</t>
  </si>
  <si>
    <t>Director</t>
  </si>
  <si>
    <t>L5</t>
  </si>
  <si>
    <t>Delhi</t>
  </si>
  <si>
    <t>B</t>
  </si>
  <si>
    <t>EMP1002</t>
  </si>
  <si>
    <t>Suresh Singh</t>
  </si>
  <si>
    <t>D003</t>
  </si>
  <si>
    <t>Senior Manager</t>
  </si>
  <si>
    <t>L4</t>
  </si>
  <si>
    <t>Pune</t>
  </si>
  <si>
    <t>C</t>
  </si>
  <si>
    <t>EMP1003</t>
  </si>
  <si>
    <t>Ritu Singh</t>
  </si>
  <si>
    <t>D005</t>
  </si>
  <si>
    <t>EMP1004</t>
  </si>
  <si>
    <t>Swati Joshi</t>
  </si>
  <si>
    <t>Chennai</t>
  </si>
  <si>
    <t>EMP1005</t>
  </si>
  <si>
    <t>Sanjay Reddy</t>
  </si>
  <si>
    <t>Manager</t>
  </si>
  <si>
    <t>L3</t>
  </si>
  <si>
    <t>Mumbai</t>
  </si>
  <si>
    <t>EMP1006</t>
  </si>
  <si>
    <t>Rekha Singh</t>
  </si>
  <si>
    <t>D004</t>
  </si>
  <si>
    <t>Hyderabad</t>
  </si>
  <si>
    <t>EMP1007</t>
  </si>
  <si>
    <t>Ritu Sharma</t>
  </si>
  <si>
    <t>Senior Analyst</t>
  </si>
  <si>
    <t>L2</t>
  </si>
  <si>
    <t>Bangalore</t>
  </si>
  <si>
    <t>EMP1008</t>
  </si>
  <si>
    <t>Rahul Nair</t>
  </si>
  <si>
    <t>A</t>
  </si>
  <si>
    <t>EMP1009</t>
  </si>
  <si>
    <t>Sneha Patel</t>
  </si>
  <si>
    <t>EMP1010</t>
  </si>
  <si>
    <t>Swati Reddy</t>
  </si>
  <si>
    <t>EMP1011</t>
  </si>
  <si>
    <t>Meena Shah</t>
  </si>
  <si>
    <t>D006</t>
  </si>
  <si>
    <t>EMP1012</t>
  </si>
  <si>
    <t>Dhruv Singh</t>
  </si>
  <si>
    <t>EMP1013</t>
  </si>
  <si>
    <t>Arjun Patel</t>
  </si>
  <si>
    <t>EMP1014</t>
  </si>
  <si>
    <t>Priya Joshi</t>
  </si>
  <si>
    <t>EMP1015</t>
  </si>
  <si>
    <t>Suresh Mehta</t>
  </si>
  <si>
    <t>EMP1016</t>
  </si>
  <si>
    <t>Manoj Patel</t>
  </si>
  <si>
    <t>EMP1017</t>
  </si>
  <si>
    <t>Suresh Mishra</t>
  </si>
  <si>
    <t>EMP1018</t>
  </si>
  <si>
    <t>Ritu Agarwal</t>
  </si>
  <si>
    <t>EMP1019</t>
  </si>
  <si>
    <t>Sneha Reddy</t>
  </si>
  <si>
    <t>Analyst</t>
  </si>
  <si>
    <t>L1</t>
  </si>
  <si>
    <t>EMP1020</t>
  </si>
  <si>
    <t>Nikhil Verma</t>
  </si>
  <si>
    <t>EMP1021</t>
  </si>
  <si>
    <t>EMP1022</t>
  </si>
  <si>
    <t>Priya Mehta</t>
  </si>
  <si>
    <t>EMP1023</t>
  </si>
  <si>
    <t>Dhruv Rao</t>
  </si>
  <si>
    <t>EMP1024</t>
  </si>
  <si>
    <t>EMP1025</t>
  </si>
  <si>
    <t>EMP1026</t>
  </si>
  <si>
    <t>Rekha Agarwal</t>
  </si>
  <si>
    <t>EMP1027</t>
  </si>
  <si>
    <t>Nisha Mishra</t>
  </si>
  <si>
    <t>EMP1028</t>
  </si>
  <si>
    <t>Rekha Nair</t>
  </si>
  <si>
    <t>EMP1029</t>
  </si>
  <si>
    <t>Sneha Sharma</t>
  </si>
  <si>
    <t>EMP1030</t>
  </si>
  <si>
    <t>Karan Reddy</t>
  </si>
  <si>
    <t>EMP1031</t>
  </si>
  <si>
    <t>Manoj Rao</t>
  </si>
  <si>
    <t>EMP1032</t>
  </si>
  <si>
    <t>Anjali Joshi</t>
  </si>
  <si>
    <t>D001</t>
  </si>
  <si>
    <t>EMP1033</t>
  </si>
  <si>
    <t>Meena Nair</t>
  </si>
  <si>
    <t>EMP1034</t>
  </si>
  <si>
    <t>Nisha Nair</t>
  </si>
  <si>
    <t>EMP1035</t>
  </si>
  <si>
    <t>Dhruv Mishra</t>
  </si>
  <si>
    <t>EMP1036</t>
  </si>
  <si>
    <t>Rahul Verma</t>
  </si>
  <si>
    <t>EMP1037</t>
  </si>
  <si>
    <t>EMP1038</t>
  </si>
  <si>
    <t>Meena Gupta</t>
  </si>
  <si>
    <t>EMP1039</t>
  </si>
  <si>
    <t>Sanjay Chopra</t>
  </si>
  <si>
    <t>EMP1040</t>
  </si>
  <si>
    <t>Rohit Joshi</t>
  </si>
  <si>
    <t>Department Name</t>
  </si>
  <si>
    <t>Head of Dept</t>
  </si>
  <si>
    <t>Base Salary (₹)</t>
  </si>
  <si>
    <t>Location</t>
  </si>
  <si>
    <t>Budget (₹ Cr)</t>
  </si>
  <si>
    <t>Engineering</t>
  </si>
  <si>
    <t>Anil Sharma</t>
  </si>
  <si>
    <t>Marketing</t>
  </si>
  <si>
    <t>Sunita Rao</t>
  </si>
  <si>
    <t>Finance</t>
  </si>
  <si>
    <t>Rajiv Gupta</t>
  </si>
  <si>
    <t>HR</t>
  </si>
  <si>
    <t>Deepa Menon</t>
  </si>
  <si>
    <t>Sales</t>
  </si>
  <si>
    <t>Kiran Patel</t>
  </si>
  <si>
    <t>Operations</t>
  </si>
  <si>
    <t>Meera Joshi</t>
  </si>
  <si>
    <t>Grade Name</t>
  </si>
  <si>
    <t>Bonus %</t>
  </si>
  <si>
    <t>Stock Options</t>
  </si>
  <si>
    <t>Notice Period</t>
  </si>
  <si>
    <t>Junior</t>
  </si>
  <si>
    <t>None</t>
  </si>
  <si>
    <t>1 month</t>
  </si>
  <si>
    <t>Mid-Level</t>
  </si>
  <si>
    <t>500 units</t>
  </si>
  <si>
    <t>Senior</t>
  </si>
  <si>
    <t>1000 units</t>
  </si>
  <si>
    <t>2 months</t>
  </si>
  <si>
    <t>Lead</t>
  </si>
  <si>
    <t>2500 units</t>
  </si>
  <si>
    <t>Executive</t>
  </si>
  <si>
    <t>5000 units</t>
  </si>
  <si>
    <t>3 months</t>
  </si>
  <si>
    <t>📌 TASK: Fill columns D (Dept Name via VLOOKUP) and E (Bonus % via VLOOKUP) and F (Bonus Amount)</t>
  </si>
  <si>
    <t>Dept Name (write VLOOKUP)</t>
  </si>
  <si>
    <t>Bonus % (VLOOKUP)</t>
  </si>
  <si>
    <t>Bonus Amount (= Salary × Bonus %/100)</t>
  </si>
  <si>
    <t>Annual Salary</t>
  </si>
  <si>
    <t>Lata Agarwal</t>
  </si>
  <si>
    <t>📌 TASK: Fill column D using XLOOKUP to get Head of Dept, and column E for Budget</t>
  </si>
  <si>
    <t>Head of Dept (XLOOKUP)</t>
  </si>
  <si>
    <t>Budget ₹Cr (XLOOKUP)</t>
  </si>
  <si>
    <t>📌 TASK: Given the Employee Name in Col A, use INDEX-MATCH to fill B (Emp ID), C (Salary), D (City)</t>
  </si>
  <si>
    <t>Employee Name (Given)</t>
  </si>
  <si>
    <t>Emp ID (INDEX-MATCH)</t>
  </si>
  <si>
    <t>Salary (INDEX-MATCH)</t>
  </si>
  <si>
    <t>City (INDEX-MATCH)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</si>
</sst>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000000"/>
      <name val="Arial"/>
    </font>
    <font>
      <b/>
      <sz val="10"/>
      <color rgb="FF1A3C5E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1A3C5E"/>
      <name val="Arial"/>
    </font>
    <font>
      <i/>
      <sz val="9"/>
      <color rgb="FF888888"/>
      <name val="Arial"/>
    </font>
    <font>
      <b/>
      <sz val="10"/>
      <name val="Arial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A3C5E"/>
        <bgColor rgb="FF1A3C5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27AE60"/>
        <bgColor rgb="FF27AE60"/>
      </patternFill>
    </fill>
    <fill>
      <patternFill patternType="solid">
        <fgColor rgb="FFEAFAF1"/>
        <bgColor rgb="FFEAFAF1"/>
      </patternFill>
    </fill>
    <fill>
      <patternFill patternType="solid">
        <fgColor rgb="FF8E44AD"/>
        <bgColor rgb="FF8E44AD"/>
      </patternFill>
    </fill>
    <fill>
      <patternFill patternType="solid">
        <fgColor rgb="FFF5EEF8"/>
        <bgColor rgb="FFF5EEF8"/>
      </patternFill>
    </fill>
    <fill>
      <patternFill patternType="solid">
        <fgColor rgb="FFEAF2FF"/>
        <bgColor rgb="FFEAF2FF"/>
      </patternFill>
    </fill>
    <fill>
      <patternFill patternType="solid">
        <fgColor rgb="FF2E4057"/>
        <bgColor rgb="FF2E4057"/>
      </patternFill>
    </fill>
    <fill>
      <patternFill patternType="solid">
        <fgColor rgb="FFFFFDE7"/>
        <bgColor rgb="FFFFFD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0" fillId="0" borderId="1" xfId="0" applyBorder="1"/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/>
    </xf>
    <xf numFmtId="0" fontId="0" fillId="0" borderId="2" xfId="0" applyBorder="1"/>
    <xf numFmtId="0" fontId="4" fillId="1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7" fillId="11" borderId="2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3" fontId="5" fillId="3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3" fontId="5" fillId="4" borderId="2" xfId="0" applyNumberFormat="1" applyFont="1" applyFill="1" applyBorder="1" applyAlignment="1">
      <alignment horizontal="center"/>
    </xf>
    <xf numFmtId="0" fontId="8" fillId="0" borderId="2" xfId="0" applyFont="1" applyBorder="1"/>
    <xf numFmtId="0" fontId="9" fillId="0" borderId="0" xfId="0" applyFont="1"/>
    <xf numFmtId="2" fontId="4" fillId="10" borderId="2" xfId="0" applyNumberFormat="1" applyFont="1" applyFill="1" applyBorder="1" applyAlignment="1">
      <alignment horizontal="center" vertical="center" wrapText="1"/>
    </xf>
    <xf numFmtId="2" fontId="7" fillId="11" borderId="2" xfId="0" applyNumberFormat="1" applyFont="1" applyFill="1" applyBorder="1"/>
    <xf numFmtId="2" fontId="0" fillId="0" borderId="0" xfId="0" applyNumberFormat="1"/>
    <xf numFmtId="0" fontId="6" fillId="9" borderId="2" xfId="0" applyFont="1" applyFill="1" applyBorder="1"/>
    <xf numFmtId="0" fontId="0" fillId="0" borderId="2" xfId="0" applyBorder="1"/>
    <xf numFmtId="0" fontId="6" fillId="9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showGridLines="0" workbookViewId="0">
      <selection activeCell="A38" sqref="A38"/>
    </sheetView>
  </sheetViews>
  <sheetFormatPr defaultRowHeight="15" x14ac:dyDescent="0.25"/>
  <cols>
    <col min="1" max="1" width="95" customWidth="1"/>
  </cols>
  <sheetData>
    <row r="1" spans="1:1" ht="40.15" customHeight="1" x14ac:dyDescent="0.25">
      <c r="A1" s="1" t="s">
        <v>0</v>
      </c>
    </row>
    <row r="2" spans="1:1" ht="22.15" customHeight="1" x14ac:dyDescent="0.25">
      <c r="A2" s="2"/>
    </row>
    <row r="3" spans="1:1" ht="22.15" customHeight="1" x14ac:dyDescent="0.25">
      <c r="A3" s="3" t="s">
        <v>1</v>
      </c>
    </row>
    <row r="4" spans="1:1" ht="22.15" customHeight="1" x14ac:dyDescent="0.25">
      <c r="A4" s="3" t="s">
        <v>2</v>
      </c>
    </row>
    <row r="5" spans="1:1" ht="22.15" customHeight="1" x14ac:dyDescent="0.25">
      <c r="A5" s="2"/>
    </row>
    <row r="6" spans="1:1" ht="22.15" customHeight="1" x14ac:dyDescent="0.25"/>
    <row r="7" spans="1:1" ht="22.15" customHeight="1" x14ac:dyDescent="0.25">
      <c r="A7" s="2"/>
    </row>
    <row r="8" spans="1:1" ht="22.15" customHeight="1" x14ac:dyDescent="0.25">
      <c r="A8" s="3" t="s">
        <v>3</v>
      </c>
    </row>
    <row r="9" spans="1:1" ht="22.15" customHeight="1" x14ac:dyDescent="0.25">
      <c r="A9" s="3" t="s">
        <v>4</v>
      </c>
    </row>
    <row r="10" spans="1:1" ht="22.15" customHeight="1" x14ac:dyDescent="0.25">
      <c r="A10" s="2" t="s">
        <v>5</v>
      </c>
    </row>
    <row r="11" spans="1:1" ht="22.15" customHeight="1" x14ac:dyDescent="0.25">
      <c r="A11" s="2" t="s">
        <v>6</v>
      </c>
    </row>
    <row r="12" spans="1:1" ht="22.15" customHeight="1" x14ac:dyDescent="0.25">
      <c r="A12" s="2" t="s">
        <v>7</v>
      </c>
    </row>
    <row r="13" spans="1:1" ht="22.15" customHeight="1" x14ac:dyDescent="0.25">
      <c r="A13" s="2" t="s">
        <v>8</v>
      </c>
    </row>
    <row r="14" spans="1:1" ht="22.15" customHeight="1" x14ac:dyDescent="0.25">
      <c r="A14" s="2" t="s">
        <v>9</v>
      </c>
    </row>
    <row r="15" spans="1:1" ht="22.15" customHeight="1" x14ac:dyDescent="0.25">
      <c r="A15" s="2"/>
    </row>
    <row r="16" spans="1:1" ht="22.15" customHeight="1" x14ac:dyDescent="0.25">
      <c r="A16" s="3" t="s">
        <v>3</v>
      </c>
    </row>
    <row r="17" spans="1:1" ht="22.15" customHeight="1" x14ac:dyDescent="0.25">
      <c r="A17" s="3" t="s">
        <v>10</v>
      </c>
    </row>
    <row r="18" spans="1:1" ht="22.15" customHeight="1" x14ac:dyDescent="0.25">
      <c r="A18" s="2" t="s">
        <v>11</v>
      </c>
    </row>
    <row r="19" spans="1:1" ht="22.15" customHeight="1" x14ac:dyDescent="0.25">
      <c r="A19" s="2" t="s">
        <v>12</v>
      </c>
    </row>
    <row r="20" spans="1:1" ht="22.15" customHeight="1" x14ac:dyDescent="0.25">
      <c r="A20" s="2" t="s">
        <v>13</v>
      </c>
    </row>
    <row r="21" spans="1:1" ht="22.15" customHeight="1" x14ac:dyDescent="0.25">
      <c r="A21" s="2"/>
    </row>
    <row r="22" spans="1:1" ht="22.15" customHeight="1" x14ac:dyDescent="0.25">
      <c r="A22" s="3" t="s">
        <v>3</v>
      </c>
    </row>
    <row r="23" spans="1:1" ht="22.15" customHeight="1" x14ac:dyDescent="0.25">
      <c r="A23" s="3" t="s">
        <v>14</v>
      </c>
    </row>
    <row r="24" spans="1:1" ht="22.15" customHeight="1" x14ac:dyDescent="0.25">
      <c r="A24" s="2" t="s">
        <v>15</v>
      </c>
    </row>
    <row r="25" spans="1:1" ht="22.15" customHeight="1" x14ac:dyDescent="0.25">
      <c r="A25" s="2" t="s">
        <v>16</v>
      </c>
    </row>
    <row r="26" spans="1:1" ht="22.15" customHeight="1" x14ac:dyDescent="0.25">
      <c r="A26" s="2" t="s">
        <v>17</v>
      </c>
    </row>
    <row r="27" spans="1:1" ht="22.15" customHeight="1" x14ac:dyDescent="0.25">
      <c r="A27" s="2"/>
    </row>
    <row r="28" spans="1:1" ht="22.15" customHeight="1" x14ac:dyDescent="0.25">
      <c r="A28" s="3" t="s">
        <v>3</v>
      </c>
    </row>
    <row r="29" spans="1:1" ht="22.15" customHeight="1" x14ac:dyDescent="0.25">
      <c r="A29" s="3" t="s">
        <v>18</v>
      </c>
    </row>
    <row r="30" spans="1:1" ht="22.15" customHeight="1" x14ac:dyDescent="0.25">
      <c r="A30" s="2" t="s">
        <v>19</v>
      </c>
    </row>
    <row r="31" spans="1:1" ht="22.15" customHeight="1" x14ac:dyDescent="0.25">
      <c r="A31" s="2" t="s">
        <v>20</v>
      </c>
    </row>
    <row r="32" spans="1:1" ht="22.15" customHeight="1" x14ac:dyDescent="0.25">
      <c r="A32" s="2" t="s">
        <v>21</v>
      </c>
    </row>
    <row r="33" spans="1:1" ht="22.15" customHeight="1" x14ac:dyDescent="0.25">
      <c r="A33" s="2" t="s">
        <v>22</v>
      </c>
    </row>
    <row r="34" spans="1:1" ht="22.15" customHeight="1" x14ac:dyDescent="0.25">
      <c r="A34" s="2" t="s">
        <v>23</v>
      </c>
    </row>
    <row r="35" spans="1:1" ht="22.15" customHeight="1" x14ac:dyDescent="0.25">
      <c r="A35" s="2"/>
    </row>
    <row r="36" spans="1:1" ht="22.15" customHeight="1" x14ac:dyDescent="0.25">
      <c r="A36" s="3" t="s">
        <v>3</v>
      </c>
    </row>
    <row r="37" spans="1:1" ht="22.15" customHeight="1" x14ac:dyDescent="0.25">
      <c r="A37" s="3" t="s">
        <v>24</v>
      </c>
    </row>
    <row r="38" spans="1:1" ht="22.15" customHeight="1" x14ac:dyDescent="0.25">
      <c r="A38" s="2" t="s">
        <v>25</v>
      </c>
    </row>
    <row r="39" spans="1:1" ht="22.15" customHeight="1" x14ac:dyDescent="0.25">
      <c r="A39" s="2" t="s">
        <v>26</v>
      </c>
    </row>
    <row r="40" spans="1:1" ht="22.15" customHeight="1" x14ac:dyDescent="0.25">
      <c r="A40" s="2" t="s">
        <v>27</v>
      </c>
    </row>
    <row r="41" spans="1:1" ht="22.15" customHeight="1" x14ac:dyDescent="0.25">
      <c r="A41" s="2" t="s">
        <v>28</v>
      </c>
    </row>
    <row r="42" spans="1:1" ht="22.15" customHeight="1" x14ac:dyDescent="0.25">
      <c r="A42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selection activeCell="E35" sqref="E35"/>
    </sheetView>
  </sheetViews>
  <sheetFormatPr defaultRowHeight="15" x14ac:dyDescent="0.25"/>
  <cols>
    <col min="1" max="1" width="12" customWidth="1"/>
    <col min="2" max="2" width="22" customWidth="1"/>
    <col min="3" max="3" width="10" customWidth="1"/>
    <col min="4" max="4" width="20" customWidth="1"/>
    <col min="5" max="5" width="8" customWidth="1"/>
    <col min="6" max="6" width="14" customWidth="1"/>
    <col min="7" max="7" width="18" customWidth="1"/>
    <col min="8" max="8" width="20" customWidth="1"/>
    <col min="9" max="9" width="14" customWidth="1"/>
  </cols>
  <sheetData>
    <row r="1" spans="1:9" ht="30" x14ac:dyDescent="0.25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</row>
    <row r="2" spans="1:9" x14ac:dyDescent="0.25">
      <c r="A2" s="14" t="s">
        <v>39</v>
      </c>
      <c r="B2" s="14" t="s">
        <v>40</v>
      </c>
      <c r="C2" s="14" t="s">
        <v>41</v>
      </c>
      <c r="D2" s="14" t="s">
        <v>42</v>
      </c>
      <c r="E2" s="14" t="s">
        <v>43</v>
      </c>
      <c r="F2" s="14" t="s">
        <v>44</v>
      </c>
      <c r="G2" s="14">
        <v>4</v>
      </c>
      <c r="H2" s="15">
        <v>210000</v>
      </c>
      <c r="I2" s="14" t="s">
        <v>45</v>
      </c>
    </row>
    <row r="3" spans="1:9" x14ac:dyDescent="0.25">
      <c r="A3" s="16" t="s">
        <v>46</v>
      </c>
      <c r="B3" s="16" t="s">
        <v>47</v>
      </c>
      <c r="C3" s="16" t="s">
        <v>48</v>
      </c>
      <c r="D3" s="16" t="s">
        <v>49</v>
      </c>
      <c r="E3" s="16" t="s">
        <v>50</v>
      </c>
      <c r="F3" s="16" t="s">
        <v>51</v>
      </c>
      <c r="G3" s="16">
        <v>11</v>
      </c>
      <c r="H3" s="17">
        <v>178000</v>
      </c>
      <c r="I3" s="16" t="s">
        <v>52</v>
      </c>
    </row>
    <row r="4" spans="1:9" x14ac:dyDescent="0.25">
      <c r="A4" s="14" t="s">
        <v>53</v>
      </c>
      <c r="B4" s="14" t="s">
        <v>54</v>
      </c>
      <c r="C4" s="14" t="s">
        <v>55</v>
      </c>
      <c r="D4" s="14" t="s">
        <v>49</v>
      </c>
      <c r="E4" s="14" t="s">
        <v>50</v>
      </c>
      <c r="F4" s="14" t="s">
        <v>44</v>
      </c>
      <c r="G4" s="14">
        <v>7</v>
      </c>
      <c r="H4" s="15">
        <v>147000</v>
      </c>
      <c r="I4" s="14" t="s">
        <v>52</v>
      </c>
    </row>
    <row r="5" spans="1:9" x14ac:dyDescent="0.25">
      <c r="A5" s="16" t="s">
        <v>56</v>
      </c>
      <c r="B5" s="16" t="s">
        <v>57</v>
      </c>
      <c r="C5" s="16" t="s">
        <v>48</v>
      </c>
      <c r="D5" s="16" t="s">
        <v>49</v>
      </c>
      <c r="E5" s="16" t="s">
        <v>50</v>
      </c>
      <c r="F5" s="16" t="s">
        <v>58</v>
      </c>
      <c r="G5" s="16">
        <v>4</v>
      </c>
      <c r="H5" s="17">
        <v>178000</v>
      </c>
      <c r="I5" s="16" t="s">
        <v>45</v>
      </c>
    </row>
    <row r="6" spans="1:9" x14ac:dyDescent="0.25">
      <c r="A6" s="14" t="s">
        <v>59</v>
      </c>
      <c r="B6" s="14" t="s">
        <v>60</v>
      </c>
      <c r="C6" s="14" t="s">
        <v>55</v>
      </c>
      <c r="D6" s="14" t="s">
        <v>61</v>
      </c>
      <c r="E6" s="14" t="s">
        <v>62</v>
      </c>
      <c r="F6" s="14" t="s">
        <v>63</v>
      </c>
      <c r="G6" s="14">
        <v>12</v>
      </c>
      <c r="H6" s="15">
        <v>119000</v>
      </c>
      <c r="I6" s="14" t="s">
        <v>52</v>
      </c>
    </row>
    <row r="7" spans="1:9" x14ac:dyDescent="0.25">
      <c r="A7" s="16" t="s">
        <v>64</v>
      </c>
      <c r="B7" s="16" t="s">
        <v>65</v>
      </c>
      <c r="C7" s="16" t="s">
        <v>66</v>
      </c>
      <c r="D7" s="16" t="s">
        <v>61</v>
      </c>
      <c r="E7" s="16" t="s">
        <v>62</v>
      </c>
      <c r="F7" s="16" t="s">
        <v>67</v>
      </c>
      <c r="G7" s="16">
        <v>1</v>
      </c>
      <c r="H7" s="17">
        <v>110000</v>
      </c>
      <c r="I7" s="16" t="s">
        <v>45</v>
      </c>
    </row>
    <row r="8" spans="1:9" x14ac:dyDescent="0.25">
      <c r="A8" s="14" t="s">
        <v>68</v>
      </c>
      <c r="B8" s="14" t="s">
        <v>69</v>
      </c>
      <c r="C8" s="14" t="s">
        <v>66</v>
      </c>
      <c r="D8" s="14" t="s">
        <v>70</v>
      </c>
      <c r="E8" s="14" t="s">
        <v>71</v>
      </c>
      <c r="F8" s="14" t="s">
        <v>72</v>
      </c>
      <c r="G8" s="14">
        <v>15</v>
      </c>
      <c r="H8" s="15">
        <v>88000</v>
      </c>
      <c r="I8" s="14" t="s">
        <v>52</v>
      </c>
    </row>
    <row r="9" spans="1:9" x14ac:dyDescent="0.25">
      <c r="A9" s="16" t="s">
        <v>73</v>
      </c>
      <c r="B9" s="16" t="s">
        <v>74</v>
      </c>
      <c r="C9" s="16" t="s">
        <v>55</v>
      </c>
      <c r="D9" s="16" t="s">
        <v>70</v>
      </c>
      <c r="E9" s="16" t="s">
        <v>71</v>
      </c>
      <c r="F9" s="16" t="s">
        <v>51</v>
      </c>
      <c r="G9" s="16">
        <v>8</v>
      </c>
      <c r="H9" s="17">
        <v>94000</v>
      </c>
      <c r="I9" s="16" t="s">
        <v>75</v>
      </c>
    </row>
    <row r="10" spans="1:9" x14ac:dyDescent="0.25">
      <c r="A10" s="14" t="s">
        <v>76</v>
      </c>
      <c r="B10" s="14" t="s">
        <v>77</v>
      </c>
      <c r="C10" s="14" t="s">
        <v>41</v>
      </c>
      <c r="D10" s="14" t="s">
        <v>70</v>
      </c>
      <c r="E10" s="14" t="s">
        <v>71</v>
      </c>
      <c r="F10" s="14" t="s">
        <v>58</v>
      </c>
      <c r="G10" s="14">
        <v>13</v>
      </c>
      <c r="H10" s="15">
        <v>101000</v>
      </c>
      <c r="I10" s="14" t="s">
        <v>45</v>
      </c>
    </row>
    <row r="11" spans="1:9" x14ac:dyDescent="0.25">
      <c r="A11" s="16" t="s">
        <v>78</v>
      </c>
      <c r="B11" s="16" t="s">
        <v>79</v>
      </c>
      <c r="C11" s="16" t="s">
        <v>55</v>
      </c>
      <c r="D11" s="16" t="s">
        <v>70</v>
      </c>
      <c r="E11" s="16" t="s">
        <v>71</v>
      </c>
      <c r="F11" s="16" t="s">
        <v>63</v>
      </c>
      <c r="G11" s="16">
        <v>2</v>
      </c>
      <c r="H11" s="17">
        <v>94000</v>
      </c>
      <c r="I11" s="16" t="s">
        <v>75</v>
      </c>
    </row>
    <row r="12" spans="1:9" x14ac:dyDescent="0.25">
      <c r="A12" s="14" t="s">
        <v>80</v>
      </c>
      <c r="B12" s="14" t="s">
        <v>81</v>
      </c>
      <c r="C12" s="14" t="s">
        <v>82</v>
      </c>
      <c r="D12" s="14" t="s">
        <v>49</v>
      </c>
      <c r="E12" s="14" t="s">
        <v>50</v>
      </c>
      <c r="F12" s="14" t="s">
        <v>63</v>
      </c>
      <c r="G12" s="14">
        <v>15</v>
      </c>
      <c r="H12" s="15">
        <v>143000</v>
      </c>
      <c r="I12" s="14" t="s">
        <v>45</v>
      </c>
    </row>
    <row r="13" spans="1:9" x14ac:dyDescent="0.25">
      <c r="A13" s="16" t="s">
        <v>83</v>
      </c>
      <c r="B13" s="16" t="s">
        <v>84</v>
      </c>
      <c r="C13" s="16" t="s">
        <v>41</v>
      </c>
      <c r="D13" s="16" t="s">
        <v>61</v>
      </c>
      <c r="E13" s="16" t="s">
        <v>62</v>
      </c>
      <c r="F13" s="16" t="s">
        <v>51</v>
      </c>
      <c r="G13" s="16">
        <v>1</v>
      </c>
      <c r="H13" s="17">
        <v>128000</v>
      </c>
      <c r="I13" s="16" t="s">
        <v>45</v>
      </c>
    </row>
    <row r="14" spans="1:9" x14ac:dyDescent="0.25">
      <c r="A14" s="14" t="s">
        <v>85</v>
      </c>
      <c r="B14" s="14" t="s">
        <v>86</v>
      </c>
      <c r="C14" s="14" t="s">
        <v>55</v>
      </c>
      <c r="D14" s="14" t="s">
        <v>49</v>
      </c>
      <c r="E14" s="14" t="s">
        <v>50</v>
      </c>
      <c r="F14" s="14" t="s">
        <v>44</v>
      </c>
      <c r="G14" s="14">
        <v>15</v>
      </c>
      <c r="H14" s="15">
        <v>147000</v>
      </c>
      <c r="I14" s="14" t="s">
        <v>75</v>
      </c>
    </row>
    <row r="15" spans="1:9" x14ac:dyDescent="0.25">
      <c r="A15" s="16" t="s">
        <v>87</v>
      </c>
      <c r="B15" s="16" t="s">
        <v>88</v>
      </c>
      <c r="C15" s="16" t="s">
        <v>66</v>
      </c>
      <c r="D15" s="16" t="s">
        <v>61</v>
      </c>
      <c r="E15" s="16" t="s">
        <v>62</v>
      </c>
      <c r="F15" s="16" t="s">
        <v>51</v>
      </c>
      <c r="G15" s="16">
        <v>7</v>
      </c>
      <c r="H15" s="17">
        <v>110000</v>
      </c>
      <c r="I15" s="16" t="s">
        <v>75</v>
      </c>
    </row>
    <row r="16" spans="1:9" x14ac:dyDescent="0.25">
      <c r="A16" s="14" t="s">
        <v>89</v>
      </c>
      <c r="B16" s="14" t="s">
        <v>90</v>
      </c>
      <c r="C16" s="14" t="s">
        <v>82</v>
      </c>
      <c r="D16" s="14" t="s">
        <v>49</v>
      </c>
      <c r="E16" s="14" t="s">
        <v>50</v>
      </c>
      <c r="F16" s="14" t="s">
        <v>63</v>
      </c>
      <c r="G16" s="14">
        <v>3</v>
      </c>
      <c r="H16" s="15">
        <v>143000</v>
      </c>
      <c r="I16" s="14" t="s">
        <v>52</v>
      </c>
    </row>
    <row r="17" spans="1:9" x14ac:dyDescent="0.25">
      <c r="A17" s="16" t="s">
        <v>91</v>
      </c>
      <c r="B17" s="16" t="s">
        <v>92</v>
      </c>
      <c r="C17" s="16" t="s">
        <v>55</v>
      </c>
      <c r="D17" s="16" t="s">
        <v>49</v>
      </c>
      <c r="E17" s="16" t="s">
        <v>50</v>
      </c>
      <c r="F17" s="16" t="s">
        <v>63</v>
      </c>
      <c r="G17" s="16">
        <v>2</v>
      </c>
      <c r="H17" s="17">
        <v>147000</v>
      </c>
      <c r="I17" s="16" t="s">
        <v>75</v>
      </c>
    </row>
    <row r="18" spans="1:9" x14ac:dyDescent="0.25">
      <c r="A18" s="14" t="s">
        <v>93</v>
      </c>
      <c r="B18" s="14" t="s">
        <v>94</v>
      </c>
      <c r="C18" s="14" t="s">
        <v>41</v>
      </c>
      <c r="D18" s="14" t="s">
        <v>70</v>
      </c>
      <c r="E18" s="14" t="s">
        <v>71</v>
      </c>
      <c r="F18" s="14" t="s">
        <v>67</v>
      </c>
      <c r="G18" s="14">
        <v>3</v>
      </c>
      <c r="H18" s="15">
        <v>101000</v>
      </c>
      <c r="I18" s="14" t="s">
        <v>45</v>
      </c>
    </row>
    <row r="19" spans="1:9" x14ac:dyDescent="0.25">
      <c r="A19" s="16" t="s">
        <v>95</v>
      </c>
      <c r="B19" s="16" t="s">
        <v>96</v>
      </c>
      <c r="C19" s="16" t="s">
        <v>66</v>
      </c>
      <c r="D19" s="16" t="s">
        <v>70</v>
      </c>
      <c r="E19" s="16" t="s">
        <v>71</v>
      </c>
      <c r="F19" s="16" t="s">
        <v>72</v>
      </c>
      <c r="G19" s="16">
        <v>2</v>
      </c>
      <c r="H19" s="17">
        <v>88000</v>
      </c>
      <c r="I19" s="16" t="s">
        <v>75</v>
      </c>
    </row>
    <row r="20" spans="1:9" x14ac:dyDescent="0.25">
      <c r="A20" s="14" t="s">
        <v>97</v>
      </c>
      <c r="B20" s="14" t="s">
        <v>98</v>
      </c>
      <c r="C20" s="14" t="s">
        <v>82</v>
      </c>
      <c r="D20" s="14" t="s">
        <v>99</v>
      </c>
      <c r="E20" s="14" t="s">
        <v>100</v>
      </c>
      <c r="F20" s="14" t="s">
        <v>51</v>
      </c>
      <c r="G20" s="14">
        <v>5</v>
      </c>
      <c r="H20" s="15">
        <v>68000</v>
      </c>
      <c r="I20" s="14" t="s">
        <v>75</v>
      </c>
    </row>
    <row r="21" spans="1:9" x14ac:dyDescent="0.25">
      <c r="A21" s="16" t="s">
        <v>101</v>
      </c>
      <c r="B21" s="16" t="s">
        <v>102</v>
      </c>
      <c r="C21" s="16" t="s">
        <v>48</v>
      </c>
      <c r="D21" s="16" t="s">
        <v>70</v>
      </c>
      <c r="E21" s="16" t="s">
        <v>71</v>
      </c>
      <c r="F21" s="16" t="s">
        <v>67</v>
      </c>
      <c r="G21" s="16">
        <v>7</v>
      </c>
      <c r="H21" s="17">
        <v>115000</v>
      </c>
      <c r="I21" s="16" t="s">
        <v>45</v>
      </c>
    </row>
    <row r="22" spans="1:9" x14ac:dyDescent="0.25">
      <c r="A22" s="14" t="s">
        <v>103</v>
      </c>
      <c r="B22" s="14" t="s">
        <v>40</v>
      </c>
      <c r="C22" s="14" t="s">
        <v>66</v>
      </c>
      <c r="D22" s="14" t="s">
        <v>61</v>
      </c>
      <c r="E22" s="14" t="s">
        <v>62</v>
      </c>
      <c r="F22" s="14" t="s">
        <v>51</v>
      </c>
      <c r="G22" s="14">
        <v>2</v>
      </c>
      <c r="H22" s="15">
        <v>110000</v>
      </c>
      <c r="I22" s="14" t="s">
        <v>45</v>
      </c>
    </row>
    <row r="23" spans="1:9" x14ac:dyDescent="0.25">
      <c r="A23" s="16" t="s">
        <v>104</v>
      </c>
      <c r="B23" s="16" t="s">
        <v>105</v>
      </c>
      <c r="C23" s="16" t="s">
        <v>82</v>
      </c>
      <c r="D23" s="16" t="s">
        <v>49</v>
      </c>
      <c r="E23" s="16" t="s">
        <v>50</v>
      </c>
      <c r="F23" s="16" t="s">
        <v>67</v>
      </c>
      <c r="G23" s="16">
        <v>4</v>
      </c>
      <c r="H23" s="17">
        <v>143000</v>
      </c>
      <c r="I23" s="16" t="s">
        <v>45</v>
      </c>
    </row>
    <row r="24" spans="1:9" x14ac:dyDescent="0.25">
      <c r="A24" s="14" t="s">
        <v>106</v>
      </c>
      <c r="B24" s="14" t="s">
        <v>107</v>
      </c>
      <c r="C24" s="14" t="s">
        <v>82</v>
      </c>
      <c r="D24" s="14" t="s">
        <v>61</v>
      </c>
      <c r="E24" s="14" t="s">
        <v>62</v>
      </c>
      <c r="F24" s="14" t="s">
        <v>63</v>
      </c>
      <c r="G24" s="14">
        <v>14</v>
      </c>
      <c r="H24" s="15">
        <v>116000</v>
      </c>
      <c r="I24" s="14" t="s">
        <v>52</v>
      </c>
    </row>
    <row r="25" spans="1:9" x14ac:dyDescent="0.25">
      <c r="A25" s="16" t="s">
        <v>108</v>
      </c>
      <c r="B25" s="16"/>
      <c r="C25" s="16" t="s">
        <v>41</v>
      </c>
      <c r="D25" s="16" t="s">
        <v>70</v>
      </c>
      <c r="E25" s="16" t="s">
        <v>71</v>
      </c>
      <c r="F25" s="16" t="s">
        <v>67</v>
      </c>
      <c r="G25" s="16">
        <v>5</v>
      </c>
      <c r="H25" s="17">
        <v>101000</v>
      </c>
      <c r="I25" s="16" t="s">
        <v>45</v>
      </c>
    </row>
    <row r="26" spans="1:9" x14ac:dyDescent="0.25">
      <c r="A26" s="14" t="s">
        <v>109</v>
      </c>
      <c r="B26" s="14" t="s">
        <v>74</v>
      </c>
      <c r="C26" s="14" t="s">
        <v>66</v>
      </c>
      <c r="D26" s="14" t="s">
        <v>61</v>
      </c>
      <c r="E26" s="14" t="s">
        <v>62</v>
      </c>
      <c r="F26" s="14" t="s">
        <v>63</v>
      </c>
      <c r="G26" s="14">
        <v>9</v>
      </c>
      <c r="H26" s="15">
        <v>110000</v>
      </c>
      <c r="I26" s="14" t="s">
        <v>45</v>
      </c>
    </row>
    <row r="27" spans="1:9" x14ac:dyDescent="0.25">
      <c r="A27" s="16" t="s">
        <v>110</v>
      </c>
      <c r="B27" s="16" t="s">
        <v>111</v>
      </c>
      <c r="C27" s="16" t="s">
        <v>66</v>
      </c>
      <c r="D27" s="16" t="s">
        <v>42</v>
      </c>
      <c r="E27" s="16" t="s">
        <v>43</v>
      </c>
      <c r="F27" s="16" t="s">
        <v>44</v>
      </c>
      <c r="G27" s="16">
        <v>15</v>
      </c>
      <c r="H27" s="17">
        <v>182000</v>
      </c>
      <c r="I27" s="16" t="s">
        <v>45</v>
      </c>
    </row>
    <row r="28" spans="1:9" x14ac:dyDescent="0.25">
      <c r="A28" s="14" t="s">
        <v>112</v>
      </c>
      <c r="B28" s="14" t="s">
        <v>113</v>
      </c>
      <c r="C28" s="14" t="s">
        <v>66</v>
      </c>
      <c r="D28" s="14" t="s">
        <v>42</v>
      </c>
      <c r="E28" s="14" t="s">
        <v>43</v>
      </c>
      <c r="F28" s="14" t="s">
        <v>44</v>
      </c>
      <c r="G28" s="14">
        <v>5</v>
      </c>
      <c r="H28" s="15">
        <v>182000</v>
      </c>
      <c r="I28" s="14" t="s">
        <v>45</v>
      </c>
    </row>
    <row r="29" spans="1:9" x14ac:dyDescent="0.25">
      <c r="A29" s="16" t="s">
        <v>114</v>
      </c>
      <c r="B29" s="16" t="s">
        <v>115</v>
      </c>
      <c r="C29" s="16" t="s">
        <v>41</v>
      </c>
      <c r="D29" s="16" t="s">
        <v>49</v>
      </c>
      <c r="E29" s="16" t="s">
        <v>50</v>
      </c>
      <c r="F29" s="16" t="s">
        <v>72</v>
      </c>
      <c r="G29" s="16">
        <v>15</v>
      </c>
      <c r="H29" s="17">
        <v>158000</v>
      </c>
      <c r="I29" s="16" t="s">
        <v>45</v>
      </c>
    </row>
    <row r="30" spans="1:9" x14ac:dyDescent="0.25">
      <c r="A30" s="14" t="s">
        <v>116</v>
      </c>
      <c r="B30" s="14" t="s">
        <v>117</v>
      </c>
      <c r="C30" s="14" t="s">
        <v>82</v>
      </c>
      <c r="D30" s="14" t="s">
        <v>61</v>
      </c>
      <c r="E30" s="14" t="s">
        <v>62</v>
      </c>
      <c r="F30" s="14" t="s">
        <v>58</v>
      </c>
      <c r="G30" s="14">
        <v>5</v>
      </c>
      <c r="H30" s="15">
        <v>116000</v>
      </c>
      <c r="I30" s="14" t="s">
        <v>75</v>
      </c>
    </row>
    <row r="31" spans="1:9" x14ac:dyDescent="0.25">
      <c r="A31" s="16" t="s">
        <v>118</v>
      </c>
      <c r="B31" s="16" t="s">
        <v>119</v>
      </c>
      <c r="C31" s="16" t="s">
        <v>82</v>
      </c>
      <c r="D31" s="16" t="s">
        <v>61</v>
      </c>
      <c r="E31" s="16" t="s">
        <v>62</v>
      </c>
      <c r="F31" s="16" t="s">
        <v>58</v>
      </c>
      <c r="G31" s="16">
        <v>7</v>
      </c>
      <c r="H31" s="17">
        <v>116000</v>
      </c>
      <c r="I31" s="16" t="s">
        <v>52</v>
      </c>
    </row>
    <row r="32" spans="1:9" x14ac:dyDescent="0.25">
      <c r="A32" s="14" t="s">
        <v>120</v>
      </c>
      <c r="B32" s="14" t="s">
        <v>121</v>
      </c>
      <c r="C32" s="14" t="s">
        <v>66</v>
      </c>
      <c r="D32" s="14" t="s">
        <v>61</v>
      </c>
      <c r="E32" s="14" t="s">
        <v>62</v>
      </c>
      <c r="F32" s="14" t="s">
        <v>58</v>
      </c>
      <c r="G32" s="14">
        <v>7</v>
      </c>
      <c r="H32" s="15">
        <v>110000</v>
      </c>
      <c r="I32" s="14" t="s">
        <v>75</v>
      </c>
    </row>
    <row r="33" spans="1:9" x14ac:dyDescent="0.25">
      <c r="A33" s="16" t="s">
        <v>122</v>
      </c>
      <c r="B33" s="16" t="s">
        <v>123</v>
      </c>
      <c r="C33" s="16" t="s">
        <v>124</v>
      </c>
      <c r="D33" s="16" t="s">
        <v>42</v>
      </c>
      <c r="E33" s="16" t="s">
        <v>43</v>
      </c>
      <c r="F33" s="16" t="s">
        <v>72</v>
      </c>
      <c r="G33" s="16">
        <v>11</v>
      </c>
      <c r="H33" s="17">
        <v>266000</v>
      </c>
      <c r="I33" s="16" t="s">
        <v>52</v>
      </c>
    </row>
    <row r="34" spans="1:9" x14ac:dyDescent="0.25">
      <c r="A34" s="14" t="s">
        <v>125</v>
      </c>
      <c r="B34" s="14" t="s">
        <v>126</v>
      </c>
      <c r="C34" s="14" t="s">
        <v>41</v>
      </c>
      <c r="D34" s="14" t="s">
        <v>61</v>
      </c>
      <c r="E34" s="14" t="s">
        <v>62</v>
      </c>
      <c r="F34" s="14" t="s">
        <v>58</v>
      </c>
      <c r="G34" s="14">
        <v>14</v>
      </c>
      <c r="H34" s="15">
        <v>128000</v>
      </c>
      <c r="I34" s="14" t="s">
        <v>52</v>
      </c>
    </row>
    <row r="35" spans="1:9" x14ac:dyDescent="0.25">
      <c r="A35" s="16" t="s">
        <v>127</v>
      </c>
      <c r="B35" s="16" t="s">
        <v>128</v>
      </c>
      <c r="C35" s="16" t="s">
        <v>55</v>
      </c>
      <c r="D35" s="16" t="s">
        <v>42</v>
      </c>
      <c r="E35" s="16" t="s">
        <v>43</v>
      </c>
      <c r="F35" s="16" t="s">
        <v>58</v>
      </c>
      <c r="G35" s="16">
        <v>10</v>
      </c>
      <c r="H35" s="17">
        <v>196000</v>
      </c>
      <c r="I35" s="16" t="s">
        <v>75</v>
      </c>
    </row>
    <row r="36" spans="1:9" x14ac:dyDescent="0.25">
      <c r="A36" s="14" t="s">
        <v>129</v>
      </c>
      <c r="B36" s="14" t="s">
        <v>130</v>
      </c>
      <c r="C36" s="14" t="s">
        <v>41</v>
      </c>
      <c r="D36" s="14" t="s">
        <v>99</v>
      </c>
      <c r="E36" s="14" t="s">
        <v>100</v>
      </c>
      <c r="F36" s="14" t="s">
        <v>63</v>
      </c>
      <c r="G36" s="14">
        <v>13</v>
      </c>
      <c r="H36" s="15">
        <v>75000</v>
      </c>
      <c r="I36" s="14" t="s">
        <v>45</v>
      </c>
    </row>
    <row r="37" spans="1:9" x14ac:dyDescent="0.25">
      <c r="A37" s="16" t="s">
        <v>131</v>
      </c>
      <c r="B37" s="16" t="s">
        <v>132</v>
      </c>
      <c r="C37" s="16" t="s">
        <v>124</v>
      </c>
      <c r="D37" s="16" t="s">
        <v>49</v>
      </c>
      <c r="E37" s="16" t="s">
        <v>50</v>
      </c>
      <c r="F37" s="16" t="s">
        <v>72</v>
      </c>
      <c r="G37" s="16">
        <v>6</v>
      </c>
      <c r="H37" s="17">
        <v>200000</v>
      </c>
      <c r="I37" s="16" t="s">
        <v>52</v>
      </c>
    </row>
    <row r="38" spans="1:9" x14ac:dyDescent="0.25">
      <c r="A38" s="14" t="s">
        <v>133</v>
      </c>
      <c r="B38" s="14" t="s">
        <v>130</v>
      </c>
      <c r="C38" s="14" t="s">
        <v>41</v>
      </c>
      <c r="D38" s="14" t="s">
        <v>99</v>
      </c>
      <c r="E38" s="14" t="s">
        <v>100</v>
      </c>
      <c r="F38" s="14" t="s">
        <v>67</v>
      </c>
      <c r="G38" s="14">
        <v>7</v>
      </c>
      <c r="H38" s="15">
        <v>75000</v>
      </c>
      <c r="I38" s="14" t="s">
        <v>75</v>
      </c>
    </row>
    <row r="39" spans="1:9" x14ac:dyDescent="0.25">
      <c r="A39" s="16" t="s">
        <v>134</v>
      </c>
      <c r="B39" s="16" t="s">
        <v>135</v>
      </c>
      <c r="C39" s="16" t="s">
        <v>66</v>
      </c>
      <c r="D39" s="16" t="s">
        <v>61</v>
      </c>
      <c r="E39" s="16" t="s">
        <v>62</v>
      </c>
      <c r="F39" s="16" t="s">
        <v>44</v>
      </c>
      <c r="G39" s="16">
        <v>15</v>
      </c>
      <c r="H39" s="17">
        <v>110000</v>
      </c>
      <c r="I39" s="16" t="s">
        <v>45</v>
      </c>
    </row>
    <row r="40" spans="1:9" x14ac:dyDescent="0.25">
      <c r="A40" s="14" t="s">
        <v>136</v>
      </c>
      <c r="B40" s="14" t="s">
        <v>137</v>
      </c>
      <c r="C40" s="14" t="s">
        <v>66</v>
      </c>
      <c r="D40" s="14" t="s">
        <v>42</v>
      </c>
      <c r="E40" s="14" t="s">
        <v>43</v>
      </c>
      <c r="F40" s="14" t="s">
        <v>58</v>
      </c>
      <c r="G40" s="14">
        <v>3</v>
      </c>
      <c r="H40" s="15">
        <v>182000</v>
      </c>
      <c r="I40" s="14" t="s">
        <v>45</v>
      </c>
    </row>
    <row r="41" spans="1:9" x14ac:dyDescent="0.25">
      <c r="A41" s="16" t="s">
        <v>138</v>
      </c>
      <c r="B41" s="16" t="s">
        <v>139</v>
      </c>
      <c r="C41" s="16" t="s">
        <v>48</v>
      </c>
      <c r="D41" s="16" t="s">
        <v>49</v>
      </c>
      <c r="E41" s="16" t="s">
        <v>50</v>
      </c>
      <c r="F41" s="16" t="s">
        <v>51</v>
      </c>
      <c r="G41" s="16">
        <v>14</v>
      </c>
      <c r="H41" s="17">
        <v>178000</v>
      </c>
      <c r="I41" s="16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5" sqref="F5"/>
    </sheetView>
  </sheetViews>
  <sheetFormatPr defaultRowHeight="15" x14ac:dyDescent="0.25"/>
  <cols>
    <col min="1" max="1" width="10" customWidth="1"/>
    <col min="2" max="4" width="20" customWidth="1"/>
    <col min="5" max="5" width="14" customWidth="1"/>
    <col min="6" max="6" width="16" customWidth="1"/>
  </cols>
  <sheetData>
    <row r="1" spans="1:6" x14ac:dyDescent="0.25">
      <c r="A1" s="4" t="s">
        <v>32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</row>
    <row r="2" spans="1:6" x14ac:dyDescent="0.25">
      <c r="A2" s="5" t="s">
        <v>124</v>
      </c>
      <c r="B2" s="5" t="s">
        <v>145</v>
      </c>
      <c r="C2" s="5" t="s">
        <v>146</v>
      </c>
      <c r="D2" s="5">
        <v>95000</v>
      </c>
      <c r="E2" s="5" t="s">
        <v>72</v>
      </c>
      <c r="F2" s="5">
        <v>12.5</v>
      </c>
    </row>
    <row r="3" spans="1:6" x14ac:dyDescent="0.25">
      <c r="A3" s="5" t="s">
        <v>41</v>
      </c>
      <c r="B3" s="5" t="s">
        <v>147</v>
      </c>
      <c r="C3" s="5" t="s">
        <v>148</v>
      </c>
      <c r="D3" s="5">
        <v>75000</v>
      </c>
      <c r="E3" s="5" t="s">
        <v>63</v>
      </c>
      <c r="F3" s="5">
        <v>8.1999999999999993</v>
      </c>
    </row>
    <row r="4" spans="1:6" x14ac:dyDescent="0.25">
      <c r="A4" s="5" t="s">
        <v>48</v>
      </c>
      <c r="B4" s="5" t="s">
        <v>149</v>
      </c>
      <c r="C4" s="5" t="s">
        <v>150</v>
      </c>
      <c r="D4" s="5">
        <v>85000</v>
      </c>
      <c r="E4" s="5" t="s">
        <v>44</v>
      </c>
      <c r="F4" s="5">
        <v>6.8</v>
      </c>
    </row>
    <row r="5" spans="1:6" x14ac:dyDescent="0.25">
      <c r="A5" s="5" t="s">
        <v>66</v>
      </c>
      <c r="B5" s="5" t="s">
        <v>151</v>
      </c>
      <c r="C5" s="5" t="s">
        <v>152</v>
      </c>
      <c r="D5" s="5">
        <v>65000</v>
      </c>
      <c r="E5" s="5" t="s">
        <v>51</v>
      </c>
      <c r="F5" s="5">
        <v>4.0999999999999996</v>
      </c>
    </row>
    <row r="6" spans="1:6" x14ac:dyDescent="0.25">
      <c r="A6" s="5" t="s">
        <v>55</v>
      </c>
      <c r="B6" s="5" t="s">
        <v>153</v>
      </c>
      <c r="C6" s="5" t="s">
        <v>154</v>
      </c>
      <c r="D6" s="5">
        <v>70000</v>
      </c>
      <c r="E6" s="5" t="s">
        <v>67</v>
      </c>
      <c r="F6" s="5">
        <v>9.3000000000000007</v>
      </c>
    </row>
    <row r="7" spans="1:6" x14ac:dyDescent="0.25">
      <c r="A7" s="5" t="s">
        <v>82</v>
      </c>
      <c r="B7" s="5" t="s">
        <v>155</v>
      </c>
      <c r="C7" s="5" t="s">
        <v>156</v>
      </c>
      <c r="D7" s="5">
        <v>68000</v>
      </c>
      <c r="E7" s="5" t="s">
        <v>58</v>
      </c>
      <c r="F7" s="5">
        <v>7.6</v>
      </c>
    </row>
    <row r="8" spans="1:6" x14ac:dyDescent="0.25">
      <c r="A8" s="6"/>
      <c r="B8" s="6"/>
      <c r="C8" s="6"/>
      <c r="D8" s="6"/>
      <c r="E8" s="6"/>
      <c r="F8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F18" sqref="F18"/>
    </sheetView>
  </sheetViews>
  <sheetFormatPr defaultRowHeight="15" x14ac:dyDescent="0.25"/>
  <cols>
    <col min="1" max="1" width="8" customWidth="1"/>
    <col min="2" max="2" width="14" customWidth="1"/>
    <col min="3" max="3" width="10" customWidth="1"/>
    <col min="4" max="5" width="16" customWidth="1"/>
  </cols>
  <sheetData>
    <row r="1" spans="1:5" x14ac:dyDescent="0.25">
      <c r="A1" s="7" t="s">
        <v>34</v>
      </c>
      <c r="B1" s="7" t="s">
        <v>157</v>
      </c>
      <c r="C1" s="7" t="s">
        <v>158</v>
      </c>
      <c r="D1" s="7" t="s">
        <v>159</v>
      </c>
      <c r="E1" s="7" t="s">
        <v>160</v>
      </c>
    </row>
    <row r="2" spans="1:5" x14ac:dyDescent="0.25">
      <c r="A2" s="8" t="s">
        <v>100</v>
      </c>
      <c r="B2" s="8" t="s">
        <v>161</v>
      </c>
      <c r="C2" s="8">
        <v>5</v>
      </c>
      <c r="D2" s="8" t="s">
        <v>162</v>
      </c>
      <c r="E2" s="8" t="s">
        <v>163</v>
      </c>
    </row>
    <row r="3" spans="1:5" x14ac:dyDescent="0.25">
      <c r="A3" s="8" t="s">
        <v>71</v>
      </c>
      <c r="B3" s="8" t="s">
        <v>164</v>
      </c>
      <c r="C3" s="8">
        <v>8</v>
      </c>
      <c r="D3" s="8" t="s">
        <v>165</v>
      </c>
      <c r="E3" s="8">
        <f>VLOOKUP(Grade_Bonus_Ref!A2,Grade_Bonus_Ref!$A$2:$E$6,3,FALSE)</f>
        <v>5</v>
      </c>
    </row>
    <row r="4" spans="1:5" x14ac:dyDescent="0.25">
      <c r="A4" s="8" t="s">
        <v>62</v>
      </c>
      <c r="B4" s="8" t="s">
        <v>166</v>
      </c>
      <c r="C4" s="8">
        <v>12</v>
      </c>
      <c r="D4" s="8" t="s">
        <v>167</v>
      </c>
      <c r="E4" s="8" t="s">
        <v>168</v>
      </c>
    </row>
    <row r="5" spans="1:5" x14ac:dyDescent="0.25">
      <c r="A5" s="8" t="s">
        <v>50</v>
      </c>
      <c r="B5" s="8" t="s">
        <v>169</v>
      </c>
      <c r="C5" s="8">
        <v>18</v>
      </c>
      <c r="D5" s="8" t="s">
        <v>170</v>
      </c>
      <c r="E5" s="8" t="s">
        <v>168</v>
      </c>
    </row>
    <row r="6" spans="1:5" x14ac:dyDescent="0.25">
      <c r="A6" s="8" t="s">
        <v>43</v>
      </c>
      <c r="B6" s="8" t="s">
        <v>171</v>
      </c>
      <c r="C6" s="8">
        <v>25</v>
      </c>
      <c r="D6" s="8" t="s">
        <v>172</v>
      </c>
      <c r="E6" s="8" t="s">
        <v>173</v>
      </c>
    </row>
    <row r="7" spans="1:5" x14ac:dyDescent="0.25">
      <c r="A7" s="6"/>
      <c r="B7" s="6"/>
      <c r="C7" s="6"/>
      <c r="D7" s="6"/>
      <c r="E7" s="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2"/>
  <sheetViews>
    <sheetView workbookViewId="0">
      <selection activeCell="G2" sqref="G2"/>
    </sheetView>
  </sheetViews>
  <sheetFormatPr defaultRowHeight="15" x14ac:dyDescent="0.25"/>
  <cols>
    <col min="1" max="1" width="12" customWidth="1"/>
    <col min="2" max="2" width="22" customWidth="1"/>
    <col min="3" max="3" width="10" customWidth="1"/>
    <col min="4" max="4" width="28" customWidth="1"/>
    <col min="5" max="5" width="22" style="22" customWidth="1"/>
    <col min="6" max="6" width="28" customWidth="1"/>
    <col min="7" max="7" width="8" customWidth="1"/>
    <col min="8" max="8" width="18" customWidth="1"/>
  </cols>
  <sheetData>
    <row r="1" spans="1:11" ht="30" customHeight="1" x14ac:dyDescent="0.25">
      <c r="A1" s="23" t="s">
        <v>174</v>
      </c>
      <c r="B1" s="24"/>
      <c r="C1" s="24"/>
      <c r="D1" s="24"/>
      <c r="E1" s="24"/>
      <c r="F1" s="24"/>
      <c r="G1" s="24"/>
      <c r="H1" s="24"/>
    </row>
    <row r="2" spans="1:11" ht="30" x14ac:dyDescent="0.25">
      <c r="A2" s="10" t="s">
        <v>30</v>
      </c>
      <c r="B2" s="10" t="s">
        <v>31</v>
      </c>
      <c r="C2" s="10" t="s">
        <v>32</v>
      </c>
      <c r="D2" s="10" t="s">
        <v>175</v>
      </c>
      <c r="E2" s="20" t="s">
        <v>176</v>
      </c>
      <c r="F2" s="10" t="s">
        <v>177</v>
      </c>
      <c r="G2" s="10" t="s">
        <v>34</v>
      </c>
      <c r="H2" s="10" t="s">
        <v>178</v>
      </c>
    </row>
    <row r="3" spans="1:11" x14ac:dyDescent="0.25">
      <c r="A3" s="11" t="s">
        <v>39</v>
      </c>
      <c r="B3" s="11" t="s">
        <v>40</v>
      </c>
      <c r="C3" s="11" t="s">
        <v>41</v>
      </c>
      <c r="D3" s="12" t="str">
        <f>VLOOKUP(Task1!C3,Department_Ref!$A$2:$B$7,2,FALSE)</f>
        <v>Marketing</v>
      </c>
      <c r="E3" s="21"/>
      <c r="G3" s="11"/>
      <c r="H3" s="11"/>
    </row>
    <row r="4" spans="1:11" x14ac:dyDescent="0.25">
      <c r="A4" s="11" t="s">
        <v>46</v>
      </c>
      <c r="B4" s="11" t="s">
        <v>47</v>
      </c>
      <c r="C4" s="11" t="s">
        <v>48</v>
      </c>
      <c r="D4" s="12" t="str">
        <f>VLOOKUP(Task1!C4,Department_Ref!$A$2:$B$7,2,FALSE)</f>
        <v>Finance</v>
      </c>
      <c r="E4" s="21"/>
      <c r="G4" s="11"/>
      <c r="H4" s="11"/>
    </row>
    <row r="5" spans="1:11" x14ac:dyDescent="0.25">
      <c r="A5" s="11" t="s">
        <v>53</v>
      </c>
      <c r="B5" s="11" t="s">
        <v>54</v>
      </c>
      <c r="C5" s="11" t="s">
        <v>55</v>
      </c>
      <c r="D5" s="12" t="str">
        <f>VLOOKUP(Task1!C5,Department_Ref!$A$2:$B$7,2,FALSE)</f>
        <v>Sales</v>
      </c>
      <c r="E5" s="21"/>
      <c r="G5" s="11"/>
      <c r="H5" s="11"/>
    </row>
    <row r="6" spans="1:11" x14ac:dyDescent="0.25">
      <c r="A6" s="11" t="s">
        <v>56</v>
      </c>
      <c r="B6" s="11" t="s">
        <v>57</v>
      </c>
      <c r="C6" s="11" t="s">
        <v>48</v>
      </c>
      <c r="D6" s="12" t="str">
        <f>VLOOKUP(Task1!C6,Department_Ref!$A$2:$B$7,2,FALSE)</f>
        <v>Finance</v>
      </c>
      <c r="E6" s="21"/>
      <c r="G6" s="11"/>
      <c r="H6" s="11"/>
    </row>
    <row r="7" spans="1:11" x14ac:dyDescent="0.25">
      <c r="A7" s="11" t="s">
        <v>59</v>
      </c>
      <c r="B7" s="11" t="s">
        <v>60</v>
      </c>
      <c r="C7" s="11" t="s">
        <v>55</v>
      </c>
      <c r="D7" s="12" t="str">
        <f>VLOOKUP(Task1!C7,Department_Ref!$A$2:$B$7,2,FALSE)</f>
        <v>Sales</v>
      </c>
      <c r="E7" s="21"/>
      <c r="G7" s="11"/>
      <c r="H7" s="11"/>
      <c r="K7" s="19"/>
    </row>
    <row r="8" spans="1:11" x14ac:dyDescent="0.25">
      <c r="A8" s="11" t="s">
        <v>64</v>
      </c>
      <c r="B8" s="11" t="s">
        <v>65</v>
      </c>
      <c r="C8" s="11" t="s">
        <v>66</v>
      </c>
      <c r="D8" s="12" t="str">
        <f>VLOOKUP(Task1!C8,Department_Ref!$A$2:$B$7,2,FALSE)</f>
        <v>HR</v>
      </c>
      <c r="E8" s="21"/>
      <c r="G8" s="11"/>
      <c r="H8" s="11"/>
    </row>
    <row r="9" spans="1:11" x14ac:dyDescent="0.25">
      <c r="A9" s="11" t="s">
        <v>68</v>
      </c>
      <c r="B9" s="11" t="s">
        <v>69</v>
      </c>
      <c r="C9" s="11" t="s">
        <v>66</v>
      </c>
      <c r="D9" s="12" t="str">
        <f>VLOOKUP(Task1!C9,Department_Ref!$A$2:$B$7,2,FALSE)</f>
        <v>HR</v>
      </c>
      <c r="E9" s="21"/>
      <c r="G9" s="11"/>
      <c r="H9" s="11"/>
    </row>
    <row r="10" spans="1:11" x14ac:dyDescent="0.25">
      <c r="A10" s="11" t="s">
        <v>73</v>
      </c>
      <c r="B10" s="11" t="s">
        <v>74</v>
      </c>
      <c r="C10" s="11" t="s">
        <v>55</v>
      </c>
      <c r="D10" s="12" t="str">
        <f>VLOOKUP(Task1!C10,Department_Ref!$A$2:$B$7,2,FALSE)</f>
        <v>Sales</v>
      </c>
      <c r="E10" s="21"/>
      <c r="G10" s="11"/>
      <c r="H10" s="11"/>
    </row>
    <row r="11" spans="1:11" x14ac:dyDescent="0.25">
      <c r="A11" s="11" t="s">
        <v>76</v>
      </c>
      <c r="B11" s="11" t="s">
        <v>77</v>
      </c>
      <c r="C11" s="11" t="s">
        <v>41</v>
      </c>
      <c r="D11" s="12" t="str">
        <f>VLOOKUP(Task1!C11,Department_Ref!$A$2:$B$7,2,FALSE)</f>
        <v>Marketing</v>
      </c>
      <c r="E11" s="21"/>
      <c r="G11" s="11"/>
      <c r="H11" s="11"/>
    </row>
    <row r="12" spans="1:11" x14ac:dyDescent="0.25">
      <c r="A12" s="11" t="s">
        <v>78</v>
      </c>
      <c r="B12" s="11" t="s">
        <v>79</v>
      </c>
      <c r="C12" s="11" t="s">
        <v>55</v>
      </c>
      <c r="D12" s="12" t="str">
        <f>VLOOKUP(Task1!C12,Department_Ref!$A$2:$B$7,2,FALSE)</f>
        <v>Sales</v>
      </c>
      <c r="E12" s="21"/>
      <c r="G12" s="11"/>
      <c r="H12" s="11"/>
    </row>
    <row r="13" spans="1:11" x14ac:dyDescent="0.25">
      <c r="A13" s="11" t="s">
        <v>80</v>
      </c>
      <c r="B13" s="11" t="s">
        <v>81</v>
      </c>
      <c r="C13" s="11" t="s">
        <v>82</v>
      </c>
      <c r="D13" s="12" t="str">
        <f>VLOOKUP(Task1!C13,Department_Ref!$A$2:$B$7,2,FALSE)</f>
        <v>Operations</v>
      </c>
      <c r="E13" s="21"/>
      <c r="G13" s="11"/>
      <c r="H13" s="11"/>
    </row>
    <row r="14" spans="1:11" x14ac:dyDescent="0.25">
      <c r="A14" s="11" t="s">
        <v>83</v>
      </c>
      <c r="B14" s="11" t="s">
        <v>84</v>
      </c>
      <c r="C14" s="11" t="s">
        <v>41</v>
      </c>
      <c r="D14" s="12" t="str">
        <f>VLOOKUP(Task1!C14,Department_Ref!$A$2:$B$7,2,FALSE)</f>
        <v>Marketing</v>
      </c>
      <c r="E14" s="21"/>
      <c r="G14" s="11"/>
      <c r="H14" s="11"/>
    </row>
    <row r="15" spans="1:11" x14ac:dyDescent="0.25">
      <c r="A15" s="11" t="s">
        <v>85</v>
      </c>
      <c r="B15" s="11" t="s">
        <v>86</v>
      </c>
      <c r="C15" s="11" t="s">
        <v>55</v>
      </c>
      <c r="D15" s="12" t="str">
        <f>VLOOKUP(Task1!C15,Department_Ref!$A$2:$B$7,2,FALSE)</f>
        <v>Sales</v>
      </c>
      <c r="E15" s="21"/>
      <c r="G15" s="11"/>
      <c r="H15" s="11"/>
    </row>
    <row r="16" spans="1:11" x14ac:dyDescent="0.25">
      <c r="A16" s="11" t="s">
        <v>87</v>
      </c>
      <c r="B16" s="11" t="s">
        <v>88</v>
      </c>
      <c r="C16" s="11" t="s">
        <v>66</v>
      </c>
      <c r="D16" s="12" t="str">
        <f>VLOOKUP(Task1!C16,Department_Ref!$A$2:$B$7,2,FALSE)</f>
        <v>HR</v>
      </c>
      <c r="E16" s="21"/>
      <c r="G16" s="11"/>
      <c r="H16" s="11"/>
    </row>
    <row r="17" spans="1:8" x14ac:dyDescent="0.25">
      <c r="A17" s="11" t="s">
        <v>89</v>
      </c>
      <c r="B17" s="11" t="s">
        <v>90</v>
      </c>
      <c r="C17" s="11" t="s">
        <v>82</v>
      </c>
      <c r="D17" s="12" t="str">
        <f>VLOOKUP(Task1!C17,Department_Ref!$A$2:$B$7,2,FALSE)</f>
        <v>Operations</v>
      </c>
      <c r="E17" s="21"/>
      <c r="G17" s="11"/>
      <c r="H17" s="11"/>
    </row>
    <row r="18" spans="1:8" x14ac:dyDescent="0.25">
      <c r="A18" s="11" t="s">
        <v>91</v>
      </c>
      <c r="B18" s="11" t="s">
        <v>92</v>
      </c>
      <c r="C18" s="11" t="s">
        <v>55</v>
      </c>
      <c r="D18" s="12" t="str">
        <f>VLOOKUP(Task1!C18,Department_Ref!$A$2:$B$7,2,FALSE)</f>
        <v>Sales</v>
      </c>
      <c r="E18" s="21"/>
      <c r="G18" s="11"/>
      <c r="H18" s="11"/>
    </row>
    <row r="19" spans="1:8" x14ac:dyDescent="0.25">
      <c r="A19" s="11" t="s">
        <v>93</v>
      </c>
      <c r="B19" s="11" t="s">
        <v>94</v>
      </c>
      <c r="C19" s="11" t="s">
        <v>41</v>
      </c>
      <c r="D19" s="12" t="str">
        <f>VLOOKUP(Task1!C19,Department_Ref!$A$2:$B$7,2,FALSE)</f>
        <v>Marketing</v>
      </c>
      <c r="E19" s="21"/>
      <c r="G19" s="11"/>
      <c r="H19" s="11"/>
    </row>
    <row r="20" spans="1:8" x14ac:dyDescent="0.25">
      <c r="A20" s="11" t="s">
        <v>95</v>
      </c>
      <c r="B20" s="11" t="s">
        <v>96</v>
      </c>
      <c r="C20" s="11" t="s">
        <v>66</v>
      </c>
      <c r="D20" s="12" t="str">
        <f>VLOOKUP(Task1!C20,Department_Ref!$A$2:$B$7,2,FALSE)</f>
        <v>HR</v>
      </c>
      <c r="E20" s="21"/>
      <c r="G20" s="11"/>
      <c r="H20" s="11"/>
    </row>
    <row r="21" spans="1:8" x14ac:dyDescent="0.25">
      <c r="A21" s="11" t="s">
        <v>97</v>
      </c>
      <c r="B21" s="11" t="s">
        <v>98</v>
      </c>
      <c r="C21" s="11" t="s">
        <v>82</v>
      </c>
      <c r="D21" s="12" t="str">
        <f>VLOOKUP(Task1!C21,Department_Ref!$A$2:$B$7,2,FALSE)</f>
        <v>Operations</v>
      </c>
      <c r="E21" s="21"/>
      <c r="G21" s="11"/>
      <c r="H21" s="11"/>
    </row>
    <row r="22" spans="1:8" x14ac:dyDescent="0.25">
      <c r="A22" s="11" t="s">
        <v>101</v>
      </c>
      <c r="B22" s="11" t="s">
        <v>102</v>
      </c>
      <c r="C22" s="11" t="s">
        <v>48</v>
      </c>
      <c r="D22" s="12" t="str">
        <f>VLOOKUP(Task1!C22,Department_Ref!$A$2:$B$7,2,FALSE)</f>
        <v>Finance</v>
      </c>
      <c r="E22" s="21"/>
      <c r="G22" s="11"/>
      <c r="H22" s="11"/>
    </row>
    <row r="23" spans="1:8" x14ac:dyDescent="0.25">
      <c r="A23" s="11" t="s">
        <v>103</v>
      </c>
      <c r="B23" s="11" t="s">
        <v>40</v>
      </c>
      <c r="C23" s="11" t="s">
        <v>66</v>
      </c>
      <c r="D23" s="12" t="str">
        <f>VLOOKUP(Task1!C23,Department_Ref!$A$2:$B$7,2,FALSE)</f>
        <v>HR</v>
      </c>
      <c r="E23" s="21"/>
      <c r="G23" s="11"/>
      <c r="H23" s="11"/>
    </row>
    <row r="24" spans="1:8" x14ac:dyDescent="0.25">
      <c r="A24" s="11" t="s">
        <v>104</v>
      </c>
      <c r="B24" s="11" t="s">
        <v>105</v>
      </c>
      <c r="C24" s="11" t="s">
        <v>82</v>
      </c>
      <c r="D24" s="12" t="str">
        <f>VLOOKUP(Task1!C24,Department_Ref!$A$2:$B$7,2,FALSE)</f>
        <v>Operations</v>
      </c>
      <c r="E24" s="21"/>
      <c r="G24" s="11"/>
      <c r="H24" s="11"/>
    </row>
    <row r="25" spans="1:8" x14ac:dyDescent="0.25">
      <c r="A25" s="11" t="s">
        <v>106</v>
      </c>
      <c r="B25" s="11" t="s">
        <v>107</v>
      </c>
      <c r="C25" s="11" t="s">
        <v>82</v>
      </c>
      <c r="D25" s="12" t="str">
        <f>VLOOKUP(Task1!C25,Department_Ref!$A$2:$B$7,2,FALSE)</f>
        <v>Operations</v>
      </c>
      <c r="E25" s="21"/>
      <c r="G25" s="11"/>
      <c r="H25" s="11"/>
    </row>
    <row r="26" spans="1:8" x14ac:dyDescent="0.25">
      <c r="A26" s="11" t="s">
        <v>108</v>
      </c>
      <c r="B26" s="11" t="s">
        <v>179</v>
      </c>
      <c r="C26" s="11" t="s">
        <v>41</v>
      </c>
      <c r="D26" s="12" t="str">
        <f>VLOOKUP(Task1!C26,Department_Ref!$A$2:$B$7,2,FALSE)</f>
        <v>Marketing</v>
      </c>
      <c r="E26" s="21"/>
      <c r="G26" s="11"/>
      <c r="H26" s="11"/>
    </row>
    <row r="27" spans="1:8" x14ac:dyDescent="0.25">
      <c r="A27" s="11" t="s">
        <v>109</v>
      </c>
      <c r="B27" s="11" t="s">
        <v>74</v>
      </c>
      <c r="C27" s="11" t="s">
        <v>66</v>
      </c>
      <c r="D27" s="12" t="str">
        <f>VLOOKUP(Task1!C27,Department_Ref!$A$2:$B$7,2,FALSE)</f>
        <v>HR</v>
      </c>
      <c r="E27" s="21"/>
      <c r="G27" s="11"/>
      <c r="H27" s="11"/>
    </row>
    <row r="28" spans="1:8" x14ac:dyDescent="0.25">
      <c r="A28" s="11" t="s">
        <v>110</v>
      </c>
      <c r="B28" s="11" t="s">
        <v>111</v>
      </c>
      <c r="C28" s="11" t="s">
        <v>66</v>
      </c>
      <c r="D28" s="12" t="str">
        <f>VLOOKUP(Task1!C28,Department_Ref!$A$2:$B$7,2,FALSE)</f>
        <v>HR</v>
      </c>
      <c r="E28" s="21"/>
      <c r="G28" s="11"/>
      <c r="H28" s="11"/>
    </row>
    <row r="29" spans="1:8" x14ac:dyDescent="0.25">
      <c r="A29" s="11" t="s">
        <v>112</v>
      </c>
      <c r="B29" s="11" t="s">
        <v>113</v>
      </c>
      <c r="C29" s="11" t="s">
        <v>66</v>
      </c>
      <c r="D29" s="12" t="str">
        <f>VLOOKUP(Task1!C29,Department_Ref!$A$2:$B$7,2,FALSE)</f>
        <v>HR</v>
      </c>
      <c r="E29" s="21"/>
      <c r="G29" s="11"/>
      <c r="H29" s="11"/>
    </row>
    <row r="30" spans="1:8" x14ac:dyDescent="0.25">
      <c r="A30" s="11" t="s">
        <v>114</v>
      </c>
      <c r="B30" s="11" t="s">
        <v>115</v>
      </c>
      <c r="C30" s="11" t="s">
        <v>41</v>
      </c>
      <c r="D30" s="12" t="str">
        <f>VLOOKUP(Task1!C30,Department_Ref!$A$2:$B$7,2,FALSE)</f>
        <v>Marketing</v>
      </c>
      <c r="E30" s="21"/>
      <c r="G30" s="11"/>
      <c r="H30" s="11"/>
    </row>
    <row r="31" spans="1:8" x14ac:dyDescent="0.25">
      <c r="A31" s="11" t="s">
        <v>116</v>
      </c>
      <c r="B31" s="11" t="s">
        <v>117</v>
      </c>
      <c r="C31" s="11" t="s">
        <v>82</v>
      </c>
      <c r="D31" s="12" t="str">
        <f>VLOOKUP(Task1!C31,Department_Ref!$A$2:$B$7,2,FALSE)</f>
        <v>Operations</v>
      </c>
      <c r="E31" s="21"/>
      <c r="G31" s="11"/>
      <c r="H31" s="11"/>
    </row>
    <row r="32" spans="1:8" x14ac:dyDescent="0.25">
      <c r="A32" s="11" t="s">
        <v>118</v>
      </c>
      <c r="B32" s="11" t="s">
        <v>119</v>
      </c>
      <c r="C32" s="11" t="s">
        <v>82</v>
      </c>
      <c r="D32" s="12" t="str">
        <f>VLOOKUP(Task1!C32,Department_Ref!$A$2:$B$7,2,FALSE)</f>
        <v>Operations</v>
      </c>
      <c r="E32" s="21"/>
      <c r="G32" s="11"/>
      <c r="H32" s="11"/>
    </row>
    <row r="33" spans="1:8" x14ac:dyDescent="0.25">
      <c r="A33" s="11" t="s">
        <v>120</v>
      </c>
      <c r="B33" s="11" t="s">
        <v>121</v>
      </c>
      <c r="C33" s="11" t="s">
        <v>66</v>
      </c>
      <c r="D33" s="12" t="str">
        <f>VLOOKUP(Task1!C33,Department_Ref!$A$2:$B$7,2,FALSE)</f>
        <v>HR</v>
      </c>
      <c r="E33" s="21"/>
      <c r="G33" s="11"/>
      <c r="H33" s="11"/>
    </row>
    <row r="34" spans="1:8" x14ac:dyDescent="0.25">
      <c r="A34" s="11" t="s">
        <v>122</v>
      </c>
      <c r="B34" s="11" t="s">
        <v>123</v>
      </c>
      <c r="C34" s="11" t="s">
        <v>124</v>
      </c>
      <c r="D34" s="12" t="str">
        <f>VLOOKUP(Task1!C34,Department_Ref!$A$2:$B$7,2,FALSE)</f>
        <v>Engineering</v>
      </c>
      <c r="E34" s="21"/>
      <c r="G34" s="11"/>
      <c r="H34" s="11"/>
    </row>
    <row r="35" spans="1:8" x14ac:dyDescent="0.25">
      <c r="A35" s="11" t="s">
        <v>125</v>
      </c>
      <c r="B35" s="11" t="s">
        <v>126</v>
      </c>
      <c r="C35" s="11" t="s">
        <v>41</v>
      </c>
      <c r="D35" s="12" t="str">
        <f>VLOOKUP(Task1!C35,Department_Ref!$A$2:$B$7,2,FALSE)</f>
        <v>Marketing</v>
      </c>
      <c r="E35" s="21"/>
      <c r="G35" s="11"/>
      <c r="H35" s="11"/>
    </row>
    <row r="36" spans="1:8" x14ac:dyDescent="0.25">
      <c r="A36" s="11" t="s">
        <v>127</v>
      </c>
      <c r="B36" s="11" t="s">
        <v>128</v>
      </c>
      <c r="C36" s="11" t="s">
        <v>55</v>
      </c>
      <c r="D36" s="12" t="str">
        <f>VLOOKUP(Task1!C36,Department_Ref!$A$2:$B$7,2,FALSE)</f>
        <v>Sales</v>
      </c>
      <c r="E36" s="21"/>
      <c r="G36" s="11"/>
      <c r="H36" s="11"/>
    </row>
    <row r="37" spans="1:8" x14ac:dyDescent="0.25">
      <c r="A37" s="11" t="s">
        <v>129</v>
      </c>
      <c r="B37" s="11" t="s">
        <v>130</v>
      </c>
      <c r="C37" s="11" t="s">
        <v>41</v>
      </c>
      <c r="D37" s="12" t="str">
        <f>VLOOKUP(Task1!C37,Department_Ref!$A$2:$B$7,2,FALSE)</f>
        <v>Marketing</v>
      </c>
      <c r="E37" s="21"/>
      <c r="G37" s="11"/>
      <c r="H37" s="11"/>
    </row>
    <row r="38" spans="1:8" x14ac:dyDescent="0.25">
      <c r="A38" s="11" t="s">
        <v>131</v>
      </c>
      <c r="B38" s="11" t="s">
        <v>132</v>
      </c>
      <c r="C38" s="11" t="s">
        <v>124</v>
      </c>
      <c r="D38" s="12" t="str">
        <f>VLOOKUP(Task1!C38,Department_Ref!$A$2:$B$7,2,FALSE)</f>
        <v>Engineering</v>
      </c>
      <c r="E38" s="21"/>
      <c r="G38" s="11"/>
      <c r="H38" s="11"/>
    </row>
    <row r="39" spans="1:8" x14ac:dyDescent="0.25">
      <c r="A39" s="11" t="s">
        <v>133</v>
      </c>
      <c r="B39" s="11" t="s">
        <v>130</v>
      </c>
      <c r="C39" s="11" t="s">
        <v>41</v>
      </c>
      <c r="D39" s="12" t="str">
        <f>VLOOKUP(Task1!C39,Department_Ref!$A$2:$B$7,2,FALSE)</f>
        <v>Marketing</v>
      </c>
      <c r="E39" s="21"/>
      <c r="G39" s="11"/>
      <c r="H39" s="11"/>
    </row>
    <row r="40" spans="1:8" x14ac:dyDescent="0.25">
      <c r="A40" s="11" t="s">
        <v>134</v>
      </c>
      <c r="B40" s="11" t="s">
        <v>135</v>
      </c>
      <c r="C40" s="11" t="s">
        <v>66</v>
      </c>
      <c r="D40" s="12" t="str">
        <f>VLOOKUP(Task1!C40,Department_Ref!$A$2:$B$7,2,FALSE)</f>
        <v>HR</v>
      </c>
      <c r="E40" s="21"/>
      <c r="G40" s="11"/>
      <c r="H40" s="11"/>
    </row>
    <row r="41" spans="1:8" x14ac:dyDescent="0.25">
      <c r="A41" s="11" t="s">
        <v>136</v>
      </c>
      <c r="B41" s="11" t="s">
        <v>137</v>
      </c>
      <c r="C41" s="11" t="s">
        <v>66</v>
      </c>
      <c r="D41" s="12" t="str">
        <f>VLOOKUP(Task1!C41,Department_Ref!$A$2:$B$7,2,FALSE)</f>
        <v>HR</v>
      </c>
      <c r="E41" s="21"/>
      <c r="G41" s="11"/>
      <c r="H41" s="11"/>
    </row>
    <row r="42" spans="1:8" x14ac:dyDescent="0.25">
      <c r="A42" s="11" t="s">
        <v>138</v>
      </c>
      <c r="B42" s="11" t="s">
        <v>139</v>
      </c>
      <c r="C42" s="11" t="s">
        <v>48</v>
      </c>
      <c r="D42" s="12" t="str">
        <f>VLOOKUP(Task1!C42,Department_Ref!$A$2:$B$7,2,FALSE)</f>
        <v>Finance</v>
      </c>
      <c r="E42" s="21"/>
      <c r="G42" s="11"/>
      <c r="H42" s="11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2"/>
  <sheetViews>
    <sheetView topLeftCell="A2" workbookViewId="0">
      <selection activeCell="G5" sqref="G5"/>
    </sheetView>
  </sheetViews>
  <sheetFormatPr defaultRowHeight="15" x14ac:dyDescent="0.25"/>
  <cols>
    <col min="1" max="1" width="12" customWidth="1"/>
    <col min="2" max="2" width="22" customWidth="1"/>
    <col min="3" max="3" width="10" customWidth="1"/>
    <col min="4" max="4" width="26" customWidth="1"/>
    <col min="5" max="5" width="20" customWidth="1"/>
    <col min="6" max="6" width="8" customWidth="1"/>
    <col min="7" max="7" width="14" customWidth="1"/>
  </cols>
  <sheetData>
    <row r="1" spans="1:7" ht="30" customHeight="1" x14ac:dyDescent="0.25">
      <c r="A1" s="25" t="s">
        <v>180</v>
      </c>
      <c r="B1" s="26"/>
      <c r="C1" s="26"/>
      <c r="D1" s="26"/>
      <c r="E1" s="26"/>
      <c r="F1" s="26"/>
      <c r="G1" s="26"/>
    </row>
    <row r="2" spans="1:7" ht="30" x14ac:dyDescent="0.25">
      <c r="A2" s="10" t="s">
        <v>30</v>
      </c>
      <c r="B2" s="10" t="s">
        <v>31</v>
      </c>
      <c r="C2" s="10" t="s">
        <v>32</v>
      </c>
      <c r="D2" s="10" t="s">
        <v>181</v>
      </c>
      <c r="E2" s="10" t="s">
        <v>182</v>
      </c>
      <c r="F2" s="10" t="s">
        <v>34</v>
      </c>
      <c r="G2" s="10" t="s">
        <v>35</v>
      </c>
    </row>
    <row r="3" spans="1:7" x14ac:dyDescent="0.25">
      <c r="A3" s="11" t="s">
        <v>39</v>
      </c>
      <c r="B3" s="11" t="s">
        <v>40</v>
      </c>
      <c r="C3" s="11" t="s">
        <v>41</v>
      </c>
      <c r="D3" s="9"/>
      <c r="E3" s="9"/>
      <c r="F3" s="11" t="s">
        <v>43</v>
      </c>
      <c r="G3" s="11" t="s">
        <v>44</v>
      </c>
    </row>
    <row r="4" spans="1:7" x14ac:dyDescent="0.25">
      <c r="A4" s="11" t="s">
        <v>46</v>
      </c>
      <c r="B4" s="11" t="s">
        <v>47</v>
      </c>
      <c r="C4" s="11" t="s">
        <v>48</v>
      </c>
      <c r="D4" s="9"/>
      <c r="E4" s="9"/>
      <c r="F4" s="11" t="s">
        <v>50</v>
      </c>
      <c r="G4" s="11" t="s">
        <v>51</v>
      </c>
    </row>
    <row r="5" spans="1:7" x14ac:dyDescent="0.25">
      <c r="A5" s="11" t="s">
        <v>53</v>
      </c>
      <c r="B5" s="11" t="s">
        <v>54</v>
      </c>
      <c r="C5" s="11" t="s">
        <v>55</v>
      </c>
      <c r="D5" s="9"/>
      <c r="E5" s="9"/>
      <c r="F5" s="11" t="s">
        <v>50</v>
      </c>
      <c r="G5" s="11" t="s">
        <v>44</v>
      </c>
    </row>
    <row r="6" spans="1:7" x14ac:dyDescent="0.25">
      <c r="A6" s="11" t="s">
        <v>56</v>
      </c>
      <c r="B6" s="11" t="s">
        <v>57</v>
      </c>
      <c r="C6" s="11" t="s">
        <v>48</v>
      </c>
      <c r="D6" s="9"/>
      <c r="E6" s="9"/>
      <c r="F6" s="11" t="s">
        <v>50</v>
      </c>
      <c r="G6" s="11" t="s">
        <v>58</v>
      </c>
    </row>
    <row r="7" spans="1:7" x14ac:dyDescent="0.25">
      <c r="A7" s="11" t="s">
        <v>59</v>
      </c>
      <c r="B7" s="11" t="s">
        <v>60</v>
      </c>
      <c r="C7" s="11" t="s">
        <v>55</v>
      </c>
      <c r="D7" s="9"/>
      <c r="E7" s="9"/>
      <c r="F7" s="11" t="s">
        <v>62</v>
      </c>
      <c r="G7" s="11" t="s">
        <v>63</v>
      </c>
    </row>
    <row r="8" spans="1:7" x14ac:dyDescent="0.25">
      <c r="A8" s="11" t="s">
        <v>64</v>
      </c>
      <c r="B8" s="11" t="s">
        <v>65</v>
      </c>
      <c r="C8" s="11" t="s">
        <v>66</v>
      </c>
      <c r="D8" s="9"/>
      <c r="E8" s="9"/>
      <c r="F8" s="11" t="s">
        <v>62</v>
      </c>
      <c r="G8" s="11" t="s">
        <v>67</v>
      </c>
    </row>
    <row r="9" spans="1:7" x14ac:dyDescent="0.25">
      <c r="A9" s="11" t="s">
        <v>68</v>
      </c>
      <c r="B9" s="11" t="s">
        <v>69</v>
      </c>
      <c r="C9" s="11" t="s">
        <v>66</v>
      </c>
      <c r="D9" s="9"/>
      <c r="E9" s="9"/>
      <c r="F9" s="11" t="s">
        <v>71</v>
      </c>
      <c r="G9" s="11" t="s">
        <v>72</v>
      </c>
    </row>
    <row r="10" spans="1:7" x14ac:dyDescent="0.25">
      <c r="A10" s="11" t="s">
        <v>73</v>
      </c>
      <c r="B10" s="11" t="s">
        <v>74</v>
      </c>
      <c r="C10" s="11" t="s">
        <v>55</v>
      </c>
      <c r="D10" s="9"/>
      <c r="E10" s="9"/>
      <c r="F10" s="11" t="s">
        <v>71</v>
      </c>
      <c r="G10" s="11" t="s">
        <v>51</v>
      </c>
    </row>
    <row r="11" spans="1:7" x14ac:dyDescent="0.25">
      <c r="A11" s="11" t="s">
        <v>76</v>
      </c>
      <c r="B11" s="11" t="s">
        <v>77</v>
      </c>
      <c r="C11" s="11" t="s">
        <v>41</v>
      </c>
      <c r="D11" s="9"/>
      <c r="E11" s="9"/>
      <c r="F11" s="11" t="s">
        <v>71</v>
      </c>
      <c r="G11" s="11" t="s">
        <v>58</v>
      </c>
    </row>
    <row r="12" spans="1:7" x14ac:dyDescent="0.25">
      <c r="A12" s="11" t="s">
        <v>78</v>
      </c>
      <c r="B12" s="11" t="s">
        <v>79</v>
      </c>
      <c r="C12" s="11" t="s">
        <v>55</v>
      </c>
      <c r="D12" s="9"/>
      <c r="E12" s="9"/>
      <c r="F12" s="11" t="s">
        <v>71</v>
      </c>
      <c r="G12" s="11" t="s">
        <v>63</v>
      </c>
    </row>
    <row r="13" spans="1:7" x14ac:dyDescent="0.25">
      <c r="A13" s="11" t="s">
        <v>80</v>
      </c>
      <c r="B13" s="11" t="s">
        <v>81</v>
      </c>
      <c r="C13" s="11" t="s">
        <v>82</v>
      </c>
      <c r="D13" s="9"/>
      <c r="E13" s="9"/>
      <c r="F13" s="11" t="s">
        <v>50</v>
      </c>
      <c r="G13" s="11" t="s">
        <v>63</v>
      </c>
    </row>
    <row r="14" spans="1:7" x14ac:dyDescent="0.25">
      <c r="A14" s="11" t="s">
        <v>83</v>
      </c>
      <c r="B14" s="11" t="s">
        <v>84</v>
      </c>
      <c r="C14" s="11" t="s">
        <v>41</v>
      </c>
      <c r="D14" s="9"/>
      <c r="E14" s="9"/>
      <c r="F14" s="11" t="s">
        <v>62</v>
      </c>
      <c r="G14" s="11" t="s">
        <v>51</v>
      </c>
    </row>
    <row r="15" spans="1:7" x14ac:dyDescent="0.25">
      <c r="A15" s="11" t="s">
        <v>85</v>
      </c>
      <c r="B15" s="11" t="s">
        <v>86</v>
      </c>
      <c r="C15" s="11" t="s">
        <v>55</v>
      </c>
      <c r="D15" s="9"/>
      <c r="E15" s="9"/>
      <c r="F15" s="11" t="s">
        <v>50</v>
      </c>
      <c r="G15" s="11" t="s">
        <v>44</v>
      </c>
    </row>
    <row r="16" spans="1:7" x14ac:dyDescent="0.25">
      <c r="A16" s="11" t="s">
        <v>87</v>
      </c>
      <c r="B16" s="11" t="s">
        <v>88</v>
      </c>
      <c r="C16" s="11" t="s">
        <v>66</v>
      </c>
      <c r="D16" s="9"/>
      <c r="E16" s="9"/>
      <c r="F16" s="11" t="s">
        <v>62</v>
      </c>
      <c r="G16" s="11" t="s">
        <v>51</v>
      </c>
    </row>
    <row r="17" spans="1:7" x14ac:dyDescent="0.25">
      <c r="A17" s="11" t="s">
        <v>89</v>
      </c>
      <c r="B17" s="11" t="s">
        <v>90</v>
      </c>
      <c r="C17" s="11" t="s">
        <v>82</v>
      </c>
      <c r="D17" s="9"/>
      <c r="E17" s="9"/>
      <c r="F17" s="11" t="s">
        <v>50</v>
      </c>
      <c r="G17" s="11" t="s">
        <v>63</v>
      </c>
    </row>
    <row r="18" spans="1:7" x14ac:dyDescent="0.25">
      <c r="A18" s="11" t="s">
        <v>91</v>
      </c>
      <c r="B18" s="11" t="s">
        <v>92</v>
      </c>
      <c r="C18" s="11" t="s">
        <v>55</v>
      </c>
      <c r="D18" s="9"/>
      <c r="E18" s="9"/>
      <c r="F18" s="11" t="s">
        <v>50</v>
      </c>
      <c r="G18" s="11" t="s">
        <v>63</v>
      </c>
    </row>
    <row r="19" spans="1:7" x14ac:dyDescent="0.25">
      <c r="A19" s="11" t="s">
        <v>93</v>
      </c>
      <c r="B19" s="11" t="s">
        <v>94</v>
      </c>
      <c r="C19" s="11" t="s">
        <v>41</v>
      </c>
      <c r="D19" s="9"/>
      <c r="E19" s="9"/>
      <c r="F19" s="11" t="s">
        <v>71</v>
      </c>
      <c r="G19" s="11" t="s">
        <v>67</v>
      </c>
    </row>
    <row r="20" spans="1:7" x14ac:dyDescent="0.25">
      <c r="A20" s="11" t="s">
        <v>95</v>
      </c>
      <c r="B20" s="11" t="s">
        <v>96</v>
      </c>
      <c r="C20" s="11" t="s">
        <v>66</v>
      </c>
      <c r="D20" s="9"/>
      <c r="E20" s="9"/>
      <c r="F20" s="11" t="s">
        <v>71</v>
      </c>
      <c r="G20" s="11" t="s">
        <v>72</v>
      </c>
    </row>
    <row r="21" spans="1:7" x14ac:dyDescent="0.25">
      <c r="A21" s="11" t="s">
        <v>97</v>
      </c>
      <c r="B21" s="11" t="s">
        <v>98</v>
      </c>
      <c r="C21" s="11" t="s">
        <v>82</v>
      </c>
      <c r="D21" s="9"/>
      <c r="E21" s="9"/>
      <c r="F21" s="11" t="s">
        <v>100</v>
      </c>
      <c r="G21" s="11" t="s">
        <v>51</v>
      </c>
    </row>
    <row r="22" spans="1:7" x14ac:dyDescent="0.25">
      <c r="A22" s="11" t="s">
        <v>101</v>
      </c>
      <c r="B22" s="11" t="s">
        <v>102</v>
      </c>
      <c r="C22" s="11" t="s">
        <v>48</v>
      </c>
      <c r="D22" s="9"/>
      <c r="E22" s="9"/>
      <c r="F22" s="11" t="s">
        <v>71</v>
      </c>
      <c r="G22" s="11" t="s">
        <v>67</v>
      </c>
    </row>
    <row r="23" spans="1:7" x14ac:dyDescent="0.25">
      <c r="A23" s="11" t="s">
        <v>103</v>
      </c>
      <c r="B23" s="11" t="s">
        <v>40</v>
      </c>
      <c r="C23" s="11" t="s">
        <v>66</v>
      </c>
      <c r="D23" s="9"/>
      <c r="E23" s="9"/>
      <c r="F23" s="11" t="s">
        <v>62</v>
      </c>
      <c r="G23" s="11" t="s">
        <v>51</v>
      </c>
    </row>
    <row r="24" spans="1:7" x14ac:dyDescent="0.25">
      <c r="A24" s="11" t="s">
        <v>104</v>
      </c>
      <c r="B24" s="11" t="s">
        <v>105</v>
      </c>
      <c r="C24" s="11" t="s">
        <v>82</v>
      </c>
      <c r="D24" s="9"/>
      <c r="E24" s="9"/>
      <c r="F24" s="11" t="s">
        <v>50</v>
      </c>
      <c r="G24" s="11" t="s">
        <v>67</v>
      </c>
    </row>
    <row r="25" spans="1:7" x14ac:dyDescent="0.25">
      <c r="A25" s="11" t="s">
        <v>106</v>
      </c>
      <c r="B25" s="11" t="s">
        <v>107</v>
      </c>
      <c r="C25" s="11" t="s">
        <v>82</v>
      </c>
      <c r="D25" s="9"/>
      <c r="E25" s="9"/>
      <c r="F25" s="11" t="s">
        <v>62</v>
      </c>
      <c r="G25" s="11" t="s">
        <v>63</v>
      </c>
    </row>
    <row r="26" spans="1:7" x14ac:dyDescent="0.25">
      <c r="A26" s="11" t="s">
        <v>108</v>
      </c>
      <c r="B26" s="11" t="s">
        <v>179</v>
      </c>
      <c r="C26" s="11" t="s">
        <v>41</v>
      </c>
      <c r="D26" s="9"/>
      <c r="E26" s="9"/>
      <c r="F26" s="11" t="s">
        <v>71</v>
      </c>
      <c r="G26" s="11" t="s">
        <v>67</v>
      </c>
    </row>
    <row r="27" spans="1:7" x14ac:dyDescent="0.25">
      <c r="A27" s="11" t="s">
        <v>109</v>
      </c>
      <c r="B27" s="11" t="s">
        <v>74</v>
      </c>
      <c r="C27" s="11" t="s">
        <v>66</v>
      </c>
      <c r="D27" s="9"/>
      <c r="E27" s="9"/>
      <c r="F27" s="11" t="s">
        <v>62</v>
      </c>
      <c r="G27" s="11" t="s">
        <v>63</v>
      </c>
    </row>
    <row r="28" spans="1:7" x14ac:dyDescent="0.25">
      <c r="A28" s="11" t="s">
        <v>110</v>
      </c>
      <c r="B28" s="11" t="s">
        <v>111</v>
      </c>
      <c r="C28" s="11" t="s">
        <v>66</v>
      </c>
      <c r="D28" s="9"/>
      <c r="E28" s="9"/>
      <c r="F28" s="11" t="s">
        <v>43</v>
      </c>
      <c r="G28" s="11" t="s">
        <v>44</v>
      </c>
    </row>
    <row r="29" spans="1:7" x14ac:dyDescent="0.25">
      <c r="A29" s="11" t="s">
        <v>112</v>
      </c>
      <c r="B29" s="11" t="s">
        <v>113</v>
      </c>
      <c r="C29" s="11" t="s">
        <v>66</v>
      </c>
      <c r="D29" s="9"/>
      <c r="E29" s="9"/>
      <c r="F29" s="11" t="s">
        <v>43</v>
      </c>
      <c r="G29" s="11" t="s">
        <v>44</v>
      </c>
    </row>
    <row r="30" spans="1:7" x14ac:dyDescent="0.25">
      <c r="A30" s="11" t="s">
        <v>114</v>
      </c>
      <c r="B30" s="11" t="s">
        <v>115</v>
      </c>
      <c r="C30" s="11" t="s">
        <v>41</v>
      </c>
      <c r="D30" s="9"/>
      <c r="E30" s="9"/>
      <c r="F30" s="11" t="s">
        <v>50</v>
      </c>
      <c r="G30" s="11" t="s">
        <v>72</v>
      </c>
    </row>
    <row r="31" spans="1:7" x14ac:dyDescent="0.25">
      <c r="A31" s="11" t="s">
        <v>116</v>
      </c>
      <c r="B31" s="11" t="s">
        <v>117</v>
      </c>
      <c r="C31" s="11" t="s">
        <v>82</v>
      </c>
      <c r="D31" s="9"/>
      <c r="E31" s="9"/>
      <c r="F31" s="11" t="s">
        <v>62</v>
      </c>
      <c r="G31" s="11" t="s">
        <v>58</v>
      </c>
    </row>
    <row r="32" spans="1:7" x14ac:dyDescent="0.25">
      <c r="A32" s="11" t="s">
        <v>118</v>
      </c>
      <c r="B32" s="11" t="s">
        <v>119</v>
      </c>
      <c r="C32" s="11" t="s">
        <v>82</v>
      </c>
      <c r="D32" s="9"/>
      <c r="E32" s="9"/>
      <c r="F32" s="11" t="s">
        <v>62</v>
      </c>
      <c r="G32" s="11" t="s">
        <v>58</v>
      </c>
    </row>
    <row r="33" spans="1:7" x14ac:dyDescent="0.25">
      <c r="A33" s="11" t="s">
        <v>120</v>
      </c>
      <c r="B33" s="11" t="s">
        <v>121</v>
      </c>
      <c r="C33" s="11" t="s">
        <v>66</v>
      </c>
      <c r="D33" s="9"/>
      <c r="E33" s="9"/>
      <c r="F33" s="11" t="s">
        <v>62</v>
      </c>
      <c r="G33" s="11" t="s">
        <v>58</v>
      </c>
    </row>
    <row r="34" spans="1:7" x14ac:dyDescent="0.25">
      <c r="A34" s="11" t="s">
        <v>122</v>
      </c>
      <c r="B34" s="11" t="s">
        <v>123</v>
      </c>
      <c r="C34" s="11" t="s">
        <v>124</v>
      </c>
      <c r="D34" s="9"/>
      <c r="E34" s="9"/>
      <c r="F34" s="11" t="s">
        <v>43</v>
      </c>
      <c r="G34" s="11" t="s">
        <v>72</v>
      </c>
    </row>
    <row r="35" spans="1:7" x14ac:dyDescent="0.25">
      <c r="A35" s="11" t="s">
        <v>125</v>
      </c>
      <c r="B35" s="11" t="s">
        <v>126</v>
      </c>
      <c r="C35" s="11" t="s">
        <v>41</v>
      </c>
      <c r="D35" s="9"/>
      <c r="E35" s="9"/>
      <c r="F35" s="11" t="s">
        <v>62</v>
      </c>
      <c r="G35" s="11" t="s">
        <v>58</v>
      </c>
    </row>
    <row r="36" spans="1:7" x14ac:dyDescent="0.25">
      <c r="A36" s="11" t="s">
        <v>127</v>
      </c>
      <c r="B36" s="11" t="s">
        <v>128</v>
      </c>
      <c r="C36" s="11" t="s">
        <v>55</v>
      </c>
      <c r="D36" s="9"/>
      <c r="E36" s="9"/>
      <c r="F36" s="11" t="s">
        <v>43</v>
      </c>
      <c r="G36" s="11" t="s">
        <v>58</v>
      </c>
    </row>
    <row r="37" spans="1:7" x14ac:dyDescent="0.25">
      <c r="A37" s="11" t="s">
        <v>129</v>
      </c>
      <c r="B37" s="11" t="s">
        <v>130</v>
      </c>
      <c r="C37" s="11" t="s">
        <v>41</v>
      </c>
      <c r="D37" s="9"/>
      <c r="E37" s="9"/>
      <c r="F37" s="11" t="s">
        <v>100</v>
      </c>
      <c r="G37" s="11" t="s">
        <v>63</v>
      </c>
    </row>
    <row r="38" spans="1:7" x14ac:dyDescent="0.25">
      <c r="A38" s="11" t="s">
        <v>131</v>
      </c>
      <c r="B38" s="11" t="s">
        <v>132</v>
      </c>
      <c r="C38" s="11" t="s">
        <v>124</v>
      </c>
      <c r="D38" s="9"/>
      <c r="E38" s="9"/>
      <c r="F38" s="11" t="s">
        <v>50</v>
      </c>
      <c r="G38" s="11" t="s">
        <v>72</v>
      </c>
    </row>
    <row r="39" spans="1:7" x14ac:dyDescent="0.25">
      <c r="A39" s="11" t="s">
        <v>133</v>
      </c>
      <c r="B39" s="11" t="s">
        <v>130</v>
      </c>
      <c r="C39" s="11" t="s">
        <v>41</v>
      </c>
      <c r="D39" s="9"/>
      <c r="E39" s="9"/>
      <c r="F39" s="11" t="s">
        <v>100</v>
      </c>
      <c r="G39" s="11" t="s">
        <v>67</v>
      </c>
    </row>
    <row r="40" spans="1:7" x14ac:dyDescent="0.25">
      <c r="A40" s="11" t="s">
        <v>134</v>
      </c>
      <c r="B40" s="11" t="s">
        <v>135</v>
      </c>
      <c r="C40" s="11" t="s">
        <v>66</v>
      </c>
      <c r="D40" s="9"/>
      <c r="E40" s="9"/>
      <c r="F40" s="11" t="s">
        <v>62</v>
      </c>
      <c r="G40" s="11" t="s">
        <v>44</v>
      </c>
    </row>
    <row r="41" spans="1:7" x14ac:dyDescent="0.25">
      <c r="A41" s="11" t="s">
        <v>136</v>
      </c>
      <c r="B41" s="11" t="s">
        <v>137</v>
      </c>
      <c r="C41" s="11" t="s">
        <v>66</v>
      </c>
      <c r="D41" s="9"/>
      <c r="E41" s="9"/>
      <c r="F41" s="11" t="s">
        <v>43</v>
      </c>
      <c r="G41" s="11" t="s">
        <v>58</v>
      </c>
    </row>
    <row r="42" spans="1:7" x14ac:dyDescent="0.25">
      <c r="A42" s="11" t="s">
        <v>138</v>
      </c>
      <c r="B42" s="11" t="s">
        <v>139</v>
      </c>
      <c r="C42" s="11" t="s">
        <v>48</v>
      </c>
      <c r="D42" s="9"/>
      <c r="E42" s="9"/>
      <c r="F42" s="11" t="s">
        <v>50</v>
      </c>
      <c r="G42" s="11" t="s">
        <v>51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"/>
  <sheetViews>
    <sheetView tabSelected="1" workbookViewId="0">
      <selection activeCell="B25" sqref="B25"/>
    </sheetView>
  </sheetViews>
  <sheetFormatPr defaultRowHeight="15" x14ac:dyDescent="0.25"/>
  <cols>
    <col min="1" max="1" width="26" customWidth="1"/>
    <col min="2" max="2" width="20" customWidth="1"/>
    <col min="3" max="4" width="18" customWidth="1"/>
  </cols>
  <sheetData>
    <row r="1" spans="1:4" ht="30" customHeight="1" x14ac:dyDescent="0.25">
      <c r="A1" s="25" t="s">
        <v>183</v>
      </c>
      <c r="B1" s="26"/>
      <c r="C1" s="26"/>
      <c r="D1" s="26"/>
    </row>
    <row r="2" spans="1:4" ht="30" x14ac:dyDescent="0.25">
      <c r="A2" s="10" t="s">
        <v>184</v>
      </c>
      <c r="B2" s="10" t="s">
        <v>185</v>
      </c>
      <c r="C2" s="10" t="s">
        <v>186</v>
      </c>
      <c r="D2" s="10" t="s">
        <v>187</v>
      </c>
    </row>
    <row r="3" spans="1:4" x14ac:dyDescent="0.25">
      <c r="A3" s="18" t="s">
        <v>40</v>
      </c>
      <c r="B3" s="9"/>
      <c r="C3" s="9"/>
      <c r="D3" s="9"/>
    </row>
    <row r="4" spans="1:4" x14ac:dyDescent="0.25">
      <c r="A4" s="18" t="s">
        <v>47</v>
      </c>
      <c r="B4" s="9"/>
      <c r="C4" s="9"/>
      <c r="D4" s="9"/>
    </row>
    <row r="5" spans="1:4" x14ac:dyDescent="0.25">
      <c r="A5" s="18" t="s">
        <v>54</v>
      </c>
      <c r="B5" s="9"/>
      <c r="C5" s="9"/>
      <c r="D5" s="9"/>
    </row>
    <row r="6" spans="1:4" x14ac:dyDescent="0.25">
      <c r="A6" s="18" t="s">
        <v>57</v>
      </c>
      <c r="B6" s="9"/>
      <c r="C6" s="9"/>
      <c r="D6" s="9"/>
    </row>
    <row r="7" spans="1:4" x14ac:dyDescent="0.25">
      <c r="A7" s="18" t="s">
        <v>60</v>
      </c>
      <c r="B7" s="9"/>
      <c r="C7" s="9"/>
      <c r="D7" s="9"/>
    </row>
    <row r="8" spans="1:4" x14ac:dyDescent="0.25">
      <c r="A8" s="18" t="s">
        <v>65</v>
      </c>
      <c r="B8" s="9"/>
      <c r="C8" s="9"/>
      <c r="D8" s="9"/>
    </row>
    <row r="9" spans="1:4" x14ac:dyDescent="0.25">
      <c r="A9" s="18" t="s">
        <v>69</v>
      </c>
      <c r="B9" s="9"/>
      <c r="C9" s="9"/>
      <c r="D9" s="9"/>
    </row>
    <row r="10" spans="1:4" x14ac:dyDescent="0.25">
      <c r="A10" s="18" t="s">
        <v>74</v>
      </c>
      <c r="B10" s="9"/>
      <c r="C10" s="9"/>
      <c r="D10" s="9"/>
    </row>
    <row r="11" spans="1:4" x14ac:dyDescent="0.25">
      <c r="A11" s="18" t="s">
        <v>77</v>
      </c>
      <c r="B11" s="9"/>
      <c r="C11" s="9"/>
      <c r="D11" s="9"/>
    </row>
    <row r="12" spans="1:4" x14ac:dyDescent="0.25">
      <c r="A12" s="18" t="s">
        <v>79</v>
      </c>
      <c r="B12" s="9"/>
      <c r="C12" s="9"/>
      <c r="D12" s="9"/>
    </row>
    <row r="13" spans="1:4" x14ac:dyDescent="0.25">
      <c r="A13" s="18" t="s">
        <v>81</v>
      </c>
      <c r="B13" s="9"/>
      <c r="C13" s="9"/>
      <c r="D13" s="9"/>
    </row>
    <row r="14" spans="1:4" x14ac:dyDescent="0.25">
      <c r="A14" s="18" t="s">
        <v>84</v>
      </c>
      <c r="B14" s="9"/>
      <c r="C14" s="9"/>
      <c r="D14" s="9"/>
    </row>
    <row r="15" spans="1:4" x14ac:dyDescent="0.25">
      <c r="A15" s="18" t="s">
        <v>86</v>
      </c>
      <c r="B15" s="9"/>
      <c r="C15" s="9"/>
      <c r="D15" s="9"/>
    </row>
    <row r="16" spans="1:4" x14ac:dyDescent="0.25">
      <c r="A16" s="18" t="s">
        <v>88</v>
      </c>
      <c r="B16" s="9"/>
      <c r="C16" s="9"/>
      <c r="D16" s="9"/>
    </row>
    <row r="17" spans="1:4" x14ac:dyDescent="0.25">
      <c r="A17" s="18" t="s">
        <v>90</v>
      </c>
      <c r="B17" s="9"/>
      <c r="C17" s="9"/>
      <c r="D17" s="9"/>
    </row>
    <row r="24" spans="1:4" ht="30" x14ac:dyDescent="0.25">
      <c r="A24" s="10" t="s">
        <v>184</v>
      </c>
      <c r="B24" s="10" t="s">
        <v>185</v>
      </c>
      <c r="C24" s="10" t="s">
        <v>186</v>
      </c>
      <c r="D24" s="10" t="s">
        <v>187</v>
      </c>
    </row>
    <row r="25" spans="1:4" x14ac:dyDescent="0.25">
      <c r="A25" s="18" t="s">
        <v>40</v>
      </c>
      <c r="B25" s="9"/>
      <c r="C25" s="9"/>
      <c r="D25" s="9"/>
    </row>
    <row r="26" spans="1:4" x14ac:dyDescent="0.25">
      <c r="A26" s="18" t="s">
        <v>47</v>
      </c>
      <c r="B26" s="9"/>
      <c r="C26" s="9"/>
      <c r="D26" s="9"/>
    </row>
    <row r="27" spans="1:4" x14ac:dyDescent="0.25">
      <c r="A27" s="18" t="s">
        <v>54</v>
      </c>
      <c r="B27" s="9"/>
      <c r="C27" s="9"/>
      <c r="D27" s="9"/>
    </row>
    <row r="28" spans="1:4" x14ac:dyDescent="0.25">
      <c r="A28" s="18" t="s">
        <v>57</v>
      </c>
      <c r="B28" s="9"/>
      <c r="C28" s="9"/>
      <c r="D28" s="9"/>
    </row>
    <row r="29" spans="1:4" x14ac:dyDescent="0.25">
      <c r="A29" s="18" t="s">
        <v>60</v>
      </c>
      <c r="B29" s="9"/>
      <c r="C29" s="9"/>
      <c r="D29" s="9"/>
    </row>
    <row r="30" spans="1:4" x14ac:dyDescent="0.25">
      <c r="A30" s="18" t="s">
        <v>65</v>
      </c>
      <c r="B30" s="9"/>
      <c r="C30" s="9"/>
      <c r="D30" s="9"/>
    </row>
    <row r="31" spans="1:4" x14ac:dyDescent="0.25">
      <c r="A31" s="18" t="s">
        <v>69</v>
      </c>
      <c r="B31" s="9"/>
      <c r="C31" s="9"/>
      <c r="D31" s="9"/>
    </row>
    <row r="32" spans="1:4" x14ac:dyDescent="0.25">
      <c r="A32" s="18" t="s">
        <v>74</v>
      </c>
      <c r="B32" s="9"/>
      <c r="C32" s="9"/>
      <c r="D32" s="9"/>
    </row>
    <row r="33" spans="1:4" x14ac:dyDescent="0.25">
      <c r="A33" s="18" t="s">
        <v>77</v>
      </c>
      <c r="B33" s="9"/>
      <c r="C33" s="9"/>
      <c r="D33" s="9"/>
    </row>
    <row r="34" spans="1:4" x14ac:dyDescent="0.25">
      <c r="A34" s="18" t="s">
        <v>79</v>
      </c>
      <c r="B34" s="9"/>
      <c r="C34" s="9"/>
      <c r="D34" s="9"/>
    </row>
    <row r="35" spans="1:4" x14ac:dyDescent="0.25">
      <c r="A35" s="18" t="s">
        <v>81</v>
      </c>
      <c r="B35" s="9"/>
      <c r="C35" s="9"/>
      <c r="D35" s="9"/>
    </row>
    <row r="36" spans="1:4" x14ac:dyDescent="0.25">
      <c r="A36" s="18" t="s">
        <v>84</v>
      </c>
      <c r="B36" s="9"/>
      <c r="C36" s="9"/>
      <c r="D36" s="9"/>
    </row>
    <row r="37" spans="1:4" x14ac:dyDescent="0.25">
      <c r="A37" s="18" t="s">
        <v>86</v>
      </c>
      <c r="B37" s="9"/>
      <c r="C37" s="9"/>
      <c r="D37" s="9"/>
    </row>
    <row r="38" spans="1:4" x14ac:dyDescent="0.25">
      <c r="A38" s="18" t="s">
        <v>88</v>
      </c>
      <c r="B38" s="9"/>
      <c r="C38" s="9"/>
      <c r="D38" s="9"/>
    </row>
    <row r="39" spans="1:4" x14ac:dyDescent="0.25">
      <c r="A39" s="18" t="s">
        <v>90</v>
      </c>
      <c r="B39" s="9"/>
      <c r="C39" s="9"/>
      <c r="D39" s="9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📋_Your_Tasks</vt:lpstr>
      <vt:lpstr>Employee_Master</vt:lpstr>
      <vt:lpstr>Department_Ref</vt:lpstr>
      <vt:lpstr>Grade_Bonus_Ref</vt:lpstr>
      <vt:lpstr>Task1</vt:lpstr>
      <vt:lpstr>Task3</vt:lpstr>
      <vt:lpstr>Task4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BADAL LAD</cp:lastModifiedBy>
  <cp:revision/>
  <dcterms:created xsi:type="dcterms:W3CDTF">2026-06-02T19:51:17Z</dcterms:created>
  <dcterms:modified xsi:type="dcterms:W3CDTF">2026-10-04T05:08:24Z</dcterms:modified>
  <cp:category/>
  <cp:contentStatus/>
</cp:coreProperties>
</file>