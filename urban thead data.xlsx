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Class-UpGrad\Excle\"/>
    </mc:Choice>
  </mc:AlternateContent>
  <xr:revisionPtr revIDLastSave="0" documentId="13_ncr:1_{4E61782A-F0E2-4107-BD3E-AC3E8E50EAD1}" xr6:coauthVersionLast="47" xr6:coauthVersionMax="47" xr10:uidLastSave="{00000000-0000-0000-0000-000000000000}"/>
  <bookViews>
    <workbookView xWindow="-120" yWindow="-120" windowWidth="29040" windowHeight="15720" activeTab="4" xr2:uid="{3A867005-998F-43C6-8BF6-8E15CD2A654A}"/>
  </bookViews>
  <sheets>
    <sheet name="Data Set" sheetId="1" r:id="rId1"/>
    <sheet name="Table Que" sheetId="2" r:id="rId2"/>
    <sheet name="Goal Que" sheetId="3" r:id="rId3"/>
    <sheet name="Scenario Que" sheetId="4" r:id="rId4"/>
    <sheet name="Scenario Summary" sheetId="6"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G101" i="4" l="1"/>
  <c r="G98" i="4"/>
  <c r="G100" i="4"/>
  <c r="F101" i="4"/>
  <c r="E101" i="4"/>
  <c r="F99" i="4"/>
  <c r="E98" i="4"/>
  <c r="D103" i="4"/>
  <c r="D104" i="4" s="1"/>
  <c r="D105" i="4" s="1"/>
  <c r="D106" i="4"/>
  <c r="E100" i="4"/>
  <c r="M95" i="4"/>
  <c r="L95" i="4"/>
  <c r="K95" i="4"/>
  <c r="J95" i="4"/>
  <c r="I95" i="4"/>
  <c r="G95" i="4"/>
  <c r="H95" i="4"/>
  <c r="F95" i="4"/>
  <c r="E95" i="4"/>
  <c r="E99" i="4"/>
  <c r="D56" i="3"/>
  <c r="D57" i="3"/>
  <c r="D59" i="3"/>
  <c r="D60" i="3"/>
  <c r="D61" i="3"/>
  <c r="D58" i="3"/>
  <c r="E56" i="3"/>
  <c r="D50" i="3"/>
  <c r="D55" i="3"/>
  <c r="D54" i="3"/>
  <c r="D53" i="3"/>
  <c r="D52" i="3"/>
  <c r="D51" i="3"/>
  <c r="H21" i="3"/>
  <c r="H20" i="3"/>
  <c r="H19" i="3" a="1"/>
  <c r="H18" i="3" a="1"/>
  <c r="H17" i="3" a="1"/>
  <c r="H16" i="3" a="1"/>
  <c r="G13" i="3"/>
  <c r="D52" i="2"/>
  <c r="D49" i="2"/>
  <c r="D53" i="2"/>
  <c r="D44" i="2"/>
  <c r="D46" i="2"/>
  <c r="D45" i="2"/>
  <c r="D51" i="2"/>
  <c r="D50" i="2"/>
  <c r="D19" i="2"/>
  <c r="D16" i="2"/>
  <c r="D18" i="2" s="1"/>
  <c r="D24" i="2"/>
  <c r="D23" i="2"/>
  <c r="D20" i="2"/>
  <c r="D107" i="4" l="1"/>
  <c r="D108" i="4" s="1"/>
  <c r="D55" i="2"/>
  <c r="J43" i="2" s="1"/>
  <c r="D47" i="2"/>
  <c r="D48" i="2"/>
  <c r="D54" i="2" s="1"/>
  <c r="D21" i="2"/>
  <c r="D22" i="2" s="1"/>
  <c r="D25" i="2" s="1"/>
  <c r="G18" i="2"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<sst xmlns="http://schemas.openxmlformats.org/spreadsheetml/2006/main" count="1108" uniqueCount="99">
  <si>
    <t>Quarter</t>
  </si>
  <si>
    <t>Region</t>
  </si>
  <si>
    <t>Product_Category</t>
  </si>
  <si>
    <t>Units_Sold_Gross</t>
  </si>
  <si>
    <t>Return_Rate_Pct</t>
  </si>
  <si>
    <t>Units_Sold_Net</t>
  </si>
  <si>
    <t>List_Price_INR</t>
  </si>
  <si>
    <t>Discount_Pct</t>
  </si>
  <si>
    <t>Effective_Selling_Price_INR</t>
  </si>
  <si>
    <t>Unit_Cost_INR</t>
  </si>
  <si>
    <t>Marketing_Spend_INR</t>
  </si>
  <si>
    <t>Allocated_Fixed_Cost_INR</t>
  </si>
  <si>
    <t>Revenue_INR</t>
  </si>
  <si>
    <t>COGS_INR</t>
  </si>
  <si>
    <t>Gross_Profit_INR</t>
  </si>
  <si>
    <t>Net_Profit_INR</t>
  </si>
  <si>
    <t>Q1-2024</t>
  </si>
  <si>
    <t>North</t>
  </si>
  <si>
    <t>Men's Apparel</t>
  </si>
  <si>
    <t>Women's Apparel</t>
  </si>
  <si>
    <t>Footwear</t>
  </si>
  <si>
    <t>Accessories</t>
  </si>
  <si>
    <t>Kids Wear</t>
  </si>
  <si>
    <t>South</t>
  </si>
  <si>
    <t>East</t>
  </si>
  <si>
    <t>West</t>
  </si>
  <si>
    <t>Q2-2024</t>
  </si>
  <si>
    <t>Q3-2024</t>
  </si>
  <si>
    <t>Q4-2024</t>
  </si>
  <si>
    <t>Q1-2025</t>
  </si>
  <si>
    <t>Q2-2025</t>
  </si>
  <si>
    <t>Q3-2025</t>
  </si>
  <si>
    <t>Q4-2025</t>
  </si>
  <si>
    <t>Section B — Data Tables (One-Variable and Two-Variable)</t>
  </si>
  <si>
    <t>Net Profit</t>
  </si>
  <si>
    <t>Discount</t>
  </si>
  <si>
    <t>COGS</t>
  </si>
  <si>
    <t>Revenue</t>
  </si>
  <si>
    <t>Gross Profit</t>
  </si>
  <si>
    <t>Marketing spend</t>
  </si>
  <si>
    <t>Fix Cost</t>
  </si>
  <si>
    <t>MRP</t>
  </si>
  <si>
    <t>Actual Selling Price</t>
  </si>
  <si>
    <t>Quantity</t>
  </si>
  <si>
    <t>Discount %</t>
  </si>
  <si>
    <r>
      <t xml:space="preserve">Q5. </t>
    </r>
    <r>
      <rPr>
        <b/>
        <sz val="11"/>
        <color theme="1"/>
        <rFont val="Times New Roman"/>
        <family val="1"/>
      </rPr>
      <t>Build a two-variable Data Table for the Accessories category (South region, FY2025 base) that shows Net Profit as a function of both List_Price (varied ±15% from current in five steps) and Unit_Cost (varied ±10% from current in five steps).</t>
    </r>
  </si>
  <si>
    <r>
      <t xml:space="preserve">Q4. </t>
    </r>
    <r>
      <rPr>
        <b/>
        <sz val="11"/>
        <color theme="1"/>
        <rFont val="Times New Roman"/>
        <family val="1"/>
      </rPr>
      <t>Build a one-variable Data Table for the Kids Wear category (West region, using FY2025 totals as the base) that shows how Net Profit changes as Discount_Pct varies from 5% to 40% in steps of 5%.</t>
    </r>
  </si>
  <si>
    <t>Profit</t>
  </si>
  <si>
    <t>Net profit</t>
  </si>
  <si>
    <t>List Price</t>
  </si>
  <si>
    <t>Unit Cost</t>
  </si>
  <si>
    <t>Net  Profit</t>
  </si>
  <si>
    <t>MRP(List Price)</t>
  </si>
  <si>
    <t>Actual Cost</t>
  </si>
  <si>
    <t>Marketing</t>
  </si>
  <si>
    <r>
      <t xml:space="preserve">Q1. </t>
    </r>
    <r>
      <rPr>
        <sz val="11"/>
        <color theme="1"/>
        <rFont val="Times New Roman"/>
        <family val="1"/>
      </rPr>
      <t xml:space="preserve">For the Footwear category in the East region (Q3-2025 data as the base case), the management wants to know: what average discount percentage would need to be offered to increase net units sold by exactly 20%, </t>
    </r>
  </si>
  <si>
    <t>assuming a 1.5% increase in units for every 1% increase in discount, while keeping net profit at least at the current level? Set this up as a Goal Seek problem and state your target cell, variable cell, and target value clearly</t>
  </si>
  <si>
    <t>net unit</t>
  </si>
  <si>
    <t>net Profit</t>
  </si>
  <si>
    <t>Actual Price</t>
  </si>
  <si>
    <t>cost Price</t>
  </si>
  <si>
    <t>Fixed Cost</t>
  </si>
  <si>
    <t>Net Profit Margin</t>
  </si>
  <si>
    <r>
      <t xml:space="preserve">Q2. </t>
    </r>
    <r>
      <rPr>
        <b/>
        <sz val="11"/>
        <color theme="1"/>
        <rFont val="Times New Roman"/>
        <family val="1"/>
      </rPr>
      <t>Using the Women's Apparel category (all regions, FY2025 aggregated), determine the unit cost at which gross profit margin would fall to exactly 25%, holding list price, discount, and volume constant at current FY2025 levels</t>
    </r>
  </si>
  <si>
    <t>Cost Price</t>
  </si>
  <si>
    <t>Profit margin</t>
  </si>
  <si>
    <r>
      <t xml:space="preserve">Q3. </t>
    </r>
    <r>
      <rPr>
        <sz val="11"/>
        <color rgb="FFEE0000"/>
        <rFont val="Times New Roman"/>
        <family val="1"/>
      </rPr>
      <t>For the North region overall (FY2025), find the marketing spend level at which net profit would break even (i.e., equal zero), assuming revenue and COGS remain at their current FY2025 levels and only marketing spend is flexed.</t>
    </r>
  </si>
  <si>
    <t>Unit Sold</t>
  </si>
  <si>
    <t>Created by BADAL LAD on 07-09-2026</t>
  </si>
  <si>
    <t>Scenario Summary</t>
  </si>
  <si>
    <t>Changing Cells:</t>
  </si>
  <si>
    <t>Current Values:</t>
  </si>
  <si>
    <t>Result Cells:</t>
  </si>
  <si>
    <t>Notes:  Current Values column represents values of changing cells at</t>
  </si>
  <si>
    <t>time Scenario Summary Report was created.  Changing cells for each</t>
  </si>
  <si>
    <t>scenario are highlighted in gray.</t>
  </si>
  <si>
    <t>b) 'Cost Pressure' — unit cost increases by 10% due to raw material inflation, list price stays flat, and units sold fall by 3%.</t>
  </si>
  <si>
    <t>a) 'Aggressive Growth' — average discount increases by 5 percentage points, unit cost increases by 4%, marketing spend increases by 15%, and units sold increase by 12%.</t>
  </si>
  <si>
    <r>
      <t xml:space="preserve">Q7. </t>
    </r>
    <r>
      <rPr>
        <b/>
        <sz val="11"/>
        <color theme="1"/>
        <rFont val="Times New Roman"/>
        <family val="1"/>
      </rPr>
      <t>Using company-wide FY2025 data as the base case, build three named scenarios in Scenario Manager reflecting different FY2026 planning assumptions:</t>
    </r>
  </si>
  <si>
    <t>c) 'Efficiency Drive' — marketing spend is cut by 10%, discount is reduced by 3 percentage points, and units sold fall by only 2% as a result.</t>
  </si>
  <si>
    <r>
      <t xml:space="preserve">Q8. </t>
    </r>
    <r>
      <rPr>
        <sz val="11"/>
        <color theme="1"/>
        <rFont val="Times New Roman"/>
        <family val="1"/>
      </rPr>
      <t>Generate a Scenario Summary report comparing Revenue, Gross Profit, and Net Profit across the base case and all three scenarios. Which scenario would you flag as highest-risk to present to the CFO, and on what basis?</t>
    </r>
  </si>
  <si>
    <t>,</t>
  </si>
  <si>
    <t>SP</t>
  </si>
  <si>
    <t>Data</t>
  </si>
  <si>
    <t>Cost Pressure</t>
  </si>
  <si>
    <t>Efficiency Drive</t>
  </si>
  <si>
    <t>Aggressive Growth</t>
  </si>
  <si>
    <t>$D$98</t>
  </si>
  <si>
    <t>$D$99</t>
  </si>
  <si>
    <t>$D$100</t>
  </si>
  <si>
    <t>$D$101</t>
  </si>
  <si>
    <t>$D$102</t>
  </si>
  <si>
    <t>$D$103</t>
  </si>
  <si>
    <t>$D$104</t>
  </si>
  <si>
    <t>$D$105</t>
  </si>
  <si>
    <t>$D$106</t>
  </si>
  <si>
    <t>$D$107</t>
  </si>
  <si>
    <t>$D$108</t>
  </si>
  <si>
    <t>Aggresive Growth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</si>
</sst>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14" x14ac:knownFonts="1">
    <font>
      <sz val="11"/>
      <color theme="1"/>
      <name val="Aptos Narrow"/>
      <family val="2"/>
      <scheme val="minor"/>
    </font>
    <font>
      <b/>
      <sz val="12"/>
      <color rgb="FFFFFFFF"/>
      <name val="Arial"/>
      <family val="2"/>
    </font>
    <font>
      <b/>
      <sz val="12.5"/>
      <color rgb="FF2E74B5"/>
      <name val="Times New Roman"/>
      <family val="1"/>
    </font>
    <font>
      <b/>
      <sz val="11"/>
      <color rgb="FF1F3864"/>
      <name val="Times New Roman"/>
      <family val="1"/>
    </font>
    <font>
      <b/>
      <sz val="11"/>
      <color theme="1"/>
      <name val="Times New Roman"/>
      <family val="1"/>
    </font>
    <font>
      <b/>
      <sz val="11"/>
      <color theme="1"/>
      <name val="Aptos Narrow"/>
      <family val="2"/>
      <scheme val="minor"/>
    </font>
    <font>
      <sz val="11"/>
      <color theme="1"/>
      <name val="Times New Roman"/>
      <family val="1"/>
    </font>
    <font>
      <b/>
      <sz val="11"/>
      <color rgb="FFEE0000"/>
      <name val="Times New Roman"/>
      <family val="1"/>
    </font>
    <font>
      <sz val="11"/>
      <color rgb="FFEE0000"/>
      <name val="Times New Roman"/>
      <family val="1"/>
    </font>
    <font>
      <b/>
      <sz val="12"/>
      <color indexed="9"/>
      <name val="Aptos Narrow"/>
      <family val="2"/>
      <scheme val="minor"/>
    </font>
    <font>
      <b/>
      <sz val="11"/>
      <color indexed="8"/>
      <name val="Aptos Narrow"/>
      <family val="2"/>
      <scheme val="minor"/>
    </font>
    <font>
      <b/>
      <sz val="11"/>
      <color indexed="18"/>
      <name val="Aptos Narrow"/>
      <family val="2"/>
      <scheme val="minor"/>
    </font>
    <font>
      <sz val="10"/>
      <color indexed="9"/>
      <name val="Aptos Narrow"/>
      <family val="2"/>
      <scheme val="minor"/>
    </font>
    <font>
      <sz val="8"/>
      <color theme="1"/>
      <name val="Aptos Narrow"/>
      <family val="2"/>
      <scheme val="minor"/>
    </font>
  </fonts>
  <fills count="15">
    <fill>
      <patternFill patternType="none"/>
    </fill>
    <fill>
      <patternFill patternType="gray125"/>
    </fill>
    <fill>
      <patternFill patternType="solid">
        <fgColor rgb="FF1F4E79"/>
        <bgColor rgb="FF003366"/>
      </patternFill>
    </fill>
    <fill>
      <patternFill patternType="solid">
        <fgColor rgb="FFFFFF00"/>
        <bgColor indexed="64"/>
      </patternFill>
    </fill>
    <fill>
      <patternFill patternType="solid">
        <fgColor theme="3" tint="0.749992370372631"/>
        <bgColor indexed="64"/>
      </patternFill>
    </fill>
    <fill>
      <patternFill patternType="solid">
        <fgColor theme="9" tint="0.59999389629810485"/>
        <bgColor indexed="64"/>
      </patternFill>
    </fill>
    <fill>
      <patternFill patternType="solid">
        <fgColor theme="5" tint="0.39997558519241921"/>
        <bgColor indexed="64"/>
      </patternFill>
    </fill>
    <fill>
      <patternFill patternType="solid">
        <fgColor theme="7" tint="0.79998168889431442"/>
        <bgColor indexed="64"/>
      </patternFill>
    </fill>
    <fill>
      <patternFill patternType="solid">
        <fgColor indexed="20"/>
        <bgColor indexed="24"/>
      </patternFill>
    </fill>
    <fill>
      <patternFill patternType="solid">
        <fgColor indexed="22"/>
        <bgColor indexed="24"/>
      </patternFill>
    </fill>
    <fill>
      <patternFill patternType="solid">
        <fgColor indexed="22"/>
        <bgColor indexed="7"/>
      </patternFill>
    </fill>
    <fill>
      <patternFill patternType="solid">
        <fgColor theme="6" tint="0.59999389629810485"/>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theme="3" tint="0.89999084444715716"/>
        <bgColor indexed="64"/>
      </patternFill>
    </fill>
  </fills>
  <borders count="19">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diagonal/>
    </border>
    <border>
      <left style="thin">
        <color auto="1"/>
      </left>
      <right/>
      <top/>
      <bottom/>
      <diagonal/>
    </border>
    <border>
      <left/>
      <right style="thin">
        <color auto="1"/>
      </right>
      <top/>
      <bottom/>
      <diagonal/>
    </border>
    <border>
      <left/>
      <right/>
      <top/>
      <bottom style="thin">
        <color auto="1"/>
      </bottom>
      <diagonal/>
    </border>
    <border>
      <left/>
      <right/>
      <top style="medium">
        <color indexed="64"/>
      </top>
      <bottom/>
      <diagonal/>
    </border>
    <border>
      <left/>
      <right/>
      <top/>
      <bottom style="medium">
        <color indexed="64"/>
      </bottom>
      <diagonal/>
    </border>
    <border>
      <left/>
      <right/>
      <top style="thin">
        <color indexed="64"/>
      </top>
      <bottom style="thin">
        <color indexed="64"/>
      </bottom>
      <diagonal/>
    </border>
    <border>
      <left style="thin">
        <color indexed="64"/>
      </left>
      <right/>
      <top/>
      <bottom style="medium">
        <color indexed="64"/>
      </bottom>
      <diagonal/>
    </border>
    <border>
      <left/>
      <right style="thin">
        <color indexed="64"/>
      </right>
      <top/>
      <bottom style="medium">
        <color indexed="64"/>
      </bottom>
      <diagonal/>
    </border>
  </borders>
  <cellStyleXfs count="1">
    <xf numFmtId="0" fontId="0" fillId="0" borderId="0"/>
  </cellStyleXfs>
  <cellXfs count="86">
    <xf numFmtId="0" fontId="0" fillId="0" borderId="0" xfId="0"/>
    <xf numFmtId="0" fontId="0" fillId="0" borderId="1" xfId="0" applyBorder="1"/>
    <xf numFmtId="0" fontId="0" fillId="0" borderId="0" xfId="0" applyAlignment="1">
      <alignment horizontal="center"/>
    </xf>
    <xf numFmtId="0" fontId="0" fillId="0" borderId="2" xfId="0" applyBorder="1"/>
    <xf numFmtId="0" fontId="0" fillId="0" borderId="3" xfId="0" applyBorder="1"/>
    <xf numFmtId="0" fontId="1" fillId="2" borderId="4" xfId="0" applyFont="1" applyFill="1" applyBorder="1"/>
    <xf numFmtId="0" fontId="1" fillId="2" borderId="5" xfId="0" applyFont="1" applyFill="1" applyBorder="1"/>
    <xf numFmtId="0" fontId="1" fillId="2" borderId="6" xfId="0" applyFont="1" applyFill="1" applyBorder="1"/>
    <xf numFmtId="0" fontId="0" fillId="0" borderId="7" xfId="0" applyBorder="1"/>
    <xf numFmtId="0" fontId="0" fillId="0" borderId="8" xfId="0" applyBorder="1"/>
    <xf numFmtId="0" fontId="0" fillId="0" borderId="9" xfId="0" applyBorder="1"/>
    <xf numFmtId="0" fontId="0" fillId="0" borderId="1" xfId="0" applyBorder="1" applyAlignment="1">
      <alignment horizontal="center"/>
    </xf>
    <xf numFmtId="0" fontId="0" fillId="0" borderId="1" xfId="0" applyBorder="1" applyAlignment="1">
      <alignment horizontal="center" vertical="center"/>
    </xf>
    <xf numFmtId="2" fontId="0" fillId="0" borderId="1" xfId="0" applyNumberFormat="1" applyBorder="1" applyAlignment="1">
      <alignment horizontal="center" vertical="center"/>
    </xf>
    <xf numFmtId="10" fontId="0" fillId="0" borderId="1" xfId="0" applyNumberFormat="1" applyBorder="1" applyAlignment="1">
      <alignment horizontal="center" vertical="center"/>
    </xf>
    <xf numFmtId="10" fontId="0" fillId="0" borderId="1" xfId="0" applyNumberFormat="1" applyBorder="1" applyAlignment="1">
      <alignment horizontal="center"/>
    </xf>
    <xf numFmtId="164" fontId="0" fillId="0" borderId="1" xfId="0" applyNumberFormat="1" applyBorder="1" applyAlignment="1">
      <alignment horizontal="center"/>
    </xf>
    <xf numFmtId="0" fontId="0" fillId="4" borderId="1" xfId="0" applyFill="1" applyBorder="1" applyAlignment="1">
      <alignment horizontal="center"/>
    </xf>
    <xf numFmtId="0" fontId="0" fillId="5" borderId="1" xfId="0" applyFill="1" applyBorder="1" applyAlignment="1">
      <alignment horizontal="center" vertical="center"/>
    </xf>
    <xf numFmtId="0" fontId="0" fillId="3" borderId="0" xfId="0" applyFill="1"/>
    <xf numFmtId="2" fontId="0" fillId="0" borderId="1" xfId="0" applyNumberFormat="1" applyBorder="1"/>
    <xf numFmtId="0" fontId="0" fillId="7" borderId="1" xfId="0" applyFill="1" applyBorder="1" applyAlignment="1">
      <alignment horizontal="center" vertical="center"/>
    </xf>
    <xf numFmtId="10" fontId="5" fillId="6" borderId="1" xfId="0" applyNumberFormat="1" applyFont="1" applyFill="1" applyBorder="1" applyAlignment="1">
      <alignment horizontal="center" vertical="center"/>
    </xf>
    <xf numFmtId="2" fontId="0" fillId="6" borderId="1" xfId="0" applyNumberFormat="1" applyFill="1" applyBorder="1" applyAlignment="1">
      <alignment horizontal="center" vertical="center"/>
    </xf>
    <xf numFmtId="0" fontId="0" fillId="5" borderId="1" xfId="0" applyFill="1" applyBorder="1"/>
    <xf numFmtId="2" fontId="0" fillId="5" borderId="1" xfId="0" applyNumberFormat="1" applyFill="1" applyBorder="1"/>
    <xf numFmtId="10" fontId="0" fillId="5" borderId="1" xfId="0" applyNumberFormat="1" applyFill="1" applyBorder="1"/>
    <xf numFmtId="3" fontId="0" fillId="0" borderId="0" xfId="0" applyNumberFormat="1"/>
    <xf numFmtId="2" fontId="0" fillId="0" borderId="0" xfId="0" applyNumberFormat="1"/>
    <xf numFmtId="10" fontId="0" fillId="0" borderId="0" xfId="0" applyNumberFormat="1"/>
    <xf numFmtId="0" fontId="3" fillId="3" borderId="0" xfId="0" applyFont="1" applyFill="1" applyAlignment="1">
      <alignment horizontal="center"/>
    </xf>
    <xf numFmtId="0" fontId="0" fillId="3" borderId="0" xfId="0" applyFill="1" applyAlignment="1">
      <alignment horizontal="center"/>
    </xf>
    <xf numFmtId="0" fontId="7" fillId="3" borderId="0" xfId="0" applyFont="1" applyFill="1" applyAlignment="1">
      <alignment horizontal="center" vertical="center"/>
    </xf>
    <xf numFmtId="0" fontId="2" fillId="0" borderId="0" xfId="0" applyFont="1" applyAlignment="1">
      <alignment horizontal="center" vertical="center"/>
    </xf>
    <xf numFmtId="0" fontId="3" fillId="3" borderId="0" xfId="0" applyFont="1" applyFill="1" applyAlignment="1">
      <alignment horizontal="center" vertical="center"/>
    </xf>
    <xf numFmtId="0" fontId="4" fillId="3" borderId="0" xfId="0" applyFont="1" applyFill="1" applyAlignment="1">
      <alignment horizontal="center" vertical="center"/>
    </xf>
    <xf numFmtId="0" fontId="0" fillId="0" borderId="11" xfId="0" applyBorder="1"/>
    <xf numFmtId="0" fontId="0" fillId="0" borderId="0" xfId="0" applyBorder="1"/>
    <xf numFmtId="0" fontId="0" fillId="0" borderId="12" xfId="0" applyBorder="1"/>
    <xf numFmtId="0" fontId="0" fillId="0" borderId="6" xfId="0" applyBorder="1"/>
    <xf numFmtId="0" fontId="0" fillId="0" borderId="13" xfId="0" applyBorder="1"/>
    <xf numFmtId="0" fontId="0" fillId="0" borderId="4" xfId="0" applyBorder="1"/>
    <xf numFmtId="0" fontId="0" fillId="0" borderId="0" xfId="0" applyFill="1" applyBorder="1" applyAlignment="1"/>
    <xf numFmtId="2" fontId="0" fillId="0" borderId="0" xfId="0" applyNumberFormat="1" applyFill="1" applyBorder="1" applyAlignment="1"/>
    <xf numFmtId="2" fontId="0" fillId="0" borderId="15" xfId="0" applyNumberFormat="1" applyFill="1" applyBorder="1" applyAlignment="1"/>
    <xf numFmtId="0" fontId="9" fillId="8" borderId="13" xfId="0" applyFont="1" applyFill="1" applyBorder="1" applyAlignment="1">
      <alignment horizontal="left"/>
    </xf>
    <xf numFmtId="0" fontId="9" fillId="8" borderId="14" xfId="0" applyFont="1" applyFill="1" applyBorder="1" applyAlignment="1">
      <alignment horizontal="left"/>
    </xf>
    <xf numFmtId="0" fontId="0" fillId="0" borderId="16" xfId="0" applyFill="1" applyBorder="1" applyAlignment="1"/>
    <xf numFmtId="0" fontId="10" fillId="9" borderId="0" xfId="0" applyFont="1" applyFill="1" applyBorder="1" applyAlignment="1">
      <alignment horizontal="left"/>
    </xf>
    <xf numFmtId="0" fontId="11" fillId="9" borderId="16" xfId="0" applyFont="1" applyFill="1" applyBorder="1" applyAlignment="1">
      <alignment horizontal="left"/>
    </xf>
    <xf numFmtId="0" fontId="10" fillId="9" borderId="15" xfId="0" applyFont="1" applyFill="1" applyBorder="1" applyAlignment="1">
      <alignment horizontal="left"/>
    </xf>
    <xf numFmtId="0" fontId="12" fillId="8" borderId="14" xfId="0" applyFont="1" applyFill="1" applyBorder="1" applyAlignment="1">
      <alignment horizontal="right"/>
    </xf>
    <xf numFmtId="0" fontId="12" fillId="8" borderId="13" xfId="0" applyFont="1" applyFill="1" applyBorder="1" applyAlignment="1">
      <alignment horizontal="right"/>
    </xf>
    <xf numFmtId="0" fontId="0" fillId="10" borderId="0" xfId="0" applyFill="1" applyBorder="1" applyAlignment="1"/>
    <xf numFmtId="0" fontId="13" fillId="0" borderId="0" xfId="0" applyFont="1" applyFill="1" applyBorder="1" applyAlignment="1">
      <alignment vertical="top" wrapText="1"/>
    </xf>
    <xf numFmtId="0" fontId="3" fillId="3" borderId="0" xfId="0" applyFont="1" applyFill="1" applyAlignment="1">
      <alignment vertical="center"/>
    </xf>
    <xf numFmtId="2" fontId="0" fillId="0" borderId="0" xfId="0" applyNumberFormat="1" applyBorder="1"/>
    <xf numFmtId="0" fontId="0" fillId="11" borderId="1" xfId="0" applyFill="1" applyBorder="1" applyAlignment="1">
      <alignment horizontal="center" vertical="center"/>
    </xf>
    <xf numFmtId="0" fontId="0" fillId="6" borderId="1" xfId="0" applyFill="1" applyBorder="1"/>
    <xf numFmtId="0" fontId="5" fillId="6" borderId="1" xfId="0" applyFont="1" applyFill="1" applyBorder="1" applyAlignment="1">
      <alignment horizontal="center" vertical="center"/>
    </xf>
    <xf numFmtId="2" fontId="5" fillId="6" borderId="1" xfId="0" applyNumberFormat="1" applyFont="1" applyFill="1" applyBorder="1" applyAlignment="1">
      <alignment horizontal="center"/>
    </xf>
    <xf numFmtId="0" fontId="5" fillId="6" borderId="1" xfId="0" applyFont="1" applyFill="1" applyBorder="1" applyAlignment="1">
      <alignment horizontal="center"/>
    </xf>
    <xf numFmtId="0" fontId="0" fillId="12" borderId="1" xfId="0" applyFill="1" applyBorder="1" applyAlignment="1">
      <alignment horizontal="center"/>
    </xf>
    <xf numFmtId="2" fontId="0" fillId="12" borderId="1" xfId="0" applyNumberFormat="1" applyFill="1" applyBorder="1" applyAlignment="1">
      <alignment horizontal="center"/>
    </xf>
    <xf numFmtId="0" fontId="0" fillId="7" borderId="1" xfId="0" applyFill="1" applyBorder="1" applyAlignment="1">
      <alignment horizontal="center"/>
    </xf>
    <xf numFmtId="0" fontId="0" fillId="13" borderId="1" xfId="0" applyFill="1" applyBorder="1" applyAlignment="1">
      <alignment horizontal="center"/>
    </xf>
    <xf numFmtId="2" fontId="0" fillId="14" borderId="1" xfId="0" applyNumberFormat="1" applyFill="1" applyBorder="1" applyAlignment="1">
      <alignment horizontal="center" vertical="center"/>
    </xf>
    <xf numFmtId="2" fontId="0" fillId="14" borderId="1" xfId="0" applyNumberFormat="1" applyFill="1" applyBorder="1" applyAlignment="1">
      <alignment horizontal="center"/>
    </xf>
    <xf numFmtId="2" fontId="0" fillId="13" borderId="1" xfId="0" applyNumberFormat="1" applyFill="1" applyBorder="1" applyAlignment="1">
      <alignment horizontal="center"/>
    </xf>
    <xf numFmtId="2" fontId="0" fillId="10" borderId="0" xfId="0" applyNumberFormat="1" applyFill="1" applyBorder="1" applyAlignment="1"/>
    <xf numFmtId="0" fontId="9" fillId="8" borderId="9" xfId="0" applyFont="1" applyFill="1" applyBorder="1" applyAlignment="1">
      <alignment horizontal="left"/>
    </xf>
    <xf numFmtId="0" fontId="9" fillId="8" borderId="10" xfId="0" applyFont="1" applyFill="1" applyBorder="1" applyAlignment="1">
      <alignment horizontal="left"/>
    </xf>
    <xf numFmtId="0" fontId="12" fillId="8" borderId="10" xfId="0" applyFont="1" applyFill="1" applyBorder="1" applyAlignment="1">
      <alignment horizontal="right"/>
    </xf>
    <xf numFmtId="0" fontId="12" fillId="8" borderId="7" xfId="0" applyFont="1" applyFill="1" applyBorder="1" applyAlignment="1">
      <alignment horizontal="right"/>
    </xf>
    <xf numFmtId="0" fontId="9" fillId="8" borderId="6" xfId="0" applyFont="1" applyFill="1" applyBorder="1" applyAlignment="1">
      <alignment horizontal="left"/>
    </xf>
    <xf numFmtId="0" fontId="12" fillId="8" borderId="4" xfId="0" applyFont="1" applyFill="1" applyBorder="1" applyAlignment="1">
      <alignment horizontal="right"/>
    </xf>
    <xf numFmtId="0" fontId="10" fillId="9" borderId="11" xfId="0" applyFont="1" applyFill="1" applyBorder="1" applyAlignment="1">
      <alignment horizontal="left"/>
    </xf>
    <xf numFmtId="0" fontId="13" fillId="0" borderId="12" xfId="0" applyFont="1" applyFill="1" applyBorder="1" applyAlignment="1">
      <alignment vertical="top" wrapText="1"/>
    </xf>
    <xf numFmtId="0" fontId="11" fillId="9" borderId="3" xfId="0" applyFont="1" applyFill="1" applyBorder="1" applyAlignment="1">
      <alignment horizontal="left"/>
    </xf>
    <xf numFmtId="0" fontId="0" fillId="0" borderId="2" xfId="0" applyFill="1" applyBorder="1" applyAlignment="1"/>
    <xf numFmtId="2" fontId="0" fillId="10" borderId="12" xfId="0" applyNumberFormat="1" applyFill="1" applyBorder="1" applyAlignment="1"/>
    <xf numFmtId="0" fontId="0" fillId="10" borderId="12" xfId="0" applyFill="1" applyBorder="1" applyAlignment="1"/>
    <xf numFmtId="0" fontId="0" fillId="0" borderId="12" xfId="0" applyFill="1" applyBorder="1" applyAlignment="1"/>
    <xf numFmtId="0" fontId="10" fillId="9" borderId="17" xfId="0" applyFont="1" applyFill="1" applyBorder="1" applyAlignment="1">
      <alignment horizontal="left"/>
    </xf>
    <xf numFmtId="2" fontId="0" fillId="0" borderId="18" xfId="0" applyNumberFormat="1" applyFill="1" applyBorder="1" applyAlignment="1"/>
    <xf numFmtId="2" fontId="0" fillId="7" borderId="1" xfId="0" applyNumberFormat="1" applyFill="1" applyBorder="1" applyAlignment="1">
      <alignment horizontal="center"/>
    </xf>
  </cellXfs>
  <cellStyles count="1">
    <cellStyle name="Normal" xfId="0" builtinId="0"/>
  </cellStyles>
  <dxfs count="20">
    <dxf>
      <border diagonalUp="0" diagonalDown="0">
        <left style="thin">
          <color auto="1"/>
        </left>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font>
        <b/>
        <i val="0"/>
        <strike val="0"/>
        <condense val="0"/>
        <extend val="0"/>
        <outline val="0"/>
        <shadow val="0"/>
        <u val="none"/>
        <vertAlign val="baseline"/>
        <sz val="12"/>
        <color rgb="FFFFFFFF"/>
        <name val="Arial"/>
        <family val="2"/>
        <scheme val="none"/>
      </font>
      <fill>
        <patternFill patternType="solid">
          <fgColor rgb="FF003366"/>
          <bgColor rgb="FF1F4E79"/>
        </patternFill>
      </fill>
      <border diagonalUp="0" diagonalDown="0" outline="0">
        <left style="thin">
          <color auto="1"/>
        </left>
        <right style="thin">
          <color auto="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8</xdr:col>
      <xdr:colOff>0</xdr:colOff>
      <xdr:row>15</xdr:row>
      <xdr:rowOff>95251</xdr:rowOff>
    </xdr:from>
    <xdr:to>
      <xdr:col>10</xdr:col>
      <xdr:colOff>1114425</xdr:colOff>
      <xdr:row>25</xdr:row>
      <xdr:rowOff>1045</xdr:rowOff>
    </xdr:to>
    <xdr:pic>
      <xdr:nvPicPr>
        <xdr:cNvPr id="2" name="Picture 1">
          <a:extLst>
            <a:ext uri="{FF2B5EF4-FFF2-40B4-BE49-F238E27FC236}">
              <a16:creationId xmlns:a16="http://schemas.microsoft.com/office/drawing/2014/main" id="{88EAD77A-013D-229F-CFE5-F864B2D59883}"/>
            </a:ext>
          </a:extLst>
        </xdr:cNvPr>
        <xdr:cNvPicPr>
          <a:picLocks noChangeAspect="1"/>
        </xdr:cNvPicPr>
      </xdr:nvPicPr>
      <xdr:blipFill>
        <a:blip xmlns:r="http://schemas.openxmlformats.org/officeDocument/2006/relationships" r:embed="rId1"/>
        <a:stretch>
          <a:fillRect/>
        </a:stretch>
      </xdr:blipFill>
      <xdr:spPr>
        <a:xfrm>
          <a:off x="8429625" y="2971801"/>
          <a:ext cx="4343400" cy="1809340"/>
        </a:xfrm>
        <a:prstGeom prst="rect">
          <a:avLst/>
        </a:prstGeom>
      </xdr:spPr>
    </xdr:pic>
    <xdr:clientData/>
  </xdr:twoCellAnchor>
  <xdr:twoCellAnchor editAs="oneCell">
    <xdr:from>
      <xdr:col>4</xdr:col>
      <xdr:colOff>276297</xdr:colOff>
      <xdr:row>39</xdr:row>
      <xdr:rowOff>181681</xdr:rowOff>
    </xdr:from>
    <xdr:to>
      <xdr:col>7</xdr:col>
      <xdr:colOff>662166</xdr:colOff>
      <xdr:row>47</xdr:row>
      <xdr:rowOff>7271</xdr:rowOff>
    </xdr:to>
    <xdr:pic>
      <xdr:nvPicPr>
        <xdr:cNvPr id="3" name="Picture 2">
          <a:extLst>
            <a:ext uri="{FF2B5EF4-FFF2-40B4-BE49-F238E27FC236}">
              <a16:creationId xmlns:a16="http://schemas.microsoft.com/office/drawing/2014/main" id="{8C200584-164C-DF74-1DCE-884753FB9DD6}"/>
            </a:ext>
          </a:extLst>
        </xdr:cNvPr>
        <xdr:cNvPicPr>
          <a:picLocks noChangeAspect="1"/>
        </xdr:cNvPicPr>
      </xdr:nvPicPr>
      <xdr:blipFill>
        <a:blip xmlns:r="http://schemas.openxmlformats.org/officeDocument/2006/relationships" r:embed="rId2"/>
        <a:stretch>
          <a:fillRect/>
        </a:stretch>
      </xdr:blipFill>
      <xdr:spPr>
        <a:xfrm>
          <a:off x="4108110" y="7576280"/>
          <a:ext cx="3985010" cy="1337957"/>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2AB5F1E-B7D2-4134-89BA-B29F3E8B4C29}" name="Table1" displayName="Table1" ref="A1:P161" totalsRowShown="0" headerRowDxfId="19" headerRowBorderDxfId="18" tableBorderDxfId="17" totalsRowBorderDxfId="16">
  <autoFilter ref="A1:P161" xr:uid="{B2AB5F1E-B7D2-4134-89BA-B29F3E8B4C29}"/>
  <tableColumns count="16">
    <tableColumn id="1" xr3:uid="{B4A1723A-B09E-4B15-A736-C051D6A8B599}" name="Quarter" dataDxfId="15"/>
    <tableColumn id="2" xr3:uid="{FF756CFD-4004-4B3D-954C-4CB49C86BA92}" name="Region" dataDxfId="14"/>
    <tableColumn id="3" xr3:uid="{651941CB-4049-4FF5-964F-9A359BB171E0}" name="Product_Category" dataDxfId="13"/>
    <tableColumn id="4" xr3:uid="{F0951544-C8AE-4D39-93F6-7172C027BAEE}" name="Units_Sold_Gross" dataDxfId="12"/>
    <tableColumn id="5" xr3:uid="{06295639-BE28-4031-9012-4C8255454A02}" name="Return_Rate_Pct" dataDxfId="11"/>
    <tableColumn id="6" xr3:uid="{94959AB5-B027-487B-814A-A7875A4FBAEB}" name="Units_Sold_Net" dataDxfId="10"/>
    <tableColumn id="7" xr3:uid="{F9D72574-6821-4F53-8D34-1D8CBE5DDC0D}" name="List_Price_INR" dataDxfId="9"/>
    <tableColumn id="8" xr3:uid="{E5C44B84-5180-4F1E-B98E-0F7D31724E63}" name="Discount_Pct" dataDxfId="8"/>
    <tableColumn id="9" xr3:uid="{814C840F-7FB9-4A08-8C3E-F995069F46FF}" name="Effective_Selling_Price_INR" dataDxfId="7"/>
    <tableColumn id="10" xr3:uid="{A1AD94EB-96E4-48A1-81F6-FC17B5B4755E}" name="Unit_Cost_INR" dataDxfId="6"/>
    <tableColumn id="11" xr3:uid="{3D0823A9-E1AB-4292-9393-2B887FAAA91C}" name="Marketing_Spend_INR" dataDxfId="5"/>
    <tableColumn id="12" xr3:uid="{BC43F561-FBE2-4F8C-9CF2-76AA0866FB7B}" name="Allocated_Fixed_Cost_INR" dataDxfId="4"/>
    <tableColumn id="13" xr3:uid="{0A72A280-53A1-4152-8AB6-56506A4185D0}" name="Revenue_INR" dataDxfId="3"/>
    <tableColumn id="14" xr3:uid="{DBA07624-EB86-41A7-9BEB-E974D32C3438}" name="COGS_INR" dataDxfId="2"/>
    <tableColumn id="15" xr3:uid="{2CBE94D2-5469-47AF-9DF8-6E6B7275954B}" name="Gross_Profit_INR" dataDxfId="1"/>
    <tableColumn id="16" xr3:uid="{6B8BB444-9DCC-408D-8F9B-FF3B1791E03E}" name="Net_Profit_INR" dataDxfId="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BFD4897-D536-4C82-933E-BEB5116266BF}" name="Table2" displayName="Table2" ref="A8:P12" totalsRowShown="0">
  <autoFilter ref="A8:P12" xr:uid="{6BFD4897-D536-4C82-933E-BEB5116266BF}"/>
  <tableColumns count="16">
    <tableColumn id="1" xr3:uid="{04394EB3-9534-4715-824B-7401155D5CFB}" name="Quarter"/>
    <tableColumn id="2" xr3:uid="{C7EC5929-820E-48AF-BD5D-F47B0A839F21}" name="Region"/>
    <tableColumn id="3" xr3:uid="{05B198D0-4356-4562-B90E-3FE25CEB29E5}" name="Product_Category"/>
    <tableColumn id="4" xr3:uid="{21919BD7-5657-497F-BD37-E281D9255616}" name="Units_Sold_Gross"/>
    <tableColumn id="5" xr3:uid="{D98A641C-BD37-4F7A-A229-9A0238FF61D6}" name="Return_Rate_Pct"/>
    <tableColumn id="6" xr3:uid="{92BF7DF1-4FC5-4567-BD78-54E5A012FFE8}" name="Units_Sold_Net"/>
    <tableColumn id="7" xr3:uid="{64F20E3E-485C-42B0-A4B0-18001BEF9B4D}" name="List_Price_INR"/>
    <tableColumn id="8" xr3:uid="{90B3D384-A4A2-4CCC-80CA-DE2A9DAC19D9}" name="Discount_Pct"/>
    <tableColumn id="9" xr3:uid="{D9924773-8D06-4C1E-AE07-14A56ED451B1}" name="Effective_Selling_Price_INR"/>
    <tableColumn id="10" xr3:uid="{E905081C-AE39-4FD0-BC64-C21F9B9F90C9}" name="Unit_Cost_INR"/>
    <tableColumn id="11" xr3:uid="{1D5065B8-04A1-4307-A38E-7A5CA85A2443}" name="Marketing_Spend_INR"/>
    <tableColumn id="12" xr3:uid="{5E7C8B39-0BA2-4F87-B1CF-3A9EDDD13312}" name="Allocated_Fixed_Cost_INR"/>
    <tableColumn id="13" xr3:uid="{FD603346-FA77-43C1-B840-8AB361612E69}" name="Revenue_INR"/>
    <tableColumn id="14" xr3:uid="{3B2B06BD-B17A-4A18-8330-A9205DA9D28A}" name="COGS_INR"/>
    <tableColumn id="15" xr3:uid="{DABF743B-02F3-4599-82F2-6527E76529C3}" name="Gross_Profit_INR"/>
    <tableColumn id="16" xr3:uid="{33463358-11A2-4110-A909-1CEB1E109BB3}" name="Net_Profit_INR"/>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CF59977-9491-4494-861C-B60BDC518413}" name="Table3" displayName="Table3" ref="A35:P39" totalsRowShown="0">
  <autoFilter ref="A35:P39" xr:uid="{8CF59977-9491-4494-861C-B60BDC518413}"/>
  <tableColumns count="16">
    <tableColumn id="1" xr3:uid="{CD8E4C57-3822-4B9A-9447-E58CB2222CBF}" name="Quarter"/>
    <tableColumn id="2" xr3:uid="{54F28ABC-D978-4D11-85FA-50F609FA6768}" name="Region"/>
    <tableColumn id="3" xr3:uid="{4B2541C7-6042-4BA5-AB15-07A420659903}" name="Product_Category"/>
    <tableColumn id="4" xr3:uid="{6DECCA3C-B1F9-443B-A303-F08612183ADD}" name="Units_Sold_Gross"/>
    <tableColumn id="5" xr3:uid="{E42CBF65-0E8B-4B29-96A4-86E040E55784}" name="Return_Rate_Pct"/>
    <tableColumn id="6" xr3:uid="{FFB94E25-8902-4DB0-952A-1C13761DED8A}" name="Units_Sold_Net"/>
    <tableColumn id="7" xr3:uid="{EB4DCF96-E0F5-49F5-8CB2-A28115DB4137}" name="List_Price_INR"/>
    <tableColumn id="8" xr3:uid="{E8E451EF-F986-4A0E-8362-9F9A8DFB8F21}" name="Discount_Pct"/>
    <tableColumn id="9" xr3:uid="{8AA0F220-6E73-48AC-9246-818AE0C9A9EA}" name="Effective_Selling_Price_INR"/>
    <tableColumn id="10" xr3:uid="{323FE97C-9643-4BFA-B89E-D6A659C45BAF}" name="Unit_Cost_INR"/>
    <tableColumn id="11" xr3:uid="{FCB015A7-BB0A-4C72-AE7A-84F04B6CAE06}" name="Marketing_Spend_INR"/>
    <tableColumn id="12" xr3:uid="{12B94F28-F5AF-4337-99E8-CEC939133087}" name="Allocated_Fixed_Cost_INR"/>
    <tableColumn id="13" xr3:uid="{0A92462C-3A5E-4DB4-A949-E85B76CC83BA}" name="Revenue_INR"/>
    <tableColumn id="14" xr3:uid="{A02FA419-09CE-4AFD-8B4E-884E8E499825}" name="COGS_INR"/>
    <tableColumn id="15" xr3:uid="{48B6D225-3D21-46C4-B5BD-CE74AE09E83E}" name="Gross_Profit_INR"/>
    <tableColumn id="16" xr3:uid="{29D45E82-B8AA-4366-BC4F-D7697A070787}" name="Net_Profit_INR"/>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74B95EE-5C83-43B7-ABAB-0BF70BE326FA}" name="Table4" displayName="Table4" ref="A7:P8" totalsRowShown="0">
  <autoFilter ref="A7:P8" xr:uid="{174B95EE-5C83-43B7-ABAB-0BF70BE326FA}"/>
  <tableColumns count="16">
    <tableColumn id="1" xr3:uid="{23CC5506-3CDB-49A9-84E2-99FEBD392808}" name="Quarter"/>
    <tableColumn id="2" xr3:uid="{644D5AC1-464F-4D2E-B202-775030B4081B}" name="Region"/>
    <tableColumn id="3" xr3:uid="{69116F90-EB3D-4126-8B75-96224E176E5B}" name="Product_Category"/>
    <tableColumn id="4" xr3:uid="{0A580C63-9966-4255-8BDA-1D54E013FC6D}" name="Units_Sold_Gross"/>
    <tableColumn id="5" xr3:uid="{3E1D706C-C8E6-4192-B24F-B10E26E9555A}" name="Return_Rate_Pct"/>
    <tableColumn id="6" xr3:uid="{7320E733-3503-490A-9F80-BA007E41EC64}" name="Units_Sold_Net"/>
    <tableColumn id="7" xr3:uid="{60D6A85E-28BA-46A8-9283-12148826BC1A}" name="List_Price_INR"/>
    <tableColumn id="8" xr3:uid="{EF01978D-6B93-4516-ABF4-52C097989FF2}" name="Discount_Pct"/>
    <tableColumn id="9" xr3:uid="{DC3A4E0F-E3AD-4871-9CC2-53A219448B5F}" name="Effective_Selling_Price_INR"/>
    <tableColumn id="10" xr3:uid="{F881C447-DE61-494C-8C0B-B5D3576F10F8}" name="Unit_Cost_INR"/>
    <tableColumn id="11" xr3:uid="{D885F52D-F165-4DFE-8730-22EA7FD1BB60}" name="Marketing_Spend_INR"/>
    <tableColumn id="12" xr3:uid="{55C901E3-41E7-4B64-9B78-A5AE60F13D74}" name="Allocated_Fixed_Cost_INR"/>
    <tableColumn id="13" xr3:uid="{9F6ACC79-70B2-49B9-918E-9AC00EF2DF12}" name="Revenue_INR"/>
    <tableColumn id="14" xr3:uid="{D4DD4B75-8A33-4401-92F4-FE4C579F26AE}" name="COGS_INR"/>
    <tableColumn id="15" xr3:uid="{CDE250F1-0AC7-49FD-9578-173450626CE4}" name="Gross_Profit_INR"/>
    <tableColumn id="16" xr3:uid="{B415ADA1-62B5-457A-AE64-8EC49AEBF193}" name="Net_Profit_INR"/>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47CE2A5-C0E5-4F81-86EE-6B242908F615}" name="Table5" displayName="Table5" ref="A29:P45" totalsRowShown="0">
  <autoFilter ref="A29:P45" xr:uid="{D47CE2A5-C0E5-4F81-86EE-6B242908F615}"/>
  <tableColumns count="16">
    <tableColumn id="1" xr3:uid="{89BF456D-0618-4C6C-8B22-27775C088E51}" name="Quarter"/>
    <tableColumn id="2" xr3:uid="{FC1A7715-A7A9-4300-A2F2-362344DC413E}" name="Region"/>
    <tableColumn id="3" xr3:uid="{0DA749E5-B719-4884-AD42-536F5E9D5EB9}" name="Product_Category"/>
    <tableColumn id="4" xr3:uid="{90A07FBF-FC15-4493-9416-795DDD314915}" name="Units_Sold_Gross"/>
    <tableColumn id="5" xr3:uid="{125371FC-2D24-4491-AAD1-8744FF96CE73}" name="Return_Rate_Pct"/>
    <tableColumn id="6" xr3:uid="{78AB6DB0-5E26-4510-B2DC-4BBE05298F87}" name="Units_Sold_Net"/>
    <tableColumn id="7" xr3:uid="{9BA0FF49-CFA8-4D73-BF7E-7AFA07BB38F9}" name="List_Price_INR"/>
    <tableColumn id="8" xr3:uid="{9A2A5B0D-5F87-45EF-8CC5-1C8DC246B0D2}" name="Discount_Pct"/>
    <tableColumn id="9" xr3:uid="{88552A15-FD64-48A7-9786-4A04AC2AD416}" name="Effective_Selling_Price_INR"/>
    <tableColumn id="10" xr3:uid="{913B4C5A-4ABA-48B5-B9E8-8B482C180ABD}" name="Unit_Cost_INR"/>
    <tableColumn id="11" xr3:uid="{A924C0AF-07FF-4D2A-BD46-9DD8BB6141CF}" name="Marketing_Spend_INR"/>
    <tableColumn id="12" xr3:uid="{765C28BD-3FEF-414D-BA4F-0D95EF479394}" name="Allocated_Fixed_Cost_INR"/>
    <tableColumn id="13" xr3:uid="{04E99480-8361-4A24-92AF-CEF228B05854}" name="Revenue_INR"/>
    <tableColumn id="14" xr3:uid="{2F8B1B22-03BB-4A7E-A898-8CCB64933129}" name="COGS_INR"/>
    <tableColumn id="15" xr3:uid="{FB60D9AD-8560-4536-AEFE-DAC7EE86AA3C}" name="Gross_Profit_INR"/>
    <tableColumn id="16" xr3:uid="{79AA98F2-973E-455D-967D-C1D69AB6C50B}" name="Net_Profit_INR"/>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ECC87DBC-39A9-45B3-A70E-3CBC162A62C8}" name="Table6" displayName="Table6" ref="A70:P90" totalsRowShown="0">
  <autoFilter ref="A70:P90" xr:uid="{ECC87DBC-39A9-45B3-A70E-3CBC162A62C8}"/>
  <tableColumns count="16">
    <tableColumn id="1" xr3:uid="{08E43B62-F411-4FFA-9866-4F759E7209ED}" name="Quarter"/>
    <tableColumn id="2" xr3:uid="{FD4C67C5-71EC-4A50-9FF1-224AA576738C}" name="Region"/>
    <tableColumn id="3" xr3:uid="{DB43C480-F2D9-4D7B-B28D-7C365426E0CC}" name="Product_Category"/>
    <tableColumn id="4" xr3:uid="{25CDB61E-71DB-4651-8C70-FCEA13C254F2}" name="Units_Sold_Gross"/>
    <tableColumn id="5" xr3:uid="{87703556-06BA-49D2-B17D-F60539167FBF}" name="Return_Rate_Pct"/>
    <tableColumn id="6" xr3:uid="{DD65CBF3-0AF3-4745-9783-91F0A47422EA}" name="Units_Sold_Net"/>
    <tableColumn id="7" xr3:uid="{9D669AC5-480A-40C9-8AAE-70B054CAEDEC}" name="List_Price_INR"/>
    <tableColumn id="8" xr3:uid="{07EDD75B-AF70-45BD-82DE-7F6C96D3F82F}" name="Discount_Pct"/>
    <tableColumn id="9" xr3:uid="{12BBAD8B-A790-408E-B10B-7CA767D93C9B}" name="Effective_Selling_Price_INR"/>
    <tableColumn id="10" xr3:uid="{96380CEB-5801-4BA0-80DD-5E15D4AFBDB7}" name="Unit_Cost_INR"/>
    <tableColumn id="11" xr3:uid="{B3970E0F-723C-448A-AD2C-2C6775CFC8DA}" name="Marketing_Spend_INR"/>
    <tableColumn id="12" xr3:uid="{43C9F0C2-BDFE-4E48-AF93-7D6EABED2B9D}" name="Allocated_Fixed_Cost_INR"/>
    <tableColumn id="13" xr3:uid="{93F02644-0977-4325-8069-934DEE1BEB5F}" name="Revenue_INR"/>
    <tableColumn id="14" xr3:uid="{DA198F9D-3D57-458C-87E3-FA26B178B58E}" name="COGS_INR"/>
    <tableColumn id="15" xr3:uid="{E160E9DF-070B-4309-B114-FF9F20719B00}" name="Gross_Profit_INR"/>
    <tableColumn id="16" xr3:uid="{CFA4A7A9-A407-4006-BE39-FCD23924628E}" name="Net_Profit_INR"/>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1E39467F-8014-45F6-B560-71A68316A0B5}" name="Table7" displayName="Table7" ref="A10:P90" totalsRowShown="0">
  <autoFilter ref="A10:P90" xr:uid="{1E39467F-8014-45F6-B560-71A68316A0B5}"/>
  <tableColumns count="16">
    <tableColumn id="1" xr3:uid="{AD8C17FE-A993-4053-90C8-9F0962384A8B}" name="Quarter"/>
    <tableColumn id="2" xr3:uid="{36A3AC6F-DD4D-4CEB-B9E0-E3D4B62C62E0}" name="Region"/>
    <tableColumn id="3" xr3:uid="{C5448061-3B9D-4709-AF52-3E347B0841D6}" name="Product_Category"/>
    <tableColumn id="4" xr3:uid="{B56489A1-6C32-4540-8EFE-868444BDC9F8}" name="Units_Sold_Gross"/>
    <tableColumn id="5" xr3:uid="{44616875-9F2C-44A7-8D7A-9D8B4E83A0BE}" name="Return_Rate_Pct"/>
    <tableColumn id="6" xr3:uid="{3486CFC3-ED98-4ADE-A1FB-CAC9294B95F2}" name="Units_Sold_Net"/>
    <tableColumn id="7" xr3:uid="{E3AEAE3B-6513-46D5-B3C3-AFE301854726}" name="List_Price_INR"/>
    <tableColumn id="8" xr3:uid="{BCD6F099-E1AB-4FA9-AD9B-24627E9D3C16}" name="Discount_Pct"/>
    <tableColumn id="9" xr3:uid="{E5FE4970-E4FE-4B65-A6EB-723D6E45F35A}" name="Effective_Selling_Price_INR"/>
    <tableColumn id="10" xr3:uid="{CB9776E3-6ECD-4C25-A598-9DAC12B0B8D7}" name="Unit_Cost_INR"/>
    <tableColumn id="11" xr3:uid="{5699F220-5FC2-44B4-ACFB-D7A03549F924}" name="Marketing_Spend_INR"/>
    <tableColumn id="12" xr3:uid="{A5EA9385-EF8C-4EB8-9AF7-3C4A9666EC60}" name="Allocated_Fixed_Cost_INR"/>
    <tableColumn id="13" xr3:uid="{EC124554-715F-4B0B-B845-E9DEC84200C9}" name="Revenue_INR"/>
    <tableColumn id="14" xr3:uid="{B2DF8564-34DB-44B6-8D48-4885AE34ED73}" name="COGS_INR"/>
    <tableColumn id="15" xr3:uid="{B78F02C3-C243-477F-B8E6-E80A58B7BBF4}" name="Gross_Profit_INR"/>
    <tableColumn id="16" xr3:uid="{B79288A7-7C76-4A05-BFC3-B94224D7591F}" name="Net_Profit_IN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table" Target="../tables/table3.xml"/></Relationships>
</file>

<file path=xl/worksheets/_rels/sheet3.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table" Target="../tables/table4.xml"/></Relationships>
</file>

<file path=xl/worksheets/_rels/sheet4.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037F51-8D0D-43BE-8E3F-38356DEC0A4E}">
  <dimension ref="A1:P161"/>
  <sheetViews>
    <sheetView zoomScale="79" workbookViewId="0">
      <selection activeCell="F28" sqref="F28"/>
    </sheetView>
  </sheetViews>
  <sheetFormatPr defaultRowHeight="15" x14ac:dyDescent="0.25"/>
  <cols>
    <col min="1" max="1" width="11.28515625" customWidth="1"/>
    <col min="2" max="2" width="11" customWidth="1"/>
    <col min="3" max="3" width="23.140625" customWidth="1"/>
    <col min="4" max="4" width="23" customWidth="1"/>
    <col min="5" max="5" width="25.140625" customWidth="1"/>
    <col min="6" max="6" width="23.28515625" customWidth="1"/>
    <col min="7" max="7" width="19.28515625" customWidth="1"/>
    <col min="8" max="8" width="20.42578125" customWidth="1"/>
    <col min="9" max="9" width="33.42578125" customWidth="1"/>
    <col min="10" max="10" width="19.28515625" customWidth="1"/>
    <col min="11" max="11" width="27.5703125" customWidth="1"/>
    <col min="12" max="12" width="32.28515625" customWidth="1"/>
    <col min="13" max="13" width="18.140625" customWidth="1"/>
    <col min="14" max="14" width="15.140625" customWidth="1"/>
    <col min="15" max="15" width="22.140625" customWidth="1"/>
    <col min="16" max="16" width="19.28515625" customWidth="1"/>
  </cols>
  <sheetData>
    <row r="1" spans="1:16" ht="15.75" x14ac:dyDescent="0.25">
      <c r="A1" s="5" t="s">
        <v>0</v>
      </c>
      <c r="B1" s="6" t="s">
        <v>1</v>
      </c>
      <c r="C1" s="6" t="s">
        <v>2</v>
      </c>
      <c r="D1" s="6" t="s">
        <v>3</v>
      </c>
      <c r="E1" s="6" t="s">
        <v>4</v>
      </c>
      <c r="F1" s="6" t="s">
        <v>5</v>
      </c>
      <c r="G1" s="6" t="s">
        <v>6</v>
      </c>
      <c r="H1" s="6" t="s">
        <v>7</v>
      </c>
      <c r="I1" s="6" t="s">
        <v>8</v>
      </c>
      <c r="J1" s="6" t="s">
        <v>9</v>
      </c>
      <c r="K1" s="6" t="s">
        <v>10</v>
      </c>
      <c r="L1" s="6" t="s">
        <v>11</v>
      </c>
      <c r="M1" s="6" t="s">
        <v>12</v>
      </c>
      <c r="N1" s="6" t="s">
        <v>13</v>
      </c>
      <c r="O1" s="6" t="s">
        <v>14</v>
      </c>
      <c r="P1" s="7" t="s">
        <v>15</v>
      </c>
    </row>
    <row r="2" spans="1:16" x14ac:dyDescent="0.25">
      <c r="A2" s="3" t="s">
        <v>16</v>
      </c>
      <c r="B2" s="1" t="s">
        <v>17</v>
      </c>
      <c r="C2" s="1" t="s">
        <v>18</v>
      </c>
      <c r="D2" s="1">
        <v>1162</v>
      </c>
      <c r="E2" s="1">
        <v>6.7</v>
      </c>
      <c r="F2" s="1">
        <v>1085</v>
      </c>
      <c r="G2" s="1">
        <v>887.77</v>
      </c>
      <c r="H2" s="1">
        <v>29.7</v>
      </c>
      <c r="I2" s="1">
        <v>624.1</v>
      </c>
      <c r="J2" s="1">
        <v>427.66</v>
      </c>
      <c r="K2" s="1">
        <v>48531.38</v>
      </c>
      <c r="L2" s="1">
        <v>7978.16</v>
      </c>
      <c r="M2" s="1">
        <v>677148.5</v>
      </c>
      <c r="N2" s="1">
        <v>464011.1</v>
      </c>
      <c r="O2" s="1">
        <v>213137.4</v>
      </c>
      <c r="P2" s="4">
        <v>156627.85999999999</v>
      </c>
    </row>
    <row r="3" spans="1:16" x14ac:dyDescent="0.25">
      <c r="A3" s="3" t="s">
        <v>16</v>
      </c>
      <c r="B3" s="1" t="s">
        <v>17</v>
      </c>
      <c r="C3" s="1" t="s">
        <v>19</v>
      </c>
      <c r="D3" s="1">
        <v>1157</v>
      </c>
      <c r="E3" s="1">
        <v>5.5</v>
      </c>
      <c r="F3" s="1">
        <v>1094</v>
      </c>
      <c r="G3" s="1">
        <v>1101.4100000000001</v>
      </c>
      <c r="H3" s="1">
        <v>19.399999999999999</v>
      </c>
      <c r="I3" s="1">
        <v>887.74</v>
      </c>
      <c r="J3" s="1">
        <v>506.1</v>
      </c>
      <c r="K3" s="1">
        <v>18276.060000000001</v>
      </c>
      <c r="L3" s="1">
        <v>8593.61</v>
      </c>
      <c r="M3" s="1">
        <v>971187.56</v>
      </c>
      <c r="N3" s="1">
        <v>553673.4</v>
      </c>
      <c r="O3" s="1">
        <v>417514.16</v>
      </c>
      <c r="P3" s="4">
        <v>390644.49</v>
      </c>
    </row>
    <row r="4" spans="1:16" x14ac:dyDescent="0.25">
      <c r="A4" s="3" t="s">
        <v>16</v>
      </c>
      <c r="B4" s="1" t="s">
        <v>17</v>
      </c>
      <c r="C4" s="1" t="s">
        <v>20</v>
      </c>
      <c r="D4" s="1">
        <v>1056</v>
      </c>
      <c r="E4" s="1">
        <v>2</v>
      </c>
      <c r="F4" s="1">
        <v>1035</v>
      </c>
      <c r="G4" s="1">
        <v>1766.7</v>
      </c>
      <c r="H4" s="1">
        <v>31.2</v>
      </c>
      <c r="I4" s="1">
        <v>1215.49</v>
      </c>
      <c r="J4" s="1">
        <v>983.08</v>
      </c>
      <c r="K4" s="1">
        <v>41368.35</v>
      </c>
      <c r="L4" s="1">
        <v>11339.77</v>
      </c>
      <c r="M4" s="1">
        <v>1258032.1499999999</v>
      </c>
      <c r="N4" s="1">
        <v>1017487.8</v>
      </c>
      <c r="O4" s="1">
        <v>240544.35</v>
      </c>
      <c r="P4" s="4">
        <v>187836.23</v>
      </c>
    </row>
    <row r="5" spans="1:16" x14ac:dyDescent="0.25">
      <c r="A5" s="3" t="s">
        <v>16</v>
      </c>
      <c r="B5" s="1" t="s">
        <v>17</v>
      </c>
      <c r="C5" s="1" t="s">
        <v>21</v>
      </c>
      <c r="D5" s="1">
        <v>1007</v>
      </c>
      <c r="E5" s="1">
        <v>4.4000000000000004</v>
      </c>
      <c r="F5" s="1">
        <v>963</v>
      </c>
      <c r="G5" s="1">
        <v>496.02</v>
      </c>
      <c r="H5" s="1">
        <v>34.1</v>
      </c>
      <c r="I5" s="1">
        <v>326.88</v>
      </c>
      <c r="J5" s="1">
        <v>187.55</v>
      </c>
      <c r="K5" s="1">
        <v>17906.849999999999</v>
      </c>
      <c r="L5" s="1">
        <v>8031.94</v>
      </c>
      <c r="M5" s="1">
        <v>314785.44</v>
      </c>
      <c r="N5" s="1">
        <v>180610.65</v>
      </c>
      <c r="O5" s="1">
        <v>134174.79</v>
      </c>
      <c r="P5" s="4">
        <v>108236</v>
      </c>
    </row>
    <row r="6" spans="1:16" x14ac:dyDescent="0.25">
      <c r="A6" s="3" t="s">
        <v>16</v>
      </c>
      <c r="B6" s="1" t="s">
        <v>17</v>
      </c>
      <c r="C6" s="1" t="s">
        <v>22</v>
      </c>
      <c r="D6" s="1">
        <v>1327</v>
      </c>
      <c r="E6" s="1">
        <v>8.8000000000000007</v>
      </c>
      <c r="F6" s="1">
        <v>1211</v>
      </c>
      <c r="G6" s="1">
        <v>675.42</v>
      </c>
      <c r="H6" s="1">
        <v>25.7</v>
      </c>
      <c r="I6" s="1">
        <v>501.84</v>
      </c>
      <c r="J6" s="1">
        <v>315.08</v>
      </c>
      <c r="K6" s="1">
        <v>34974.449999999997</v>
      </c>
      <c r="L6" s="1">
        <v>10536.22</v>
      </c>
      <c r="M6" s="1">
        <v>607728.24</v>
      </c>
      <c r="N6" s="1">
        <v>381561.88</v>
      </c>
      <c r="O6" s="1">
        <v>226166.36</v>
      </c>
      <c r="P6" s="4">
        <v>180655.69</v>
      </c>
    </row>
    <row r="7" spans="1:16" x14ac:dyDescent="0.25">
      <c r="A7" s="3" t="s">
        <v>16</v>
      </c>
      <c r="B7" s="1" t="s">
        <v>23</v>
      </c>
      <c r="C7" s="1" t="s">
        <v>18</v>
      </c>
      <c r="D7" s="1">
        <v>854</v>
      </c>
      <c r="E7" s="1">
        <v>6</v>
      </c>
      <c r="F7" s="1">
        <v>803</v>
      </c>
      <c r="G7" s="1">
        <v>937.6</v>
      </c>
      <c r="H7" s="1">
        <v>32.200000000000003</v>
      </c>
      <c r="I7" s="1">
        <v>635.69000000000005</v>
      </c>
      <c r="J7" s="1">
        <v>446.36</v>
      </c>
      <c r="K7" s="1">
        <v>30861.13</v>
      </c>
      <c r="L7" s="1">
        <v>7752.03</v>
      </c>
      <c r="M7" s="1">
        <v>510459.07</v>
      </c>
      <c r="N7" s="1">
        <v>358427.08</v>
      </c>
      <c r="O7" s="1">
        <v>152031.99</v>
      </c>
      <c r="P7" s="4">
        <v>113418.83</v>
      </c>
    </row>
    <row r="8" spans="1:16" x14ac:dyDescent="0.25">
      <c r="A8" s="3" t="s">
        <v>16</v>
      </c>
      <c r="B8" s="1" t="s">
        <v>23</v>
      </c>
      <c r="C8" s="1" t="s">
        <v>19</v>
      </c>
      <c r="D8" s="1">
        <v>1043</v>
      </c>
      <c r="E8" s="1">
        <v>3.9</v>
      </c>
      <c r="F8" s="1">
        <v>1003</v>
      </c>
      <c r="G8" s="1">
        <v>1063.81</v>
      </c>
      <c r="H8" s="1">
        <v>17</v>
      </c>
      <c r="I8" s="1">
        <v>882.96</v>
      </c>
      <c r="J8" s="1">
        <v>517.72</v>
      </c>
      <c r="K8" s="1">
        <v>35535.57</v>
      </c>
      <c r="L8" s="1">
        <v>9506.58</v>
      </c>
      <c r="M8" s="1">
        <v>885608.88</v>
      </c>
      <c r="N8" s="1">
        <v>519273.16</v>
      </c>
      <c r="O8" s="1">
        <v>366335.72</v>
      </c>
      <c r="P8" s="4">
        <v>321293.57</v>
      </c>
    </row>
    <row r="9" spans="1:16" x14ac:dyDescent="0.25">
      <c r="A9" s="3" t="s">
        <v>16</v>
      </c>
      <c r="B9" s="1" t="s">
        <v>23</v>
      </c>
      <c r="C9" s="1" t="s">
        <v>20</v>
      </c>
      <c r="D9" s="1">
        <v>1151</v>
      </c>
      <c r="E9" s="1">
        <v>8.6</v>
      </c>
      <c r="F9" s="1">
        <v>1053</v>
      </c>
      <c r="G9" s="1">
        <v>1793.64</v>
      </c>
      <c r="H9" s="1">
        <v>20.3</v>
      </c>
      <c r="I9" s="1">
        <v>1429.53</v>
      </c>
      <c r="J9" s="1">
        <v>943.39</v>
      </c>
      <c r="K9" s="1">
        <v>39641.660000000003</v>
      </c>
      <c r="L9" s="1">
        <v>10850.22</v>
      </c>
      <c r="M9" s="1">
        <v>1505295.09</v>
      </c>
      <c r="N9" s="1">
        <v>993389.67</v>
      </c>
      <c r="O9" s="1">
        <v>511905.42</v>
      </c>
      <c r="P9" s="4">
        <v>461413.54</v>
      </c>
    </row>
    <row r="10" spans="1:16" x14ac:dyDescent="0.25">
      <c r="A10" s="3" t="s">
        <v>16</v>
      </c>
      <c r="B10" s="1" t="s">
        <v>23</v>
      </c>
      <c r="C10" s="1" t="s">
        <v>21</v>
      </c>
      <c r="D10" s="1">
        <v>1144</v>
      </c>
      <c r="E10" s="1">
        <v>6.5</v>
      </c>
      <c r="F10" s="1">
        <v>1070</v>
      </c>
      <c r="G10" s="1">
        <v>487.19</v>
      </c>
      <c r="H10" s="1">
        <v>34.799999999999997</v>
      </c>
      <c r="I10" s="1">
        <v>317.64999999999998</v>
      </c>
      <c r="J10" s="1">
        <v>192.23</v>
      </c>
      <c r="K10" s="1">
        <v>36274.519999999997</v>
      </c>
      <c r="L10" s="1">
        <v>11265.38</v>
      </c>
      <c r="M10" s="1">
        <v>339885.5</v>
      </c>
      <c r="N10" s="1">
        <v>205686.1</v>
      </c>
      <c r="O10" s="1">
        <v>134199.4</v>
      </c>
      <c r="P10" s="4">
        <v>86659.5</v>
      </c>
    </row>
    <row r="11" spans="1:16" x14ac:dyDescent="0.25">
      <c r="A11" s="3" t="s">
        <v>16</v>
      </c>
      <c r="B11" s="1" t="s">
        <v>23</v>
      </c>
      <c r="C11" s="1" t="s">
        <v>22</v>
      </c>
      <c r="D11" s="1">
        <v>1244</v>
      </c>
      <c r="E11" s="1">
        <v>2.2000000000000002</v>
      </c>
      <c r="F11" s="1">
        <v>1217</v>
      </c>
      <c r="G11" s="1">
        <v>677.74</v>
      </c>
      <c r="H11" s="1">
        <v>19.600000000000001</v>
      </c>
      <c r="I11" s="1">
        <v>544.9</v>
      </c>
      <c r="J11" s="1">
        <v>316.61</v>
      </c>
      <c r="K11" s="1">
        <v>30432.71</v>
      </c>
      <c r="L11" s="1">
        <v>8972.58</v>
      </c>
      <c r="M11" s="1">
        <v>663143.30000000005</v>
      </c>
      <c r="N11" s="1">
        <v>385314.37</v>
      </c>
      <c r="O11" s="1">
        <v>277828.93</v>
      </c>
      <c r="P11" s="4">
        <v>238423.64</v>
      </c>
    </row>
    <row r="12" spans="1:16" x14ac:dyDescent="0.25">
      <c r="A12" s="3" t="s">
        <v>16</v>
      </c>
      <c r="B12" s="1" t="s">
        <v>24</v>
      </c>
      <c r="C12" s="1" t="s">
        <v>18</v>
      </c>
      <c r="D12" s="1">
        <v>1174</v>
      </c>
      <c r="E12" s="1">
        <v>4.8</v>
      </c>
      <c r="F12" s="1">
        <v>1118</v>
      </c>
      <c r="G12" s="1">
        <v>941.83</v>
      </c>
      <c r="H12" s="1">
        <v>28.1</v>
      </c>
      <c r="I12" s="1">
        <v>677.18</v>
      </c>
      <c r="J12" s="1">
        <v>431.98</v>
      </c>
      <c r="K12" s="1">
        <v>49820.37</v>
      </c>
      <c r="L12" s="1">
        <v>10023.69</v>
      </c>
      <c r="M12" s="1">
        <v>757087.24</v>
      </c>
      <c r="N12" s="1">
        <v>482953.64</v>
      </c>
      <c r="O12" s="1">
        <v>274133.59999999998</v>
      </c>
      <c r="P12" s="4">
        <v>214289.54</v>
      </c>
    </row>
    <row r="13" spans="1:16" x14ac:dyDescent="0.25">
      <c r="A13" s="3" t="s">
        <v>16</v>
      </c>
      <c r="B13" s="1" t="s">
        <v>24</v>
      </c>
      <c r="C13" s="1" t="s">
        <v>19</v>
      </c>
      <c r="D13" s="1">
        <v>1456</v>
      </c>
      <c r="E13" s="1">
        <v>3.8</v>
      </c>
      <c r="F13" s="1">
        <v>1401</v>
      </c>
      <c r="G13" s="1">
        <v>1084.1500000000001</v>
      </c>
      <c r="H13" s="1">
        <v>26.2</v>
      </c>
      <c r="I13" s="1">
        <v>800.1</v>
      </c>
      <c r="J13" s="1">
        <v>518.51</v>
      </c>
      <c r="K13" s="1">
        <v>47374.720000000001</v>
      </c>
      <c r="L13" s="1">
        <v>12438.03</v>
      </c>
      <c r="M13" s="1">
        <v>1120940.1000000001</v>
      </c>
      <c r="N13" s="1">
        <v>726432.51</v>
      </c>
      <c r="O13" s="1">
        <v>394507.59</v>
      </c>
      <c r="P13" s="4">
        <v>334694.84000000003</v>
      </c>
    </row>
    <row r="14" spans="1:16" x14ac:dyDescent="0.25">
      <c r="A14" s="3" t="s">
        <v>16</v>
      </c>
      <c r="B14" s="1" t="s">
        <v>24</v>
      </c>
      <c r="C14" s="1" t="s">
        <v>20</v>
      </c>
      <c r="D14" s="1">
        <v>988</v>
      </c>
      <c r="E14" s="1">
        <v>2.2999999999999998</v>
      </c>
      <c r="F14" s="1">
        <v>966</v>
      </c>
      <c r="G14" s="1">
        <v>1906.5</v>
      </c>
      <c r="H14" s="1">
        <v>16.8</v>
      </c>
      <c r="I14" s="1">
        <v>1586.21</v>
      </c>
      <c r="J14" s="1">
        <v>974.75</v>
      </c>
      <c r="K14" s="1">
        <v>18070</v>
      </c>
      <c r="L14" s="1">
        <v>10950.95</v>
      </c>
      <c r="M14" s="1">
        <v>1532278.86</v>
      </c>
      <c r="N14" s="1">
        <v>941608.5</v>
      </c>
      <c r="O14" s="1">
        <v>590670.36</v>
      </c>
      <c r="P14" s="4">
        <v>561649.41</v>
      </c>
    </row>
    <row r="15" spans="1:16" x14ac:dyDescent="0.25">
      <c r="A15" s="3" t="s">
        <v>16</v>
      </c>
      <c r="B15" s="1" t="s">
        <v>24</v>
      </c>
      <c r="C15" s="1" t="s">
        <v>21</v>
      </c>
      <c r="D15" s="1">
        <v>1147</v>
      </c>
      <c r="E15" s="1">
        <v>4.7</v>
      </c>
      <c r="F15" s="1">
        <v>1094</v>
      </c>
      <c r="G15" s="1">
        <v>518.55999999999995</v>
      </c>
      <c r="H15" s="1">
        <v>16.3</v>
      </c>
      <c r="I15" s="1">
        <v>434.03</v>
      </c>
      <c r="J15" s="1">
        <v>193.12</v>
      </c>
      <c r="K15" s="1">
        <v>51481.54</v>
      </c>
      <c r="L15" s="1">
        <v>10410.129999999999</v>
      </c>
      <c r="M15" s="1">
        <v>474828.82</v>
      </c>
      <c r="N15" s="1">
        <v>211273.28</v>
      </c>
      <c r="O15" s="1">
        <v>263555.53999999998</v>
      </c>
      <c r="P15" s="4">
        <v>201663.87</v>
      </c>
    </row>
    <row r="16" spans="1:16" x14ac:dyDescent="0.25">
      <c r="A16" s="3" t="s">
        <v>16</v>
      </c>
      <c r="B16" s="1" t="s">
        <v>24</v>
      </c>
      <c r="C16" s="1" t="s">
        <v>22</v>
      </c>
      <c r="D16" s="1">
        <v>1396</v>
      </c>
      <c r="E16" s="1">
        <v>5.8</v>
      </c>
      <c r="F16" s="1">
        <v>1316</v>
      </c>
      <c r="G16" s="1">
        <v>623.79</v>
      </c>
      <c r="H16" s="1">
        <v>28.6</v>
      </c>
      <c r="I16" s="1">
        <v>445.39</v>
      </c>
      <c r="J16" s="1">
        <v>314.77999999999997</v>
      </c>
      <c r="K16" s="1">
        <v>32114.639999999999</v>
      </c>
      <c r="L16" s="1">
        <v>11025.29</v>
      </c>
      <c r="M16" s="1">
        <v>586133.24</v>
      </c>
      <c r="N16" s="1">
        <v>414250.48</v>
      </c>
      <c r="O16" s="1">
        <v>171882.76</v>
      </c>
      <c r="P16" s="4">
        <v>128742.83</v>
      </c>
    </row>
    <row r="17" spans="1:16" x14ac:dyDescent="0.25">
      <c r="A17" s="3" t="s">
        <v>16</v>
      </c>
      <c r="B17" s="1" t="s">
        <v>25</v>
      </c>
      <c r="C17" s="1" t="s">
        <v>18</v>
      </c>
      <c r="D17" s="1">
        <v>1072</v>
      </c>
      <c r="E17" s="1">
        <v>8.6999999999999993</v>
      </c>
      <c r="F17" s="1">
        <v>979</v>
      </c>
      <c r="G17" s="1">
        <v>873.07</v>
      </c>
      <c r="H17" s="1">
        <v>24.1</v>
      </c>
      <c r="I17" s="1">
        <v>662.66</v>
      </c>
      <c r="J17" s="1">
        <v>437.66</v>
      </c>
      <c r="K17" s="1">
        <v>44247.43</v>
      </c>
      <c r="L17" s="1">
        <v>8948.64</v>
      </c>
      <c r="M17" s="1">
        <v>648744.14</v>
      </c>
      <c r="N17" s="1">
        <v>428469.14</v>
      </c>
      <c r="O17" s="1">
        <v>220275</v>
      </c>
      <c r="P17" s="4">
        <v>167078.93</v>
      </c>
    </row>
    <row r="18" spans="1:16" x14ac:dyDescent="0.25">
      <c r="A18" s="3" t="s">
        <v>16</v>
      </c>
      <c r="B18" s="1" t="s">
        <v>25</v>
      </c>
      <c r="C18" s="1" t="s">
        <v>19</v>
      </c>
      <c r="D18" s="1">
        <v>1027</v>
      </c>
      <c r="E18" s="1">
        <v>6.5</v>
      </c>
      <c r="F18" s="1">
        <v>961</v>
      </c>
      <c r="G18" s="1">
        <v>1155.3399999999999</v>
      </c>
      <c r="H18" s="1">
        <v>21</v>
      </c>
      <c r="I18" s="1">
        <v>912.72</v>
      </c>
      <c r="J18" s="1">
        <v>554.19000000000005</v>
      </c>
      <c r="K18" s="1">
        <v>34167.370000000003</v>
      </c>
      <c r="L18" s="1">
        <v>8340.6200000000008</v>
      </c>
      <c r="M18" s="1">
        <v>877123.92</v>
      </c>
      <c r="N18" s="1">
        <v>532576.59</v>
      </c>
      <c r="O18" s="1">
        <v>344547.33</v>
      </c>
      <c r="P18" s="4">
        <v>302039.34000000003</v>
      </c>
    </row>
    <row r="19" spans="1:16" x14ac:dyDescent="0.25">
      <c r="A19" s="3" t="s">
        <v>16</v>
      </c>
      <c r="B19" s="1" t="s">
        <v>25</v>
      </c>
      <c r="C19" s="1" t="s">
        <v>20</v>
      </c>
      <c r="D19" s="1">
        <v>1133</v>
      </c>
      <c r="E19" s="1">
        <v>5.7</v>
      </c>
      <c r="F19" s="1">
        <v>1069</v>
      </c>
      <c r="G19" s="1">
        <v>1864.22</v>
      </c>
      <c r="H19" s="1">
        <v>30.6</v>
      </c>
      <c r="I19" s="1">
        <v>1293.77</v>
      </c>
      <c r="J19" s="1">
        <v>977.87</v>
      </c>
      <c r="K19" s="1">
        <v>17014.439999999999</v>
      </c>
      <c r="L19" s="1">
        <v>9282.86</v>
      </c>
      <c r="M19" s="1">
        <v>1383040.13</v>
      </c>
      <c r="N19" s="1">
        <v>1045343.03</v>
      </c>
      <c r="O19" s="1">
        <v>337697.1</v>
      </c>
      <c r="P19" s="4">
        <v>311399.8</v>
      </c>
    </row>
    <row r="20" spans="1:16" x14ac:dyDescent="0.25">
      <c r="A20" s="3" t="s">
        <v>16</v>
      </c>
      <c r="B20" s="1" t="s">
        <v>25</v>
      </c>
      <c r="C20" s="1" t="s">
        <v>21</v>
      </c>
      <c r="D20" s="1">
        <v>1522</v>
      </c>
      <c r="E20" s="1">
        <v>2.4</v>
      </c>
      <c r="F20" s="1">
        <v>1486</v>
      </c>
      <c r="G20" s="1">
        <v>522.89</v>
      </c>
      <c r="H20" s="1">
        <v>21.2</v>
      </c>
      <c r="I20" s="1">
        <v>412.04</v>
      </c>
      <c r="J20" s="1">
        <v>201.68</v>
      </c>
      <c r="K20" s="1">
        <v>62919.92</v>
      </c>
      <c r="L20" s="1">
        <v>12708.22</v>
      </c>
      <c r="M20" s="1">
        <v>612291.43999999994</v>
      </c>
      <c r="N20" s="1">
        <v>299696.48</v>
      </c>
      <c r="O20" s="1">
        <v>312594.96000000002</v>
      </c>
      <c r="P20" s="4">
        <v>236966.82</v>
      </c>
    </row>
    <row r="21" spans="1:16" x14ac:dyDescent="0.25">
      <c r="A21" s="3" t="s">
        <v>16</v>
      </c>
      <c r="B21" s="1" t="s">
        <v>25</v>
      </c>
      <c r="C21" s="1" t="s">
        <v>22</v>
      </c>
      <c r="D21" s="1">
        <v>1181</v>
      </c>
      <c r="E21" s="1">
        <v>7.3</v>
      </c>
      <c r="F21" s="1">
        <v>1095</v>
      </c>
      <c r="G21" s="1">
        <v>628.6</v>
      </c>
      <c r="H21" s="1">
        <v>16.399999999999999</v>
      </c>
      <c r="I21" s="1">
        <v>525.51</v>
      </c>
      <c r="J21" s="1">
        <v>307.04000000000002</v>
      </c>
      <c r="K21" s="1">
        <v>44848.51</v>
      </c>
      <c r="L21" s="1">
        <v>8206.15</v>
      </c>
      <c r="M21" s="1">
        <v>575433.44999999995</v>
      </c>
      <c r="N21" s="1">
        <v>336208.8</v>
      </c>
      <c r="O21" s="1">
        <v>239224.65</v>
      </c>
      <c r="P21" s="4">
        <v>186169.99</v>
      </c>
    </row>
    <row r="22" spans="1:16" x14ac:dyDescent="0.25">
      <c r="A22" s="3" t="s">
        <v>26</v>
      </c>
      <c r="B22" s="1" t="s">
        <v>17</v>
      </c>
      <c r="C22" s="1" t="s">
        <v>18</v>
      </c>
      <c r="D22" s="1">
        <v>1105</v>
      </c>
      <c r="E22" s="1">
        <v>3.5</v>
      </c>
      <c r="F22" s="1">
        <v>1067</v>
      </c>
      <c r="G22" s="1">
        <v>886.87</v>
      </c>
      <c r="H22" s="1">
        <v>13.5</v>
      </c>
      <c r="I22" s="1">
        <v>767.14</v>
      </c>
      <c r="J22" s="1">
        <v>458.37</v>
      </c>
      <c r="K22" s="1">
        <v>34452.67</v>
      </c>
      <c r="L22" s="1">
        <v>11514.62</v>
      </c>
      <c r="M22" s="1">
        <v>818538.38</v>
      </c>
      <c r="N22" s="1">
        <v>489080.79</v>
      </c>
      <c r="O22" s="1">
        <v>329457.59000000003</v>
      </c>
      <c r="P22" s="4">
        <v>283490.3</v>
      </c>
    </row>
    <row r="23" spans="1:16" x14ac:dyDescent="0.25">
      <c r="A23" s="3" t="s">
        <v>26</v>
      </c>
      <c r="B23" s="1" t="s">
        <v>17</v>
      </c>
      <c r="C23" s="1" t="s">
        <v>19</v>
      </c>
      <c r="D23" s="1">
        <v>1399</v>
      </c>
      <c r="E23" s="1">
        <v>6.5</v>
      </c>
      <c r="F23" s="1">
        <v>1309</v>
      </c>
      <c r="G23" s="1">
        <v>1077.1500000000001</v>
      </c>
      <c r="H23" s="1">
        <v>24.9</v>
      </c>
      <c r="I23" s="1">
        <v>808.94</v>
      </c>
      <c r="J23" s="1">
        <v>522.23</v>
      </c>
      <c r="K23" s="1">
        <v>39372.06</v>
      </c>
      <c r="L23" s="1">
        <v>10346.67</v>
      </c>
      <c r="M23" s="1">
        <v>1058902.46</v>
      </c>
      <c r="N23" s="1">
        <v>683599.07</v>
      </c>
      <c r="O23" s="1">
        <v>375303.39</v>
      </c>
      <c r="P23" s="4">
        <v>325584.65999999997</v>
      </c>
    </row>
    <row r="24" spans="1:16" x14ac:dyDescent="0.25">
      <c r="A24" s="3" t="s">
        <v>26</v>
      </c>
      <c r="B24" s="1" t="s">
        <v>17</v>
      </c>
      <c r="C24" s="1" t="s">
        <v>20</v>
      </c>
      <c r="D24" s="1">
        <v>1465</v>
      </c>
      <c r="E24" s="1">
        <v>3.5</v>
      </c>
      <c r="F24" s="1">
        <v>1414</v>
      </c>
      <c r="G24" s="1">
        <v>1787.86</v>
      </c>
      <c r="H24" s="1">
        <v>9.6</v>
      </c>
      <c r="I24" s="1">
        <v>1616.23</v>
      </c>
      <c r="J24" s="1">
        <v>982.98</v>
      </c>
      <c r="K24" s="1">
        <v>25095.15</v>
      </c>
      <c r="L24" s="1">
        <v>10971.07</v>
      </c>
      <c r="M24" s="1">
        <v>2285349.2200000002</v>
      </c>
      <c r="N24" s="1">
        <v>1389933.72</v>
      </c>
      <c r="O24" s="1">
        <v>895415.5</v>
      </c>
      <c r="P24" s="4">
        <v>859349.28</v>
      </c>
    </row>
    <row r="25" spans="1:16" x14ac:dyDescent="0.25">
      <c r="A25" s="3" t="s">
        <v>26</v>
      </c>
      <c r="B25" s="1" t="s">
        <v>17</v>
      </c>
      <c r="C25" s="1" t="s">
        <v>21</v>
      </c>
      <c r="D25" s="1">
        <v>1459</v>
      </c>
      <c r="E25" s="1">
        <v>2.5</v>
      </c>
      <c r="F25" s="1">
        <v>1423</v>
      </c>
      <c r="G25" s="1">
        <v>490.46</v>
      </c>
      <c r="H25" s="1">
        <v>22.2</v>
      </c>
      <c r="I25" s="1">
        <v>381.58</v>
      </c>
      <c r="J25" s="1">
        <v>203.22</v>
      </c>
      <c r="K25" s="1">
        <v>32302.46</v>
      </c>
      <c r="L25" s="1">
        <v>11179.38</v>
      </c>
      <c r="M25" s="1">
        <v>542988.34</v>
      </c>
      <c r="N25" s="1">
        <v>289182.06</v>
      </c>
      <c r="O25" s="1">
        <v>253806.28</v>
      </c>
      <c r="P25" s="4">
        <v>210324.44</v>
      </c>
    </row>
    <row r="26" spans="1:16" x14ac:dyDescent="0.25">
      <c r="A26" s="3" t="s">
        <v>26</v>
      </c>
      <c r="B26" s="1" t="s">
        <v>17</v>
      </c>
      <c r="C26" s="1" t="s">
        <v>22</v>
      </c>
      <c r="D26" s="1">
        <v>1383</v>
      </c>
      <c r="E26" s="1">
        <v>7.5</v>
      </c>
      <c r="F26" s="1">
        <v>1280</v>
      </c>
      <c r="G26" s="1">
        <v>683.75</v>
      </c>
      <c r="H26" s="1">
        <v>14.5</v>
      </c>
      <c r="I26" s="1">
        <v>584.61</v>
      </c>
      <c r="J26" s="1">
        <v>309.83999999999997</v>
      </c>
      <c r="K26" s="1">
        <v>54248.05</v>
      </c>
      <c r="L26" s="1">
        <v>8547.25</v>
      </c>
      <c r="M26" s="1">
        <v>748300.80000000005</v>
      </c>
      <c r="N26" s="1">
        <v>396595.20000000001</v>
      </c>
      <c r="O26" s="1">
        <v>351705.59999999998</v>
      </c>
      <c r="P26" s="4">
        <v>288910.3</v>
      </c>
    </row>
    <row r="27" spans="1:16" x14ac:dyDescent="0.25">
      <c r="A27" s="3" t="s">
        <v>26</v>
      </c>
      <c r="B27" s="1" t="s">
        <v>23</v>
      </c>
      <c r="C27" s="1" t="s">
        <v>18</v>
      </c>
      <c r="D27" s="1">
        <v>1265</v>
      </c>
      <c r="E27" s="1">
        <v>5.3</v>
      </c>
      <c r="F27" s="1">
        <v>1198</v>
      </c>
      <c r="G27" s="1">
        <v>871.75</v>
      </c>
      <c r="H27" s="1">
        <v>13.5</v>
      </c>
      <c r="I27" s="1">
        <v>754.06</v>
      </c>
      <c r="J27" s="1">
        <v>437.49</v>
      </c>
      <c r="K27" s="1">
        <v>46643.43</v>
      </c>
      <c r="L27" s="1">
        <v>11203.51</v>
      </c>
      <c r="M27" s="1">
        <v>903363.88</v>
      </c>
      <c r="N27" s="1">
        <v>524113.02</v>
      </c>
      <c r="O27" s="1">
        <v>379250.86</v>
      </c>
      <c r="P27" s="4">
        <v>321403.92</v>
      </c>
    </row>
    <row r="28" spans="1:16" x14ac:dyDescent="0.25">
      <c r="A28" s="3" t="s">
        <v>26</v>
      </c>
      <c r="B28" s="1" t="s">
        <v>23</v>
      </c>
      <c r="C28" s="1" t="s">
        <v>19</v>
      </c>
      <c r="D28" s="1">
        <v>1253</v>
      </c>
      <c r="E28" s="1">
        <v>3.7</v>
      </c>
      <c r="F28" s="1">
        <v>1207</v>
      </c>
      <c r="G28" s="1">
        <v>1099.29</v>
      </c>
      <c r="H28" s="1">
        <v>22.2</v>
      </c>
      <c r="I28" s="1">
        <v>855.25</v>
      </c>
      <c r="J28" s="1">
        <v>523.80999999999995</v>
      </c>
      <c r="K28" s="1">
        <v>25944.95</v>
      </c>
      <c r="L28" s="1">
        <v>9967.3700000000008</v>
      </c>
      <c r="M28" s="1">
        <v>1032286.75</v>
      </c>
      <c r="N28" s="1">
        <v>632238.67000000004</v>
      </c>
      <c r="O28" s="1">
        <v>400048.08</v>
      </c>
      <c r="P28" s="4">
        <v>364135.76</v>
      </c>
    </row>
    <row r="29" spans="1:16" x14ac:dyDescent="0.25">
      <c r="A29" s="3" t="s">
        <v>26</v>
      </c>
      <c r="B29" s="1" t="s">
        <v>23</v>
      </c>
      <c r="C29" s="1" t="s">
        <v>20</v>
      </c>
      <c r="D29" s="1">
        <v>1166</v>
      </c>
      <c r="E29" s="1">
        <v>8.5</v>
      </c>
      <c r="F29" s="1">
        <v>1067</v>
      </c>
      <c r="G29" s="1">
        <v>1802.94</v>
      </c>
      <c r="H29" s="1">
        <v>10</v>
      </c>
      <c r="I29" s="1">
        <v>1622.65</v>
      </c>
      <c r="J29" s="1">
        <v>950.61</v>
      </c>
      <c r="K29" s="1">
        <v>32990.71</v>
      </c>
      <c r="L29" s="1">
        <v>12237.42</v>
      </c>
      <c r="M29" s="1">
        <v>1731367.55</v>
      </c>
      <c r="N29" s="1">
        <v>1014300.87</v>
      </c>
      <c r="O29" s="1">
        <v>717066.68</v>
      </c>
      <c r="P29" s="4">
        <v>671838.55</v>
      </c>
    </row>
    <row r="30" spans="1:16" x14ac:dyDescent="0.25">
      <c r="A30" s="3" t="s">
        <v>26</v>
      </c>
      <c r="B30" s="1" t="s">
        <v>23</v>
      </c>
      <c r="C30" s="1" t="s">
        <v>21</v>
      </c>
      <c r="D30" s="1">
        <v>1120</v>
      </c>
      <c r="E30" s="1">
        <v>8.5</v>
      </c>
      <c r="F30" s="1">
        <v>1025</v>
      </c>
      <c r="G30" s="1">
        <v>528.9</v>
      </c>
      <c r="H30" s="1">
        <v>24.4</v>
      </c>
      <c r="I30" s="1">
        <v>399.85</v>
      </c>
      <c r="J30" s="1">
        <v>201.77</v>
      </c>
      <c r="K30" s="1">
        <v>45316.18</v>
      </c>
      <c r="L30" s="1">
        <v>8414.7099999999991</v>
      </c>
      <c r="M30" s="1">
        <v>409846.25</v>
      </c>
      <c r="N30" s="1">
        <v>206814.25</v>
      </c>
      <c r="O30" s="1">
        <v>203032</v>
      </c>
      <c r="P30" s="4">
        <v>149301.10999999999</v>
      </c>
    </row>
    <row r="31" spans="1:16" x14ac:dyDescent="0.25">
      <c r="A31" s="3" t="s">
        <v>26</v>
      </c>
      <c r="B31" s="1" t="s">
        <v>23</v>
      </c>
      <c r="C31" s="1" t="s">
        <v>22</v>
      </c>
      <c r="D31" s="1">
        <v>1156</v>
      </c>
      <c r="E31" s="1">
        <v>2.4</v>
      </c>
      <c r="F31" s="1">
        <v>1129</v>
      </c>
      <c r="G31" s="1">
        <v>654.55999999999995</v>
      </c>
      <c r="H31" s="1">
        <v>13</v>
      </c>
      <c r="I31" s="1">
        <v>569.47</v>
      </c>
      <c r="J31" s="1">
        <v>298.05</v>
      </c>
      <c r="K31" s="1">
        <v>30482.79</v>
      </c>
      <c r="L31" s="1">
        <v>12919.2</v>
      </c>
      <c r="M31" s="1">
        <v>642931.63</v>
      </c>
      <c r="N31" s="1">
        <v>336498.45</v>
      </c>
      <c r="O31" s="1">
        <v>306433.18</v>
      </c>
      <c r="P31" s="4">
        <v>263031.19</v>
      </c>
    </row>
    <row r="32" spans="1:16" x14ac:dyDescent="0.25">
      <c r="A32" s="3" t="s">
        <v>26</v>
      </c>
      <c r="B32" s="1" t="s">
        <v>24</v>
      </c>
      <c r="C32" s="1" t="s">
        <v>18</v>
      </c>
      <c r="D32" s="1">
        <v>1205</v>
      </c>
      <c r="E32" s="1">
        <v>9</v>
      </c>
      <c r="F32" s="1">
        <v>1097</v>
      </c>
      <c r="G32" s="1">
        <v>903.95</v>
      </c>
      <c r="H32" s="1">
        <v>24.1</v>
      </c>
      <c r="I32" s="1">
        <v>686.1</v>
      </c>
      <c r="J32" s="1">
        <v>437.11</v>
      </c>
      <c r="K32" s="1">
        <v>38166.019999999997</v>
      </c>
      <c r="L32" s="1">
        <v>11451.25</v>
      </c>
      <c r="M32" s="1">
        <v>752651.7</v>
      </c>
      <c r="N32" s="1">
        <v>479509.67</v>
      </c>
      <c r="O32" s="1">
        <v>273142.03000000003</v>
      </c>
      <c r="P32" s="4">
        <v>223524.76</v>
      </c>
    </row>
    <row r="33" spans="1:16" x14ac:dyDescent="0.25">
      <c r="A33" s="3" t="s">
        <v>26</v>
      </c>
      <c r="B33" s="1" t="s">
        <v>24</v>
      </c>
      <c r="C33" s="1" t="s">
        <v>19</v>
      </c>
      <c r="D33" s="1">
        <v>1559</v>
      </c>
      <c r="E33" s="1">
        <v>6.1</v>
      </c>
      <c r="F33" s="1">
        <v>1464</v>
      </c>
      <c r="G33" s="1">
        <v>1072.05</v>
      </c>
      <c r="H33" s="1">
        <v>24.4</v>
      </c>
      <c r="I33" s="1">
        <v>810.47</v>
      </c>
      <c r="J33" s="1">
        <v>521.37</v>
      </c>
      <c r="K33" s="1">
        <v>48743.47</v>
      </c>
      <c r="L33" s="1">
        <v>11613.87</v>
      </c>
      <c r="M33" s="1">
        <v>1186528.08</v>
      </c>
      <c r="N33" s="1">
        <v>763285.68</v>
      </c>
      <c r="O33" s="1">
        <v>423242.4</v>
      </c>
      <c r="P33" s="4">
        <v>362885.06</v>
      </c>
    </row>
    <row r="34" spans="1:16" x14ac:dyDescent="0.25">
      <c r="A34" s="3" t="s">
        <v>26</v>
      </c>
      <c r="B34" s="1" t="s">
        <v>24</v>
      </c>
      <c r="C34" s="1" t="s">
        <v>20</v>
      </c>
      <c r="D34" s="1">
        <v>1465</v>
      </c>
      <c r="E34" s="1">
        <v>8.6999999999999993</v>
      </c>
      <c r="F34" s="1">
        <v>1338</v>
      </c>
      <c r="G34" s="1">
        <v>1817.5</v>
      </c>
      <c r="H34" s="1">
        <v>8.1</v>
      </c>
      <c r="I34" s="1">
        <v>1670.28</v>
      </c>
      <c r="J34" s="1">
        <v>1010.61</v>
      </c>
      <c r="K34" s="1">
        <v>25495.9</v>
      </c>
      <c r="L34" s="1">
        <v>8522.0400000000009</v>
      </c>
      <c r="M34" s="1">
        <v>2234834.64</v>
      </c>
      <c r="N34" s="1">
        <v>1352196.18</v>
      </c>
      <c r="O34" s="1">
        <v>882638.46</v>
      </c>
      <c r="P34" s="4">
        <v>848620.52</v>
      </c>
    </row>
    <row r="35" spans="1:16" x14ac:dyDescent="0.25">
      <c r="A35" s="3" t="s">
        <v>26</v>
      </c>
      <c r="B35" s="1" t="s">
        <v>24</v>
      </c>
      <c r="C35" s="1" t="s">
        <v>21</v>
      </c>
      <c r="D35" s="1">
        <v>1322</v>
      </c>
      <c r="E35" s="1">
        <v>2.8</v>
      </c>
      <c r="F35" s="1">
        <v>1285</v>
      </c>
      <c r="G35" s="1">
        <v>508.73</v>
      </c>
      <c r="H35" s="1">
        <v>9.6999999999999993</v>
      </c>
      <c r="I35" s="1">
        <v>459.38</v>
      </c>
      <c r="J35" s="1">
        <v>198.41</v>
      </c>
      <c r="K35" s="1">
        <v>55138.79</v>
      </c>
      <c r="L35" s="1">
        <v>8854.18</v>
      </c>
      <c r="M35" s="1">
        <v>590303.30000000005</v>
      </c>
      <c r="N35" s="1">
        <v>254956.85</v>
      </c>
      <c r="O35" s="1">
        <v>335346.45</v>
      </c>
      <c r="P35" s="4">
        <v>271353.48</v>
      </c>
    </row>
    <row r="36" spans="1:16" x14ac:dyDescent="0.25">
      <c r="A36" s="3" t="s">
        <v>26</v>
      </c>
      <c r="B36" s="1" t="s">
        <v>24</v>
      </c>
      <c r="C36" s="1" t="s">
        <v>22</v>
      </c>
      <c r="D36" s="1">
        <v>1022</v>
      </c>
      <c r="E36" s="1">
        <v>8.5</v>
      </c>
      <c r="F36" s="1">
        <v>936</v>
      </c>
      <c r="G36" s="1">
        <v>650.25</v>
      </c>
      <c r="H36" s="1">
        <v>15.5</v>
      </c>
      <c r="I36" s="1">
        <v>549.46</v>
      </c>
      <c r="J36" s="1">
        <v>310.26</v>
      </c>
      <c r="K36" s="1">
        <v>21592.59</v>
      </c>
      <c r="L36" s="1">
        <v>11439.06</v>
      </c>
      <c r="M36" s="1">
        <v>514294.56</v>
      </c>
      <c r="N36" s="1">
        <v>290403.36</v>
      </c>
      <c r="O36" s="1">
        <v>223891.20000000001</v>
      </c>
      <c r="P36" s="4">
        <v>190859.56</v>
      </c>
    </row>
    <row r="37" spans="1:16" x14ac:dyDescent="0.25">
      <c r="A37" s="3" t="s">
        <v>26</v>
      </c>
      <c r="B37" s="1" t="s">
        <v>25</v>
      </c>
      <c r="C37" s="1" t="s">
        <v>18</v>
      </c>
      <c r="D37" s="1">
        <v>1146</v>
      </c>
      <c r="E37" s="1">
        <v>4.0999999999999996</v>
      </c>
      <c r="F37" s="1">
        <v>1100</v>
      </c>
      <c r="G37" s="1">
        <v>884.5</v>
      </c>
      <c r="H37" s="1">
        <v>18.399999999999999</v>
      </c>
      <c r="I37" s="1">
        <v>721.75</v>
      </c>
      <c r="J37" s="1">
        <v>435.82</v>
      </c>
      <c r="K37" s="1">
        <v>28060.17</v>
      </c>
      <c r="L37" s="1">
        <v>11635.25</v>
      </c>
      <c r="M37" s="1">
        <v>793925</v>
      </c>
      <c r="N37" s="1">
        <v>479402</v>
      </c>
      <c r="O37" s="1">
        <v>314523</v>
      </c>
      <c r="P37" s="4">
        <v>274827.58</v>
      </c>
    </row>
    <row r="38" spans="1:16" x14ac:dyDescent="0.25">
      <c r="A38" s="3" t="s">
        <v>26</v>
      </c>
      <c r="B38" s="1" t="s">
        <v>25</v>
      </c>
      <c r="C38" s="1" t="s">
        <v>19</v>
      </c>
      <c r="D38" s="1">
        <v>1491</v>
      </c>
      <c r="E38" s="1">
        <v>3.5</v>
      </c>
      <c r="F38" s="1">
        <v>1439</v>
      </c>
      <c r="G38" s="1">
        <v>1164.77</v>
      </c>
      <c r="H38" s="1">
        <v>6.5</v>
      </c>
      <c r="I38" s="1">
        <v>1089.06</v>
      </c>
      <c r="J38" s="1">
        <v>561.38</v>
      </c>
      <c r="K38" s="1">
        <v>34227.410000000003</v>
      </c>
      <c r="L38" s="1">
        <v>12632.93</v>
      </c>
      <c r="M38" s="1">
        <v>1567157.34</v>
      </c>
      <c r="N38" s="1">
        <v>807825.82</v>
      </c>
      <c r="O38" s="1">
        <v>759331.52</v>
      </c>
      <c r="P38" s="4">
        <v>712471.18</v>
      </c>
    </row>
    <row r="39" spans="1:16" x14ac:dyDescent="0.25">
      <c r="A39" s="3" t="s">
        <v>26</v>
      </c>
      <c r="B39" s="1" t="s">
        <v>25</v>
      </c>
      <c r="C39" s="1" t="s">
        <v>20</v>
      </c>
      <c r="D39" s="1">
        <v>1392</v>
      </c>
      <c r="E39" s="1">
        <v>3.1</v>
      </c>
      <c r="F39" s="1">
        <v>1349</v>
      </c>
      <c r="G39" s="1">
        <v>1885.51</v>
      </c>
      <c r="H39" s="1">
        <v>12.4</v>
      </c>
      <c r="I39" s="1">
        <v>1651.71</v>
      </c>
      <c r="J39" s="1">
        <v>1013.38</v>
      </c>
      <c r="K39" s="1">
        <v>55697.19</v>
      </c>
      <c r="L39" s="1">
        <v>11369.47</v>
      </c>
      <c r="M39" s="1">
        <v>2228156.79</v>
      </c>
      <c r="N39" s="1">
        <v>1367049.62</v>
      </c>
      <c r="O39" s="1">
        <v>861107.17</v>
      </c>
      <c r="P39" s="4">
        <v>794040.51</v>
      </c>
    </row>
    <row r="40" spans="1:16" x14ac:dyDescent="0.25">
      <c r="A40" s="3" t="s">
        <v>26</v>
      </c>
      <c r="B40" s="1" t="s">
        <v>25</v>
      </c>
      <c r="C40" s="1" t="s">
        <v>21</v>
      </c>
      <c r="D40" s="1">
        <v>858</v>
      </c>
      <c r="E40" s="1">
        <v>4.0999999999999996</v>
      </c>
      <c r="F40" s="1">
        <v>823</v>
      </c>
      <c r="G40" s="1">
        <v>511.67</v>
      </c>
      <c r="H40" s="1">
        <v>21.3</v>
      </c>
      <c r="I40" s="1">
        <v>402.68</v>
      </c>
      <c r="J40" s="1">
        <v>184.46</v>
      </c>
      <c r="K40" s="1">
        <v>29945.63</v>
      </c>
      <c r="L40" s="1">
        <v>12664.11</v>
      </c>
      <c r="M40" s="1">
        <v>331405.64</v>
      </c>
      <c r="N40" s="1">
        <v>151810.57999999999</v>
      </c>
      <c r="O40" s="1">
        <v>179595.06</v>
      </c>
      <c r="P40" s="4">
        <v>136985.32</v>
      </c>
    </row>
    <row r="41" spans="1:16" x14ac:dyDescent="0.25">
      <c r="A41" s="3" t="s">
        <v>26</v>
      </c>
      <c r="B41" s="1" t="s">
        <v>25</v>
      </c>
      <c r="C41" s="1" t="s">
        <v>22</v>
      </c>
      <c r="D41" s="1">
        <v>926</v>
      </c>
      <c r="E41" s="1">
        <v>5.9</v>
      </c>
      <c r="F41" s="1">
        <v>872</v>
      </c>
      <c r="G41" s="1">
        <v>631.76</v>
      </c>
      <c r="H41" s="1">
        <v>7.1</v>
      </c>
      <c r="I41" s="1">
        <v>586.91</v>
      </c>
      <c r="J41" s="1">
        <v>294.81</v>
      </c>
      <c r="K41" s="1">
        <v>21455.83</v>
      </c>
      <c r="L41" s="1">
        <v>10826.56</v>
      </c>
      <c r="M41" s="1">
        <v>511785.52</v>
      </c>
      <c r="N41" s="1">
        <v>257074.32</v>
      </c>
      <c r="O41" s="1">
        <v>254711.2</v>
      </c>
      <c r="P41" s="4">
        <v>222428.81</v>
      </c>
    </row>
    <row r="42" spans="1:16" x14ac:dyDescent="0.25">
      <c r="A42" s="3" t="s">
        <v>27</v>
      </c>
      <c r="B42" s="1" t="s">
        <v>17</v>
      </c>
      <c r="C42" s="1" t="s">
        <v>18</v>
      </c>
      <c r="D42" s="1">
        <v>1370</v>
      </c>
      <c r="E42" s="1">
        <v>8.3000000000000007</v>
      </c>
      <c r="F42" s="1">
        <v>1257</v>
      </c>
      <c r="G42" s="1">
        <v>920.06</v>
      </c>
      <c r="H42" s="1">
        <v>14.8</v>
      </c>
      <c r="I42" s="1">
        <v>783.89</v>
      </c>
      <c r="J42" s="1">
        <v>429.59</v>
      </c>
      <c r="K42" s="1">
        <v>55324.86</v>
      </c>
      <c r="L42" s="1">
        <v>8007.64</v>
      </c>
      <c r="M42" s="1">
        <v>985349.73</v>
      </c>
      <c r="N42" s="1">
        <v>539994.63</v>
      </c>
      <c r="O42" s="1">
        <v>445355.1</v>
      </c>
      <c r="P42" s="4">
        <v>382022.6</v>
      </c>
    </row>
    <row r="43" spans="1:16" x14ac:dyDescent="0.25">
      <c r="A43" s="3" t="s">
        <v>27</v>
      </c>
      <c r="B43" s="1" t="s">
        <v>17</v>
      </c>
      <c r="C43" s="1" t="s">
        <v>19</v>
      </c>
      <c r="D43" s="1">
        <v>1260</v>
      </c>
      <c r="E43" s="1">
        <v>7.4</v>
      </c>
      <c r="F43" s="1">
        <v>1167</v>
      </c>
      <c r="G43" s="1">
        <v>1101.5899999999999</v>
      </c>
      <c r="H43" s="1">
        <v>5.0999999999999996</v>
      </c>
      <c r="I43" s="1">
        <v>1045.4100000000001</v>
      </c>
      <c r="J43" s="1">
        <v>520.23</v>
      </c>
      <c r="K43" s="1">
        <v>42982.89</v>
      </c>
      <c r="L43" s="1">
        <v>8940.75</v>
      </c>
      <c r="M43" s="1">
        <v>1219993.47</v>
      </c>
      <c r="N43" s="1">
        <v>607108.41</v>
      </c>
      <c r="O43" s="1">
        <v>612885.06000000006</v>
      </c>
      <c r="P43" s="4">
        <v>560961.42000000004</v>
      </c>
    </row>
    <row r="44" spans="1:16" x14ac:dyDescent="0.25">
      <c r="A44" s="3" t="s">
        <v>27</v>
      </c>
      <c r="B44" s="1" t="s">
        <v>17</v>
      </c>
      <c r="C44" s="1" t="s">
        <v>20</v>
      </c>
      <c r="D44" s="1">
        <v>1384</v>
      </c>
      <c r="E44" s="1">
        <v>8.1999999999999993</v>
      </c>
      <c r="F44" s="1">
        <v>1271</v>
      </c>
      <c r="G44" s="1">
        <v>1803.98</v>
      </c>
      <c r="H44" s="1">
        <v>6.5</v>
      </c>
      <c r="I44" s="1">
        <v>1686.72</v>
      </c>
      <c r="J44" s="1">
        <v>922.51</v>
      </c>
      <c r="K44" s="1">
        <v>58291.11</v>
      </c>
      <c r="L44" s="1">
        <v>10500.75</v>
      </c>
      <c r="M44" s="1">
        <v>2143821.12</v>
      </c>
      <c r="N44" s="1">
        <v>1172510.21</v>
      </c>
      <c r="O44" s="1">
        <v>971310.91</v>
      </c>
      <c r="P44" s="4">
        <v>902519.05</v>
      </c>
    </row>
    <row r="45" spans="1:16" x14ac:dyDescent="0.25">
      <c r="A45" s="3" t="s">
        <v>27</v>
      </c>
      <c r="B45" s="1" t="s">
        <v>17</v>
      </c>
      <c r="C45" s="1" t="s">
        <v>21</v>
      </c>
      <c r="D45" s="1">
        <v>1133</v>
      </c>
      <c r="E45" s="1">
        <v>2.9</v>
      </c>
      <c r="F45" s="1">
        <v>1101</v>
      </c>
      <c r="G45" s="1">
        <v>520.69000000000005</v>
      </c>
      <c r="H45" s="1">
        <v>8</v>
      </c>
      <c r="I45" s="1">
        <v>479.03</v>
      </c>
      <c r="J45" s="1">
        <v>196.47</v>
      </c>
      <c r="K45" s="1">
        <v>27472.7</v>
      </c>
      <c r="L45" s="1">
        <v>12444.4</v>
      </c>
      <c r="M45" s="1">
        <v>527412.03</v>
      </c>
      <c r="N45" s="1">
        <v>216313.47</v>
      </c>
      <c r="O45" s="1">
        <v>311098.56</v>
      </c>
      <c r="P45" s="4">
        <v>271181.46000000002</v>
      </c>
    </row>
    <row r="46" spans="1:16" x14ac:dyDescent="0.25">
      <c r="A46" s="3" t="s">
        <v>27</v>
      </c>
      <c r="B46" s="1" t="s">
        <v>17</v>
      </c>
      <c r="C46" s="1" t="s">
        <v>22</v>
      </c>
      <c r="D46" s="1">
        <v>1518</v>
      </c>
      <c r="E46" s="1">
        <v>2.7</v>
      </c>
      <c r="F46" s="1">
        <v>1478</v>
      </c>
      <c r="G46" s="1">
        <v>681.38</v>
      </c>
      <c r="H46" s="1">
        <v>10</v>
      </c>
      <c r="I46" s="1">
        <v>613.24</v>
      </c>
      <c r="J46" s="1">
        <v>297.93</v>
      </c>
      <c r="K46" s="1">
        <v>58296.49</v>
      </c>
      <c r="L46" s="1">
        <v>12362.74</v>
      </c>
      <c r="M46" s="1">
        <v>906368.72</v>
      </c>
      <c r="N46" s="1">
        <v>440340.54</v>
      </c>
      <c r="O46" s="1">
        <v>466028.18</v>
      </c>
      <c r="P46" s="4">
        <v>395368.95</v>
      </c>
    </row>
    <row r="47" spans="1:16" x14ac:dyDescent="0.25">
      <c r="A47" s="3" t="s">
        <v>27</v>
      </c>
      <c r="B47" s="1" t="s">
        <v>23</v>
      </c>
      <c r="C47" s="1" t="s">
        <v>18</v>
      </c>
      <c r="D47" s="1">
        <v>863</v>
      </c>
      <c r="E47" s="1">
        <v>8.5</v>
      </c>
      <c r="F47" s="1">
        <v>790</v>
      </c>
      <c r="G47" s="1">
        <v>899.57</v>
      </c>
      <c r="H47" s="1">
        <v>8.1</v>
      </c>
      <c r="I47" s="1">
        <v>826.7</v>
      </c>
      <c r="J47" s="1">
        <v>446.46</v>
      </c>
      <c r="K47" s="1">
        <v>35329.64</v>
      </c>
      <c r="L47" s="1">
        <v>12869.13</v>
      </c>
      <c r="M47" s="1">
        <v>653093</v>
      </c>
      <c r="N47" s="1">
        <v>352703.4</v>
      </c>
      <c r="O47" s="1">
        <v>300389.59999999998</v>
      </c>
      <c r="P47" s="4">
        <v>252190.83</v>
      </c>
    </row>
    <row r="48" spans="1:16" x14ac:dyDescent="0.25">
      <c r="A48" s="3" t="s">
        <v>27</v>
      </c>
      <c r="B48" s="1" t="s">
        <v>23</v>
      </c>
      <c r="C48" s="1" t="s">
        <v>19</v>
      </c>
      <c r="D48" s="1">
        <v>1347</v>
      </c>
      <c r="E48" s="1">
        <v>8.5</v>
      </c>
      <c r="F48" s="1">
        <v>1233</v>
      </c>
      <c r="G48" s="1">
        <v>1057.76</v>
      </c>
      <c r="H48" s="1">
        <v>11.6</v>
      </c>
      <c r="I48" s="1">
        <v>935.06</v>
      </c>
      <c r="J48" s="1">
        <v>546.53</v>
      </c>
      <c r="K48" s="1">
        <v>52623.32</v>
      </c>
      <c r="L48" s="1">
        <v>12252.35</v>
      </c>
      <c r="M48" s="1">
        <v>1152928.98</v>
      </c>
      <c r="N48" s="1">
        <v>673871.49</v>
      </c>
      <c r="O48" s="1">
        <v>479057.49</v>
      </c>
      <c r="P48" s="4">
        <v>414181.82</v>
      </c>
    </row>
    <row r="49" spans="1:16" x14ac:dyDescent="0.25">
      <c r="A49" s="3" t="s">
        <v>27</v>
      </c>
      <c r="B49" s="1" t="s">
        <v>23</v>
      </c>
      <c r="C49" s="1" t="s">
        <v>20</v>
      </c>
      <c r="D49" s="1">
        <v>861</v>
      </c>
      <c r="E49" s="1">
        <v>2.8</v>
      </c>
      <c r="F49" s="1">
        <v>837</v>
      </c>
      <c r="G49" s="1">
        <v>1872.89</v>
      </c>
      <c r="H49" s="1">
        <v>20.7</v>
      </c>
      <c r="I49" s="1">
        <v>1485.2</v>
      </c>
      <c r="J49" s="1">
        <v>949.38</v>
      </c>
      <c r="K49" s="1">
        <v>35443.07</v>
      </c>
      <c r="L49" s="1">
        <v>12222.26</v>
      </c>
      <c r="M49" s="1">
        <v>1243112.3999999999</v>
      </c>
      <c r="N49" s="1">
        <v>794631.06</v>
      </c>
      <c r="O49" s="1">
        <v>448481.34</v>
      </c>
      <c r="P49" s="4">
        <v>400816.01</v>
      </c>
    </row>
    <row r="50" spans="1:16" x14ac:dyDescent="0.25">
      <c r="A50" s="3" t="s">
        <v>27</v>
      </c>
      <c r="B50" s="1" t="s">
        <v>23</v>
      </c>
      <c r="C50" s="1" t="s">
        <v>21</v>
      </c>
      <c r="D50" s="1">
        <v>1265</v>
      </c>
      <c r="E50" s="1">
        <v>3.6</v>
      </c>
      <c r="F50" s="1">
        <v>1220</v>
      </c>
      <c r="G50" s="1">
        <v>502.01</v>
      </c>
      <c r="H50" s="1">
        <v>20.9</v>
      </c>
      <c r="I50" s="1">
        <v>397.09</v>
      </c>
      <c r="J50" s="1">
        <v>190.68</v>
      </c>
      <c r="K50" s="1">
        <v>19873.07</v>
      </c>
      <c r="L50" s="1">
        <v>8562.2099999999991</v>
      </c>
      <c r="M50" s="1">
        <v>484449.8</v>
      </c>
      <c r="N50" s="1">
        <v>232629.6</v>
      </c>
      <c r="O50" s="1">
        <v>251820.2</v>
      </c>
      <c r="P50" s="4">
        <v>223384.92</v>
      </c>
    </row>
    <row r="51" spans="1:16" x14ac:dyDescent="0.25">
      <c r="A51" s="3" t="s">
        <v>27</v>
      </c>
      <c r="B51" s="1" t="s">
        <v>23</v>
      </c>
      <c r="C51" s="1" t="s">
        <v>22</v>
      </c>
      <c r="D51" s="1">
        <v>1537</v>
      </c>
      <c r="E51" s="1">
        <v>4</v>
      </c>
      <c r="F51" s="1">
        <v>1476</v>
      </c>
      <c r="G51" s="1">
        <v>644.34</v>
      </c>
      <c r="H51" s="1">
        <v>24.3</v>
      </c>
      <c r="I51" s="1">
        <v>487.77</v>
      </c>
      <c r="J51" s="1">
        <v>319.52</v>
      </c>
      <c r="K51" s="1">
        <v>52633.72</v>
      </c>
      <c r="L51" s="1">
        <v>9698.23</v>
      </c>
      <c r="M51" s="1">
        <v>719948.52</v>
      </c>
      <c r="N51" s="1">
        <v>471611.52</v>
      </c>
      <c r="O51" s="1">
        <v>248337</v>
      </c>
      <c r="P51" s="4">
        <v>186005.05</v>
      </c>
    </row>
    <row r="52" spans="1:16" x14ac:dyDescent="0.25">
      <c r="A52" s="3" t="s">
        <v>27</v>
      </c>
      <c r="B52" s="1" t="s">
        <v>24</v>
      </c>
      <c r="C52" s="1" t="s">
        <v>18</v>
      </c>
      <c r="D52" s="1">
        <v>1506</v>
      </c>
      <c r="E52" s="1">
        <v>3.2</v>
      </c>
      <c r="F52" s="1">
        <v>1458</v>
      </c>
      <c r="G52" s="1">
        <v>947.48</v>
      </c>
      <c r="H52" s="1">
        <v>24.4</v>
      </c>
      <c r="I52" s="1">
        <v>716.29</v>
      </c>
      <c r="J52" s="1">
        <v>422.56</v>
      </c>
      <c r="K52" s="1">
        <v>66077.3</v>
      </c>
      <c r="L52" s="1">
        <v>8960.06</v>
      </c>
      <c r="M52" s="1">
        <v>1044350.82</v>
      </c>
      <c r="N52" s="1">
        <v>616092.48</v>
      </c>
      <c r="O52" s="1">
        <v>428258.34</v>
      </c>
      <c r="P52" s="4">
        <v>353220.98</v>
      </c>
    </row>
    <row r="53" spans="1:16" x14ac:dyDescent="0.25">
      <c r="A53" s="3" t="s">
        <v>27</v>
      </c>
      <c r="B53" s="1" t="s">
        <v>24</v>
      </c>
      <c r="C53" s="1" t="s">
        <v>19</v>
      </c>
      <c r="D53" s="1">
        <v>1244</v>
      </c>
      <c r="E53" s="1">
        <v>4.2</v>
      </c>
      <c r="F53" s="1">
        <v>1192</v>
      </c>
      <c r="G53" s="1">
        <v>1066.95</v>
      </c>
      <c r="H53" s="1">
        <v>19.600000000000001</v>
      </c>
      <c r="I53" s="1">
        <v>857.83</v>
      </c>
      <c r="J53" s="1">
        <v>529.26</v>
      </c>
      <c r="K53" s="1">
        <v>41283.71</v>
      </c>
      <c r="L53" s="1">
        <v>10312.83</v>
      </c>
      <c r="M53" s="1">
        <v>1022533.36</v>
      </c>
      <c r="N53" s="1">
        <v>630877.92000000004</v>
      </c>
      <c r="O53" s="1">
        <v>391655.44</v>
      </c>
      <c r="P53" s="4">
        <v>340058.9</v>
      </c>
    </row>
    <row r="54" spans="1:16" x14ac:dyDescent="0.25">
      <c r="A54" s="3" t="s">
        <v>27</v>
      </c>
      <c r="B54" s="1" t="s">
        <v>24</v>
      </c>
      <c r="C54" s="1" t="s">
        <v>20</v>
      </c>
      <c r="D54" s="1">
        <v>1084</v>
      </c>
      <c r="E54" s="1">
        <v>8.5</v>
      </c>
      <c r="F54" s="1">
        <v>992</v>
      </c>
      <c r="G54" s="1">
        <v>1772.86</v>
      </c>
      <c r="H54" s="1">
        <v>5</v>
      </c>
      <c r="I54" s="1">
        <v>1684.22</v>
      </c>
      <c r="J54" s="1">
        <v>995.57</v>
      </c>
      <c r="K54" s="1">
        <v>33770.46</v>
      </c>
      <c r="L54" s="1">
        <v>11456.86</v>
      </c>
      <c r="M54" s="1">
        <v>1670746.24</v>
      </c>
      <c r="N54" s="1">
        <v>987605.44</v>
      </c>
      <c r="O54" s="1">
        <v>683140.8</v>
      </c>
      <c r="P54" s="4">
        <v>637913.48</v>
      </c>
    </row>
    <row r="55" spans="1:16" x14ac:dyDescent="0.25">
      <c r="A55" s="3" t="s">
        <v>27</v>
      </c>
      <c r="B55" s="1" t="s">
        <v>24</v>
      </c>
      <c r="C55" s="1" t="s">
        <v>21</v>
      </c>
      <c r="D55" s="1">
        <v>1437</v>
      </c>
      <c r="E55" s="1">
        <v>2.5</v>
      </c>
      <c r="F55" s="1">
        <v>1402</v>
      </c>
      <c r="G55" s="1">
        <v>516.05999999999995</v>
      </c>
      <c r="H55" s="1">
        <v>12.3</v>
      </c>
      <c r="I55" s="1">
        <v>452.58</v>
      </c>
      <c r="J55" s="1">
        <v>198.32</v>
      </c>
      <c r="K55" s="1">
        <v>50190.29</v>
      </c>
      <c r="L55" s="1">
        <v>9316.1</v>
      </c>
      <c r="M55" s="1">
        <v>634517.16</v>
      </c>
      <c r="N55" s="1">
        <v>278044.64</v>
      </c>
      <c r="O55" s="1">
        <v>356472.52</v>
      </c>
      <c r="P55" s="4">
        <v>296966.13</v>
      </c>
    </row>
    <row r="56" spans="1:16" x14ac:dyDescent="0.25">
      <c r="A56" s="3" t="s">
        <v>27</v>
      </c>
      <c r="B56" s="1" t="s">
        <v>24</v>
      </c>
      <c r="C56" s="1" t="s">
        <v>22</v>
      </c>
      <c r="D56" s="1">
        <v>1127</v>
      </c>
      <c r="E56" s="1">
        <v>4.9000000000000004</v>
      </c>
      <c r="F56" s="1">
        <v>1072</v>
      </c>
      <c r="G56" s="1">
        <v>669.75</v>
      </c>
      <c r="H56" s="1">
        <v>11.2</v>
      </c>
      <c r="I56" s="1">
        <v>594.74</v>
      </c>
      <c r="J56" s="1">
        <v>300.91000000000003</v>
      </c>
      <c r="K56" s="1">
        <v>30510.16</v>
      </c>
      <c r="L56" s="1">
        <v>9126.1</v>
      </c>
      <c r="M56" s="1">
        <v>637561.28</v>
      </c>
      <c r="N56" s="1">
        <v>322575.52</v>
      </c>
      <c r="O56" s="1">
        <v>314985.76</v>
      </c>
      <c r="P56" s="4">
        <v>275349.5</v>
      </c>
    </row>
    <row r="57" spans="1:16" x14ac:dyDescent="0.25">
      <c r="A57" s="3" t="s">
        <v>27</v>
      </c>
      <c r="B57" s="1" t="s">
        <v>25</v>
      </c>
      <c r="C57" s="1" t="s">
        <v>18</v>
      </c>
      <c r="D57" s="1">
        <v>1693</v>
      </c>
      <c r="E57" s="1">
        <v>6.7</v>
      </c>
      <c r="F57" s="1">
        <v>1580</v>
      </c>
      <c r="G57" s="1">
        <v>874.48</v>
      </c>
      <c r="H57" s="1">
        <v>23.8</v>
      </c>
      <c r="I57" s="1">
        <v>666.35</v>
      </c>
      <c r="J57" s="1">
        <v>436.99</v>
      </c>
      <c r="K57" s="1">
        <v>71248.490000000005</v>
      </c>
      <c r="L57" s="1">
        <v>10885.33</v>
      </c>
      <c r="M57" s="1">
        <v>1052833</v>
      </c>
      <c r="N57" s="1">
        <v>690444.2</v>
      </c>
      <c r="O57" s="1">
        <v>362388.8</v>
      </c>
      <c r="P57" s="4">
        <v>280254.98</v>
      </c>
    </row>
    <row r="58" spans="1:16" x14ac:dyDescent="0.25">
      <c r="A58" s="3" t="s">
        <v>27</v>
      </c>
      <c r="B58" s="1" t="s">
        <v>25</v>
      </c>
      <c r="C58" s="1" t="s">
        <v>19</v>
      </c>
      <c r="D58" s="1">
        <v>1256</v>
      </c>
      <c r="E58" s="1">
        <v>6.1</v>
      </c>
      <c r="F58" s="1">
        <v>1180</v>
      </c>
      <c r="G58" s="1">
        <v>1055.08</v>
      </c>
      <c r="H58" s="1">
        <v>13.6</v>
      </c>
      <c r="I58" s="1">
        <v>911.59</v>
      </c>
      <c r="J58" s="1">
        <v>520.80999999999995</v>
      </c>
      <c r="K58" s="1">
        <v>43509.31</v>
      </c>
      <c r="L58" s="1">
        <v>10057.44</v>
      </c>
      <c r="M58" s="1">
        <v>1075676.2</v>
      </c>
      <c r="N58" s="1">
        <v>614555.80000000005</v>
      </c>
      <c r="O58" s="1">
        <v>461120.4</v>
      </c>
      <c r="P58" s="4">
        <v>407553.66</v>
      </c>
    </row>
    <row r="59" spans="1:16" x14ac:dyDescent="0.25">
      <c r="A59" s="3" t="s">
        <v>27</v>
      </c>
      <c r="B59" s="1" t="s">
        <v>25</v>
      </c>
      <c r="C59" s="1" t="s">
        <v>20</v>
      </c>
      <c r="D59" s="1">
        <v>1575</v>
      </c>
      <c r="E59" s="1">
        <v>8.3000000000000007</v>
      </c>
      <c r="F59" s="1">
        <v>1445</v>
      </c>
      <c r="G59" s="1">
        <v>1806.58</v>
      </c>
      <c r="H59" s="1">
        <v>14.5</v>
      </c>
      <c r="I59" s="1">
        <v>1544.63</v>
      </c>
      <c r="J59" s="1">
        <v>943.83</v>
      </c>
      <c r="K59" s="1">
        <v>61237.17</v>
      </c>
      <c r="L59" s="1">
        <v>8433.2999999999993</v>
      </c>
      <c r="M59" s="1">
        <v>2231990.35</v>
      </c>
      <c r="N59" s="1">
        <v>1363834.35</v>
      </c>
      <c r="O59" s="1">
        <v>868156</v>
      </c>
      <c r="P59" s="4">
        <v>798485.53</v>
      </c>
    </row>
    <row r="60" spans="1:16" x14ac:dyDescent="0.25">
      <c r="A60" s="3" t="s">
        <v>27</v>
      </c>
      <c r="B60" s="1" t="s">
        <v>25</v>
      </c>
      <c r="C60" s="1" t="s">
        <v>21</v>
      </c>
      <c r="D60" s="1">
        <v>1543</v>
      </c>
      <c r="E60" s="1">
        <v>7.3</v>
      </c>
      <c r="F60" s="1">
        <v>1431</v>
      </c>
      <c r="G60" s="1">
        <v>510.62</v>
      </c>
      <c r="H60" s="1">
        <v>21.4</v>
      </c>
      <c r="I60" s="1">
        <v>401.35</v>
      </c>
      <c r="J60" s="1">
        <v>191.31</v>
      </c>
      <c r="K60" s="1">
        <v>54288.71</v>
      </c>
      <c r="L60" s="1">
        <v>8735.52</v>
      </c>
      <c r="M60" s="1">
        <v>574331.85</v>
      </c>
      <c r="N60" s="1">
        <v>273764.61</v>
      </c>
      <c r="O60" s="1">
        <v>300567.24</v>
      </c>
      <c r="P60" s="4">
        <v>237543.01</v>
      </c>
    </row>
    <row r="61" spans="1:16" x14ac:dyDescent="0.25">
      <c r="A61" s="3" t="s">
        <v>27</v>
      </c>
      <c r="B61" s="1" t="s">
        <v>25</v>
      </c>
      <c r="C61" s="1" t="s">
        <v>22</v>
      </c>
      <c r="D61" s="1">
        <v>1458</v>
      </c>
      <c r="E61" s="1">
        <v>5.3</v>
      </c>
      <c r="F61" s="1">
        <v>1381</v>
      </c>
      <c r="G61" s="1">
        <v>635.96</v>
      </c>
      <c r="H61" s="1">
        <v>9.9</v>
      </c>
      <c r="I61" s="1">
        <v>573</v>
      </c>
      <c r="J61" s="1">
        <v>291.81</v>
      </c>
      <c r="K61" s="1">
        <v>59037.53</v>
      </c>
      <c r="L61" s="1">
        <v>7900.56</v>
      </c>
      <c r="M61" s="1">
        <v>791313</v>
      </c>
      <c r="N61" s="1">
        <v>402989.61</v>
      </c>
      <c r="O61" s="1">
        <v>388323.39</v>
      </c>
      <c r="P61" s="4">
        <v>321385.3</v>
      </c>
    </row>
    <row r="62" spans="1:16" x14ac:dyDescent="0.25">
      <c r="A62" s="3" t="s">
        <v>28</v>
      </c>
      <c r="B62" s="1" t="s">
        <v>17</v>
      </c>
      <c r="C62" s="1" t="s">
        <v>18</v>
      </c>
      <c r="D62" s="1">
        <v>1589</v>
      </c>
      <c r="E62" s="1">
        <v>3.7</v>
      </c>
      <c r="F62" s="1">
        <v>1531</v>
      </c>
      <c r="G62" s="1">
        <v>880.52</v>
      </c>
      <c r="H62" s="1">
        <v>24.9</v>
      </c>
      <c r="I62" s="1">
        <v>661.27</v>
      </c>
      <c r="J62" s="1">
        <v>450.04</v>
      </c>
      <c r="K62" s="1">
        <v>55109.29</v>
      </c>
      <c r="L62" s="1">
        <v>7530.5</v>
      </c>
      <c r="M62" s="1">
        <v>1012404.37</v>
      </c>
      <c r="N62" s="1">
        <v>689011.24</v>
      </c>
      <c r="O62" s="1">
        <v>323393.13</v>
      </c>
      <c r="P62" s="4">
        <v>260753.34</v>
      </c>
    </row>
    <row r="63" spans="1:16" x14ac:dyDescent="0.25">
      <c r="A63" s="3" t="s">
        <v>28</v>
      </c>
      <c r="B63" s="1" t="s">
        <v>17</v>
      </c>
      <c r="C63" s="1" t="s">
        <v>19</v>
      </c>
      <c r="D63" s="1">
        <v>2152</v>
      </c>
      <c r="E63" s="1">
        <v>5</v>
      </c>
      <c r="F63" s="1">
        <v>2045</v>
      </c>
      <c r="G63" s="1">
        <v>1137.57</v>
      </c>
      <c r="H63" s="1">
        <v>17.100000000000001</v>
      </c>
      <c r="I63" s="1">
        <v>943.05</v>
      </c>
      <c r="J63" s="1">
        <v>548.45000000000005</v>
      </c>
      <c r="K63" s="1">
        <v>43635.24</v>
      </c>
      <c r="L63" s="1">
        <v>12768.81</v>
      </c>
      <c r="M63" s="1">
        <v>1928537.25</v>
      </c>
      <c r="N63" s="1">
        <v>1121580.25</v>
      </c>
      <c r="O63" s="1">
        <v>806957</v>
      </c>
      <c r="P63" s="4">
        <v>750552.95</v>
      </c>
    </row>
    <row r="64" spans="1:16" x14ac:dyDescent="0.25">
      <c r="A64" s="3" t="s">
        <v>28</v>
      </c>
      <c r="B64" s="1" t="s">
        <v>17</v>
      </c>
      <c r="C64" s="1" t="s">
        <v>20</v>
      </c>
      <c r="D64" s="1">
        <v>1849</v>
      </c>
      <c r="E64" s="1">
        <v>7.6</v>
      </c>
      <c r="F64" s="1">
        <v>1709</v>
      </c>
      <c r="G64" s="1">
        <v>1771.87</v>
      </c>
      <c r="H64" s="1">
        <v>24.1</v>
      </c>
      <c r="I64" s="1">
        <v>1344.85</v>
      </c>
      <c r="J64" s="1">
        <v>1010.15</v>
      </c>
      <c r="K64" s="1">
        <v>64765.54</v>
      </c>
      <c r="L64" s="1">
        <v>12933.41</v>
      </c>
      <c r="M64" s="1">
        <v>2298348.65</v>
      </c>
      <c r="N64" s="1">
        <v>1726346.35</v>
      </c>
      <c r="O64" s="1">
        <v>572002.30000000005</v>
      </c>
      <c r="P64" s="4">
        <v>494303.35</v>
      </c>
    </row>
    <row r="65" spans="1:16" x14ac:dyDescent="0.25">
      <c r="A65" s="3" t="s">
        <v>28</v>
      </c>
      <c r="B65" s="1" t="s">
        <v>17</v>
      </c>
      <c r="C65" s="1" t="s">
        <v>21</v>
      </c>
      <c r="D65" s="1">
        <v>1931</v>
      </c>
      <c r="E65" s="1">
        <v>6.3</v>
      </c>
      <c r="F65" s="1">
        <v>1810</v>
      </c>
      <c r="G65" s="1">
        <v>508.75</v>
      </c>
      <c r="H65" s="1">
        <v>32.799999999999997</v>
      </c>
      <c r="I65" s="1">
        <v>341.88</v>
      </c>
      <c r="J65" s="1">
        <v>204.16</v>
      </c>
      <c r="K65" s="1">
        <v>70632.539999999994</v>
      </c>
      <c r="L65" s="1">
        <v>10276.280000000001</v>
      </c>
      <c r="M65" s="1">
        <v>618802.80000000005</v>
      </c>
      <c r="N65" s="1">
        <v>369529.59999999998</v>
      </c>
      <c r="O65" s="1">
        <v>249273.2</v>
      </c>
      <c r="P65" s="4">
        <v>168364.38</v>
      </c>
    </row>
    <row r="66" spans="1:16" x14ac:dyDescent="0.25">
      <c r="A66" s="3" t="s">
        <v>28</v>
      </c>
      <c r="B66" s="1" t="s">
        <v>17</v>
      </c>
      <c r="C66" s="1" t="s">
        <v>22</v>
      </c>
      <c r="D66" s="1">
        <v>2120</v>
      </c>
      <c r="E66" s="1">
        <v>3.8</v>
      </c>
      <c r="F66" s="1">
        <v>2040</v>
      </c>
      <c r="G66" s="1">
        <v>681.27</v>
      </c>
      <c r="H66" s="1">
        <v>24.5</v>
      </c>
      <c r="I66" s="1">
        <v>514.36</v>
      </c>
      <c r="J66" s="1">
        <v>315.54000000000002</v>
      </c>
      <c r="K66" s="1">
        <v>47524.45</v>
      </c>
      <c r="L66" s="1">
        <v>11007.14</v>
      </c>
      <c r="M66" s="1">
        <v>1049294.3999999999</v>
      </c>
      <c r="N66" s="1">
        <v>643701.6</v>
      </c>
      <c r="O66" s="1">
        <v>405592.8</v>
      </c>
      <c r="P66" s="4">
        <v>347061.21</v>
      </c>
    </row>
    <row r="67" spans="1:16" x14ac:dyDescent="0.25">
      <c r="A67" s="3" t="s">
        <v>28</v>
      </c>
      <c r="B67" s="1" t="s">
        <v>23</v>
      </c>
      <c r="C67" s="1" t="s">
        <v>18</v>
      </c>
      <c r="D67" s="1">
        <v>1400</v>
      </c>
      <c r="E67" s="1">
        <v>3.9</v>
      </c>
      <c r="F67" s="1">
        <v>1346</v>
      </c>
      <c r="G67" s="1">
        <v>931.89</v>
      </c>
      <c r="H67" s="1">
        <v>27.5</v>
      </c>
      <c r="I67" s="1">
        <v>675.62</v>
      </c>
      <c r="J67" s="1">
        <v>441.76</v>
      </c>
      <c r="K67" s="1">
        <v>24254.3</v>
      </c>
      <c r="L67" s="1">
        <v>9071.51</v>
      </c>
      <c r="M67" s="1">
        <v>909384.52</v>
      </c>
      <c r="N67" s="1">
        <v>594608.96</v>
      </c>
      <c r="O67" s="1">
        <v>314775.56</v>
      </c>
      <c r="P67" s="4">
        <v>281449.76</v>
      </c>
    </row>
    <row r="68" spans="1:16" x14ac:dyDescent="0.25">
      <c r="A68" s="3" t="s">
        <v>28</v>
      </c>
      <c r="B68" s="1" t="s">
        <v>23</v>
      </c>
      <c r="C68" s="1" t="s">
        <v>19</v>
      </c>
      <c r="D68" s="1">
        <v>1647</v>
      </c>
      <c r="E68" s="1">
        <v>6.9</v>
      </c>
      <c r="F68" s="1">
        <v>1534</v>
      </c>
      <c r="G68" s="1">
        <v>1114.4000000000001</v>
      </c>
      <c r="H68" s="1">
        <v>19.600000000000001</v>
      </c>
      <c r="I68" s="1">
        <v>895.98</v>
      </c>
      <c r="J68" s="1">
        <v>512.30999999999995</v>
      </c>
      <c r="K68" s="1">
        <v>59609.17</v>
      </c>
      <c r="L68" s="1">
        <v>7853.26</v>
      </c>
      <c r="M68" s="1">
        <v>1374433.32</v>
      </c>
      <c r="N68" s="1">
        <v>785883.54</v>
      </c>
      <c r="O68" s="1">
        <v>588549.78</v>
      </c>
      <c r="P68" s="4">
        <v>521087.35</v>
      </c>
    </row>
    <row r="69" spans="1:16" x14ac:dyDescent="0.25">
      <c r="A69" s="3" t="s">
        <v>28</v>
      </c>
      <c r="B69" s="1" t="s">
        <v>23</v>
      </c>
      <c r="C69" s="1" t="s">
        <v>20</v>
      </c>
      <c r="D69" s="1">
        <v>1896</v>
      </c>
      <c r="E69" s="1">
        <v>3.4</v>
      </c>
      <c r="F69" s="1">
        <v>1832</v>
      </c>
      <c r="G69" s="1">
        <v>1800.37</v>
      </c>
      <c r="H69" s="1">
        <v>23.3</v>
      </c>
      <c r="I69" s="1">
        <v>1380.88</v>
      </c>
      <c r="J69" s="1">
        <v>978.2</v>
      </c>
      <c r="K69" s="1">
        <v>52337.760000000002</v>
      </c>
      <c r="L69" s="1">
        <v>12476.61</v>
      </c>
      <c r="M69" s="1">
        <v>2529772.16</v>
      </c>
      <c r="N69" s="1">
        <v>1792062.4</v>
      </c>
      <c r="O69" s="1">
        <v>737709.76</v>
      </c>
      <c r="P69" s="4">
        <v>672895.39</v>
      </c>
    </row>
    <row r="70" spans="1:16" x14ac:dyDescent="0.25">
      <c r="A70" s="3" t="s">
        <v>28</v>
      </c>
      <c r="B70" s="1" t="s">
        <v>23</v>
      </c>
      <c r="C70" s="1" t="s">
        <v>21</v>
      </c>
      <c r="D70" s="1">
        <v>1342</v>
      </c>
      <c r="E70" s="1">
        <v>2</v>
      </c>
      <c r="F70" s="1">
        <v>1316</v>
      </c>
      <c r="G70" s="1">
        <v>521.79</v>
      </c>
      <c r="H70" s="1">
        <v>22.6</v>
      </c>
      <c r="I70" s="1">
        <v>403.87</v>
      </c>
      <c r="J70" s="1">
        <v>200.3</v>
      </c>
      <c r="K70" s="1">
        <v>34291.81</v>
      </c>
      <c r="L70" s="1">
        <v>11644.11</v>
      </c>
      <c r="M70" s="1">
        <v>531492.92000000004</v>
      </c>
      <c r="N70" s="1">
        <v>263594.8</v>
      </c>
      <c r="O70" s="1">
        <v>267898.12</v>
      </c>
      <c r="P70" s="4">
        <v>221962.2</v>
      </c>
    </row>
    <row r="71" spans="1:16" x14ac:dyDescent="0.25">
      <c r="A71" s="3" t="s">
        <v>28</v>
      </c>
      <c r="B71" s="1" t="s">
        <v>23</v>
      </c>
      <c r="C71" s="1" t="s">
        <v>22</v>
      </c>
      <c r="D71" s="1">
        <v>1481</v>
      </c>
      <c r="E71" s="1">
        <v>7.2</v>
      </c>
      <c r="F71" s="1">
        <v>1375</v>
      </c>
      <c r="G71" s="1">
        <v>678.43</v>
      </c>
      <c r="H71" s="1">
        <v>23.4</v>
      </c>
      <c r="I71" s="1">
        <v>519.67999999999995</v>
      </c>
      <c r="J71" s="1">
        <v>322.45999999999998</v>
      </c>
      <c r="K71" s="1">
        <v>46479.66</v>
      </c>
      <c r="L71" s="1">
        <v>10817.89</v>
      </c>
      <c r="M71" s="1">
        <v>714560</v>
      </c>
      <c r="N71" s="1">
        <v>443382.5</v>
      </c>
      <c r="O71" s="1">
        <v>271177.5</v>
      </c>
      <c r="P71" s="4">
        <v>213879.95</v>
      </c>
    </row>
    <row r="72" spans="1:16" x14ac:dyDescent="0.25">
      <c r="A72" s="3" t="s">
        <v>28</v>
      </c>
      <c r="B72" s="1" t="s">
        <v>24</v>
      </c>
      <c r="C72" s="1" t="s">
        <v>18</v>
      </c>
      <c r="D72" s="1">
        <v>1800</v>
      </c>
      <c r="E72" s="1">
        <v>6.8</v>
      </c>
      <c r="F72" s="1">
        <v>1678</v>
      </c>
      <c r="G72" s="1">
        <v>902.22</v>
      </c>
      <c r="H72" s="1">
        <v>21.7</v>
      </c>
      <c r="I72" s="1">
        <v>706.44</v>
      </c>
      <c r="J72" s="1">
        <v>418.47</v>
      </c>
      <c r="K72" s="1">
        <v>48833.1</v>
      </c>
      <c r="L72" s="1">
        <v>8407.75</v>
      </c>
      <c r="M72" s="1">
        <v>1185406.32</v>
      </c>
      <c r="N72" s="1">
        <v>702192.66</v>
      </c>
      <c r="O72" s="1">
        <v>483213.66</v>
      </c>
      <c r="P72" s="4">
        <v>425972.81</v>
      </c>
    </row>
    <row r="73" spans="1:16" x14ac:dyDescent="0.25">
      <c r="A73" s="3" t="s">
        <v>28</v>
      </c>
      <c r="B73" s="1" t="s">
        <v>24</v>
      </c>
      <c r="C73" s="1" t="s">
        <v>19</v>
      </c>
      <c r="D73" s="1">
        <v>1949</v>
      </c>
      <c r="E73" s="1">
        <v>2.2000000000000002</v>
      </c>
      <c r="F73" s="1">
        <v>1907</v>
      </c>
      <c r="G73" s="1">
        <v>1106.4100000000001</v>
      </c>
      <c r="H73" s="1">
        <v>27.4</v>
      </c>
      <c r="I73" s="1">
        <v>803.25</v>
      </c>
      <c r="J73" s="1">
        <v>511.7</v>
      </c>
      <c r="K73" s="1">
        <v>52273.36</v>
      </c>
      <c r="L73" s="1">
        <v>10604.16</v>
      </c>
      <c r="M73" s="1">
        <v>1531797.75</v>
      </c>
      <c r="N73" s="1">
        <v>975811.9</v>
      </c>
      <c r="O73" s="1">
        <v>555985.85</v>
      </c>
      <c r="P73" s="4">
        <v>493108.33</v>
      </c>
    </row>
    <row r="74" spans="1:16" x14ac:dyDescent="0.25">
      <c r="A74" s="3" t="s">
        <v>28</v>
      </c>
      <c r="B74" s="1" t="s">
        <v>24</v>
      </c>
      <c r="C74" s="1" t="s">
        <v>20</v>
      </c>
      <c r="D74" s="1">
        <v>2140</v>
      </c>
      <c r="E74" s="1">
        <v>4.7</v>
      </c>
      <c r="F74" s="1">
        <v>2040</v>
      </c>
      <c r="G74" s="1">
        <v>1751.45</v>
      </c>
      <c r="H74" s="1">
        <v>16</v>
      </c>
      <c r="I74" s="1">
        <v>1471.22</v>
      </c>
      <c r="J74" s="1">
        <v>969.75</v>
      </c>
      <c r="K74" s="1">
        <v>45688.59</v>
      </c>
      <c r="L74" s="1">
        <v>9297.65</v>
      </c>
      <c r="M74" s="1">
        <v>3001288.8</v>
      </c>
      <c r="N74" s="1">
        <v>1978290</v>
      </c>
      <c r="O74" s="1">
        <v>1022998.8</v>
      </c>
      <c r="P74" s="4">
        <v>968012.56</v>
      </c>
    </row>
    <row r="75" spans="1:16" x14ac:dyDescent="0.25">
      <c r="A75" s="3" t="s">
        <v>28</v>
      </c>
      <c r="B75" s="1" t="s">
        <v>24</v>
      </c>
      <c r="C75" s="1" t="s">
        <v>21</v>
      </c>
      <c r="D75" s="1">
        <v>1830</v>
      </c>
      <c r="E75" s="1">
        <v>7.8</v>
      </c>
      <c r="F75" s="1">
        <v>1688</v>
      </c>
      <c r="G75" s="1">
        <v>517.03</v>
      </c>
      <c r="H75" s="1">
        <v>30</v>
      </c>
      <c r="I75" s="1">
        <v>361.92</v>
      </c>
      <c r="J75" s="1">
        <v>192.22</v>
      </c>
      <c r="K75" s="1">
        <v>41299.71</v>
      </c>
      <c r="L75" s="1">
        <v>7950.48</v>
      </c>
      <c r="M75" s="1">
        <v>610920.95999999996</v>
      </c>
      <c r="N75" s="1">
        <v>324467.36</v>
      </c>
      <c r="O75" s="1">
        <v>286453.59999999998</v>
      </c>
      <c r="P75" s="4">
        <v>237203.41</v>
      </c>
    </row>
    <row r="76" spans="1:16" x14ac:dyDescent="0.25">
      <c r="A76" s="3" t="s">
        <v>28</v>
      </c>
      <c r="B76" s="1" t="s">
        <v>24</v>
      </c>
      <c r="C76" s="1" t="s">
        <v>22</v>
      </c>
      <c r="D76" s="1">
        <v>2093</v>
      </c>
      <c r="E76" s="1">
        <v>7.5</v>
      </c>
      <c r="F76" s="1">
        <v>1937</v>
      </c>
      <c r="G76" s="1">
        <v>687.93</v>
      </c>
      <c r="H76" s="1">
        <v>28</v>
      </c>
      <c r="I76" s="1">
        <v>495.31</v>
      </c>
      <c r="J76" s="1">
        <v>302.55</v>
      </c>
      <c r="K76" s="1">
        <v>72318.67</v>
      </c>
      <c r="L76" s="1">
        <v>11648.28</v>
      </c>
      <c r="M76" s="1">
        <v>959415.47</v>
      </c>
      <c r="N76" s="1">
        <v>586039.35</v>
      </c>
      <c r="O76" s="1">
        <v>373376.12</v>
      </c>
      <c r="P76" s="4">
        <v>289409.17</v>
      </c>
    </row>
    <row r="77" spans="1:16" x14ac:dyDescent="0.25">
      <c r="A77" s="3" t="s">
        <v>28</v>
      </c>
      <c r="B77" s="1" t="s">
        <v>25</v>
      </c>
      <c r="C77" s="1" t="s">
        <v>18</v>
      </c>
      <c r="D77" s="1">
        <v>1896</v>
      </c>
      <c r="E77" s="1">
        <v>3.1</v>
      </c>
      <c r="F77" s="1">
        <v>1838</v>
      </c>
      <c r="G77" s="1">
        <v>948.41</v>
      </c>
      <c r="H77" s="1">
        <v>15.4</v>
      </c>
      <c r="I77" s="1">
        <v>802.35</v>
      </c>
      <c r="J77" s="1">
        <v>426.53</v>
      </c>
      <c r="K77" s="1">
        <v>35619.449999999997</v>
      </c>
      <c r="L77" s="1">
        <v>11182.02</v>
      </c>
      <c r="M77" s="1">
        <v>1474719.3</v>
      </c>
      <c r="N77" s="1">
        <v>783962.14</v>
      </c>
      <c r="O77" s="1">
        <v>690757.16</v>
      </c>
      <c r="P77" s="4">
        <v>643955.68999999994</v>
      </c>
    </row>
    <row r="78" spans="1:16" x14ac:dyDescent="0.25">
      <c r="A78" s="3" t="s">
        <v>28</v>
      </c>
      <c r="B78" s="1" t="s">
        <v>25</v>
      </c>
      <c r="C78" s="1" t="s">
        <v>19</v>
      </c>
      <c r="D78" s="1">
        <v>1674</v>
      </c>
      <c r="E78" s="1">
        <v>6.3</v>
      </c>
      <c r="F78" s="1">
        <v>1569</v>
      </c>
      <c r="G78" s="1">
        <v>1131.9100000000001</v>
      </c>
      <c r="H78" s="1">
        <v>18.399999999999999</v>
      </c>
      <c r="I78" s="1">
        <v>923.64</v>
      </c>
      <c r="J78" s="1">
        <v>548.27</v>
      </c>
      <c r="K78" s="1">
        <v>62670.83</v>
      </c>
      <c r="L78" s="1">
        <v>8129.93</v>
      </c>
      <c r="M78" s="1">
        <v>1449191.16</v>
      </c>
      <c r="N78" s="1">
        <v>860235.63</v>
      </c>
      <c r="O78" s="1">
        <v>588955.53</v>
      </c>
      <c r="P78" s="4">
        <v>518154.77</v>
      </c>
    </row>
    <row r="79" spans="1:16" x14ac:dyDescent="0.25">
      <c r="A79" s="3" t="s">
        <v>28</v>
      </c>
      <c r="B79" s="1" t="s">
        <v>25</v>
      </c>
      <c r="C79" s="1" t="s">
        <v>20</v>
      </c>
      <c r="D79" s="1">
        <v>1777</v>
      </c>
      <c r="E79" s="1">
        <v>2.2000000000000002</v>
      </c>
      <c r="F79" s="1">
        <v>1738</v>
      </c>
      <c r="G79" s="1">
        <v>1874.43</v>
      </c>
      <c r="H79" s="1">
        <v>17.2</v>
      </c>
      <c r="I79" s="1">
        <v>1552.03</v>
      </c>
      <c r="J79" s="1">
        <v>1022.31</v>
      </c>
      <c r="K79" s="1">
        <v>43285.440000000002</v>
      </c>
      <c r="L79" s="1">
        <v>11225.41</v>
      </c>
      <c r="M79" s="1">
        <v>2697428.14</v>
      </c>
      <c r="N79" s="1">
        <v>1776774.78</v>
      </c>
      <c r="O79" s="1">
        <v>920653.36</v>
      </c>
      <c r="P79" s="4">
        <v>866142.51</v>
      </c>
    </row>
    <row r="80" spans="1:16" x14ac:dyDescent="0.25">
      <c r="A80" s="3" t="s">
        <v>28</v>
      </c>
      <c r="B80" s="1" t="s">
        <v>25</v>
      </c>
      <c r="C80" s="1" t="s">
        <v>21</v>
      </c>
      <c r="D80" s="1">
        <v>2124</v>
      </c>
      <c r="E80" s="1">
        <v>6.4</v>
      </c>
      <c r="F80" s="1">
        <v>1989</v>
      </c>
      <c r="G80" s="1">
        <v>514.72</v>
      </c>
      <c r="H80" s="1">
        <v>28.8</v>
      </c>
      <c r="I80" s="1">
        <v>366.48</v>
      </c>
      <c r="J80" s="1">
        <v>185.89</v>
      </c>
      <c r="K80" s="1">
        <v>38353.15</v>
      </c>
      <c r="L80" s="1">
        <v>11748.65</v>
      </c>
      <c r="M80" s="1">
        <v>728928.72</v>
      </c>
      <c r="N80" s="1">
        <v>369735.21</v>
      </c>
      <c r="O80" s="1">
        <v>359193.51</v>
      </c>
      <c r="P80" s="4">
        <v>309091.71000000002</v>
      </c>
    </row>
    <row r="81" spans="1:16" x14ac:dyDescent="0.25">
      <c r="A81" s="3" t="s">
        <v>28</v>
      </c>
      <c r="B81" s="1" t="s">
        <v>25</v>
      </c>
      <c r="C81" s="1" t="s">
        <v>22</v>
      </c>
      <c r="D81" s="1">
        <v>1781</v>
      </c>
      <c r="E81" s="1">
        <v>8.9</v>
      </c>
      <c r="F81" s="1">
        <v>1623</v>
      </c>
      <c r="G81" s="1">
        <v>678.22</v>
      </c>
      <c r="H81" s="1">
        <v>17.399999999999999</v>
      </c>
      <c r="I81" s="1">
        <v>560.21</v>
      </c>
      <c r="J81" s="1">
        <v>310.81</v>
      </c>
      <c r="K81" s="1">
        <v>68531.210000000006</v>
      </c>
      <c r="L81" s="1">
        <v>9409.6200000000008</v>
      </c>
      <c r="M81" s="1">
        <v>909220.83</v>
      </c>
      <c r="N81" s="1">
        <v>504444.63</v>
      </c>
      <c r="O81" s="1">
        <v>404776.2</v>
      </c>
      <c r="P81" s="4">
        <v>326835.37</v>
      </c>
    </row>
    <row r="82" spans="1:16" x14ac:dyDescent="0.25">
      <c r="A82" s="3" t="s">
        <v>29</v>
      </c>
      <c r="B82" s="1" t="s">
        <v>17</v>
      </c>
      <c r="C82" s="1" t="s">
        <v>18</v>
      </c>
      <c r="D82" s="1">
        <v>1157</v>
      </c>
      <c r="E82" s="1">
        <v>7.8</v>
      </c>
      <c r="F82" s="1">
        <v>1067</v>
      </c>
      <c r="G82" s="1">
        <v>908.53</v>
      </c>
      <c r="H82" s="1">
        <v>32</v>
      </c>
      <c r="I82" s="1">
        <v>617.79999999999995</v>
      </c>
      <c r="J82" s="1">
        <v>433.24</v>
      </c>
      <c r="K82" s="1">
        <v>21018.25</v>
      </c>
      <c r="L82" s="1">
        <v>12784.33</v>
      </c>
      <c r="M82" s="1">
        <v>659192.6</v>
      </c>
      <c r="N82" s="1">
        <v>462267.08</v>
      </c>
      <c r="O82" s="1">
        <v>196925.52</v>
      </c>
      <c r="P82" s="4">
        <v>163122.94</v>
      </c>
    </row>
    <row r="83" spans="1:16" x14ac:dyDescent="0.25">
      <c r="A83" s="3" t="s">
        <v>29</v>
      </c>
      <c r="B83" s="1" t="s">
        <v>17</v>
      </c>
      <c r="C83" s="1" t="s">
        <v>19</v>
      </c>
      <c r="D83" s="1">
        <v>1414</v>
      </c>
      <c r="E83" s="1">
        <v>5</v>
      </c>
      <c r="F83" s="1">
        <v>1344</v>
      </c>
      <c r="G83" s="1">
        <v>1124.8900000000001</v>
      </c>
      <c r="H83" s="1">
        <v>29.1</v>
      </c>
      <c r="I83" s="1">
        <v>797.55</v>
      </c>
      <c r="J83" s="1">
        <v>551.79999999999995</v>
      </c>
      <c r="K83" s="1">
        <v>52337.599999999999</v>
      </c>
      <c r="L83" s="1">
        <v>12810.11</v>
      </c>
      <c r="M83" s="1">
        <v>1071907.2</v>
      </c>
      <c r="N83" s="1">
        <v>741619.19999999995</v>
      </c>
      <c r="O83" s="1">
        <v>330288</v>
      </c>
      <c r="P83" s="4">
        <v>265140.28999999998</v>
      </c>
    </row>
    <row r="84" spans="1:16" x14ac:dyDescent="0.25">
      <c r="A84" s="3" t="s">
        <v>29</v>
      </c>
      <c r="B84" s="1" t="s">
        <v>17</v>
      </c>
      <c r="C84" s="1" t="s">
        <v>20</v>
      </c>
      <c r="D84" s="1">
        <v>1284</v>
      </c>
      <c r="E84" s="1">
        <v>7.1</v>
      </c>
      <c r="F84" s="1">
        <v>1193</v>
      </c>
      <c r="G84" s="1">
        <v>1823.86</v>
      </c>
      <c r="H84" s="1">
        <v>23.7</v>
      </c>
      <c r="I84" s="1">
        <v>1391.61</v>
      </c>
      <c r="J84" s="1">
        <v>972.03</v>
      </c>
      <c r="K84" s="1">
        <v>29598.6</v>
      </c>
      <c r="L84" s="1">
        <v>12184.42</v>
      </c>
      <c r="M84" s="1">
        <v>1660190.73</v>
      </c>
      <c r="N84" s="1">
        <v>1159631.79</v>
      </c>
      <c r="O84" s="1">
        <v>500558.94</v>
      </c>
      <c r="P84" s="4">
        <v>458775.92</v>
      </c>
    </row>
    <row r="85" spans="1:16" x14ac:dyDescent="0.25">
      <c r="A85" s="3" t="s">
        <v>29</v>
      </c>
      <c r="B85" s="1" t="s">
        <v>17</v>
      </c>
      <c r="C85" s="1" t="s">
        <v>21</v>
      </c>
      <c r="D85" s="1">
        <v>1690</v>
      </c>
      <c r="E85" s="1">
        <v>3.7</v>
      </c>
      <c r="F85" s="1">
        <v>1628</v>
      </c>
      <c r="G85" s="1">
        <v>520.49</v>
      </c>
      <c r="H85" s="1">
        <v>32.6</v>
      </c>
      <c r="I85" s="1">
        <v>350.81</v>
      </c>
      <c r="J85" s="1">
        <v>186.11</v>
      </c>
      <c r="K85" s="1">
        <v>48910.720000000001</v>
      </c>
      <c r="L85" s="1">
        <v>10856.82</v>
      </c>
      <c r="M85" s="1">
        <v>571118.68000000005</v>
      </c>
      <c r="N85" s="1">
        <v>302987.08</v>
      </c>
      <c r="O85" s="1">
        <v>268131.59999999998</v>
      </c>
      <c r="P85" s="4">
        <v>208364.06</v>
      </c>
    </row>
    <row r="86" spans="1:16" x14ac:dyDescent="0.25">
      <c r="A86" s="3" t="s">
        <v>29</v>
      </c>
      <c r="B86" s="1" t="s">
        <v>17</v>
      </c>
      <c r="C86" s="1" t="s">
        <v>22</v>
      </c>
      <c r="D86" s="1">
        <v>1295</v>
      </c>
      <c r="E86" s="1">
        <v>7.6</v>
      </c>
      <c r="F86" s="1">
        <v>1197</v>
      </c>
      <c r="G86" s="1">
        <v>678.27</v>
      </c>
      <c r="H86" s="1">
        <v>19.2</v>
      </c>
      <c r="I86" s="1">
        <v>548.04</v>
      </c>
      <c r="J86" s="1">
        <v>297</v>
      </c>
      <c r="K86" s="1">
        <v>32647.16</v>
      </c>
      <c r="L86" s="1">
        <v>12341.76</v>
      </c>
      <c r="M86" s="1">
        <v>656003.88</v>
      </c>
      <c r="N86" s="1">
        <v>355509</v>
      </c>
      <c r="O86" s="1">
        <v>300494.88</v>
      </c>
      <c r="P86" s="4">
        <v>255505.96</v>
      </c>
    </row>
    <row r="87" spans="1:16" x14ac:dyDescent="0.25">
      <c r="A87" s="3" t="s">
        <v>29</v>
      </c>
      <c r="B87" s="1" t="s">
        <v>23</v>
      </c>
      <c r="C87" s="1" t="s">
        <v>18</v>
      </c>
      <c r="D87" s="1">
        <v>1177</v>
      </c>
      <c r="E87" s="1">
        <v>8.6</v>
      </c>
      <c r="F87" s="1">
        <v>1076</v>
      </c>
      <c r="G87" s="1">
        <v>926.08</v>
      </c>
      <c r="H87" s="1">
        <v>15.2</v>
      </c>
      <c r="I87" s="1">
        <v>785.32</v>
      </c>
      <c r="J87" s="1">
        <v>430.17</v>
      </c>
      <c r="K87" s="1">
        <v>20677.990000000002</v>
      </c>
      <c r="L87" s="1">
        <v>11460.41</v>
      </c>
      <c r="M87" s="1">
        <v>845004.32</v>
      </c>
      <c r="N87" s="1">
        <v>462862.92</v>
      </c>
      <c r="O87" s="1">
        <v>382141.4</v>
      </c>
      <c r="P87" s="4">
        <v>350003</v>
      </c>
    </row>
    <row r="88" spans="1:16" x14ac:dyDescent="0.25">
      <c r="A88" s="3" t="s">
        <v>29</v>
      </c>
      <c r="B88" s="1" t="s">
        <v>23</v>
      </c>
      <c r="C88" s="1" t="s">
        <v>19</v>
      </c>
      <c r="D88" s="1">
        <v>859</v>
      </c>
      <c r="E88" s="1">
        <v>7.6</v>
      </c>
      <c r="F88" s="1">
        <v>794</v>
      </c>
      <c r="G88" s="1">
        <v>1130.94</v>
      </c>
      <c r="H88" s="1">
        <v>24.8</v>
      </c>
      <c r="I88" s="1">
        <v>850.47</v>
      </c>
      <c r="J88" s="1">
        <v>541.35</v>
      </c>
      <c r="K88" s="1">
        <v>15282.98</v>
      </c>
      <c r="L88" s="1">
        <v>8718.7800000000007</v>
      </c>
      <c r="M88" s="1">
        <v>675273.18</v>
      </c>
      <c r="N88" s="1">
        <v>429831.9</v>
      </c>
      <c r="O88" s="1">
        <v>245441.28</v>
      </c>
      <c r="P88" s="4">
        <v>221439.52</v>
      </c>
    </row>
    <row r="89" spans="1:16" x14ac:dyDescent="0.25">
      <c r="A89" s="3" t="s">
        <v>29</v>
      </c>
      <c r="B89" s="1" t="s">
        <v>23</v>
      </c>
      <c r="C89" s="1" t="s">
        <v>20</v>
      </c>
      <c r="D89" s="1">
        <v>1169</v>
      </c>
      <c r="E89" s="1">
        <v>5.3</v>
      </c>
      <c r="F89" s="1">
        <v>1108</v>
      </c>
      <c r="G89" s="1">
        <v>1851.49</v>
      </c>
      <c r="H89" s="1">
        <v>26.6</v>
      </c>
      <c r="I89" s="1">
        <v>1358.99</v>
      </c>
      <c r="J89" s="1">
        <v>953.5</v>
      </c>
      <c r="K89" s="1">
        <v>36154.43</v>
      </c>
      <c r="L89" s="1">
        <v>9840.27</v>
      </c>
      <c r="M89" s="1">
        <v>1505760.92</v>
      </c>
      <c r="N89" s="1">
        <v>1056478</v>
      </c>
      <c r="O89" s="1">
        <v>449282.92</v>
      </c>
      <c r="P89" s="4">
        <v>403288.22</v>
      </c>
    </row>
    <row r="90" spans="1:16" x14ac:dyDescent="0.25">
      <c r="A90" s="3" t="s">
        <v>29</v>
      </c>
      <c r="B90" s="1" t="s">
        <v>23</v>
      </c>
      <c r="C90" s="1" t="s">
        <v>21</v>
      </c>
      <c r="D90" s="1">
        <v>1145</v>
      </c>
      <c r="E90" s="1">
        <v>2.8</v>
      </c>
      <c r="F90" s="1">
        <v>1113</v>
      </c>
      <c r="G90" s="1">
        <v>514.11</v>
      </c>
      <c r="H90" s="1">
        <v>20</v>
      </c>
      <c r="I90" s="1">
        <v>411.29</v>
      </c>
      <c r="J90" s="1">
        <v>189.96</v>
      </c>
      <c r="K90" s="1">
        <v>23790.27</v>
      </c>
      <c r="L90" s="1">
        <v>8157.55</v>
      </c>
      <c r="M90" s="1">
        <v>457765.77</v>
      </c>
      <c r="N90" s="1">
        <v>211425.48</v>
      </c>
      <c r="O90" s="1">
        <v>246340.29</v>
      </c>
      <c r="P90" s="4">
        <v>214392.47</v>
      </c>
    </row>
    <row r="91" spans="1:16" x14ac:dyDescent="0.25">
      <c r="A91" s="3" t="s">
        <v>29</v>
      </c>
      <c r="B91" s="1" t="s">
        <v>23</v>
      </c>
      <c r="C91" s="1" t="s">
        <v>22</v>
      </c>
      <c r="D91" s="1">
        <v>994</v>
      </c>
      <c r="E91" s="1">
        <v>3.5</v>
      </c>
      <c r="F91" s="1">
        <v>960</v>
      </c>
      <c r="G91" s="1">
        <v>657.82</v>
      </c>
      <c r="H91" s="1">
        <v>18.7</v>
      </c>
      <c r="I91" s="1">
        <v>534.80999999999995</v>
      </c>
      <c r="J91" s="1">
        <v>316.14999999999998</v>
      </c>
      <c r="K91" s="1">
        <v>29348.799999999999</v>
      </c>
      <c r="L91" s="1">
        <v>11485.22</v>
      </c>
      <c r="M91" s="1">
        <v>513417.6</v>
      </c>
      <c r="N91" s="1">
        <v>303504</v>
      </c>
      <c r="O91" s="1">
        <v>209913.60000000001</v>
      </c>
      <c r="P91" s="4">
        <v>169079.58</v>
      </c>
    </row>
    <row r="92" spans="1:16" x14ac:dyDescent="0.25">
      <c r="A92" s="3" t="s">
        <v>29</v>
      </c>
      <c r="B92" s="1" t="s">
        <v>24</v>
      </c>
      <c r="C92" s="1" t="s">
        <v>18</v>
      </c>
      <c r="D92" s="1">
        <v>1428</v>
      </c>
      <c r="E92" s="1">
        <v>3.6</v>
      </c>
      <c r="F92" s="1">
        <v>1377</v>
      </c>
      <c r="G92" s="1">
        <v>888.48</v>
      </c>
      <c r="H92" s="1">
        <v>18.899999999999999</v>
      </c>
      <c r="I92" s="1">
        <v>720.56</v>
      </c>
      <c r="J92" s="1">
        <v>421.85</v>
      </c>
      <c r="K92" s="1">
        <v>29107.279999999999</v>
      </c>
      <c r="L92" s="1">
        <v>7577.82</v>
      </c>
      <c r="M92" s="1">
        <v>992211.12</v>
      </c>
      <c r="N92" s="1">
        <v>580887.44999999995</v>
      </c>
      <c r="O92" s="1">
        <v>411323.67</v>
      </c>
      <c r="P92" s="4">
        <v>374638.57</v>
      </c>
    </row>
    <row r="93" spans="1:16" x14ac:dyDescent="0.25">
      <c r="A93" s="3" t="s">
        <v>29</v>
      </c>
      <c r="B93" s="1" t="s">
        <v>24</v>
      </c>
      <c r="C93" s="1" t="s">
        <v>19</v>
      </c>
      <c r="D93" s="1">
        <v>1177</v>
      </c>
      <c r="E93" s="1">
        <v>5.9</v>
      </c>
      <c r="F93" s="1">
        <v>1108</v>
      </c>
      <c r="G93" s="1">
        <v>1113.74</v>
      </c>
      <c r="H93" s="1">
        <v>34.5</v>
      </c>
      <c r="I93" s="1">
        <v>729.5</v>
      </c>
      <c r="J93" s="1">
        <v>520.09</v>
      </c>
      <c r="K93" s="1">
        <v>42280.81</v>
      </c>
      <c r="L93" s="1">
        <v>8194.5400000000009</v>
      </c>
      <c r="M93" s="1">
        <v>808286</v>
      </c>
      <c r="N93" s="1">
        <v>576259.72</v>
      </c>
      <c r="O93" s="1">
        <v>232026.28</v>
      </c>
      <c r="P93" s="4">
        <v>181550.93</v>
      </c>
    </row>
    <row r="94" spans="1:16" x14ac:dyDescent="0.25">
      <c r="A94" s="3" t="s">
        <v>29</v>
      </c>
      <c r="B94" s="1" t="s">
        <v>24</v>
      </c>
      <c r="C94" s="1" t="s">
        <v>20</v>
      </c>
      <c r="D94" s="1">
        <v>1352</v>
      </c>
      <c r="E94" s="1">
        <v>5.0999999999999996</v>
      </c>
      <c r="F94" s="1">
        <v>1284</v>
      </c>
      <c r="G94" s="1">
        <v>1884.04</v>
      </c>
      <c r="H94" s="1">
        <v>24.4</v>
      </c>
      <c r="I94" s="1">
        <v>1424.33</v>
      </c>
      <c r="J94" s="1">
        <v>981.49</v>
      </c>
      <c r="K94" s="1">
        <v>27757.79</v>
      </c>
      <c r="L94" s="1">
        <v>7782.57</v>
      </c>
      <c r="M94" s="1">
        <v>1828839.72</v>
      </c>
      <c r="N94" s="1">
        <v>1260233.1599999999</v>
      </c>
      <c r="O94" s="1">
        <v>568606.56000000006</v>
      </c>
      <c r="P94" s="4">
        <v>533066.19999999995</v>
      </c>
    </row>
    <row r="95" spans="1:16" x14ac:dyDescent="0.25">
      <c r="A95" s="3" t="s">
        <v>29</v>
      </c>
      <c r="B95" s="1" t="s">
        <v>24</v>
      </c>
      <c r="C95" s="1" t="s">
        <v>21</v>
      </c>
      <c r="D95" s="1">
        <v>1054</v>
      </c>
      <c r="E95" s="1">
        <v>4.8</v>
      </c>
      <c r="F95" s="1">
        <v>1004</v>
      </c>
      <c r="G95" s="1">
        <v>526</v>
      </c>
      <c r="H95" s="1">
        <v>31.4</v>
      </c>
      <c r="I95" s="1">
        <v>360.84</v>
      </c>
      <c r="J95" s="1">
        <v>194.28</v>
      </c>
      <c r="K95" s="1">
        <v>18152.48</v>
      </c>
      <c r="L95" s="1">
        <v>10961.95</v>
      </c>
      <c r="M95" s="1">
        <v>362283.36</v>
      </c>
      <c r="N95" s="1">
        <v>195057.12</v>
      </c>
      <c r="O95" s="1">
        <v>167226.23999999999</v>
      </c>
      <c r="P95" s="4">
        <v>138111.81</v>
      </c>
    </row>
    <row r="96" spans="1:16" x14ac:dyDescent="0.25">
      <c r="A96" s="3" t="s">
        <v>29</v>
      </c>
      <c r="B96" s="1" t="s">
        <v>24</v>
      </c>
      <c r="C96" s="1" t="s">
        <v>22</v>
      </c>
      <c r="D96" s="1">
        <v>1306</v>
      </c>
      <c r="E96" s="1">
        <v>2.8</v>
      </c>
      <c r="F96" s="1">
        <v>1270</v>
      </c>
      <c r="G96" s="1">
        <v>659.57</v>
      </c>
      <c r="H96" s="1">
        <v>34.9</v>
      </c>
      <c r="I96" s="1">
        <v>429.38</v>
      </c>
      <c r="J96" s="1">
        <v>301.02999999999997</v>
      </c>
      <c r="K96" s="1">
        <v>49540.89</v>
      </c>
      <c r="L96" s="1">
        <v>10834.75</v>
      </c>
      <c r="M96" s="1">
        <v>545312.6</v>
      </c>
      <c r="N96" s="1">
        <v>382308.1</v>
      </c>
      <c r="O96" s="1">
        <v>163004.5</v>
      </c>
      <c r="P96" s="4">
        <v>102628.86</v>
      </c>
    </row>
    <row r="97" spans="1:16" x14ac:dyDescent="0.25">
      <c r="A97" s="3" t="s">
        <v>29</v>
      </c>
      <c r="B97" s="1" t="s">
        <v>25</v>
      </c>
      <c r="C97" s="1" t="s">
        <v>18</v>
      </c>
      <c r="D97" s="1">
        <v>1305</v>
      </c>
      <c r="E97" s="1">
        <v>5.2</v>
      </c>
      <c r="F97" s="1">
        <v>1238</v>
      </c>
      <c r="G97" s="1">
        <v>934.13</v>
      </c>
      <c r="H97" s="1">
        <v>25.5</v>
      </c>
      <c r="I97" s="1">
        <v>695.93</v>
      </c>
      <c r="J97" s="1">
        <v>427.78</v>
      </c>
      <c r="K97" s="1">
        <v>36907.53</v>
      </c>
      <c r="L97" s="1">
        <v>12230.92</v>
      </c>
      <c r="M97" s="1">
        <v>861561.34</v>
      </c>
      <c r="N97" s="1">
        <v>529591.64</v>
      </c>
      <c r="O97" s="1">
        <v>331969.7</v>
      </c>
      <c r="P97" s="4">
        <v>282831.25</v>
      </c>
    </row>
    <row r="98" spans="1:16" x14ac:dyDescent="0.25">
      <c r="A98" s="3" t="s">
        <v>29</v>
      </c>
      <c r="B98" s="1" t="s">
        <v>25</v>
      </c>
      <c r="C98" s="1" t="s">
        <v>19</v>
      </c>
      <c r="D98" s="1">
        <v>1432</v>
      </c>
      <c r="E98" s="1">
        <v>8.6</v>
      </c>
      <c r="F98" s="1">
        <v>1309</v>
      </c>
      <c r="G98" s="1">
        <v>1123.29</v>
      </c>
      <c r="H98" s="1">
        <v>29.8</v>
      </c>
      <c r="I98" s="1">
        <v>788.55</v>
      </c>
      <c r="J98" s="1">
        <v>539.27</v>
      </c>
      <c r="K98" s="1">
        <v>30406.57</v>
      </c>
      <c r="L98" s="1">
        <v>8660.64</v>
      </c>
      <c r="M98" s="1">
        <v>1032211.95</v>
      </c>
      <c r="N98" s="1">
        <v>705904.43</v>
      </c>
      <c r="O98" s="1">
        <v>326307.52</v>
      </c>
      <c r="P98" s="4">
        <v>287240.31</v>
      </c>
    </row>
    <row r="99" spans="1:16" x14ac:dyDescent="0.25">
      <c r="A99" s="3" t="s">
        <v>29</v>
      </c>
      <c r="B99" s="1" t="s">
        <v>25</v>
      </c>
      <c r="C99" s="1" t="s">
        <v>20</v>
      </c>
      <c r="D99" s="1">
        <v>1259</v>
      </c>
      <c r="E99" s="1">
        <v>2.5</v>
      </c>
      <c r="F99" s="1">
        <v>1228</v>
      </c>
      <c r="G99" s="1">
        <v>1845.85</v>
      </c>
      <c r="H99" s="1">
        <v>18.5</v>
      </c>
      <c r="I99" s="1">
        <v>1504.37</v>
      </c>
      <c r="J99" s="1">
        <v>937.91</v>
      </c>
      <c r="K99" s="1">
        <v>18986.060000000001</v>
      </c>
      <c r="L99" s="1">
        <v>9977.77</v>
      </c>
      <c r="M99" s="1">
        <v>1847366.36</v>
      </c>
      <c r="N99" s="1">
        <v>1151753.48</v>
      </c>
      <c r="O99" s="1">
        <v>695612.88</v>
      </c>
      <c r="P99" s="4">
        <v>666649.05000000005</v>
      </c>
    </row>
    <row r="100" spans="1:16" x14ac:dyDescent="0.25">
      <c r="A100" s="3" t="s">
        <v>29</v>
      </c>
      <c r="B100" s="1" t="s">
        <v>25</v>
      </c>
      <c r="C100" s="1" t="s">
        <v>21</v>
      </c>
      <c r="D100" s="1">
        <v>1138</v>
      </c>
      <c r="E100" s="1">
        <v>5.2</v>
      </c>
      <c r="F100" s="1">
        <v>1079</v>
      </c>
      <c r="G100" s="1">
        <v>490.59</v>
      </c>
      <c r="H100" s="1">
        <v>29.1</v>
      </c>
      <c r="I100" s="1">
        <v>347.83</v>
      </c>
      <c r="J100" s="1">
        <v>199.08</v>
      </c>
      <c r="K100" s="1">
        <v>40537.32</v>
      </c>
      <c r="L100" s="1">
        <v>12581.51</v>
      </c>
      <c r="M100" s="1">
        <v>375308.57</v>
      </c>
      <c r="N100" s="1">
        <v>214807.32</v>
      </c>
      <c r="O100" s="1">
        <v>160501.25</v>
      </c>
      <c r="P100" s="4">
        <v>107382.42</v>
      </c>
    </row>
    <row r="101" spans="1:16" x14ac:dyDescent="0.25">
      <c r="A101" s="3" t="s">
        <v>29</v>
      </c>
      <c r="B101" s="1" t="s">
        <v>25</v>
      </c>
      <c r="C101" s="1" t="s">
        <v>22</v>
      </c>
      <c r="D101" s="1">
        <v>1182</v>
      </c>
      <c r="E101" s="1">
        <v>8.5</v>
      </c>
      <c r="F101" s="1">
        <v>1082</v>
      </c>
      <c r="G101" s="1">
        <v>674.17</v>
      </c>
      <c r="H101" s="1">
        <v>28.2</v>
      </c>
      <c r="I101" s="1">
        <v>484.05</v>
      </c>
      <c r="J101" s="1">
        <v>311.63</v>
      </c>
      <c r="K101" s="1">
        <v>32805.43</v>
      </c>
      <c r="L101" s="1">
        <v>10495.09</v>
      </c>
      <c r="M101" s="1">
        <v>523742.1</v>
      </c>
      <c r="N101" s="1">
        <v>337183.66</v>
      </c>
      <c r="O101" s="1">
        <v>186558.44</v>
      </c>
      <c r="P101" s="4">
        <v>143257.92000000001</v>
      </c>
    </row>
    <row r="102" spans="1:16" x14ac:dyDescent="0.25">
      <c r="A102" s="3" t="s">
        <v>30</v>
      </c>
      <c r="B102" s="1" t="s">
        <v>17</v>
      </c>
      <c r="C102" s="1" t="s">
        <v>18</v>
      </c>
      <c r="D102" s="1">
        <v>1219</v>
      </c>
      <c r="E102" s="1">
        <v>4.2</v>
      </c>
      <c r="F102" s="1">
        <v>1168</v>
      </c>
      <c r="G102" s="1">
        <v>937.35</v>
      </c>
      <c r="H102" s="1">
        <v>8.3000000000000007</v>
      </c>
      <c r="I102" s="1">
        <v>859.55</v>
      </c>
      <c r="J102" s="1">
        <v>420.48</v>
      </c>
      <c r="K102" s="1">
        <v>45674.38</v>
      </c>
      <c r="L102" s="1">
        <v>10630.64</v>
      </c>
      <c r="M102" s="1">
        <v>1003954.4</v>
      </c>
      <c r="N102" s="1">
        <v>491120.64000000001</v>
      </c>
      <c r="O102" s="1">
        <v>512833.76</v>
      </c>
      <c r="P102" s="4">
        <v>456528.74</v>
      </c>
    </row>
    <row r="103" spans="1:16" x14ac:dyDescent="0.25">
      <c r="A103" s="3" t="s">
        <v>30</v>
      </c>
      <c r="B103" s="1" t="s">
        <v>17</v>
      </c>
      <c r="C103" s="1" t="s">
        <v>19</v>
      </c>
      <c r="D103" s="1">
        <v>1119</v>
      </c>
      <c r="E103" s="1">
        <v>6.9</v>
      </c>
      <c r="F103" s="1">
        <v>1042</v>
      </c>
      <c r="G103" s="1">
        <v>1086.76</v>
      </c>
      <c r="H103" s="1">
        <v>18.8</v>
      </c>
      <c r="I103" s="1">
        <v>882.45</v>
      </c>
      <c r="J103" s="1">
        <v>511.51</v>
      </c>
      <c r="K103" s="1">
        <v>48430.64</v>
      </c>
      <c r="L103" s="1">
        <v>10252.6</v>
      </c>
      <c r="M103" s="1">
        <v>919512.9</v>
      </c>
      <c r="N103" s="1">
        <v>532993.42000000004</v>
      </c>
      <c r="O103" s="1">
        <v>386519.48</v>
      </c>
      <c r="P103" s="4">
        <v>327836.24</v>
      </c>
    </row>
    <row r="104" spans="1:16" x14ac:dyDescent="0.25">
      <c r="A104" s="3" t="s">
        <v>30</v>
      </c>
      <c r="B104" s="1" t="s">
        <v>17</v>
      </c>
      <c r="C104" s="1" t="s">
        <v>20</v>
      </c>
      <c r="D104" s="1">
        <v>1424</v>
      </c>
      <c r="E104" s="1">
        <v>3.8</v>
      </c>
      <c r="F104" s="1">
        <v>1370</v>
      </c>
      <c r="G104" s="1">
        <v>1734.21</v>
      </c>
      <c r="H104" s="1">
        <v>11.4</v>
      </c>
      <c r="I104" s="1">
        <v>1536.51</v>
      </c>
      <c r="J104" s="1">
        <v>966.65</v>
      </c>
      <c r="K104" s="1">
        <v>25261.48</v>
      </c>
      <c r="L104" s="1">
        <v>12790.51</v>
      </c>
      <c r="M104" s="1">
        <v>2105018.7000000002</v>
      </c>
      <c r="N104" s="1">
        <v>1324310.5</v>
      </c>
      <c r="O104" s="1">
        <v>780708.2</v>
      </c>
      <c r="P104" s="4">
        <v>742656.21</v>
      </c>
    </row>
    <row r="105" spans="1:16" x14ac:dyDescent="0.25">
      <c r="A105" s="3" t="s">
        <v>30</v>
      </c>
      <c r="B105" s="1" t="s">
        <v>17</v>
      </c>
      <c r="C105" s="1" t="s">
        <v>21</v>
      </c>
      <c r="D105" s="1">
        <v>1521</v>
      </c>
      <c r="E105" s="1">
        <v>9</v>
      </c>
      <c r="F105" s="1">
        <v>1385</v>
      </c>
      <c r="G105" s="1">
        <v>520.75</v>
      </c>
      <c r="H105" s="1">
        <v>24</v>
      </c>
      <c r="I105" s="1">
        <v>395.77</v>
      </c>
      <c r="J105" s="1">
        <v>196.32</v>
      </c>
      <c r="K105" s="1">
        <v>53491.21</v>
      </c>
      <c r="L105" s="1">
        <v>8982.31</v>
      </c>
      <c r="M105" s="1">
        <v>548141.44999999995</v>
      </c>
      <c r="N105" s="1">
        <v>271903.2</v>
      </c>
      <c r="O105" s="1">
        <v>276238.25</v>
      </c>
      <c r="P105" s="4">
        <v>213764.73</v>
      </c>
    </row>
    <row r="106" spans="1:16" x14ac:dyDescent="0.25">
      <c r="A106" s="3" t="s">
        <v>30</v>
      </c>
      <c r="B106" s="1" t="s">
        <v>17</v>
      </c>
      <c r="C106" s="1" t="s">
        <v>22</v>
      </c>
      <c r="D106" s="1">
        <v>1888</v>
      </c>
      <c r="E106" s="1">
        <v>3.3</v>
      </c>
      <c r="F106" s="1">
        <v>1826</v>
      </c>
      <c r="G106" s="1">
        <v>653.58000000000004</v>
      </c>
      <c r="H106" s="1">
        <v>23.3</v>
      </c>
      <c r="I106" s="1">
        <v>501.3</v>
      </c>
      <c r="J106" s="1">
        <v>312.5</v>
      </c>
      <c r="K106" s="1">
        <v>61473.07</v>
      </c>
      <c r="L106" s="1">
        <v>10991.32</v>
      </c>
      <c r="M106" s="1">
        <v>915373.8</v>
      </c>
      <c r="N106" s="1">
        <v>570625</v>
      </c>
      <c r="O106" s="1">
        <v>344748.79999999999</v>
      </c>
      <c r="P106" s="4">
        <v>272284.40999999997</v>
      </c>
    </row>
    <row r="107" spans="1:16" x14ac:dyDescent="0.25">
      <c r="A107" s="3" t="s">
        <v>30</v>
      </c>
      <c r="B107" s="1" t="s">
        <v>23</v>
      </c>
      <c r="C107" s="1" t="s">
        <v>18</v>
      </c>
      <c r="D107" s="1">
        <v>1393</v>
      </c>
      <c r="E107" s="1">
        <v>4.3</v>
      </c>
      <c r="F107" s="1">
        <v>1334</v>
      </c>
      <c r="G107" s="1">
        <v>907.25</v>
      </c>
      <c r="H107" s="1">
        <v>12</v>
      </c>
      <c r="I107" s="1">
        <v>798.38</v>
      </c>
      <c r="J107" s="1">
        <v>421.42</v>
      </c>
      <c r="K107" s="1">
        <v>48899.88</v>
      </c>
      <c r="L107" s="1">
        <v>12217.53</v>
      </c>
      <c r="M107" s="1">
        <v>1065038.92</v>
      </c>
      <c r="N107" s="1">
        <v>562174.28</v>
      </c>
      <c r="O107" s="1">
        <v>502864.64000000001</v>
      </c>
      <c r="P107" s="4">
        <v>441747.23</v>
      </c>
    </row>
    <row r="108" spans="1:16" x14ac:dyDescent="0.25">
      <c r="A108" s="3" t="s">
        <v>30</v>
      </c>
      <c r="B108" s="1" t="s">
        <v>23</v>
      </c>
      <c r="C108" s="1" t="s">
        <v>19</v>
      </c>
      <c r="D108" s="1">
        <v>1165</v>
      </c>
      <c r="E108" s="1">
        <v>5.9</v>
      </c>
      <c r="F108" s="1">
        <v>1097</v>
      </c>
      <c r="G108" s="1">
        <v>1086.72</v>
      </c>
      <c r="H108" s="1">
        <v>21.3</v>
      </c>
      <c r="I108" s="1">
        <v>855.25</v>
      </c>
      <c r="J108" s="1">
        <v>558.47</v>
      </c>
      <c r="K108" s="1">
        <v>33371.17</v>
      </c>
      <c r="L108" s="1">
        <v>9229.84</v>
      </c>
      <c r="M108" s="1">
        <v>938209.25</v>
      </c>
      <c r="N108" s="1">
        <v>612641.59</v>
      </c>
      <c r="O108" s="1">
        <v>325567.65999999997</v>
      </c>
      <c r="P108" s="4">
        <v>282966.65000000002</v>
      </c>
    </row>
    <row r="109" spans="1:16" x14ac:dyDescent="0.25">
      <c r="A109" s="3" t="s">
        <v>30</v>
      </c>
      <c r="B109" s="1" t="s">
        <v>23</v>
      </c>
      <c r="C109" s="1" t="s">
        <v>20</v>
      </c>
      <c r="D109" s="1">
        <v>1576</v>
      </c>
      <c r="E109" s="1">
        <v>5.6</v>
      </c>
      <c r="F109" s="1">
        <v>1488</v>
      </c>
      <c r="G109" s="1">
        <v>1785.2</v>
      </c>
      <c r="H109" s="1">
        <v>13.1</v>
      </c>
      <c r="I109" s="1">
        <v>1551.34</v>
      </c>
      <c r="J109" s="1">
        <v>1022.88</v>
      </c>
      <c r="K109" s="1">
        <v>70358.28</v>
      </c>
      <c r="L109" s="1">
        <v>11117.13</v>
      </c>
      <c r="M109" s="1">
        <v>2308393.92</v>
      </c>
      <c r="N109" s="1">
        <v>1522045.44</v>
      </c>
      <c r="O109" s="1">
        <v>786348.48</v>
      </c>
      <c r="P109" s="4">
        <v>704873.07</v>
      </c>
    </row>
    <row r="110" spans="1:16" x14ac:dyDescent="0.25">
      <c r="A110" s="3" t="s">
        <v>30</v>
      </c>
      <c r="B110" s="1" t="s">
        <v>23</v>
      </c>
      <c r="C110" s="1" t="s">
        <v>21</v>
      </c>
      <c r="D110" s="1">
        <v>1115</v>
      </c>
      <c r="E110" s="1">
        <v>6.4</v>
      </c>
      <c r="F110" s="1">
        <v>1044</v>
      </c>
      <c r="G110" s="1">
        <v>488.4</v>
      </c>
      <c r="H110" s="1">
        <v>20.100000000000001</v>
      </c>
      <c r="I110" s="1">
        <v>390.23</v>
      </c>
      <c r="J110" s="1">
        <v>191.86</v>
      </c>
      <c r="K110" s="1">
        <v>42146.68</v>
      </c>
      <c r="L110" s="1">
        <v>8619.57</v>
      </c>
      <c r="M110" s="1">
        <v>407400.12</v>
      </c>
      <c r="N110" s="1">
        <v>200301.84</v>
      </c>
      <c r="O110" s="1">
        <v>207098.28</v>
      </c>
      <c r="P110" s="4">
        <v>156332.03</v>
      </c>
    </row>
    <row r="111" spans="1:16" x14ac:dyDescent="0.25">
      <c r="A111" s="3" t="s">
        <v>30</v>
      </c>
      <c r="B111" s="1" t="s">
        <v>23</v>
      </c>
      <c r="C111" s="1" t="s">
        <v>22</v>
      </c>
      <c r="D111" s="1">
        <v>1257</v>
      </c>
      <c r="E111" s="1">
        <v>6.9</v>
      </c>
      <c r="F111" s="1">
        <v>1171</v>
      </c>
      <c r="G111" s="1">
        <v>658.68</v>
      </c>
      <c r="H111" s="1">
        <v>13.8</v>
      </c>
      <c r="I111" s="1">
        <v>567.78</v>
      </c>
      <c r="J111" s="1">
        <v>321.61</v>
      </c>
      <c r="K111" s="1">
        <v>23433.98</v>
      </c>
      <c r="L111" s="1">
        <v>12852.31</v>
      </c>
      <c r="M111" s="1">
        <v>664870.38</v>
      </c>
      <c r="N111" s="1">
        <v>376605.31</v>
      </c>
      <c r="O111" s="1">
        <v>288265.07</v>
      </c>
      <c r="P111" s="4">
        <v>251978.78</v>
      </c>
    </row>
    <row r="112" spans="1:16" x14ac:dyDescent="0.25">
      <c r="A112" s="3" t="s">
        <v>30</v>
      </c>
      <c r="B112" s="1" t="s">
        <v>24</v>
      </c>
      <c r="C112" s="1" t="s">
        <v>18</v>
      </c>
      <c r="D112" s="1">
        <v>1261</v>
      </c>
      <c r="E112" s="1">
        <v>2.7</v>
      </c>
      <c r="F112" s="1">
        <v>1227</v>
      </c>
      <c r="G112" s="1">
        <v>877.28</v>
      </c>
      <c r="H112" s="1">
        <v>16</v>
      </c>
      <c r="I112" s="1">
        <v>736.92</v>
      </c>
      <c r="J112" s="1">
        <v>443.15</v>
      </c>
      <c r="K112" s="1">
        <v>56452.09</v>
      </c>
      <c r="L112" s="1">
        <v>12521.11</v>
      </c>
      <c r="M112" s="1">
        <v>904200.84</v>
      </c>
      <c r="N112" s="1">
        <v>543745.05000000005</v>
      </c>
      <c r="O112" s="1">
        <v>360455.79</v>
      </c>
      <c r="P112" s="4">
        <v>291482.59000000003</v>
      </c>
    </row>
    <row r="113" spans="1:16" x14ac:dyDescent="0.25">
      <c r="A113" s="3" t="s">
        <v>30</v>
      </c>
      <c r="B113" s="1" t="s">
        <v>24</v>
      </c>
      <c r="C113" s="1" t="s">
        <v>19</v>
      </c>
      <c r="D113" s="1">
        <v>1283</v>
      </c>
      <c r="E113" s="1">
        <v>5.5</v>
      </c>
      <c r="F113" s="1">
        <v>1213</v>
      </c>
      <c r="G113" s="1">
        <v>1105.75</v>
      </c>
      <c r="H113" s="1">
        <v>21.6</v>
      </c>
      <c r="I113" s="1">
        <v>866.91</v>
      </c>
      <c r="J113" s="1">
        <v>511.12</v>
      </c>
      <c r="K113" s="1">
        <v>46827.06</v>
      </c>
      <c r="L113" s="1">
        <v>10298.799999999999</v>
      </c>
      <c r="M113" s="1">
        <v>1051561.83</v>
      </c>
      <c r="N113" s="1">
        <v>619988.56000000006</v>
      </c>
      <c r="O113" s="1">
        <v>431573.27</v>
      </c>
      <c r="P113" s="4">
        <v>374447.41</v>
      </c>
    </row>
    <row r="114" spans="1:16" x14ac:dyDescent="0.25">
      <c r="A114" s="3" t="s">
        <v>30</v>
      </c>
      <c r="B114" s="1" t="s">
        <v>24</v>
      </c>
      <c r="C114" s="1" t="s">
        <v>20</v>
      </c>
      <c r="D114" s="1">
        <v>1322</v>
      </c>
      <c r="E114" s="1">
        <v>4.7</v>
      </c>
      <c r="F114" s="1">
        <v>1260</v>
      </c>
      <c r="G114" s="1">
        <v>1903.39</v>
      </c>
      <c r="H114" s="1">
        <v>16</v>
      </c>
      <c r="I114" s="1">
        <v>1598.85</v>
      </c>
      <c r="J114" s="1">
        <v>946.97</v>
      </c>
      <c r="K114" s="1">
        <v>56391.29</v>
      </c>
      <c r="L114" s="1">
        <v>10295.33</v>
      </c>
      <c r="M114" s="1">
        <v>2014551</v>
      </c>
      <c r="N114" s="1">
        <v>1193182.2</v>
      </c>
      <c r="O114" s="1">
        <v>821368.8</v>
      </c>
      <c r="P114" s="4">
        <v>754682.19</v>
      </c>
    </row>
    <row r="115" spans="1:16" x14ac:dyDescent="0.25">
      <c r="A115" s="3" t="s">
        <v>30</v>
      </c>
      <c r="B115" s="1" t="s">
        <v>24</v>
      </c>
      <c r="C115" s="1" t="s">
        <v>21</v>
      </c>
      <c r="D115" s="1">
        <v>1768</v>
      </c>
      <c r="E115" s="1">
        <v>7.5</v>
      </c>
      <c r="F115" s="1">
        <v>1636</v>
      </c>
      <c r="G115" s="1">
        <v>522.91999999999996</v>
      </c>
      <c r="H115" s="1">
        <v>10.5</v>
      </c>
      <c r="I115" s="1">
        <v>468.01</v>
      </c>
      <c r="J115" s="1">
        <v>202.36</v>
      </c>
      <c r="K115" s="1">
        <v>48528.55</v>
      </c>
      <c r="L115" s="1">
        <v>12638.37</v>
      </c>
      <c r="M115" s="1">
        <v>765664.36</v>
      </c>
      <c r="N115" s="1">
        <v>331060.96000000002</v>
      </c>
      <c r="O115" s="1">
        <v>434603.4</v>
      </c>
      <c r="P115" s="4">
        <v>373436.48</v>
      </c>
    </row>
    <row r="116" spans="1:16" x14ac:dyDescent="0.25">
      <c r="A116" s="3" t="s">
        <v>30</v>
      </c>
      <c r="B116" s="1" t="s">
        <v>24</v>
      </c>
      <c r="C116" s="1" t="s">
        <v>22</v>
      </c>
      <c r="D116" s="1">
        <v>996</v>
      </c>
      <c r="E116" s="1">
        <v>9</v>
      </c>
      <c r="F116" s="1">
        <v>907</v>
      </c>
      <c r="G116" s="1">
        <v>641.4</v>
      </c>
      <c r="H116" s="1">
        <v>16.7</v>
      </c>
      <c r="I116" s="1">
        <v>534.29</v>
      </c>
      <c r="J116" s="1">
        <v>300.85000000000002</v>
      </c>
      <c r="K116" s="1">
        <v>29570.45</v>
      </c>
      <c r="L116" s="1">
        <v>8317.27</v>
      </c>
      <c r="M116" s="1">
        <v>484601.03</v>
      </c>
      <c r="N116" s="1">
        <v>272870.95</v>
      </c>
      <c r="O116" s="1">
        <v>211730.08</v>
      </c>
      <c r="P116" s="4">
        <v>173842.35</v>
      </c>
    </row>
    <row r="117" spans="1:16" x14ac:dyDescent="0.25">
      <c r="A117" s="3" t="s">
        <v>30</v>
      </c>
      <c r="B117" s="1" t="s">
        <v>25</v>
      </c>
      <c r="C117" s="1" t="s">
        <v>18</v>
      </c>
      <c r="D117" s="1">
        <v>1429</v>
      </c>
      <c r="E117" s="1">
        <v>5.8</v>
      </c>
      <c r="F117" s="1">
        <v>1347</v>
      </c>
      <c r="G117" s="1">
        <v>911.46</v>
      </c>
      <c r="H117" s="1">
        <v>16</v>
      </c>
      <c r="I117" s="1">
        <v>765.63</v>
      </c>
      <c r="J117" s="1">
        <v>433.42</v>
      </c>
      <c r="K117" s="1">
        <v>40955.620000000003</v>
      </c>
      <c r="L117" s="1">
        <v>9269.7800000000007</v>
      </c>
      <c r="M117" s="1">
        <v>1031303.61</v>
      </c>
      <c r="N117" s="1">
        <v>583816.74</v>
      </c>
      <c r="O117" s="1">
        <v>447486.87</v>
      </c>
      <c r="P117" s="4">
        <v>397261.47</v>
      </c>
    </row>
    <row r="118" spans="1:16" x14ac:dyDescent="0.25">
      <c r="A118" s="3" t="s">
        <v>30</v>
      </c>
      <c r="B118" s="1" t="s">
        <v>25</v>
      </c>
      <c r="C118" s="1" t="s">
        <v>19</v>
      </c>
      <c r="D118" s="1">
        <v>1575</v>
      </c>
      <c r="E118" s="1">
        <v>2.2999999999999998</v>
      </c>
      <c r="F118" s="1">
        <v>1539</v>
      </c>
      <c r="G118" s="1">
        <v>1117.8800000000001</v>
      </c>
      <c r="H118" s="1">
        <v>20.5</v>
      </c>
      <c r="I118" s="1">
        <v>888.71</v>
      </c>
      <c r="J118" s="1">
        <v>517.76</v>
      </c>
      <c r="K118" s="1">
        <v>58812.32</v>
      </c>
      <c r="L118" s="1">
        <v>11378.75</v>
      </c>
      <c r="M118" s="1">
        <v>1367724.69</v>
      </c>
      <c r="N118" s="1">
        <v>796832.64</v>
      </c>
      <c r="O118" s="1">
        <v>570892.05000000005</v>
      </c>
      <c r="P118" s="4">
        <v>500700.98</v>
      </c>
    </row>
    <row r="119" spans="1:16" x14ac:dyDescent="0.25">
      <c r="A119" s="3" t="s">
        <v>30</v>
      </c>
      <c r="B119" s="1" t="s">
        <v>25</v>
      </c>
      <c r="C119" s="1" t="s">
        <v>20</v>
      </c>
      <c r="D119" s="1">
        <v>1760</v>
      </c>
      <c r="E119" s="1">
        <v>7.7</v>
      </c>
      <c r="F119" s="1">
        <v>1625</v>
      </c>
      <c r="G119" s="1">
        <v>1873.01</v>
      </c>
      <c r="H119" s="1">
        <v>18.3</v>
      </c>
      <c r="I119" s="1">
        <v>1530.25</v>
      </c>
      <c r="J119" s="1">
        <v>961.85</v>
      </c>
      <c r="K119" s="1">
        <v>78187.199999999997</v>
      </c>
      <c r="L119" s="1">
        <v>10224.31</v>
      </c>
      <c r="M119" s="1">
        <v>2486656.25</v>
      </c>
      <c r="N119" s="1">
        <v>1563006.25</v>
      </c>
      <c r="O119" s="1">
        <v>923650</v>
      </c>
      <c r="P119" s="4">
        <v>835238.49</v>
      </c>
    </row>
    <row r="120" spans="1:16" x14ac:dyDescent="0.25">
      <c r="A120" s="3" t="s">
        <v>30</v>
      </c>
      <c r="B120" s="1" t="s">
        <v>25</v>
      </c>
      <c r="C120" s="1" t="s">
        <v>21</v>
      </c>
      <c r="D120" s="1">
        <v>1698</v>
      </c>
      <c r="E120" s="1">
        <v>5.0999999999999996</v>
      </c>
      <c r="F120" s="1">
        <v>1612</v>
      </c>
      <c r="G120" s="1">
        <v>508.49</v>
      </c>
      <c r="H120" s="1">
        <v>22.5</v>
      </c>
      <c r="I120" s="1">
        <v>394.08</v>
      </c>
      <c r="J120" s="1">
        <v>202.48</v>
      </c>
      <c r="K120" s="1">
        <v>52261.95</v>
      </c>
      <c r="L120" s="1">
        <v>10013.1</v>
      </c>
      <c r="M120" s="1">
        <v>635256.96</v>
      </c>
      <c r="N120" s="1">
        <v>326397.76</v>
      </c>
      <c r="O120" s="1">
        <v>308859.2</v>
      </c>
      <c r="P120" s="4">
        <v>246584.15</v>
      </c>
    </row>
    <row r="121" spans="1:16" x14ac:dyDescent="0.25">
      <c r="A121" s="3" t="s">
        <v>30</v>
      </c>
      <c r="B121" s="1" t="s">
        <v>25</v>
      </c>
      <c r="C121" s="1" t="s">
        <v>22</v>
      </c>
      <c r="D121" s="1">
        <v>1508</v>
      </c>
      <c r="E121" s="1">
        <v>3.1</v>
      </c>
      <c r="F121" s="1">
        <v>1462</v>
      </c>
      <c r="G121" s="1">
        <v>669.93</v>
      </c>
      <c r="H121" s="1">
        <v>18.100000000000001</v>
      </c>
      <c r="I121" s="1">
        <v>548.66999999999996</v>
      </c>
      <c r="J121" s="1">
        <v>304.52999999999997</v>
      </c>
      <c r="K121" s="1">
        <v>43859.75</v>
      </c>
      <c r="L121" s="1">
        <v>12830.62</v>
      </c>
      <c r="M121" s="1">
        <v>802155.54</v>
      </c>
      <c r="N121" s="1">
        <v>445222.86</v>
      </c>
      <c r="O121" s="1">
        <v>356932.68</v>
      </c>
      <c r="P121" s="4">
        <v>300242.31</v>
      </c>
    </row>
    <row r="122" spans="1:16" x14ac:dyDescent="0.25">
      <c r="A122" s="3" t="s">
        <v>31</v>
      </c>
      <c r="B122" s="1" t="s">
        <v>17</v>
      </c>
      <c r="C122" s="1" t="s">
        <v>18</v>
      </c>
      <c r="D122" s="1">
        <v>1368</v>
      </c>
      <c r="E122" s="1">
        <v>8</v>
      </c>
      <c r="F122" s="1">
        <v>1259</v>
      </c>
      <c r="G122" s="1">
        <v>921.46</v>
      </c>
      <c r="H122" s="1">
        <v>22</v>
      </c>
      <c r="I122" s="1">
        <v>718.74</v>
      </c>
      <c r="J122" s="1">
        <v>457.39</v>
      </c>
      <c r="K122" s="1">
        <v>36115.589999999997</v>
      </c>
      <c r="L122" s="1">
        <v>9241.64</v>
      </c>
      <c r="M122" s="1">
        <v>904893.66</v>
      </c>
      <c r="N122" s="1">
        <v>575854.01</v>
      </c>
      <c r="O122" s="1">
        <v>329039.65000000002</v>
      </c>
      <c r="P122" s="4">
        <v>283682.42</v>
      </c>
    </row>
    <row r="123" spans="1:16" x14ac:dyDescent="0.25">
      <c r="A123" s="3" t="s">
        <v>31</v>
      </c>
      <c r="B123" s="1" t="s">
        <v>17</v>
      </c>
      <c r="C123" s="1" t="s">
        <v>19</v>
      </c>
      <c r="D123" s="1">
        <v>1862</v>
      </c>
      <c r="E123" s="1">
        <v>2.2999999999999998</v>
      </c>
      <c r="F123" s="1">
        <v>1820</v>
      </c>
      <c r="G123" s="1">
        <v>1134.03</v>
      </c>
      <c r="H123" s="1">
        <v>22.4</v>
      </c>
      <c r="I123" s="1">
        <v>880.01</v>
      </c>
      <c r="J123" s="1">
        <v>547.84</v>
      </c>
      <c r="K123" s="1">
        <v>31751.98</v>
      </c>
      <c r="L123" s="1">
        <v>10971.39</v>
      </c>
      <c r="M123" s="1">
        <v>1601618.2</v>
      </c>
      <c r="N123" s="1">
        <v>997068.80000000005</v>
      </c>
      <c r="O123" s="1">
        <v>604549.4</v>
      </c>
      <c r="P123" s="4">
        <v>561826.03</v>
      </c>
    </row>
    <row r="124" spans="1:16" x14ac:dyDescent="0.25">
      <c r="A124" s="3" t="s">
        <v>31</v>
      </c>
      <c r="B124" s="1" t="s">
        <v>17</v>
      </c>
      <c r="C124" s="1" t="s">
        <v>20</v>
      </c>
      <c r="D124" s="1">
        <v>2266</v>
      </c>
      <c r="E124" s="1">
        <v>6.4</v>
      </c>
      <c r="F124" s="1">
        <v>2121</v>
      </c>
      <c r="G124" s="1">
        <v>1861.38</v>
      </c>
      <c r="H124" s="1">
        <v>7</v>
      </c>
      <c r="I124" s="1">
        <v>1731.08</v>
      </c>
      <c r="J124" s="1">
        <v>966.85</v>
      </c>
      <c r="K124" s="1">
        <v>93307.94</v>
      </c>
      <c r="L124" s="1">
        <v>9940.23</v>
      </c>
      <c r="M124" s="1">
        <v>3671620.68</v>
      </c>
      <c r="N124" s="1">
        <v>2050688.85</v>
      </c>
      <c r="O124" s="1">
        <v>1620931.83</v>
      </c>
      <c r="P124" s="4">
        <v>1517683.66</v>
      </c>
    </row>
    <row r="125" spans="1:16" x14ac:dyDescent="0.25">
      <c r="A125" s="3" t="s">
        <v>31</v>
      </c>
      <c r="B125" s="1" t="s">
        <v>17</v>
      </c>
      <c r="C125" s="1" t="s">
        <v>21</v>
      </c>
      <c r="D125" s="1">
        <v>1173</v>
      </c>
      <c r="E125" s="1">
        <v>7.6</v>
      </c>
      <c r="F125" s="1">
        <v>1084</v>
      </c>
      <c r="G125" s="1">
        <v>513.66999999999996</v>
      </c>
      <c r="H125" s="1">
        <v>5.9</v>
      </c>
      <c r="I125" s="1">
        <v>483.36</v>
      </c>
      <c r="J125" s="1">
        <v>203.18</v>
      </c>
      <c r="K125" s="1">
        <v>27918.61</v>
      </c>
      <c r="L125" s="1">
        <v>9561.6299999999992</v>
      </c>
      <c r="M125" s="1">
        <v>523962.24</v>
      </c>
      <c r="N125" s="1">
        <v>220247.12</v>
      </c>
      <c r="O125" s="1">
        <v>303715.12</v>
      </c>
      <c r="P125" s="4">
        <v>266234.88</v>
      </c>
    </row>
    <row r="126" spans="1:16" x14ac:dyDescent="0.25">
      <c r="A126" s="3" t="s">
        <v>31</v>
      </c>
      <c r="B126" s="1" t="s">
        <v>17</v>
      </c>
      <c r="C126" s="1" t="s">
        <v>22</v>
      </c>
      <c r="D126" s="1">
        <v>1733</v>
      </c>
      <c r="E126" s="1">
        <v>2.6</v>
      </c>
      <c r="F126" s="1">
        <v>1688</v>
      </c>
      <c r="G126" s="1">
        <v>659.77</v>
      </c>
      <c r="H126" s="1">
        <v>8.4</v>
      </c>
      <c r="I126" s="1">
        <v>604.35</v>
      </c>
      <c r="J126" s="1">
        <v>317.14999999999998</v>
      </c>
      <c r="K126" s="1">
        <v>71269.95</v>
      </c>
      <c r="L126" s="1">
        <v>10908.41</v>
      </c>
      <c r="M126" s="1">
        <v>1020142.8</v>
      </c>
      <c r="N126" s="1">
        <v>535349.19999999995</v>
      </c>
      <c r="O126" s="1">
        <v>484793.59999999998</v>
      </c>
      <c r="P126" s="4">
        <v>402615.24</v>
      </c>
    </row>
    <row r="127" spans="1:16" x14ac:dyDescent="0.25">
      <c r="A127" s="3" t="s">
        <v>31</v>
      </c>
      <c r="B127" s="1" t="s">
        <v>23</v>
      </c>
      <c r="C127" s="1" t="s">
        <v>18</v>
      </c>
      <c r="D127" s="1">
        <v>1541</v>
      </c>
      <c r="E127" s="1">
        <v>5.2</v>
      </c>
      <c r="F127" s="1">
        <v>1461</v>
      </c>
      <c r="G127" s="1">
        <v>884.69</v>
      </c>
      <c r="H127" s="1">
        <v>7.9</v>
      </c>
      <c r="I127" s="1">
        <v>814.8</v>
      </c>
      <c r="J127" s="1">
        <v>460.28</v>
      </c>
      <c r="K127" s="1">
        <v>34856.370000000003</v>
      </c>
      <c r="L127" s="1">
        <v>8904.2999999999993</v>
      </c>
      <c r="M127" s="1">
        <v>1190422.8</v>
      </c>
      <c r="N127" s="1">
        <v>672469.08</v>
      </c>
      <c r="O127" s="1">
        <v>517953.72</v>
      </c>
      <c r="P127" s="4">
        <v>474193.05</v>
      </c>
    </row>
    <row r="128" spans="1:16" x14ac:dyDescent="0.25">
      <c r="A128" s="3" t="s">
        <v>31</v>
      </c>
      <c r="B128" s="1" t="s">
        <v>23</v>
      </c>
      <c r="C128" s="1" t="s">
        <v>19</v>
      </c>
      <c r="D128" s="1">
        <v>1709</v>
      </c>
      <c r="E128" s="1">
        <v>5.0999999999999996</v>
      </c>
      <c r="F128" s="1">
        <v>1622</v>
      </c>
      <c r="G128" s="1">
        <v>1154.08</v>
      </c>
      <c r="H128" s="1">
        <v>8.1999999999999993</v>
      </c>
      <c r="I128" s="1">
        <v>1059.45</v>
      </c>
      <c r="J128" s="1">
        <v>543.16</v>
      </c>
      <c r="K128" s="1">
        <v>43352.15</v>
      </c>
      <c r="L128" s="1">
        <v>10731.64</v>
      </c>
      <c r="M128" s="1">
        <v>1718427.9</v>
      </c>
      <c r="N128" s="1">
        <v>881005.52</v>
      </c>
      <c r="O128" s="1">
        <v>837422.38</v>
      </c>
      <c r="P128" s="4">
        <v>783338.59</v>
      </c>
    </row>
    <row r="129" spans="1:16" x14ac:dyDescent="0.25">
      <c r="A129" s="3" t="s">
        <v>31</v>
      </c>
      <c r="B129" s="1" t="s">
        <v>23</v>
      </c>
      <c r="C129" s="1" t="s">
        <v>20</v>
      </c>
      <c r="D129" s="1">
        <v>1366</v>
      </c>
      <c r="E129" s="1">
        <v>7.9</v>
      </c>
      <c r="F129" s="1">
        <v>1259</v>
      </c>
      <c r="G129" s="1">
        <v>1841.99</v>
      </c>
      <c r="H129" s="1">
        <v>10</v>
      </c>
      <c r="I129" s="1">
        <v>1657.79</v>
      </c>
      <c r="J129" s="1">
        <v>965.84</v>
      </c>
      <c r="K129" s="1">
        <v>28653.91</v>
      </c>
      <c r="L129" s="1">
        <v>9615.81</v>
      </c>
      <c r="M129" s="1">
        <v>2087157.61</v>
      </c>
      <c r="N129" s="1">
        <v>1215992.56</v>
      </c>
      <c r="O129" s="1">
        <v>871165.05</v>
      </c>
      <c r="P129" s="4">
        <v>832895.33</v>
      </c>
    </row>
    <row r="130" spans="1:16" x14ac:dyDescent="0.25">
      <c r="A130" s="3" t="s">
        <v>31</v>
      </c>
      <c r="B130" s="1" t="s">
        <v>23</v>
      </c>
      <c r="C130" s="1" t="s">
        <v>21</v>
      </c>
      <c r="D130" s="1">
        <v>1197</v>
      </c>
      <c r="E130" s="1">
        <v>4.0999999999999996</v>
      </c>
      <c r="F130" s="1">
        <v>1148</v>
      </c>
      <c r="G130" s="1">
        <v>507.58</v>
      </c>
      <c r="H130" s="1">
        <v>24.9</v>
      </c>
      <c r="I130" s="1">
        <v>381.19</v>
      </c>
      <c r="J130" s="1">
        <v>196.31</v>
      </c>
      <c r="K130" s="1">
        <v>53072.99</v>
      </c>
      <c r="L130" s="1">
        <v>11120.26</v>
      </c>
      <c r="M130" s="1">
        <v>437606.12</v>
      </c>
      <c r="N130" s="1">
        <v>225363.88</v>
      </c>
      <c r="O130" s="1">
        <v>212242.24</v>
      </c>
      <c r="P130" s="4">
        <v>148048.99</v>
      </c>
    </row>
    <row r="131" spans="1:16" x14ac:dyDescent="0.25">
      <c r="A131" s="3" t="s">
        <v>31</v>
      </c>
      <c r="B131" s="1" t="s">
        <v>23</v>
      </c>
      <c r="C131" s="1" t="s">
        <v>22</v>
      </c>
      <c r="D131" s="1">
        <v>1360</v>
      </c>
      <c r="E131" s="1">
        <v>7.2</v>
      </c>
      <c r="F131" s="1">
        <v>1263</v>
      </c>
      <c r="G131" s="1">
        <v>640.85</v>
      </c>
      <c r="H131" s="1">
        <v>18.7</v>
      </c>
      <c r="I131" s="1">
        <v>521.01</v>
      </c>
      <c r="J131" s="1">
        <v>309.68</v>
      </c>
      <c r="K131" s="1">
        <v>22401.01</v>
      </c>
      <c r="L131" s="1">
        <v>10835.24</v>
      </c>
      <c r="M131" s="1">
        <v>658035.63</v>
      </c>
      <c r="N131" s="1">
        <v>391125.84</v>
      </c>
      <c r="O131" s="1">
        <v>266909.78999999998</v>
      </c>
      <c r="P131" s="4">
        <v>233673.54</v>
      </c>
    </row>
    <row r="132" spans="1:16" x14ac:dyDescent="0.25">
      <c r="A132" s="3" t="s">
        <v>31</v>
      </c>
      <c r="B132" s="1" t="s">
        <v>24</v>
      </c>
      <c r="C132" s="1" t="s">
        <v>18</v>
      </c>
      <c r="D132" s="1">
        <v>956</v>
      </c>
      <c r="E132" s="1">
        <v>4.5</v>
      </c>
      <c r="F132" s="1">
        <v>913</v>
      </c>
      <c r="G132" s="1">
        <v>888.77</v>
      </c>
      <c r="H132" s="1">
        <v>17.100000000000001</v>
      </c>
      <c r="I132" s="1">
        <v>736.79</v>
      </c>
      <c r="J132" s="1">
        <v>454.89</v>
      </c>
      <c r="K132" s="1">
        <v>32598.2</v>
      </c>
      <c r="L132" s="1">
        <v>10914.9</v>
      </c>
      <c r="M132" s="1">
        <v>672689.27</v>
      </c>
      <c r="N132" s="1">
        <v>415314.57</v>
      </c>
      <c r="O132" s="1">
        <v>257374.7</v>
      </c>
      <c r="P132" s="4">
        <v>213861.6</v>
      </c>
    </row>
    <row r="133" spans="1:16" x14ac:dyDescent="0.25">
      <c r="A133" s="3" t="s">
        <v>31</v>
      </c>
      <c r="B133" s="1" t="s">
        <v>24</v>
      </c>
      <c r="C133" s="1" t="s">
        <v>19</v>
      </c>
      <c r="D133" s="1">
        <v>1425</v>
      </c>
      <c r="E133" s="1">
        <v>7.9</v>
      </c>
      <c r="F133" s="1">
        <v>1313</v>
      </c>
      <c r="G133" s="1">
        <v>1129.53</v>
      </c>
      <c r="H133" s="1">
        <v>18.2</v>
      </c>
      <c r="I133" s="1">
        <v>923.96</v>
      </c>
      <c r="J133" s="1">
        <v>545.64</v>
      </c>
      <c r="K133" s="1">
        <v>48232.61</v>
      </c>
      <c r="L133" s="1">
        <v>12468.72</v>
      </c>
      <c r="M133" s="1">
        <v>1213159.48</v>
      </c>
      <c r="N133" s="1">
        <v>716425.32</v>
      </c>
      <c r="O133" s="1">
        <v>496734.16</v>
      </c>
      <c r="P133" s="4">
        <v>436032.83</v>
      </c>
    </row>
    <row r="134" spans="1:16" x14ac:dyDescent="0.25">
      <c r="A134" s="3" t="s">
        <v>31</v>
      </c>
      <c r="B134" s="1" t="s">
        <v>24</v>
      </c>
      <c r="C134" s="1" t="s">
        <v>20</v>
      </c>
      <c r="D134" s="1">
        <v>1305</v>
      </c>
      <c r="E134" s="1">
        <v>2.6</v>
      </c>
      <c r="F134" s="1">
        <v>1272</v>
      </c>
      <c r="G134" s="1">
        <v>1806.34</v>
      </c>
      <c r="H134" s="1">
        <v>19.600000000000001</v>
      </c>
      <c r="I134" s="1">
        <v>1452.3</v>
      </c>
      <c r="J134" s="1">
        <v>982.07</v>
      </c>
      <c r="K134" s="1">
        <v>31128.57</v>
      </c>
      <c r="L134" s="1">
        <v>11611.15</v>
      </c>
      <c r="M134" s="1">
        <v>1847325.6</v>
      </c>
      <c r="N134" s="1">
        <v>1249193.04</v>
      </c>
      <c r="O134" s="1">
        <v>598132.56000000006</v>
      </c>
      <c r="P134" s="4">
        <v>555392.85</v>
      </c>
    </row>
    <row r="135" spans="1:16" x14ac:dyDescent="0.25">
      <c r="A135" s="3" t="s">
        <v>31</v>
      </c>
      <c r="B135" s="1" t="s">
        <v>24</v>
      </c>
      <c r="C135" s="1" t="s">
        <v>21</v>
      </c>
      <c r="D135" s="1">
        <v>1270</v>
      </c>
      <c r="E135" s="1">
        <v>8.8000000000000007</v>
      </c>
      <c r="F135" s="1">
        <v>1159</v>
      </c>
      <c r="G135" s="1">
        <v>487.8</v>
      </c>
      <c r="H135" s="1">
        <v>15.8</v>
      </c>
      <c r="I135" s="1">
        <v>410.73</v>
      </c>
      <c r="J135" s="1">
        <v>187.06</v>
      </c>
      <c r="K135" s="1">
        <v>39275.480000000003</v>
      </c>
      <c r="L135" s="1">
        <v>12524.18</v>
      </c>
      <c r="M135" s="1">
        <v>476036.07</v>
      </c>
      <c r="N135" s="1">
        <v>216802.54</v>
      </c>
      <c r="O135" s="1">
        <v>259233.53</v>
      </c>
      <c r="P135" s="4">
        <v>207433.87</v>
      </c>
    </row>
    <row r="136" spans="1:16" x14ac:dyDescent="0.25">
      <c r="A136" s="3" t="s">
        <v>31</v>
      </c>
      <c r="B136" s="1" t="s">
        <v>24</v>
      </c>
      <c r="C136" s="1" t="s">
        <v>22</v>
      </c>
      <c r="D136" s="1">
        <v>1495</v>
      </c>
      <c r="E136" s="1">
        <v>7.2</v>
      </c>
      <c r="F136" s="1">
        <v>1388</v>
      </c>
      <c r="G136" s="1">
        <v>676.56</v>
      </c>
      <c r="H136" s="1">
        <v>21.1</v>
      </c>
      <c r="I136" s="1">
        <v>533.80999999999995</v>
      </c>
      <c r="J136" s="1">
        <v>306.89999999999998</v>
      </c>
      <c r="K136" s="1">
        <v>37616.379999999997</v>
      </c>
      <c r="L136" s="1">
        <v>8133.43</v>
      </c>
      <c r="M136" s="1">
        <v>740928.28</v>
      </c>
      <c r="N136" s="1">
        <v>425977.2</v>
      </c>
      <c r="O136" s="1">
        <v>314951.08</v>
      </c>
      <c r="P136" s="4">
        <v>269201.27</v>
      </c>
    </row>
    <row r="137" spans="1:16" x14ac:dyDescent="0.25">
      <c r="A137" s="3" t="s">
        <v>31</v>
      </c>
      <c r="B137" s="1" t="s">
        <v>25</v>
      </c>
      <c r="C137" s="1" t="s">
        <v>18</v>
      </c>
      <c r="D137" s="1">
        <v>1336</v>
      </c>
      <c r="E137" s="1">
        <v>8</v>
      </c>
      <c r="F137" s="1">
        <v>1230</v>
      </c>
      <c r="G137" s="1">
        <v>949.6</v>
      </c>
      <c r="H137" s="1">
        <v>24.3</v>
      </c>
      <c r="I137" s="1">
        <v>718.85</v>
      </c>
      <c r="J137" s="1">
        <v>423.76</v>
      </c>
      <c r="K137" s="1">
        <v>49066.61</v>
      </c>
      <c r="L137" s="1">
        <v>12889.68</v>
      </c>
      <c r="M137" s="1">
        <v>884185.5</v>
      </c>
      <c r="N137" s="1">
        <v>521224.8</v>
      </c>
      <c r="O137" s="1">
        <v>362960.7</v>
      </c>
      <c r="P137" s="4">
        <v>301004.40999999997</v>
      </c>
    </row>
    <row r="138" spans="1:16" x14ac:dyDescent="0.25">
      <c r="A138" s="3" t="s">
        <v>31</v>
      </c>
      <c r="B138" s="1" t="s">
        <v>25</v>
      </c>
      <c r="C138" s="1" t="s">
        <v>19</v>
      </c>
      <c r="D138" s="1">
        <v>1881</v>
      </c>
      <c r="E138" s="1">
        <v>5.8</v>
      </c>
      <c r="F138" s="1">
        <v>1772</v>
      </c>
      <c r="G138" s="1">
        <v>1095.24</v>
      </c>
      <c r="H138" s="1">
        <v>5.3</v>
      </c>
      <c r="I138" s="1">
        <v>1037.19</v>
      </c>
      <c r="J138" s="1">
        <v>549.63</v>
      </c>
      <c r="K138" s="1">
        <v>53878.58</v>
      </c>
      <c r="L138" s="1">
        <v>11200.56</v>
      </c>
      <c r="M138" s="1">
        <v>1837900.68</v>
      </c>
      <c r="N138" s="1">
        <v>973944.36</v>
      </c>
      <c r="O138" s="1">
        <v>863956.32</v>
      </c>
      <c r="P138" s="4">
        <v>798877.18</v>
      </c>
    </row>
    <row r="139" spans="1:16" x14ac:dyDescent="0.25">
      <c r="A139" s="3" t="s">
        <v>31</v>
      </c>
      <c r="B139" s="1" t="s">
        <v>25</v>
      </c>
      <c r="C139" s="1" t="s">
        <v>20</v>
      </c>
      <c r="D139" s="1">
        <v>1404</v>
      </c>
      <c r="E139" s="1">
        <v>8.6</v>
      </c>
      <c r="F139" s="1">
        <v>1284</v>
      </c>
      <c r="G139" s="1">
        <v>1847.99</v>
      </c>
      <c r="H139" s="1">
        <v>21.4</v>
      </c>
      <c r="I139" s="1">
        <v>1452.52</v>
      </c>
      <c r="J139" s="1">
        <v>982.59</v>
      </c>
      <c r="K139" s="1">
        <v>25623.54</v>
      </c>
      <c r="L139" s="1">
        <v>8786.02</v>
      </c>
      <c r="M139" s="1">
        <v>1865035.68</v>
      </c>
      <c r="N139" s="1">
        <v>1261645.56</v>
      </c>
      <c r="O139" s="1">
        <v>603390.12</v>
      </c>
      <c r="P139" s="4">
        <v>568980.56000000006</v>
      </c>
    </row>
    <row r="140" spans="1:16" x14ac:dyDescent="0.25">
      <c r="A140" s="3" t="s">
        <v>31</v>
      </c>
      <c r="B140" s="1" t="s">
        <v>25</v>
      </c>
      <c r="C140" s="1" t="s">
        <v>21</v>
      </c>
      <c r="D140" s="1">
        <v>1944</v>
      </c>
      <c r="E140" s="1">
        <v>2.4</v>
      </c>
      <c r="F140" s="1">
        <v>1898</v>
      </c>
      <c r="G140" s="1">
        <v>507.05</v>
      </c>
      <c r="H140" s="1">
        <v>9.4</v>
      </c>
      <c r="I140" s="1">
        <v>459.39</v>
      </c>
      <c r="J140" s="1">
        <v>203.43</v>
      </c>
      <c r="K140" s="1">
        <v>77207.240000000005</v>
      </c>
      <c r="L140" s="1">
        <v>12501.63</v>
      </c>
      <c r="M140" s="1">
        <v>871922.22</v>
      </c>
      <c r="N140" s="1">
        <v>386110.14</v>
      </c>
      <c r="O140" s="1">
        <v>485812.08</v>
      </c>
      <c r="P140" s="4">
        <v>396103.21</v>
      </c>
    </row>
    <row r="141" spans="1:16" x14ac:dyDescent="0.25">
      <c r="A141" s="3" t="s">
        <v>31</v>
      </c>
      <c r="B141" s="1" t="s">
        <v>25</v>
      </c>
      <c r="C141" s="1" t="s">
        <v>22</v>
      </c>
      <c r="D141" s="1">
        <v>1559</v>
      </c>
      <c r="E141" s="1">
        <v>8.6</v>
      </c>
      <c r="F141" s="1">
        <v>1425</v>
      </c>
      <c r="G141" s="1">
        <v>642.65</v>
      </c>
      <c r="H141" s="1">
        <v>7.8</v>
      </c>
      <c r="I141" s="1">
        <v>592.52</v>
      </c>
      <c r="J141" s="1">
        <v>304.47000000000003</v>
      </c>
      <c r="K141" s="1">
        <v>37620.129999999997</v>
      </c>
      <c r="L141" s="1">
        <v>10209.44</v>
      </c>
      <c r="M141" s="1">
        <v>844341</v>
      </c>
      <c r="N141" s="1">
        <v>433869.75</v>
      </c>
      <c r="O141" s="1">
        <v>410471.25</v>
      </c>
      <c r="P141" s="4">
        <v>362641.68</v>
      </c>
    </row>
    <row r="142" spans="1:16" x14ac:dyDescent="0.25">
      <c r="A142" s="3" t="s">
        <v>32</v>
      </c>
      <c r="B142" s="1" t="s">
        <v>17</v>
      </c>
      <c r="C142" s="1" t="s">
        <v>18</v>
      </c>
      <c r="D142" s="1">
        <v>2709</v>
      </c>
      <c r="E142" s="1">
        <v>7.2</v>
      </c>
      <c r="F142" s="1">
        <v>2514</v>
      </c>
      <c r="G142" s="1">
        <v>875.24</v>
      </c>
      <c r="H142" s="1">
        <v>28.4</v>
      </c>
      <c r="I142" s="1">
        <v>626.66999999999996</v>
      </c>
      <c r="J142" s="1">
        <v>438.56</v>
      </c>
      <c r="K142" s="1">
        <v>117514.31</v>
      </c>
      <c r="L142" s="1">
        <v>9805.2000000000007</v>
      </c>
      <c r="M142" s="1">
        <v>1575448.38</v>
      </c>
      <c r="N142" s="1">
        <v>1102539.8400000001</v>
      </c>
      <c r="O142" s="1">
        <v>472908.54</v>
      </c>
      <c r="P142" s="4">
        <v>345589.03</v>
      </c>
    </row>
    <row r="143" spans="1:16" x14ac:dyDescent="0.25">
      <c r="A143" s="3" t="s">
        <v>32</v>
      </c>
      <c r="B143" s="1" t="s">
        <v>17</v>
      </c>
      <c r="C143" s="1" t="s">
        <v>19</v>
      </c>
      <c r="D143" s="1">
        <v>2543</v>
      </c>
      <c r="E143" s="1">
        <v>2.7</v>
      </c>
      <c r="F143" s="1">
        <v>2475</v>
      </c>
      <c r="G143" s="1">
        <v>1136.6199999999999</v>
      </c>
      <c r="H143" s="1">
        <v>23.3</v>
      </c>
      <c r="I143" s="1">
        <v>871.79</v>
      </c>
      <c r="J143" s="1">
        <v>513.24</v>
      </c>
      <c r="K143" s="1">
        <v>75477.289999999994</v>
      </c>
      <c r="L143" s="1">
        <v>9744.64</v>
      </c>
      <c r="M143" s="1">
        <v>2157680.25</v>
      </c>
      <c r="N143" s="1">
        <v>1270269</v>
      </c>
      <c r="O143" s="1">
        <v>887411.25</v>
      </c>
      <c r="P143" s="4">
        <v>802189.32</v>
      </c>
    </row>
    <row r="144" spans="1:16" x14ac:dyDescent="0.25">
      <c r="A144" s="3" t="s">
        <v>32</v>
      </c>
      <c r="B144" s="1" t="s">
        <v>17</v>
      </c>
      <c r="C144" s="1" t="s">
        <v>20</v>
      </c>
      <c r="D144" s="1">
        <v>2235</v>
      </c>
      <c r="E144" s="1">
        <v>8</v>
      </c>
      <c r="F144" s="1">
        <v>2057</v>
      </c>
      <c r="G144" s="1">
        <v>1793.7</v>
      </c>
      <c r="H144" s="1">
        <v>34</v>
      </c>
      <c r="I144" s="1">
        <v>1183.8399999999999</v>
      </c>
      <c r="J144" s="1">
        <v>967.83</v>
      </c>
      <c r="K144" s="1">
        <v>40186.730000000003</v>
      </c>
      <c r="L144" s="1">
        <v>11271.24</v>
      </c>
      <c r="M144" s="1">
        <v>2435158.88</v>
      </c>
      <c r="N144" s="1">
        <v>1990826.31</v>
      </c>
      <c r="O144" s="1">
        <v>444332.57</v>
      </c>
      <c r="P144" s="4">
        <v>392874.6</v>
      </c>
    </row>
    <row r="145" spans="1:16" x14ac:dyDescent="0.25">
      <c r="A145" s="3" t="s">
        <v>32</v>
      </c>
      <c r="B145" s="1" t="s">
        <v>17</v>
      </c>
      <c r="C145" s="1" t="s">
        <v>21</v>
      </c>
      <c r="D145" s="1">
        <v>2131</v>
      </c>
      <c r="E145" s="1">
        <v>4.8</v>
      </c>
      <c r="F145" s="1">
        <v>2029</v>
      </c>
      <c r="G145" s="1">
        <v>506.21</v>
      </c>
      <c r="H145" s="1">
        <v>22.2</v>
      </c>
      <c r="I145" s="1">
        <v>393.83</v>
      </c>
      <c r="J145" s="1">
        <v>204.74</v>
      </c>
      <c r="K145" s="1">
        <v>44099.46</v>
      </c>
      <c r="L145" s="1">
        <v>8171.88</v>
      </c>
      <c r="M145" s="1">
        <v>799081.07</v>
      </c>
      <c r="N145" s="1">
        <v>415417.46</v>
      </c>
      <c r="O145" s="1">
        <v>383663.61</v>
      </c>
      <c r="P145" s="4">
        <v>331392.27</v>
      </c>
    </row>
    <row r="146" spans="1:16" x14ac:dyDescent="0.25">
      <c r="A146" s="3" t="s">
        <v>32</v>
      </c>
      <c r="B146" s="1" t="s">
        <v>17</v>
      </c>
      <c r="C146" s="1" t="s">
        <v>22</v>
      </c>
      <c r="D146" s="1">
        <v>2362</v>
      </c>
      <c r="E146" s="1">
        <v>2.1</v>
      </c>
      <c r="F146" s="1">
        <v>2313</v>
      </c>
      <c r="G146" s="1">
        <v>666.05</v>
      </c>
      <c r="H146" s="1">
        <v>26.9</v>
      </c>
      <c r="I146" s="1">
        <v>486.88</v>
      </c>
      <c r="J146" s="1">
        <v>312.18</v>
      </c>
      <c r="K146" s="1">
        <v>91182.26</v>
      </c>
      <c r="L146" s="1">
        <v>8839.6299999999992</v>
      </c>
      <c r="M146" s="1">
        <v>1126153.44</v>
      </c>
      <c r="N146" s="1">
        <v>722072.34</v>
      </c>
      <c r="O146" s="1">
        <v>404081.1</v>
      </c>
      <c r="P146" s="4">
        <v>304059.21000000002</v>
      </c>
    </row>
    <row r="147" spans="1:16" x14ac:dyDescent="0.25">
      <c r="A147" s="3" t="s">
        <v>32</v>
      </c>
      <c r="B147" s="1" t="s">
        <v>23</v>
      </c>
      <c r="C147" s="1" t="s">
        <v>18</v>
      </c>
      <c r="D147" s="1">
        <v>1611</v>
      </c>
      <c r="E147" s="1">
        <v>7.4</v>
      </c>
      <c r="F147" s="1">
        <v>1492</v>
      </c>
      <c r="G147" s="1">
        <v>874.36</v>
      </c>
      <c r="H147" s="1">
        <v>16.399999999999999</v>
      </c>
      <c r="I147" s="1">
        <v>730.96</v>
      </c>
      <c r="J147" s="1">
        <v>443.8</v>
      </c>
      <c r="K147" s="1">
        <v>34176.92</v>
      </c>
      <c r="L147" s="1">
        <v>8687.73</v>
      </c>
      <c r="M147" s="1">
        <v>1090592.32</v>
      </c>
      <c r="N147" s="1">
        <v>662149.6</v>
      </c>
      <c r="O147" s="1">
        <v>428442.72</v>
      </c>
      <c r="P147" s="4">
        <v>385578.07</v>
      </c>
    </row>
    <row r="148" spans="1:16" x14ac:dyDescent="0.25">
      <c r="A148" s="3" t="s">
        <v>32</v>
      </c>
      <c r="B148" s="1" t="s">
        <v>23</v>
      </c>
      <c r="C148" s="1" t="s">
        <v>19</v>
      </c>
      <c r="D148" s="1">
        <v>2032</v>
      </c>
      <c r="E148" s="1">
        <v>8</v>
      </c>
      <c r="F148" s="1">
        <v>1870</v>
      </c>
      <c r="G148" s="1">
        <v>1071.26</v>
      </c>
      <c r="H148" s="1">
        <v>15.1</v>
      </c>
      <c r="I148" s="1">
        <v>909.5</v>
      </c>
      <c r="J148" s="1">
        <v>555.91</v>
      </c>
      <c r="K148" s="1">
        <v>39300.18</v>
      </c>
      <c r="L148" s="1">
        <v>8214.9599999999991</v>
      </c>
      <c r="M148" s="1">
        <v>1700765</v>
      </c>
      <c r="N148" s="1">
        <v>1039551.7</v>
      </c>
      <c r="O148" s="1">
        <v>661213.30000000005</v>
      </c>
      <c r="P148" s="4">
        <v>613698.16</v>
      </c>
    </row>
    <row r="149" spans="1:16" x14ac:dyDescent="0.25">
      <c r="A149" s="3" t="s">
        <v>32</v>
      </c>
      <c r="B149" s="1" t="s">
        <v>23</v>
      </c>
      <c r="C149" s="1" t="s">
        <v>20</v>
      </c>
      <c r="D149" s="1">
        <v>1680</v>
      </c>
      <c r="E149" s="1">
        <v>2.2000000000000002</v>
      </c>
      <c r="F149" s="1">
        <v>1644</v>
      </c>
      <c r="G149" s="1">
        <v>1772.13</v>
      </c>
      <c r="H149" s="1">
        <v>28.2</v>
      </c>
      <c r="I149" s="1">
        <v>1272.3900000000001</v>
      </c>
      <c r="J149" s="1">
        <v>939.73</v>
      </c>
      <c r="K149" s="1">
        <v>25948.959999999999</v>
      </c>
      <c r="L149" s="1">
        <v>11844.92</v>
      </c>
      <c r="M149" s="1">
        <v>2091809.16</v>
      </c>
      <c r="N149" s="1">
        <v>1544916.12</v>
      </c>
      <c r="O149" s="1">
        <v>546893.04</v>
      </c>
      <c r="P149" s="4">
        <v>509099.16</v>
      </c>
    </row>
    <row r="150" spans="1:16" x14ac:dyDescent="0.25">
      <c r="A150" s="3" t="s">
        <v>32</v>
      </c>
      <c r="B150" s="1" t="s">
        <v>23</v>
      </c>
      <c r="C150" s="1" t="s">
        <v>21</v>
      </c>
      <c r="D150" s="1">
        <v>1880</v>
      </c>
      <c r="E150" s="1">
        <v>5.7</v>
      </c>
      <c r="F150" s="1">
        <v>1773</v>
      </c>
      <c r="G150" s="1">
        <v>487.73</v>
      </c>
      <c r="H150" s="1">
        <v>29.8</v>
      </c>
      <c r="I150" s="1">
        <v>342.39</v>
      </c>
      <c r="J150" s="1">
        <v>185.4</v>
      </c>
      <c r="K150" s="1">
        <v>70255.520000000004</v>
      </c>
      <c r="L150" s="1">
        <v>10119.35</v>
      </c>
      <c r="M150" s="1">
        <v>607057.47</v>
      </c>
      <c r="N150" s="1">
        <v>328714.2</v>
      </c>
      <c r="O150" s="1">
        <v>278343.27</v>
      </c>
      <c r="P150" s="4">
        <v>197968.4</v>
      </c>
    </row>
    <row r="151" spans="1:16" x14ac:dyDescent="0.25">
      <c r="A151" s="3" t="s">
        <v>32</v>
      </c>
      <c r="B151" s="1" t="s">
        <v>23</v>
      </c>
      <c r="C151" s="1" t="s">
        <v>22</v>
      </c>
      <c r="D151" s="1">
        <v>2108</v>
      </c>
      <c r="E151" s="1">
        <v>5.5</v>
      </c>
      <c r="F151" s="1">
        <v>1993</v>
      </c>
      <c r="G151" s="1">
        <v>673.53</v>
      </c>
      <c r="H151" s="1">
        <v>17.2</v>
      </c>
      <c r="I151" s="1">
        <v>557.67999999999995</v>
      </c>
      <c r="J151" s="1">
        <v>307.94</v>
      </c>
      <c r="K151" s="1">
        <v>91408.09</v>
      </c>
      <c r="L151" s="1">
        <v>7738.51</v>
      </c>
      <c r="M151" s="1">
        <v>1111456.24</v>
      </c>
      <c r="N151" s="1">
        <v>613724.42000000004</v>
      </c>
      <c r="O151" s="1">
        <v>497731.82</v>
      </c>
      <c r="P151" s="4">
        <v>398585.22</v>
      </c>
    </row>
    <row r="152" spans="1:16" x14ac:dyDescent="0.25">
      <c r="A152" s="3" t="s">
        <v>32</v>
      </c>
      <c r="B152" s="1" t="s">
        <v>24</v>
      </c>
      <c r="C152" s="1" t="s">
        <v>18</v>
      </c>
      <c r="D152" s="1">
        <v>2082</v>
      </c>
      <c r="E152" s="1">
        <v>2.4</v>
      </c>
      <c r="F152" s="1">
        <v>2033</v>
      </c>
      <c r="G152" s="1">
        <v>909.92</v>
      </c>
      <c r="H152" s="1">
        <v>34.299999999999997</v>
      </c>
      <c r="I152" s="1">
        <v>597.82000000000005</v>
      </c>
      <c r="J152" s="1">
        <v>438.77</v>
      </c>
      <c r="K152" s="1">
        <v>61147.21</v>
      </c>
      <c r="L152" s="1">
        <v>9708.9</v>
      </c>
      <c r="M152" s="1">
        <v>1215368.06</v>
      </c>
      <c r="N152" s="1">
        <v>892019.41</v>
      </c>
      <c r="O152" s="1">
        <v>323348.65000000002</v>
      </c>
      <c r="P152" s="4">
        <v>252492.55</v>
      </c>
    </row>
    <row r="153" spans="1:16" x14ac:dyDescent="0.25">
      <c r="A153" s="3" t="s">
        <v>32</v>
      </c>
      <c r="B153" s="1" t="s">
        <v>24</v>
      </c>
      <c r="C153" s="1" t="s">
        <v>19</v>
      </c>
      <c r="D153" s="1">
        <v>1382</v>
      </c>
      <c r="E153" s="1">
        <v>2.5</v>
      </c>
      <c r="F153" s="1">
        <v>1348</v>
      </c>
      <c r="G153" s="1">
        <v>1130.44</v>
      </c>
      <c r="H153" s="1">
        <v>33.200000000000003</v>
      </c>
      <c r="I153" s="1">
        <v>755.13</v>
      </c>
      <c r="J153" s="1">
        <v>532.44000000000005</v>
      </c>
      <c r="K153" s="1">
        <v>24079.57</v>
      </c>
      <c r="L153" s="1">
        <v>10845.64</v>
      </c>
      <c r="M153" s="1">
        <v>1017915.24</v>
      </c>
      <c r="N153" s="1">
        <v>717729.12</v>
      </c>
      <c r="O153" s="1">
        <v>300186.12</v>
      </c>
      <c r="P153" s="4">
        <v>265260.90999999997</v>
      </c>
    </row>
    <row r="154" spans="1:16" x14ac:dyDescent="0.25">
      <c r="A154" s="3" t="s">
        <v>32</v>
      </c>
      <c r="B154" s="1" t="s">
        <v>24</v>
      </c>
      <c r="C154" s="1" t="s">
        <v>20</v>
      </c>
      <c r="D154" s="1">
        <v>2176</v>
      </c>
      <c r="E154" s="1">
        <v>9</v>
      </c>
      <c r="F154" s="1">
        <v>1981</v>
      </c>
      <c r="G154" s="1">
        <v>1840.93</v>
      </c>
      <c r="H154" s="1">
        <v>21.5</v>
      </c>
      <c r="I154" s="1">
        <v>1445.13</v>
      </c>
      <c r="J154" s="1">
        <v>978.8</v>
      </c>
      <c r="K154" s="1">
        <v>67274.75</v>
      </c>
      <c r="L154" s="1">
        <v>9995.44</v>
      </c>
      <c r="M154" s="1">
        <v>2862802.53</v>
      </c>
      <c r="N154" s="1">
        <v>1939002.8</v>
      </c>
      <c r="O154" s="1">
        <v>923799.73</v>
      </c>
      <c r="P154" s="4">
        <v>846529.54</v>
      </c>
    </row>
    <row r="155" spans="1:16" x14ac:dyDescent="0.25">
      <c r="A155" s="3" t="s">
        <v>32</v>
      </c>
      <c r="B155" s="1" t="s">
        <v>24</v>
      </c>
      <c r="C155" s="1" t="s">
        <v>21</v>
      </c>
      <c r="D155" s="1">
        <v>2054</v>
      </c>
      <c r="E155" s="1">
        <v>8</v>
      </c>
      <c r="F155" s="1">
        <v>1890</v>
      </c>
      <c r="G155" s="1">
        <v>509.25</v>
      </c>
      <c r="H155" s="1">
        <v>29</v>
      </c>
      <c r="I155" s="1">
        <v>361.57</v>
      </c>
      <c r="J155" s="1">
        <v>186.37</v>
      </c>
      <c r="K155" s="1">
        <v>70919.48</v>
      </c>
      <c r="L155" s="1">
        <v>11729.3</v>
      </c>
      <c r="M155" s="1">
        <v>683367.3</v>
      </c>
      <c r="N155" s="1">
        <v>352239.3</v>
      </c>
      <c r="O155" s="1">
        <v>331128</v>
      </c>
      <c r="P155" s="4">
        <v>248479.23</v>
      </c>
    </row>
    <row r="156" spans="1:16" x14ac:dyDescent="0.25">
      <c r="A156" s="3" t="s">
        <v>32</v>
      </c>
      <c r="B156" s="1" t="s">
        <v>24</v>
      </c>
      <c r="C156" s="1" t="s">
        <v>22</v>
      </c>
      <c r="D156" s="1">
        <v>1922</v>
      </c>
      <c r="E156" s="1">
        <v>5.2</v>
      </c>
      <c r="F156" s="1">
        <v>1823</v>
      </c>
      <c r="G156" s="1">
        <v>652.35</v>
      </c>
      <c r="H156" s="1">
        <v>21.8</v>
      </c>
      <c r="I156" s="1">
        <v>510.14</v>
      </c>
      <c r="J156" s="1">
        <v>298.54000000000002</v>
      </c>
      <c r="K156" s="1">
        <v>52815.96</v>
      </c>
      <c r="L156" s="1">
        <v>8022.97</v>
      </c>
      <c r="M156" s="1">
        <v>929985.22</v>
      </c>
      <c r="N156" s="1">
        <v>544238.42000000004</v>
      </c>
      <c r="O156" s="1">
        <v>385746.8</v>
      </c>
      <c r="P156" s="4">
        <v>324907.87</v>
      </c>
    </row>
    <row r="157" spans="1:16" x14ac:dyDescent="0.25">
      <c r="A157" s="3" t="s">
        <v>32</v>
      </c>
      <c r="B157" s="1" t="s">
        <v>25</v>
      </c>
      <c r="C157" s="1" t="s">
        <v>18</v>
      </c>
      <c r="D157" s="1">
        <v>1846</v>
      </c>
      <c r="E157" s="1">
        <v>3.1</v>
      </c>
      <c r="F157" s="1">
        <v>1789</v>
      </c>
      <c r="G157" s="1">
        <v>901.41</v>
      </c>
      <c r="H157" s="1">
        <v>22.5</v>
      </c>
      <c r="I157" s="1">
        <v>698.59</v>
      </c>
      <c r="J157" s="1">
        <v>448.56</v>
      </c>
      <c r="K157" s="1">
        <v>78804.91</v>
      </c>
      <c r="L157" s="1">
        <v>7869.23</v>
      </c>
      <c r="M157" s="1">
        <v>1249777.51</v>
      </c>
      <c r="N157" s="1">
        <v>802473.84</v>
      </c>
      <c r="O157" s="1">
        <v>447303.67</v>
      </c>
      <c r="P157" s="4">
        <v>360629.53</v>
      </c>
    </row>
    <row r="158" spans="1:16" x14ac:dyDescent="0.25">
      <c r="A158" s="3" t="s">
        <v>32</v>
      </c>
      <c r="B158" s="1" t="s">
        <v>25</v>
      </c>
      <c r="C158" s="1" t="s">
        <v>19</v>
      </c>
      <c r="D158" s="1">
        <v>2125</v>
      </c>
      <c r="E158" s="1">
        <v>5.9</v>
      </c>
      <c r="F158" s="1">
        <v>2000</v>
      </c>
      <c r="G158" s="1">
        <v>1065.6500000000001</v>
      </c>
      <c r="H158" s="1">
        <v>31.2</v>
      </c>
      <c r="I158" s="1">
        <v>733.17</v>
      </c>
      <c r="J158" s="1">
        <v>546.66</v>
      </c>
      <c r="K158" s="1">
        <v>69262.149999999994</v>
      </c>
      <c r="L158" s="1">
        <v>10588.73</v>
      </c>
      <c r="M158" s="1">
        <v>1466340</v>
      </c>
      <c r="N158" s="1">
        <v>1093320</v>
      </c>
      <c r="O158" s="1">
        <v>373020</v>
      </c>
      <c r="P158" s="4">
        <v>293169.12</v>
      </c>
    </row>
    <row r="159" spans="1:16" x14ac:dyDescent="0.25">
      <c r="A159" s="3" t="s">
        <v>32</v>
      </c>
      <c r="B159" s="1" t="s">
        <v>25</v>
      </c>
      <c r="C159" s="1" t="s">
        <v>20</v>
      </c>
      <c r="D159" s="1">
        <v>1939</v>
      </c>
      <c r="E159" s="1">
        <v>6.7</v>
      </c>
      <c r="F159" s="1">
        <v>1810</v>
      </c>
      <c r="G159" s="1">
        <v>1786.34</v>
      </c>
      <c r="H159" s="1">
        <v>22.1</v>
      </c>
      <c r="I159" s="1">
        <v>1391.56</v>
      </c>
      <c r="J159" s="1">
        <v>934.27</v>
      </c>
      <c r="K159" s="1">
        <v>72729.03</v>
      </c>
      <c r="L159" s="1">
        <v>12274.51</v>
      </c>
      <c r="M159" s="1">
        <v>2518723.6</v>
      </c>
      <c r="N159" s="1">
        <v>1691028.7</v>
      </c>
      <c r="O159" s="1">
        <v>827694.9</v>
      </c>
      <c r="P159" s="4">
        <v>742691.36</v>
      </c>
    </row>
    <row r="160" spans="1:16" x14ac:dyDescent="0.25">
      <c r="A160" s="3" t="s">
        <v>32</v>
      </c>
      <c r="B160" s="1" t="s">
        <v>25</v>
      </c>
      <c r="C160" s="1" t="s">
        <v>21</v>
      </c>
      <c r="D160" s="1">
        <v>1911</v>
      </c>
      <c r="E160" s="1">
        <v>3.5</v>
      </c>
      <c r="F160" s="1">
        <v>1845</v>
      </c>
      <c r="G160" s="1">
        <v>509</v>
      </c>
      <c r="H160" s="1">
        <v>26.6</v>
      </c>
      <c r="I160" s="1">
        <v>373.61</v>
      </c>
      <c r="J160" s="1">
        <v>191.65</v>
      </c>
      <c r="K160" s="1">
        <v>66315.69</v>
      </c>
      <c r="L160" s="1">
        <v>8733.35</v>
      </c>
      <c r="M160" s="1">
        <v>689310.45</v>
      </c>
      <c r="N160" s="1">
        <v>353594.25</v>
      </c>
      <c r="O160" s="1">
        <v>335716.2</v>
      </c>
      <c r="P160" s="4">
        <v>260667.16</v>
      </c>
    </row>
    <row r="161" spans="1:16" x14ac:dyDescent="0.25">
      <c r="A161" s="8" t="s">
        <v>32</v>
      </c>
      <c r="B161" s="9" t="s">
        <v>25</v>
      </c>
      <c r="C161" s="9" t="s">
        <v>22</v>
      </c>
      <c r="D161" s="9">
        <v>1260</v>
      </c>
      <c r="E161" s="9">
        <v>7.3</v>
      </c>
      <c r="F161" s="9">
        <v>1169</v>
      </c>
      <c r="G161" s="9">
        <v>630.05999999999995</v>
      </c>
      <c r="H161" s="9">
        <v>22.4</v>
      </c>
      <c r="I161" s="9">
        <v>488.93</v>
      </c>
      <c r="J161" s="9">
        <v>318.89999999999998</v>
      </c>
      <c r="K161" s="9">
        <v>40600.980000000003</v>
      </c>
      <c r="L161" s="9">
        <v>11939.72</v>
      </c>
      <c r="M161" s="9">
        <v>571559.17000000004</v>
      </c>
      <c r="N161" s="9">
        <v>372794.1</v>
      </c>
      <c r="O161" s="9">
        <v>198765.07</v>
      </c>
      <c r="P161" s="10">
        <v>146224.37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F941CA-FE1D-496A-B4BF-766B20ADDA95}">
  <dimension ref="A3:S62"/>
  <sheetViews>
    <sheetView topLeftCell="A32" zoomScale="78" workbookViewId="0">
      <selection activeCell="I73" sqref="I73"/>
    </sheetView>
  </sheetViews>
  <sheetFormatPr defaultRowHeight="15" x14ac:dyDescent="0.25"/>
  <cols>
    <col min="1" max="1" width="10" customWidth="1"/>
    <col min="2" max="2" width="9.42578125" customWidth="1"/>
    <col min="3" max="3" width="19.140625" customWidth="1"/>
    <col min="4" max="4" width="18.85546875" customWidth="1"/>
    <col min="5" max="5" width="18" customWidth="1"/>
    <col min="6" max="6" width="20" customWidth="1"/>
    <col min="7" max="7" width="16" customWidth="1"/>
    <col min="8" max="8" width="15" customWidth="1"/>
    <col min="9" max="9" width="27.85546875" customWidth="1"/>
    <col min="10" max="10" width="20.5703125" customWidth="1"/>
    <col min="11" max="12" width="19.85546875" customWidth="1"/>
    <col min="13" max="13" width="18" customWidth="1"/>
    <col min="14" max="14" width="17.85546875" customWidth="1"/>
    <col min="15" max="15" width="18.42578125" customWidth="1"/>
    <col min="16" max="16" width="16.42578125" customWidth="1"/>
  </cols>
  <sheetData>
    <row r="3" spans="1:19" ht="16.5" x14ac:dyDescent="0.25">
      <c r="A3" s="33" t="s">
        <v>33</v>
      </c>
      <c r="B3" s="33"/>
      <c r="C3" s="33"/>
      <c r="D3" s="33"/>
      <c r="E3" s="33"/>
      <c r="F3" s="33"/>
      <c r="G3" s="33"/>
    </row>
    <row r="6" spans="1:19" x14ac:dyDescent="0.25">
      <c r="A6" s="34" t="s">
        <v>46</v>
      </c>
      <c r="B6" s="34"/>
      <c r="C6" s="34"/>
      <c r="D6" s="34"/>
      <c r="E6" s="34"/>
      <c r="F6" s="34"/>
      <c r="G6" s="34"/>
      <c r="H6" s="34"/>
      <c r="I6" s="34"/>
      <c r="J6" s="34"/>
      <c r="K6" s="34"/>
      <c r="L6" s="34"/>
      <c r="M6" s="34"/>
      <c r="N6" s="34"/>
      <c r="O6" s="34"/>
      <c r="P6" s="34"/>
      <c r="Q6" s="34"/>
      <c r="R6" s="34"/>
      <c r="S6" s="34"/>
    </row>
    <row r="8" spans="1:19" x14ac:dyDescent="0.25">
      <c r="A8" t="s">
        <v>0</v>
      </c>
      <c r="B8" t="s">
        <v>1</v>
      </c>
      <c r="C8" t="s">
        <v>2</v>
      </c>
      <c r="D8" t="s">
        <v>3</v>
      </c>
      <c r="E8" t="s">
        <v>4</v>
      </c>
      <c r="F8" t="s">
        <v>5</v>
      </c>
      <c r="G8" t="s">
        <v>6</v>
      </c>
      <c r="H8" t="s">
        <v>7</v>
      </c>
      <c r="I8" t="s">
        <v>8</v>
      </c>
      <c r="J8" t="s">
        <v>9</v>
      </c>
      <c r="K8" t="s">
        <v>10</v>
      </c>
      <c r="L8" t="s">
        <v>11</v>
      </c>
      <c r="M8" t="s">
        <v>12</v>
      </c>
      <c r="N8" t="s">
        <v>13</v>
      </c>
      <c r="O8" t="s">
        <v>14</v>
      </c>
      <c r="P8" t="s">
        <v>15</v>
      </c>
    </row>
    <row r="9" spans="1:19" x14ac:dyDescent="0.25">
      <c r="A9" t="s">
        <v>29</v>
      </c>
      <c r="B9" t="s">
        <v>25</v>
      </c>
      <c r="C9" t="s">
        <v>22</v>
      </c>
      <c r="D9">
        <v>1182</v>
      </c>
      <c r="E9">
        <v>8.5</v>
      </c>
      <c r="F9">
        <v>1082</v>
      </c>
      <c r="G9">
        <v>674.17</v>
      </c>
      <c r="H9">
        <v>28.2</v>
      </c>
      <c r="I9">
        <v>484.05</v>
      </c>
      <c r="J9">
        <v>311.63</v>
      </c>
      <c r="K9">
        <v>32805.43</v>
      </c>
      <c r="L9">
        <v>10495.09</v>
      </c>
      <c r="M9">
        <v>523742.1</v>
      </c>
      <c r="N9">
        <v>337183.66</v>
      </c>
      <c r="O9">
        <v>186558.44</v>
      </c>
      <c r="P9">
        <v>143257.92000000001</v>
      </c>
    </row>
    <row r="10" spans="1:19" x14ac:dyDescent="0.25">
      <c r="A10" t="s">
        <v>30</v>
      </c>
      <c r="B10" t="s">
        <v>25</v>
      </c>
      <c r="C10" t="s">
        <v>22</v>
      </c>
      <c r="D10">
        <v>1508</v>
      </c>
      <c r="E10">
        <v>3.1</v>
      </c>
      <c r="F10">
        <v>1462</v>
      </c>
      <c r="G10">
        <v>669.93</v>
      </c>
      <c r="H10">
        <v>18.100000000000001</v>
      </c>
      <c r="I10">
        <v>548.66999999999996</v>
      </c>
      <c r="J10">
        <v>304.52999999999997</v>
      </c>
      <c r="K10">
        <v>43859.75</v>
      </c>
      <c r="L10">
        <v>12830.62</v>
      </c>
      <c r="M10">
        <v>802155.54</v>
      </c>
      <c r="N10">
        <v>445222.86</v>
      </c>
      <c r="O10">
        <v>356932.68</v>
      </c>
      <c r="P10">
        <v>300242.31</v>
      </c>
    </row>
    <row r="11" spans="1:19" x14ac:dyDescent="0.25">
      <c r="A11" t="s">
        <v>31</v>
      </c>
      <c r="B11" t="s">
        <v>25</v>
      </c>
      <c r="C11" t="s">
        <v>22</v>
      </c>
      <c r="D11">
        <v>1559</v>
      </c>
      <c r="E11">
        <v>8.6</v>
      </c>
      <c r="F11">
        <v>1425</v>
      </c>
      <c r="G11">
        <v>642.65</v>
      </c>
      <c r="H11">
        <v>7.8</v>
      </c>
      <c r="I11">
        <v>592.52</v>
      </c>
      <c r="J11">
        <v>304.47000000000003</v>
      </c>
      <c r="K11">
        <v>37620.129999999997</v>
      </c>
      <c r="L11">
        <v>10209.44</v>
      </c>
      <c r="M11">
        <v>844341</v>
      </c>
      <c r="N11">
        <v>433869.75</v>
      </c>
      <c r="O11">
        <v>410471.25</v>
      </c>
      <c r="P11">
        <v>362641.68</v>
      </c>
    </row>
    <row r="12" spans="1:19" x14ac:dyDescent="0.25">
      <c r="A12" t="s">
        <v>32</v>
      </c>
      <c r="B12" t="s">
        <v>25</v>
      </c>
      <c r="C12" t="s">
        <v>22</v>
      </c>
      <c r="D12">
        <v>1260</v>
      </c>
      <c r="E12">
        <v>7.3</v>
      </c>
      <c r="F12">
        <v>1169</v>
      </c>
      <c r="G12">
        <v>630.05999999999995</v>
      </c>
      <c r="H12">
        <v>22.4</v>
      </c>
      <c r="I12">
        <v>488.93</v>
      </c>
      <c r="J12">
        <v>318.89999999999998</v>
      </c>
      <c r="K12">
        <v>40600.980000000003</v>
      </c>
      <c r="L12">
        <v>11939.72</v>
      </c>
      <c r="M12">
        <v>571559.17000000004</v>
      </c>
      <c r="N12">
        <v>372794.1</v>
      </c>
      <c r="O12">
        <v>198765.07</v>
      </c>
      <c r="P12">
        <v>146224.37</v>
      </c>
    </row>
    <row r="16" spans="1:19" x14ac:dyDescent="0.25">
      <c r="C16" s="18" t="s">
        <v>41</v>
      </c>
      <c r="D16" s="13">
        <f>AVERAGE(Table2[List_Price_INR])</f>
        <v>654.20249999999999</v>
      </c>
    </row>
    <row r="17" spans="2:7" x14ac:dyDescent="0.25">
      <c r="C17" s="18" t="s">
        <v>35</v>
      </c>
      <c r="D17" s="14">
        <v>0.05</v>
      </c>
      <c r="F17" s="17" t="s">
        <v>44</v>
      </c>
      <c r="G17" s="17" t="s">
        <v>34</v>
      </c>
    </row>
    <row r="18" spans="2:7" x14ac:dyDescent="0.25">
      <c r="C18" s="18" t="s">
        <v>42</v>
      </c>
      <c r="D18" s="13">
        <f>D16-(D16*D17/100)</f>
        <v>653.87539874999993</v>
      </c>
      <c r="F18" s="15">
        <v>0.05</v>
      </c>
      <c r="G18" s="16">
        <f>D25</f>
        <v>453192.01042843738</v>
      </c>
    </row>
    <row r="19" spans="2:7" x14ac:dyDescent="0.25">
      <c r="C19" s="18" t="s">
        <v>43</v>
      </c>
      <c r="D19" s="13">
        <f>AVERAGE(Table2[Units_Sold_Gross])</f>
        <v>1377.25</v>
      </c>
      <c r="F19" s="15">
        <v>0.1</v>
      </c>
      <c r="G19" s="16">
        <f t="dataTable" ref="G19:G25" dt2D="0" dtr="0" r1="D17"/>
        <v>452741.51023187488</v>
      </c>
    </row>
    <row r="20" spans="2:7" x14ac:dyDescent="0.25">
      <c r="B20" s="2"/>
      <c r="C20" s="18" t="s">
        <v>36</v>
      </c>
      <c r="D20" s="13">
        <f>AVERAGE(Table2[COGS_INR])</f>
        <v>397267.59250000003</v>
      </c>
      <c r="E20" s="2"/>
      <c r="F20" s="15">
        <v>0.15</v>
      </c>
      <c r="G20" s="16">
        <v>452291.01003531239</v>
      </c>
    </row>
    <row r="21" spans="2:7" x14ac:dyDescent="0.25">
      <c r="C21" s="18" t="s">
        <v>37</v>
      </c>
      <c r="D21" s="13">
        <f>D18*D19</f>
        <v>900549.89292843745</v>
      </c>
      <c r="F21" s="15">
        <v>0.2</v>
      </c>
      <c r="G21" s="16">
        <v>451840.50983874989</v>
      </c>
    </row>
    <row r="22" spans="2:7" x14ac:dyDescent="0.25">
      <c r="C22" s="18" t="s">
        <v>38</v>
      </c>
      <c r="D22" s="13">
        <f>D21-D20</f>
        <v>503282.30042843742</v>
      </c>
      <c r="F22" s="15">
        <v>0.25</v>
      </c>
      <c r="G22" s="16">
        <v>451390.00964218739</v>
      </c>
    </row>
    <row r="23" spans="2:7" x14ac:dyDescent="0.25">
      <c r="C23" s="18" t="s">
        <v>39</v>
      </c>
      <c r="D23" s="13">
        <f>AVERAGE(Table2[Marketing_Spend_INR])</f>
        <v>38721.572500000002</v>
      </c>
      <c r="F23" s="15">
        <v>0.3</v>
      </c>
      <c r="G23" s="16">
        <v>450939.50944562489</v>
      </c>
    </row>
    <row r="24" spans="2:7" x14ac:dyDescent="0.25">
      <c r="C24" s="18" t="s">
        <v>40</v>
      </c>
      <c r="D24" s="13">
        <f>AVERAGE(Table2[Allocated_Fixed_Cost_INR])</f>
        <v>11368.717500000001</v>
      </c>
      <c r="F24" s="15">
        <v>0.35</v>
      </c>
      <c r="G24" s="16">
        <v>450489.00924906239</v>
      </c>
    </row>
    <row r="25" spans="2:7" x14ac:dyDescent="0.25">
      <c r="C25" s="18" t="s">
        <v>34</v>
      </c>
      <c r="D25" s="13">
        <f>D22-D24-D23</f>
        <v>453192.01042843738</v>
      </c>
      <c r="F25" s="15">
        <v>0.4</v>
      </c>
      <c r="G25" s="16">
        <v>450038.5090524999</v>
      </c>
    </row>
    <row r="33" spans="1:17" x14ac:dyDescent="0.25">
      <c r="A33" s="19"/>
      <c r="B33" s="34" t="s">
        <v>45</v>
      </c>
      <c r="C33" s="34"/>
      <c r="D33" s="34"/>
      <c r="E33" s="34"/>
      <c r="F33" s="34"/>
      <c r="G33" s="34"/>
      <c r="H33" s="34"/>
      <c r="I33" s="34"/>
      <c r="J33" s="34"/>
      <c r="K33" s="34"/>
      <c r="L33" s="34"/>
      <c r="M33" s="34"/>
      <c r="N33" s="34"/>
      <c r="O33" s="19"/>
      <c r="P33" s="19"/>
      <c r="Q33" s="19"/>
    </row>
    <row r="35" spans="1:17" x14ac:dyDescent="0.25">
      <c r="A35" t="s">
        <v>0</v>
      </c>
      <c r="B35" t="s">
        <v>1</v>
      </c>
      <c r="C35" t="s">
        <v>2</v>
      </c>
      <c r="D35" t="s">
        <v>3</v>
      </c>
      <c r="E35" t="s">
        <v>4</v>
      </c>
      <c r="F35" t="s">
        <v>5</v>
      </c>
      <c r="G35" t="s">
        <v>6</v>
      </c>
      <c r="H35" t="s">
        <v>7</v>
      </c>
      <c r="I35" t="s">
        <v>8</v>
      </c>
      <c r="J35" t="s">
        <v>9</v>
      </c>
      <c r="K35" t="s">
        <v>10</v>
      </c>
      <c r="L35" t="s">
        <v>11</v>
      </c>
      <c r="M35" t="s">
        <v>12</v>
      </c>
      <c r="N35" t="s">
        <v>13</v>
      </c>
      <c r="O35" t="s">
        <v>14</v>
      </c>
      <c r="P35" t="s">
        <v>15</v>
      </c>
    </row>
    <row r="36" spans="1:17" x14ac:dyDescent="0.25">
      <c r="A36" t="s">
        <v>29</v>
      </c>
      <c r="B36" t="s">
        <v>23</v>
      </c>
      <c r="C36" t="s">
        <v>21</v>
      </c>
      <c r="D36">
        <v>1145</v>
      </c>
      <c r="E36">
        <v>2.8</v>
      </c>
      <c r="F36">
        <v>1113</v>
      </c>
      <c r="G36">
        <v>514.11</v>
      </c>
      <c r="H36">
        <v>20</v>
      </c>
      <c r="I36">
        <v>411.29</v>
      </c>
      <c r="J36">
        <v>189.96</v>
      </c>
      <c r="K36">
        <v>23790.27</v>
      </c>
      <c r="L36">
        <v>8157.55</v>
      </c>
      <c r="M36">
        <v>457765.77</v>
      </c>
      <c r="N36">
        <v>211425.48</v>
      </c>
      <c r="O36">
        <v>246340.29</v>
      </c>
      <c r="P36">
        <v>214392.47</v>
      </c>
    </row>
    <row r="37" spans="1:17" x14ac:dyDescent="0.25">
      <c r="A37" t="s">
        <v>30</v>
      </c>
      <c r="B37" t="s">
        <v>23</v>
      </c>
      <c r="C37" t="s">
        <v>21</v>
      </c>
      <c r="D37">
        <v>1115</v>
      </c>
      <c r="E37">
        <v>6.4</v>
      </c>
      <c r="F37">
        <v>1044</v>
      </c>
      <c r="G37">
        <v>488.4</v>
      </c>
      <c r="H37">
        <v>20.100000000000001</v>
      </c>
      <c r="I37">
        <v>390.23</v>
      </c>
      <c r="J37">
        <v>191.86</v>
      </c>
      <c r="K37">
        <v>42146.68</v>
      </c>
      <c r="L37">
        <v>8619.57</v>
      </c>
      <c r="M37">
        <v>407400.12</v>
      </c>
      <c r="N37">
        <v>200301.84</v>
      </c>
      <c r="O37">
        <v>207098.28</v>
      </c>
      <c r="P37">
        <v>156332.03</v>
      </c>
    </row>
    <row r="38" spans="1:17" x14ac:dyDescent="0.25">
      <c r="A38" t="s">
        <v>31</v>
      </c>
      <c r="B38" t="s">
        <v>23</v>
      </c>
      <c r="C38" t="s">
        <v>21</v>
      </c>
      <c r="D38">
        <v>1197</v>
      </c>
      <c r="E38">
        <v>4.0999999999999996</v>
      </c>
      <c r="F38">
        <v>1148</v>
      </c>
      <c r="G38">
        <v>507.58</v>
      </c>
      <c r="H38">
        <v>24.9</v>
      </c>
      <c r="I38">
        <v>381.19</v>
      </c>
      <c r="J38">
        <v>196.31</v>
      </c>
      <c r="K38">
        <v>53072.99</v>
      </c>
      <c r="L38">
        <v>11120.26</v>
      </c>
      <c r="M38">
        <v>437606.12</v>
      </c>
      <c r="N38">
        <v>225363.88</v>
      </c>
      <c r="O38">
        <v>212242.24</v>
      </c>
      <c r="P38">
        <v>148048.99</v>
      </c>
    </row>
    <row r="39" spans="1:17" x14ac:dyDescent="0.25">
      <c r="A39" t="s">
        <v>32</v>
      </c>
      <c r="B39" t="s">
        <v>23</v>
      </c>
      <c r="C39" t="s">
        <v>21</v>
      </c>
      <c r="D39">
        <v>1880</v>
      </c>
      <c r="E39">
        <v>5.7</v>
      </c>
      <c r="F39">
        <v>1773</v>
      </c>
      <c r="G39">
        <v>487.73</v>
      </c>
      <c r="H39">
        <v>29.8</v>
      </c>
      <c r="I39">
        <v>342.39</v>
      </c>
      <c r="J39">
        <v>185.4</v>
      </c>
      <c r="K39">
        <v>70255.520000000004</v>
      </c>
      <c r="L39">
        <v>10119.35</v>
      </c>
      <c r="M39">
        <v>607057.47</v>
      </c>
      <c r="N39">
        <v>328714.2</v>
      </c>
      <c r="O39">
        <v>278343.27</v>
      </c>
      <c r="P39">
        <v>197968.4</v>
      </c>
    </row>
    <row r="43" spans="1:17" x14ac:dyDescent="0.25">
      <c r="J43" s="23">
        <f>D55</f>
        <v>184640.46621749992</v>
      </c>
      <c r="K43" s="22">
        <v>-0.15</v>
      </c>
      <c r="L43" s="22">
        <v>-7.4999999999999997E-2</v>
      </c>
      <c r="M43" s="22">
        <v>0</v>
      </c>
      <c r="N43" s="22">
        <v>7.4999999999999997E-2</v>
      </c>
      <c r="O43" s="22">
        <v>0.15</v>
      </c>
    </row>
    <row r="44" spans="1:17" x14ac:dyDescent="0.25">
      <c r="C44" s="24" t="s">
        <v>52</v>
      </c>
      <c r="D44" s="25">
        <f>AVERAGE(Table3[List_Price_INR])</f>
        <v>499.45499999999998</v>
      </c>
      <c r="J44" s="22">
        <v>-0.1</v>
      </c>
      <c r="K44" s="21"/>
      <c r="L44" s="21"/>
      <c r="M44" s="21"/>
      <c r="N44" s="21"/>
      <c r="O44" s="21"/>
    </row>
    <row r="45" spans="1:17" x14ac:dyDescent="0.25">
      <c r="C45" s="24" t="s">
        <v>50</v>
      </c>
      <c r="D45" s="25">
        <f>AVERAGE(Table3[Unit_Cost_INR])</f>
        <v>190.88250000000002</v>
      </c>
      <c r="J45" s="22">
        <v>-0.05</v>
      </c>
      <c r="K45" s="21"/>
      <c r="L45" s="21"/>
      <c r="M45" s="21"/>
      <c r="N45" s="21"/>
      <c r="O45" s="21"/>
    </row>
    <row r="46" spans="1:17" x14ac:dyDescent="0.25">
      <c r="C46" s="24" t="s">
        <v>54</v>
      </c>
      <c r="D46" s="25">
        <f>AVERAGE(Table3[Marketing_Spend_INR])</f>
        <v>47316.365000000005</v>
      </c>
      <c r="J46" s="22">
        <v>0</v>
      </c>
      <c r="K46" s="21"/>
      <c r="L46" s="21"/>
      <c r="M46" s="21"/>
      <c r="N46" s="21"/>
      <c r="O46" s="21"/>
    </row>
    <row r="47" spans="1:17" x14ac:dyDescent="0.25">
      <c r="C47" s="1" t="s">
        <v>53</v>
      </c>
      <c r="D47" s="20">
        <f>D44-(D44*D49/100)</f>
        <v>498.27129164999997</v>
      </c>
      <c r="J47" s="22">
        <v>0.05</v>
      </c>
      <c r="K47" s="21"/>
      <c r="L47" s="21"/>
      <c r="M47" s="21"/>
      <c r="N47" s="21"/>
      <c r="O47" s="21"/>
    </row>
    <row r="48" spans="1:17" x14ac:dyDescent="0.25">
      <c r="C48" s="1" t="s">
        <v>14</v>
      </c>
      <c r="D48" s="20">
        <f>D52-D53</f>
        <v>241461.01371749994</v>
      </c>
      <c r="J48" s="22">
        <v>0.1</v>
      </c>
      <c r="K48" s="21"/>
      <c r="L48" s="21"/>
      <c r="M48" s="21"/>
      <c r="N48" s="21"/>
      <c r="O48" s="21"/>
    </row>
    <row r="49" spans="3:8" x14ac:dyDescent="0.25">
      <c r="C49" s="24" t="s">
        <v>35</v>
      </c>
      <c r="D49" s="26">
        <f>AVERAGE(Table3[Discount_Pct])/100</f>
        <v>0.23699999999999999</v>
      </c>
      <c r="G49" s="12" t="s">
        <v>49</v>
      </c>
      <c r="H49" s="12" t="s">
        <v>34</v>
      </c>
    </row>
    <row r="50" spans="3:8" x14ac:dyDescent="0.25">
      <c r="C50" s="24" t="s">
        <v>43</v>
      </c>
      <c r="D50" s="25">
        <f>AVERAGE(Table3[Units_Sold_Net])</f>
        <v>1269.5</v>
      </c>
      <c r="G50" s="14">
        <v>-0.15</v>
      </c>
      <c r="H50" s="12"/>
    </row>
    <row r="51" spans="3:8" x14ac:dyDescent="0.25">
      <c r="C51" s="24" t="s">
        <v>40</v>
      </c>
      <c r="D51" s="25">
        <f>AVERAGE(Table3[Allocated_Fixed_Cost_INR])</f>
        <v>9504.182499999999</v>
      </c>
      <c r="G51" s="14">
        <v>-7.4999999999999997E-2</v>
      </c>
      <c r="H51" s="12"/>
    </row>
    <row r="52" spans="3:8" x14ac:dyDescent="0.25">
      <c r="C52" s="24" t="s">
        <v>37</v>
      </c>
      <c r="D52" s="25">
        <f>D50*D44*(1-D49)</f>
        <v>483786.34746749996</v>
      </c>
      <c r="G52" s="14">
        <v>0</v>
      </c>
      <c r="H52" s="13"/>
    </row>
    <row r="53" spans="3:8" x14ac:dyDescent="0.25">
      <c r="C53" s="1" t="s">
        <v>36</v>
      </c>
      <c r="D53" s="20">
        <f>D50*D45</f>
        <v>242325.33375000002</v>
      </c>
      <c r="G53" s="14">
        <v>7.4999999999999997E-2</v>
      </c>
      <c r="H53" s="12"/>
    </row>
    <row r="54" spans="3:8" x14ac:dyDescent="0.25">
      <c r="C54" s="1" t="s">
        <v>47</v>
      </c>
      <c r="D54" s="20">
        <f>D48-D46-D51</f>
        <v>184640.46621749992</v>
      </c>
      <c r="G54" s="14">
        <v>0.15</v>
      </c>
      <c r="H54" s="12"/>
    </row>
    <row r="55" spans="3:8" x14ac:dyDescent="0.25">
      <c r="C55" s="24" t="s">
        <v>48</v>
      </c>
      <c r="D55" s="25">
        <f>D52-D53-D46-D51</f>
        <v>184640.46621749992</v>
      </c>
    </row>
    <row r="57" spans="3:8" x14ac:dyDescent="0.25">
      <c r="G57" s="11" t="s">
        <v>50</v>
      </c>
      <c r="H57" s="11" t="s">
        <v>51</v>
      </c>
    </row>
    <row r="58" spans="3:8" x14ac:dyDescent="0.25">
      <c r="G58" s="15">
        <v>-0.1</v>
      </c>
      <c r="H58" s="11"/>
    </row>
    <row r="59" spans="3:8" x14ac:dyDescent="0.25">
      <c r="G59" s="15">
        <v>-0.05</v>
      </c>
      <c r="H59" s="11"/>
    </row>
    <row r="60" spans="3:8" x14ac:dyDescent="0.25">
      <c r="G60" s="15">
        <v>0</v>
      </c>
      <c r="H60" s="11"/>
    </row>
    <row r="61" spans="3:8" x14ac:dyDescent="0.25">
      <c r="G61" s="15">
        <v>0.05</v>
      </c>
      <c r="H61" s="11"/>
    </row>
    <row r="62" spans="3:8" x14ac:dyDescent="0.25">
      <c r="G62" s="15">
        <v>0.1</v>
      </c>
      <c r="H62" s="11"/>
    </row>
  </sheetData>
  <mergeCells count="3">
    <mergeCell ref="A3:G3"/>
    <mergeCell ref="A6:S6"/>
    <mergeCell ref="B33:N33"/>
  </mergeCells>
  <pageMargins left="0.7" right="0.7" top="0.75" bottom="0.75" header="0.3" footer="0.3"/>
  <pageSetup orientation="portrait" r:id="rId1"/>
  <drawing r:id="rId2"/>
  <tableParts count="2">
    <tablePart r:id="rId3"/>
    <tablePart r:id="rId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ED293C-A8F8-4AC2-8E91-EA6A733EE8C6}">
  <dimension ref="A4:U90"/>
  <sheetViews>
    <sheetView workbookViewId="0">
      <selection activeCell="G64" sqref="G64"/>
    </sheetView>
  </sheetViews>
  <sheetFormatPr defaultRowHeight="15" x14ac:dyDescent="0.25"/>
  <cols>
    <col min="1" max="1" width="10" customWidth="1"/>
    <col min="2" max="2" width="9.42578125" customWidth="1"/>
    <col min="3" max="3" width="19.140625" customWidth="1"/>
    <col min="4" max="4" width="18.85546875" customWidth="1"/>
    <col min="5" max="5" width="18" customWidth="1"/>
    <col min="6" max="6" width="16.85546875" customWidth="1"/>
    <col min="7" max="7" width="16" customWidth="1"/>
    <col min="8" max="8" width="15" customWidth="1"/>
    <col min="9" max="9" width="27.85546875" customWidth="1"/>
    <col min="10" max="10" width="16.140625" customWidth="1"/>
    <col min="11" max="11" width="22.7109375" customWidth="1"/>
    <col min="12" max="12" width="26.5703125" customWidth="1"/>
    <col min="13" max="13" width="15.28515625" customWidth="1"/>
    <col min="14" max="14" width="12.7109375" customWidth="1"/>
    <col min="15" max="15" width="18.42578125" customWidth="1"/>
    <col min="16" max="16" width="16.42578125" customWidth="1"/>
  </cols>
  <sheetData>
    <row r="4" spans="1:21" x14ac:dyDescent="0.25">
      <c r="A4" s="30" t="s">
        <v>55</v>
      </c>
      <c r="B4" s="30"/>
      <c r="C4" s="30"/>
      <c r="D4" s="30"/>
      <c r="E4" s="30"/>
      <c r="F4" s="30"/>
      <c r="G4" s="30"/>
      <c r="H4" s="30"/>
      <c r="I4" s="30"/>
      <c r="J4" s="30"/>
      <c r="K4" s="30"/>
      <c r="L4" s="30"/>
      <c r="M4" s="30"/>
      <c r="N4" s="30"/>
      <c r="O4" s="30"/>
      <c r="P4" s="30"/>
      <c r="Q4" s="30"/>
      <c r="R4" s="30"/>
      <c r="S4" s="30"/>
      <c r="T4" s="30"/>
      <c r="U4" s="30"/>
    </row>
    <row r="5" spans="1:21" x14ac:dyDescent="0.25">
      <c r="A5" s="31" t="s">
        <v>56</v>
      </c>
      <c r="B5" s="31"/>
      <c r="C5" s="31"/>
      <c r="D5" s="31"/>
      <c r="E5" s="31"/>
      <c r="F5" s="31"/>
      <c r="G5" s="31"/>
      <c r="H5" s="31"/>
      <c r="I5" s="31"/>
      <c r="J5" s="31"/>
      <c r="K5" s="31"/>
      <c r="L5" s="31"/>
      <c r="M5" s="31"/>
      <c r="N5" s="31"/>
      <c r="O5" s="31"/>
      <c r="P5" s="31"/>
      <c r="Q5" s="31"/>
      <c r="R5" s="31"/>
      <c r="S5" s="31"/>
      <c r="T5" s="31"/>
      <c r="U5" s="31"/>
    </row>
    <row r="7" spans="1:21" x14ac:dyDescent="0.25">
      <c r="A7" t="s">
        <v>0</v>
      </c>
      <c r="B7" t="s">
        <v>1</v>
      </c>
      <c r="C7" t="s">
        <v>2</v>
      </c>
      <c r="D7" t="s">
        <v>3</v>
      </c>
      <c r="E7" t="s">
        <v>4</v>
      </c>
      <c r="F7" t="s">
        <v>5</v>
      </c>
      <c r="G7" t="s">
        <v>6</v>
      </c>
      <c r="H7" t="s">
        <v>7</v>
      </c>
      <c r="I7" t="s">
        <v>8</v>
      </c>
      <c r="J7" t="s">
        <v>9</v>
      </c>
      <c r="K7" t="s">
        <v>10</v>
      </c>
      <c r="L7" t="s">
        <v>11</v>
      </c>
      <c r="M7" t="s">
        <v>12</v>
      </c>
      <c r="N7" t="s">
        <v>13</v>
      </c>
      <c r="O7" t="s">
        <v>14</v>
      </c>
      <c r="P7" t="s">
        <v>15</v>
      </c>
    </row>
    <row r="8" spans="1:21" x14ac:dyDescent="0.25">
      <c r="A8" t="s">
        <v>31</v>
      </c>
      <c r="B8" t="s">
        <v>24</v>
      </c>
      <c r="C8" t="s">
        <v>20</v>
      </c>
      <c r="D8">
        <v>1305</v>
      </c>
      <c r="E8">
        <v>2.6</v>
      </c>
      <c r="F8">
        <v>1272</v>
      </c>
      <c r="G8">
        <v>1806.34</v>
      </c>
      <c r="H8">
        <v>19.600000000000001</v>
      </c>
      <c r="I8">
        <v>1452.3</v>
      </c>
      <c r="J8">
        <v>982.07</v>
      </c>
      <c r="K8">
        <v>31128.57</v>
      </c>
      <c r="L8">
        <v>11611.15</v>
      </c>
      <c r="M8">
        <v>1847325.6</v>
      </c>
      <c r="N8">
        <v>1249193.04</v>
      </c>
      <c r="O8">
        <v>598132.56000000006</v>
      </c>
      <c r="P8">
        <v>555392.85</v>
      </c>
    </row>
    <row r="10" spans="1:21" x14ac:dyDescent="0.25">
      <c r="D10" s="27">
        <v>1526</v>
      </c>
    </row>
    <row r="11" spans="1:21" x14ac:dyDescent="0.25">
      <c r="C11" s="1" t="s">
        <v>35</v>
      </c>
      <c r="D11" s="1">
        <v>19.600000000000001</v>
      </c>
      <c r="F11" t="s">
        <v>41</v>
      </c>
      <c r="G11">
        <v>1806.34</v>
      </c>
    </row>
    <row r="12" spans="1:21" x14ac:dyDescent="0.25">
      <c r="C12" s="1" t="s">
        <v>57</v>
      </c>
      <c r="D12" s="1">
        <v>1272</v>
      </c>
      <c r="F12" t="s">
        <v>35</v>
      </c>
      <c r="G12">
        <v>19.600000000000001</v>
      </c>
    </row>
    <row r="13" spans="1:21" x14ac:dyDescent="0.25">
      <c r="C13" s="1" t="s">
        <v>58</v>
      </c>
      <c r="D13" s="1">
        <v>555392</v>
      </c>
      <c r="F13" t="s">
        <v>59</v>
      </c>
      <c r="G13">
        <f>G11+G12</f>
        <v>1825.9399999999998</v>
      </c>
      <c r="H13">
        <v>1452.29</v>
      </c>
    </row>
    <row r="14" spans="1:21" x14ac:dyDescent="0.25">
      <c r="F14" t="s">
        <v>43</v>
      </c>
      <c r="G14">
        <v>1272</v>
      </c>
    </row>
    <row r="15" spans="1:21" x14ac:dyDescent="0.25">
      <c r="F15" t="s">
        <v>60</v>
      </c>
      <c r="G15">
        <v>982.07</v>
      </c>
    </row>
    <row r="16" spans="1:21" x14ac:dyDescent="0.25">
      <c r="F16" t="s">
        <v>37</v>
      </c>
      <c r="H16" cm="1">
        <f t="array" ref="H16">Table4[Revenue_INR]</f>
        <v>1847325.6</v>
      </c>
    </row>
    <row r="17" spans="1:16" x14ac:dyDescent="0.25">
      <c r="F17" t="s">
        <v>36</v>
      </c>
      <c r="H17" cm="1">
        <f t="array" ref="H17">Table4[COGS_INR]</f>
        <v>1249193.04</v>
      </c>
    </row>
    <row r="18" spans="1:16" x14ac:dyDescent="0.25">
      <c r="F18" t="s">
        <v>54</v>
      </c>
      <c r="H18" cm="1">
        <f t="array" ref="H18">Table4[Marketing_Spend_INR]</f>
        <v>31128.57</v>
      </c>
    </row>
    <row r="19" spans="1:16" x14ac:dyDescent="0.25">
      <c r="F19" t="s">
        <v>61</v>
      </c>
      <c r="H19" cm="1">
        <f t="array" ref="H19">Table4[Allocated_Fixed_Cost_INR]</f>
        <v>11611.15</v>
      </c>
    </row>
    <row r="20" spans="1:16" x14ac:dyDescent="0.25">
      <c r="F20" t="s">
        <v>34</v>
      </c>
      <c r="H20">
        <f>H17-H18-H19</f>
        <v>1206453.32</v>
      </c>
    </row>
    <row r="21" spans="1:16" x14ac:dyDescent="0.25">
      <c r="F21" t="s">
        <v>62</v>
      </c>
      <c r="H21">
        <f>H20/H16</f>
        <v>0.65308103779864257</v>
      </c>
    </row>
    <row r="27" spans="1:16" x14ac:dyDescent="0.25">
      <c r="A27" s="30" t="s">
        <v>63</v>
      </c>
      <c r="B27" s="30"/>
      <c r="C27" s="30"/>
      <c r="D27" s="30"/>
      <c r="E27" s="30"/>
      <c r="F27" s="30"/>
      <c r="G27" s="30"/>
      <c r="H27" s="30"/>
      <c r="I27" s="30"/>
      <c r="J27" s="30"/>
      <c r="K27" s="30"/>
      <c r="L27" s="30"/>
    </row>
    <row r="29" spans="1:16" x14ac:dyDescent="0.25">
      <c r="A29" t="s">
        <v>0</v>
      </c>
      <c r="B29" t="s">
        <v>1</v>
      </c>
      <c r="C29" t="s">
        <v>2</v>
      </c>
      <c r="D29" t="s">
        <v>3</v>
      </c>
      <c r="E29" t="s">
        <v>4</v>
      </c>
      <c r="F29" t="s">
        <v>5</v>
      </c>
      <c r="G29" t="s">
        <v>6</v>
      </c>
      <c r="H29" t="s">
        <v>7</v>
      </c>
      <c r="I29" t="s">
        <v>8</v>
      </c>
      <c r="J29" t="s">
        <v>9</v>
      </c>
      <c r="K29" t="s">
        <v>10</v>
      </c>
      <c r="L29" t="s">
        <v>11</v>
      </c>
      <c r="M29" t="s">
        <v>12</v>
      </c>
      <c r="N29" t="s">
        <v>13</v>
      </c>
      <c r="O29" t="s">
        <v>14</v>
      </c>
      <c r="P29" t="s">
        <v>15</v>
      </c>
    </row>
    <row r="30" spans="1:16" x14ac:dyDescent="0.25">
      <c r="A30" t="s">
        <v>29</v>
      </c>
      <c r="B30" t="s">
        <v>17</v>
      </c>
      <c r="C30" t="s">
        <v>19</v>
      </c>
      <c r="D30">
        <v>1414</v>
      </c>
      <c r="E30">
        <v>5</v>
      </c>
      <c r="F30">
        <v>1344</v>
      </c>
      <c r="G30">
        <v>1124.8900000000001</v>
      </c>
      <c r="H30">
        <v>29.1</v>
      </c>
      <c r="I30">
        <v>797.55</v>
      </c>
      <c r="J30">
        <v>551.79999999999995</v>
      </c>
      <c r="K30">
        <v>52337.599999999999</v>
      </c>
      <c r="L30">
        <v>12810.11</v>
      </c>
      <c r="M30">
        <v>1071907.2</v>
      </c>
      <c r="N30">
        <v>741619.19999999995</v>
      </c>
      <c r="O30">
        <v>330288</v>
      </c>
      <c r="P30">
        <v>265140.28999999998</v>
      </c>
    </row>
    <row r="31" spans="1:16" x14ac:dyDescent="0.25">
      <c r="A31" t="s">
        <v>29</v>
      </c>
      <c r="B31" t="s">
        <v>23</v>
      </c>
      <c r="C31" t="s">
        <v>19</v>
      </c>
      <c r="D31">
        <v>859</v>
      </c>
      <c r="E31">
        <v>7.6</v>
      </c>
      <c r="F31">
        <v>794</v>
      </c>
      <c r="G31">
        <v>1130.94</v>
      </c>
      <c r="H31">
        <v>24.8</v>
      </c>
      <c r="I31">
        <v>850.47</v>
      </c>
      <c r="J31">
        <v>541.35</v>
      </c>
      <c r="K31">
        <v>15282.98</v>
      </c>
      <c r="L31">
        <v>8718.7800000000007</v>
      </c>
      <c r="M31">
        <v>675273.18</v>
      </c>
      <c r="N31">
        <v>429831.9</v>
      </c>
      <c r="O31">
        <v>245441.28</v>
      </c>
      <c r="P31">
        <v>221439.52</v>
      </c>
    </row>
    <row r="32" spans="1:16" x14ac:dyDescent="0.25">
      <c r="A32" t="s">
        <v>29</v>
      </c>
      <c r="B32" t="s">
        <v>24</v>
      </c>
      <c r="C32" t="s">
        <v>19</v>
      </c>
      <c r="D32">
        <v>1177</v>
      </c>
      <c r="E32">
        <v>5.9</v>
      </c>
      <c r="F32">
        <v>1108</v>
      </c>
      <c r="G32">
        <v>1113.74</v>
      </c>
      <c r="H32">
        <v>34.5</v>
      </c>
      <c r="I32">
        <v>729.5</v>
      </c>
      <c r="J32">
        <v>520.09</v>
      </c>
      <c r="K32">
        <v>42280.81</v>
      </c>
      <c r="L32">
        <v>8194.5400000000009</v>
      </c>
      <c r="M32">
        <v>808286</v>
      </c>
      <c r="N32">
        <v>576259.72</v>
      </c>
      <c r="O32">
        <v>232026.28</v>
      </c>
      <c r="P32">
        <v>181550.93</v>
      </c>
    </row>
    <row r="33" spans="1:16" x14ac:dyDescent="0.25">
      <c r="A33" t="s">
        <v>29</v>
      </c>
      <c r="B33" t="s">
        <v>25</v>
      </c>
      <c r="C33" t="s">
        <v>19</v>
      </c>
      <c r="D33">
        <v>1432</v>
      </c>
      <c r="E33">
        <v>8.6</v>
      </c>
      <c r="F33">
        <v>1309</v>
      </c>
      <c r="G33">
        <v>1123.29</v>
      </c>
      <c r="H33">
        <v>29.8</v>
      </c>
      <c r="I33">
        <v>788.55</v>
      </c>
      <c r="J33">
        <v>539.27</v>
      </c>
      <c r="K33">
        <v>30406.57</v>
      </c>
      <c r="L33">
        <v>8660.64</v>
      </c>
      <c r="M33">
        <v>1032211.95</v>
      </c>
      <c r="N33">
        <v>705904.43</v>
      </c>
      <c r="O33">
        <v>326307.52</v>
      </c>
      <c r="P33">
        <v>287240.31</v>
      </c>
    </row>
    <row r="34" spans="1:16" x14ac:dyDescent="0.25">
      <c r="A34" t="s">
        <v>30</v>
      </c>
      <c r="B34" t="s">
        <v>17</v>
      </c>
      <c r="C34" t="s">
        <v>19</v>
      </c>
      <c r="D34">
        <v>1119</v>
      </c>
      <c r="E34">
        <v>6.9</v>
      </c>
      <c r="F34">
        <v>1042</v>
      </c>
      <c r="G34">
        <v>1086.76</v>
      </c>
      <c r="H34">
        <v>18.8</v>
      </c>
      <c r="I34">
        <v>882.45</v>
      </c>
      <c r="J34">
        <v>511.51</v>
      </c>
      <c r="K34">
        <v>48430.64</v>
      </c>
      <c r="L34">
        <v>10252.6</v>
      </c>
      <c r="M34">
        <v>919512.9</v>
      </c>
      <c r="N34">
        <v>532993.42000000004</v>
      </c>
      <c r="O34">
        <v>386519.48</v>
      </c>
      <c r="P34">
        <v>327836.24</v>
      </c>
    </row>
    <row r="35" spans="1:16" x14ac:dyDescent="0.25">
      <c r="A35" t="s">
        <v>30</v>
      </c>
      <c r="B35" t="s">
        <v>23</v>
      </c>
      <c r="C35" t="s">
        <v>19</v>
      </c>
      <c r="D35">
        <v>1165</v>
      </c>
      <c r="E35">
        <v>5.9</v>
      </c>
      <c r="F35">
        <v>1097</v>
      </c>
      <c r="G35">
        <v>1086.72</v>
      </c>
      <c r="H35">
        <v>21.3</v>
      </c>
      <c r="I35">
        <v>855.25</v>
      </c>
      <c r="J35">
        <v>558.47</v>
      </c>
      <c r="K35">
        <v>33371.17</v>
      </c>
      <c r="L35">
        <v>9229.84</v>
      </c>
      <c r="M35">
        <v>938209.25</v>
      </c>
      <c r="N35">
        <v>612641.59</v>
      </c>
      <c r="O35">
        <v>325567.65999999997</v>
      </c>
      <c r="P35">
        <v>282966.65000000002</v>
      </c>
    </row>
    <row r="36" spans="1:16" x14ac:dyDescent="0.25">
      <c r="A36" t="s">
        <v>30</v>
      </c>
      <c r="B36" t="s">
        <v>24</v>
      </c>
      <c r="C36" t="s">
        <v>19</v>
      </c>
      <c r="D36">
        <v>1283</v>
      </c>
      <c r="E36">
        <v>5.5</v>
      </c>
      <c r="F36">
        <v>1213</v>
      </c>
      <c r="G36">
        <v>1105.75</v>
      </c>
      <c r="H36">
        <v>21.6</v>
      </c>
      <c r="I36">
        <v>866.91</v>
      </c>
      <c r="J36">
        <v>511.12</v>
      </c>
      <c r="K36">
        <v>46827.06</v>
      </c>
      <c r="L36">
        <v>10298.799999999999</v>
      </c>
      <c r="M36">
        <v>1051561.83</v>
      </c>
      <c r="N36">
        <v>619988.56000000006</v>
      </c>
      <c r="O36">
        <v>431573.27</v>
      </c>
      <c r="P36">
        <v>374447.41</v>
      </c>
    </row>
    <row r="37" spans="1:16" x14ac:dyDescent="0.25">
      <c r="A37" t="s">
        <v>30</v>
      </c>
      <c r="B37" t="s">
        <v>25</v>
      </c>
      <c r="C37" t="s">
        <v>19</v>
      </c>
      <c r="D37">
        <v>1575</v>
      </c>
      <c r="E37">
        <v>2.2999999999999998</v>
      </c>
      <c r="F37">
        <v>1539</v>
      </c>
      <c r="G37">
        <v>1117.8800000000001</v>
      </c>
      <c r="H37">
        <v>20.5</v>
      </c>
      <c r="I37">
        <v>888.71</v>
      </c>
      <c r="J37">
        <v>517.76</v>
      </c>
      <c r="K37">
        <v>58812.32</v>
      </c>
      <c r="L37">
        <v>11378.75</v>
      </c>
      <c r="M37">
        <v>1367724.69</v>
      </c>
      <c r="N37">
        <v>796832.64</v>
      </c>
      <c r="O37">
        <v>570892.05000000005</v>
      </c>
      <c r="P37">
        <v>500700.98</v>
      </c>
    </row>
    <row r="38" spans="1:16" x14ac:dyDescent="0.25">
      <c r="A38" t="s">
        <v>31</v>
      </c>
      <c r="B38" t="s">
        <v>17</v>
      </c>
      <c r="C38" t="s">
        <v>19</v>
      </c>
      <c r="D38">
        <v>1862</v>
      </c>
      <c r="E38">
        <v>2.2999999999999998</v>
      </c>
      <c r="F38">
        <v>1820</v>
      </c>
      <c r="G38">
        <v>1134.03</v>
      </c>
      <c r="H38">
        <v>22.4</v>
      </c>
      <c r="I38">
        <v>880.01</v>
      </c>
      <c r="J38">
        <v>547.84</v>
      </c>
      <c r="K38">
        <v>31751.98</v>
      </c>
      <c r="L38">
        <v>10971.39</v>
      </c>
      <c r="M38">
        <v>1601618.2</v>
      </c>
      <c r="N38">
        <v>997068.80000000005</v>
      </c>
      <c r="O38">
        <v>604549.4</v>
      </c>
      <c r="P38">
        <v>561826.03</v>
      </c>
    </row>
    <row r="39" spans="1:16" x14ac:dyDescent="0.25">
      <c r="A39" t="s">
        <v>31</v>
      </c>
      <c r="B39" t="s">
        <v>23</v>
      </c>
      <c r="C39" t="s">
        <v>19</v>
      </c>
      <c r="D39">
        <v>1709</v>
      </c>
      <c r="E39">
        <v>5.0999999999999996</v>
      </c>
      <c r="F39">
        <v>1622</v>
      </c>
      <c r="G39">
        <v>1154.08</v>
      </c>
      <c r="H39">
        <v>8.1999999999999993</v>
      </c>
      <c r="I39">
        <v>1059.45</v>
      </c>
      <c r="J39">
        <v>543.16</v>
      </c>
      <c r="K39">
        <v>43352.15</v>
      </c>
      <c r="L39">
        <v>10731.64</v>
      </c>
      <c r="M39">
        <v>1718427.9</v>
      </c>
      <c r="N39">
        <v>881005.52</v>
      </c>
      <c r="O39">
        <v>837422.38</v>
      </c>
      <c r="P39">
        <v>783338.59</v>
      </c>
    </row>
    <row r="40" spans="1:16" x14ac:dyDescent="0.25">
      <c r="A40" t="s">
        <v>31</v>
      </c>
      <c r="B40" t="s">
        <v>24</v>
      </c>
      <c r="C40" t="s">
        <v>19</v>
      </c>
      <c r="D40">
        <v>1425</v>
      </c>
      <c r="E40">
        <v>7.9</v>
      </c>
      <c r="F40">
        <v>1313</v>
      </c>
      <c r="G40">
        <v>1129.53</v>
      </c>
      <c r="H40">
        <v>18.2</v>
      </c>
      <c r="I40">
        <v>923.96</v>
      </c>
      <c r="J40">
        <v>545.64</v>
      </c>
      <c r="K40">
        <v>48232.61</v>
      </c>
      <c r="L40">
        <v>12468.72</v>
      </c>
      <c r="M40">
        <v>1213159.48</v>
      </c>
      <c r="N40">
        <v>716425.32</v>
      </c>
      <c r="O40">
        <v>496734.16</v>
      </c>
      <c r="P40">
        <v>436032.83</v>
      </c>
    </row>
    <row r="41" spans="1:16" x14ac:dyDescent="0.25">
      <c r="A41" t="s">
        <v>31</v>
      </c>
      <c r="B41" t="s">
        <v>25</v>
      </c>
      <c r="C41" t="s">
        <v>19</v>
      </c>
      <c r="D41">
        <v>1881</v>
      </c>
      <c r="E41">
        <v>5.8</v>
      </c>
      <c r="F41">
        <v>1772</v>
      </c>
      <c r="G41">
        <v>1095.24</v>
      </c>
      <c r="H41">
        <v>5.3</v>
      </c>
      <c r="I41">
        <v>1037.19</v>
      </c>
      <c r="J41">
        <v>549.63</v>
      </c>
      <c r="K41">
        <v>53878.58</v>
      </c>
      <c r="L41">
        <v>11200.56</v>
      </c>
      <c r="M41">
        <v>1837900.68</v>
      </c>
      <c r="N41">
        <v>973944.36</v>
      </c>
      <c r="O41">
        <v>863956.32</v>
      </c>
      <c r="P41">
        <v>798877.18</v>
      </c>
    </row>
    <row r="42" spans="1:16" x14ac:dyDescent="0.25">
      <c r="A42" t="s">
        <v>32</v>
      </c>
      <c r="B42" t="s">
        <v>17</v>
      </c>
      <c r="C42" t="s">
        <v>19</v>
      </c>
      <c r="D42">
        <v>2543</v>
      </c>
      <c r="E42">
        <v>2.7</v>
      </c>
      <c r="F42">
        <v>2475</v>
      </c>
      <c r="G42">
        <v>1136.6199999999999</v>
      </c>
      <c r="H42">
        <v>23.3</v>
      </c>
      <c r="I42">
        <v>871.79</v>
      </c>
      <c r="J42">
        <v>513.24</v>
      </c>
      <c r="K42">
        <v>75477.289999999994</v>
      </c>
      <c r="L42">
        <v>9744.64</v>
      </c>
      <c r="M42">
        <v>2157680.25</v>
      </c>
      <c r="N42">
        <v>1270269</v>
      </c>
      <c r="O42">
        <v>887411.25</v>
      </c>
      <c r="P42">
        <v>802189.32</v>
      </c>
    </row>
    <row r="43" spans="1:16" x14ac:dyDescent="0.25">
      <c r="A43" t="s">
        <v>32</v>
      </c>
      <c r="B43" t="s">
        <v>23</v>
      </c>
      <c r="C43" t="s">
        <v>19</v>
      </c>
      <c r="D43">
        <v>2032</v>
      </c>
      <c r="E43">
        <v>8</v>
      </c>
      <c r="F43">
        <v>1870</v>
      </c>
      <c r="G43">
        <v>1071.26</v>
      </c>
      <c r="H43">
        <v>15.1</v>
      </c>
      <c r="I43">
        <v>909.5</v>
      </c>
      <c r="J43">
        <v>555.91</v>
      </c>
      <c r="K43">
        <v>39300.18</v>
      </c>
      <c r="L43">
        <v>8214.9599999999991</v>
      </c>
      <c r="M43">
        <v>1700765</v>
      </c>
      <c r="N43">
        <v>1039551.7</v>
      </c>
      <c r="O43">
        <v>661213.30000000005</v>
      </c>
      <c r="P43">
        <v>613698.16</v>
      </c>
    </row>
    <row r="44" spans="1:16" x14ac:dyDescent="0.25">
      <c r="A44" t="s">
        <v>32</v>
      </c>
      <c r="B44" t="s">
        <v>24</v>
      </c>
      <c r="C44" t="s">
        <v>19</v>
      </c>
      <c r="D44">
        <v>1382</v>
      </c>
      <c r="E44">
        <v>2.5</v>
      </c>
      <c r="F44">
        <v>1348</v>
      </c>
      <c r="G44">
        <v>1130.44</v>
      </c>
      <c r="H44">
        <v>33.200000000000003</v>
      </c>
      <c r="I44">
        <v>755.13</v>
      </c>
      <c r="J44">
        <v>532.44000000000005</v>
      </c>
      <c r="K44">
        <v>24079.57</v>
      </c>
      <c r="L44">
        <v>10845.64</v>
      </c>
      <c r="M44">
        <v>1017915.24</v>
      </c>
      <c r="N44">
        <v>717729.12</v>
      </c>
      <c r="O44">
        <v>300186.12</v>
      </c>
      <c r="P44">
        <v>265260.90999999997</v>
      </c>
    </row>
    <row r="45" spans="1:16" x14ac:dyDescent="0.25">
      <c r="A45" t="s">
        <v>32</v>
      </c>
      <c r="B45" t="s">
        <v>25</v>
      </c>
      <c r="C45" t="s">
        <v>19</v>
      </c>
      <c r="D45">
        <v>2125</v>
      </c>
      <c r="E45">
        <v>5.9</v>
      </c>
      <c r="F45">
        <v>2000</v>
      </c>
      <c r="G45">
        <v>1065.6500000000001</v>
      </c>
      <c r="H45">
        <v>31.2</v>
      </c>
      <c r="I45">
        <v>733.17</v>
      </c>
      <c r="J45">
        <v>546.66</v>
      </c>
      <c r="K45">
        <v>69262.149999999994</v>
      </c>
      <c r="L45">
        <v>10588.73</v>
      </c>
      <c r="M45">
        <v>1466340</v>
      </c>
      <c r="N45">
        <v>1093320</v>
      </c>
      <c r="O45">
        <v>373020</v>
      </c>
      <c r="P45">
        <v>293169.12</v>
      </c>
    </row>
    <row r="50" spans="3:5" x14ac:dyDescent="0.25">
      <c r="C50" t="s">
        <v>64</v>
      </c>
      <c r="D50" s="28">
        <f>AVERAGE(Table5[Unit_Cost_INR])</f>
        <v>536.61812500000008</v>
      </c>
    </row>
    <row r="51" spans="3:5" x14ac:dyDescent="0.25">
      <c r="C51" t="s">
        <v>41</v>
      </c>
      <c r="D51" s="28">
        <f>AVERAGE(Table5[List_Price_INR])</f>
        <v>1112.9262500000002</v>
      </c>
    </row>
    <row r="52" spans="3:5" x14ac:dyDescent="0.25">
      <c r="C52" t="s">
        <v>43</v>
      </c>
      <c r="D52" s="28">
        <f>SUM(Table5[Units_Sold_Net])</f>
        <v>23666</v>
      </c>
    </row>
    <row r="53" spans="3:5" x14ac:dyDescent="0.25">
      <c r="C53" t="s">
        <v>35</v>
      </c>
      <c r="D53" s="28">
        <f>AVERAGE(Table5[Discount_Pct])</f>
        <v>22.331250000000001</v>
      </c>
    </row>
    <row r="54" spans="3:5" x14ac:dyDescent="0.25">
      <c r="C54" t="s">
        <v>54</v>
      </c>
      <c r="D54" s="28">
        <f>AVERAGE(Table5[Marketing_Spend_INR])</f>
        <v>44567.728750000002</v>
      </c>
    </row>
    <row r="55" spans="3:5" x14ac:dyDescent="0.25">
      <c r="C55" t="s">
        <v>59</v>
      </c>
      <c r="D55" s="28">
        <f>D51-D51*D53/100</f>
        <v>864.39590679687512</v>
      </c>
    </row>
    <row r="56" spans="3:5" x14ac:dyDescent="0.25">
      <c r="C56" t="s">
        <v>36</v>
      </c>
      <c r="D56" s="28">
        <f>D50*D52</f>
        <v>12699604.546250002</v>
      </c>
      <c r="E56">
        <f>AVERAGE(Table5[COGS_INR])</f>
        <v>794086.57999999984</v>
      </c>
    </row>
    <row r="57" spans="3:5" x14ac:dyDescent="0.25">
      <c r="C57" t="s">
        <v>37</v>
      </c>
      <c r="D57">
        <f>D55*D52</f>
        <v>20456793.530254848</v>
      </c>
    </row>
    <row r="58" spans="3:5" x14ac:dyDescent="0.25">
      <c r="C58" t="s">
        <v>38</v>
      </c>
      <c r="D58" s="28">
        <f>D57-D56</f>
        <v>7757188.9840048458</v>
      </c>
    </row>
    <row r="59" spans="3:5" x14ac:dyDescent="0.25">
      <c r="C59" t="s">
        <v>65</v>
      </c>
      <c r="D59" s="29">
        <f>D60/D57</f>
        <v>0.37702004685378293</v>
      </c>
    </row>
    <row r="60" spans="3:5" x14ac:dyDescent="0.25">
      <c r="C60" t="s">
        <v>34</v>
      </c>
      <c r="D60" s="28">
        <f>D58-D61</f>
        <v>7712621.2552548461</v>
      </c>
    </row>
    <row r="61" spans="3:5" x14ac:dyDescent="0.25">
      <c r="C61" t="s">
        <v>54</v>
      </c>
      <c r="D61">
        <f>AVERAGE(Table5[Marketing_Spend_INR])</f>
        <v>44567.728750000002</v>
      </c>
    </row>
    <row r="68" spans="1:16" x14ac:dyDescent="0.25">
      <c r="A68" s="32" t="s">
        <v>66</v>
      </c>
      <c r="B68" s="32"/>
      <c r="C68" s="32"/>
      <c r="D68" s="32"/>
      <c r="E68" s="32"/>
      <c r="F68" s="32"/>
      <c r="G68" s="32"/>
      <c r="H68" s="32"/>
      <c r="I68" s="32"/>
      <c r="J68" s="32"/>
      <c r="K68" s="32"/>
      <c r="L68" s="32"/>
    </row>
    <row r="70" spans="1:16" x14ac:dyDescent="0.25">
      <c r="A70" t="s">
        <v>0</v>
      </c>
      <c r="B70" t="s">
        <v>1</v>
      </c>
      <c r="C70" t="s">
        <v>2</v>
      </c>
      <c r="D70" t="s">
        <v>3</v>
      </c>
      <c r="E70" t="s">
        <v>4</v>
      </c>
      <c r="F70" t="s">
        <v>5</v>
      </c>
      <c r="G70" t="s">
        <v>6</v>
      </c>
      <c r="H70" t="s">
        <v>7</v>
      </c>
      <c r="I70" t="s">
        <v>8</v>
      </c>
      <c r="J70" t="s">
        <v>9</v>
      </c>
      <c r="K70" t="s">
        <v>10</v>
      </c>
      <c r="L70" t="s">
        <v>11</v>
      </c>
      <c r="M70" t="s">
        <v>12</v>
      </c>
      <c r="N70" t="s">
        <v>13</v>
      </c>
      <c r="O70" t="s">
        <v>14</v>
      </c>
      <c r="P70" t="s">
        <v>15</v>
      </c>
    </row>
    <row r="71" spans="1:16" x14ac:dyDescent="0.25">
      <c r="A71" t="s">
        <v>29</v>
      </c>
      <c r="B71" t="s">
        <v>17</v>
      </c>
      <c r="C71" t="s">
        <v>18</v>
      </c>
      <c r="D71">
        <v>1157</v>
      </c>
      <c r="E71">
        <v>7.8</v>
      </c>
      <c r="F71">
        <v>1067</v>
      </c>
      <c r="G71">
        <v>908.53</v>
      </c>
      <c r="H71">
        <v>32</v>
      </c>
      <c r="I71">
        <v>617.79999999999995</v>
      </c>
      <c r="J71">
        <v>433.24</v>
      </c>
      <c r="K71">
        <v>21018.25</v>
      </c>
      <c r="L71">
        <v>12784.33</v>
      </c>
      <c r="M71">
        <v>659192.6</v>
      </c>
      <c r="N71">
        <v>462267.08</v>
      </c>
      <c r="O71">
        <v>196925.52</v>
      </c>
      <c r="P71">
        <v>163122.94</v>
      </c>
    </row>
    <row r="72" spans="1:16" x14ac:dyDescent="0.25">
      <c r="A72" t="s">
        <v>29</v>
      </c>
      <c r="B72" t="s">
        <v>17</v>
      </c>
      <c r="C72" t="s">
        <v>19</v>
      </c>
      <c r="D72">
        <v>1414</v>
      </c>
      <c r="E72">
        <v>5</v>
      </c>
      <c r="F72">
        <v>1344</v>
      </c>
      <c r="G72">
        <v>1124.8900000000001</v>
      </c>
      <c r="H72">
        <v>29.1</v>
      </c>
      <c r="I72">
        <v>797.55</v>
      </c>
      <c r="J72">
        <v>551.79999999999995</v>
      </c>
      <c r="K72">
        <v>52337.599999999999</v>
      </c>
      <c r="L72">
        <v>12810.11</v>
      </c>
      <c r="M72">
        <v>1071907.2</v>
      </c>
      <c r="N72">
        <v>741619.19999999995</v>
      </c>
      <c r="O72">
        <v>330288</v>
      </c>
      <c r="P72">
        <v>265140.28999999998</v>
      </c>
    </row>
    <row r="73" spans="1:16" x14ac:dyDescent="0.25">
      <c r="A73" t="s">
        <v>29</v>
      </c>
      <c r="B73" t="s">
        <v>17</v>
      </c>
      <c r="C73" t="s">
        <v>20</v>
      </c>
      <c r="D73">
        <v>1284</v>
      </c>
      <c r="E73">
        <v>7.1</v>
      </c>
      <c r="F73">
        <v>1193</v>
      </c>
      <c r="G73">
        <v>1823.86</v>
      </c>
      <c r="H73">
        <v>23.7</v>
      </c>
      <c r="I73">
        <v>1391.61</v>
      </c>
      <c r="J73">
        <v>972.03</v>
      </c>
      <c r="K73">
        <v>29598.6</v>
      </c>
      <c r="L73">
        <v>12184.42</v>
      </c>
      <c r="M73">
        <v>1660190.73</v>
      </c>
      <c r="N73">
        <v>1159631.79</v>
      </c>
      <c r="O73">
        <v>500558.94</v>
      </c>
      <c r="P73">
        <v>458775.92</v>
      </c>
    </row>
    <row r="74" spans="1:16" x14ac:dyDescent="0.25">
      <c r="A74" t="s">
        <v>29</v>
      </c>
      <c r="B74" t="s">
        <v>17</v>
      </c>
      <c r="C74" t="s">
        <v>21</v>
      </c>
      <c r="D74">
        <v>1690</v>
      </c>
      <c r="E74">
        <v>3.7</v>
      </c>
      <c r="F74">
        <v>1628</v>
      </c>
      <c r="G74">
        <v>520.49</v>
      </c>
      <c r="H74">
        <v>32.6</v>
      </c>
      <c r="I74">
        <v>350.81</v>
      </c>
      <c r="J74">
        <v>186.11</v>
      </c>
      <c r="K74">
        <v>48910.720000000001</v>
      </c>
      <c r="L74">
        <v>10856.82</v>
      </c>
      <c r="M74">
        <v>571118.68000000005</v>
      </c>
      <c r="N74">
        <v>302987.08</v>
      </c>
      <c r="O74">
        <v>268131.59999999998</v>
      </c>
      <c r="P74">
        <v>208364.06</v>
      </c>
    </row>
    <row r="75" spans="1:16" x14ac:dyDescent="0.25">
      <c r="A75" t="s">
        <v>29</v>
      </c>
      <c r="B75" t="s">
        <v>17</v>
      </c>
      <c r="C75" t="s">
        <v>22</v>
      </c>
      <c r="D75">
        <v>1295</v>
      </c>
      <c r="E75">
        <v>7.6</v>
      </c>
      <c r="F75">
        <v>1197</v>
      </c>
      <c r="G75">
        <v>678.27</v>
      </c>
      <c r="H75">
        <v>19.2</v>
      </c>
      <c r="I75">
        <v>548.04</v>
      </c>
      <c r="J75">
        <v>297</v>
      </c>
      <c r="K75">
        <v>32647.16</v>
      </c>
      <c r="L75">
        <v>12341.76</v>
      </c>
      <c r="M75">
        <v>656003.88</v>
      </c>
      <c r="N75">
        <v>355509</v>
      </c>
      <c r="O75">
        <v>300494.88</v>
      </c>
      <c r="P75">
        <v>255505.96</v>
      </c>
    </row>
    <row r="76" spans="1:16" x14ac:dyDescent="0.25">
      <c r="A76" t="s">
        <v>30</v>
      </c>
      <c r="B76" t="s">
        <v>17</v>
      </c>
      <c r="C76" t="s">
        <v>18</v>
      </c>
      <c r="D76">
        <v>1219</v>
      </c>
      <c r="E76">
        <v>4.2</v>
      </c>
      <c r="F76">
        <v>1168</v>
      </c>
      <c r="G76">
        <v>937.35</v>
      </c>
      <c r="H76">
        <v>8.3000000000000007</v>
      </c>
      <c r="I76">
        <v>859.55</v>
      </c>
      <c r="J76">
        <v>420.48</v>
      </c>
      <c r="K76">
        <v>45674.38</v>
      </c>
      <c r="L76">
        <v>10630.64</v>
      </c>
      <c r="M76">
        <v>1003954.4</v>
      </c>
      <c r="N76">
        <v>491120.64000000001</v>
      </c>
      <c r="O76">
        <v>512833.76</v>
      </c>
      <c r="P76">
        <v>456528.74</v>
      </c>
    </row>
    <row r="77" spans="1:16" x14ac:dyDescent="0.25">
      <c r="A77" t="s">
        <v>30</v>
      </c>
      <c r="B77" t="s">
        <v>17</v>
      </c>
      <c r="C77" t="s">
        <v>19</v>
      </c>
      <c r="D77">
        <v>1119</v>
      </c>
      <c r="E77">
        <v>6.9</v>
      </c>
      <c r="F77">
        <v>1042</v>
      </c>
      <c r="G77">
        <v>1086.76</v>
      </c>
      <c r="H77">
        <v>18.8</v>
      </c>
      <c r="I77">
        <v>882.45</v>
      </c>
      <c r="J77">
        <v>511.51</v>
      </c>
      <c r="K77">
        <v>48430.64</v>
      </c>
      <c r="L77">
        <v>10252.6</v>
      </c>
      <c r="M77">
        <v>919512.9</v>
      </c>
      <c r="N77">
        <v>532993.42000000004</v>
      </c>
      <c r="O77">
        <v>386519.48</v>
      </c>
      <c r="P77">
        <v>327836.24</v>
      </c>
    </row>
    <row r="78" spans="1:16" x14ac:dyDescent="0.25">
      <c r="A78" t="s">
        <v>30</v>
      </c>
      <c r="B78" t="s">
        <v>17</v>
      </c>
      <c r="C78" t="s">
        <v>20</v>
      </c>
      <c r="D78">
        <v>1424</v>
      </c>
      <c r="E78">
        <v>3.8</v>
      </c>
      <c r="F78">
        <v>1370</v>
      </c>
      <c r="G78">
        <v>1734.21</v>
      </c>
      <c r="H78">
        <v>11.4</v>
      </c>
      <c r="I78">
        <v>1536.51</v>
      </c>
      <c r="J78">
        <v>966.65</v>
      </c>
      <c r="K78">
        <v>25261.48</v>
      </c>
      <c r="L78">
        <v>12790.51</v>
      </c>
      <c r="M78">
        <v>2105018.7000000002</v>
      </c>
      <c r="N78">
        <v>1324310.5</v>
      </c>
      <c r="O78">
        <v>780708.2</v>
      </c>
      <c r="P78">
        <v>742656.21</v>
      </c>
    </row>
    <row r="79" spans="1:16" x14ac:dyDescent="0.25">
      <c r="A79" t="s">
        <v>30</v>
      </c>
      <c r="B79" t="s">
        <v>17</v>
      </c>
      <c r="C79" t="s">
        <v>21</v>
      </c>
      <c r="D79">
        <v>1521</v>
      </c>
      <c r="E79">
        <v>9</v>
      </c>
      <c r="F79">
        <v>1385</v>
      </c>
      <c r="G79">
        <v>520.75</v>
      </c>
      <c r="H79">
        <v>24</v>
      </c>
      <c r="I79">
        <v>395.77</v>
      </c>
      <c r="J79">
        <v>196.32</v>
      </c>
      <c r="K79">
        <v>53491.21</v>
      </c>
      <c r="L79">
        <v>8982.31</v>
      </c>
      <c r="M79">
        <v>548141.44999999995</v>
      </c>
      <c r="N79">
        <v>271903.2</v>
      </c>
      <c r="O79">
        <v>276238.25</v>
      </c>
      <c r="P79">
        <v>213764.73</v>
      </c>
    </row>
    <row r="80" spans="1:16" x14ac:dyDescent="0.25">
      <c r="A80" t="s">
        <v>30</v>
      </c>
      <c r="B80" t="s">
        <v>17</v>
      </c>
      <c r="C80" t="s">
        <v>22</v>
      </c>
      <c r="D80">
        <v>1888</v>
      </c>
      <c r="E80">
        <v>3.3</v>
      </c>
      <c r="F80">
        <v>1826</v>
      </c>
      <c r="G80">
        <v>653.58000000000004</v>
      </c>
      <c r="H80">
        <v>23.3</v>
      </c>
      <c r="I80">
        <v>501.3</v>
      </c>
      <c r="J80">
        <v>312.5</v>
      </c>
      <c r="K80">
        <v>61473.07</v>
      </c>
      <c r="L80">
        <v>10991.32</v>
      </c>
      <c r="M80">
        <v>915373.8</v>
      </c>
      <c r="N80">
        <v>570625</v>
      </c>
      <c r="O80">
        <v>344748.79999999999</v>
      </c>
      <c r="P80">
        <v>272284.40999999997</v>
      </c>
    </row>
    <row r="81" spans="1:16" x14ac:dyDescent="0.25">
      <c r="A81" t="s">
        <v>31</v>
      </c>
      <c r="B81" t="s">
        <v>17</v>
      </c>
      <c r="C81" t="s">
        <v>18</v>
      </c>
      <c r="D81">
        <v>1368</v>
      </c>
      <c r="E81">
        <v>8</v>
      </c>
      <c r="F81">
        <v>1259</v>
      </c>
      <c r="G81">
        <v>921.46</v>
      </c>
      <c r="H81">
        <v>22</v>
      </c>
      <c r="I81">
        <v>718.74</v>
      </c>
      <c r="J81">
        <v>457.39</v>
      </c>
      <c r="K81">
        <v>36115.589999999997</v>
      </c>
      <c r="L81">
        <v>9241.64</v>
      </c>
      <c r="M81">
        <v>904893.66</v>
      </c>
      <c r="N81">
        <v>575854.01</v>
      </c>
      <c r="O81">
        <v>329039.65000000002</v>
      </c>
      <c r="P81">
        <v>283682.42</v>
      </c>
    </row>
    <row r="82" spans="1:16" x14ac:dyDescent="0.25">
      <c r="A82" t="s">
        <v>31</v>
      </c>
      <c r="B82" t="s">
        <v>17</v>
      </c>
      <c r="C82" t="s">
        <v>19</v>
      </c>
      <c r="D82">
        <v>1862</v>
      </c>
      <c r="E82">
        <v>2.2999999999999998</v>
      </c>
      <c r="F82">
        <v>1820</v>
      </c>
      <c r="G82">
        <v>1134.03</v>
      </c>
      <c r="H82">
        <v>22.4</v>
      </c>
      <c r="I82">
        <v>880.01</v>
      </c>
      <c r="J82">
        <v>547.84</v>
      </c>
      <c r="K82">
        <v>31751.98</v>
      </c>
      <c r="L82">
        <v>10971.39</v>
      </c>
      <c r="M82">
        <v>1601618.2</v>
      </c>
      <c r="N82">
        <v>997068.80000000005</v>
      </c>
      <c r="O82">
        <v>604549.4</v>
      </c>
      <c r="P82">
        <v>561826.03</v>
      </c>
    </row>
    <row r="83" spans="1:16" x14ac:dyDescent="0.25">
      <c r="A83" t="s">
        <v>31</v>
      </c>
      <c r="B83" t="s">
        <v>17</v>
      </c>
      <c r="C83" t="s">
        <v>20</v>
      </c>
      <c r="D83">
        <v>2266</v>
      </c>
      <c r="E83">
        <v>6.4</v>
      </c>
      <c r="F83">
        <v>2121</v>
      </c>
      <c r="G83">
        <v>1861.38</v>
      </c>
      <c r="H83">
        <v>7</v>
      </c>
      <c r="I83">
        <v>1731.08</v>
      </c>
      <c r="J83">
        <v>966.85</v>
      </c>
      <c r="K83">
        <v>93307.94</v>
      </c>
      <c r="L83">
        <v>9940.23</v>
      </c>
      <c r="M83">
        <v>3671620.68</v>
      </c>
      <c r="N83">
        <v>2050688.85</v>
      </c>
      <c r="O83">
        <v>1620931.83</v>
      </c>
      <c r="P83">
        <v>1517683.66</v>
      </c>
    </row>
    <row r="84" spans="1:16" x14ac:dyDescent="0.25">
      <c r="A84" t="s">
        <v>31</v>
      </c>
      <c r="B84" t="s">
        <v>17</v>
      </c>
      <c r="C84" t="s">
        <v>21</v>
      </c>
      <c r="D84">
        <v>1173</v>
      </c>
      <c r="E84">
        <v>7.6</v>
      </c>
      <c r="F84">
        <v>1084</v>
      </c>
      <c r="G84">
        <v>513.66999999999996</v>
      </c>
      <c r="H84">
        <v>5.9</v>
      </c>
      <c r="I84">
        <v>483.36</v>
      </c>
      <c r="J84">
        <v>203.18</v>
      </c>
      <c r="K84">
        <v>27918.61</v>
      </c>
      <c r="L84">
        <v>9561.6299999999992</v>
      </c>
      <c r="M84">
        <v>523962.24</v>
      </c>
      <c r="N84">
        <v>220247.12</v>
      </c>
      <c r="O84">
        <v>303715.12</v>
      </c>
      <c r="P84">
        <v>266234.88</v>
      </c>
    </row>
    <row r="85" spans="1:16" x14ac:dyDescent="0.25">
      <c r="A85" t="s">
        <v>31</v>
      </c>
      <c r="B85" t="s">
        <v>17</v>
      </c>
      <c r="C85" t="s">
        <v>22</v>
      </c>
      <c r="D85">
        <v>1733</v>
      </c>
      <c r="E85">
        <v>2.6</v>
      </c>
      <c r="F85">
        <v>1688</v>
      </c>
      <c r="G85">
        <v>659.77</v>
      </c>
      <c r="H85">
        <v>8.4</v>
      </c>
      <c r="I85">
        <v>604.35</v>
      </c>
      <c r="J85">
        <v>317.14999999999998</v>
      </c>
      <c r="K85">
        <v>71269.95</v>
      </c>
      <c r="L85">
        <v>10908.41</v>
      </c>
      <c r="M85">
        <v>1020142.8</v>
      </c>
      <c r="N85">
        <v>535349.19999999995</v>
      </c>
      <c r="O85">
        <v>484793.59999999998</v>
      </c>
      <c r="P85">
        <v>402615.24</v>
      </c>
    </row>
    <row r="86" spans="1:16" x14ac:dyDescent="0.25">
      <c r="A86" t="s">
        <v>32</v>
      </c>
      <c r="B86" t="s">
        <v>17</v>
      </c>
      <c r="C86" t="s">
        <v>18</v>
      </c>
      <c r="D86">
        <v>2709</v>
      </c>
      <c r="E86">
        <v>7.2</v>
      </c>
      <c r="F86">
        <v>2514</v>
      </c>
      <c r="G86">
        <v>875.24</v>
      </c>
      <c r="H86">
        <v>28.4</v>
      </c>
      <c r="I86">
        <v>626.66999999999996</v>
      </c>
      <c r="J86">
        <v>438.56</v>
      </c>
      <c r="K86">
        <v>117514.31</v>
      </c>
      <c r="L86">
        <v>9805.2000000000007</v>
      </c>
      <c r="M86">
        <v>1575448.38</v>
      </c>
      <c r="N86">
        <v>1102539.8400000001</v>
      </c>
      <c r="O86">
        <v>472908.54</v>
      </c>
      <c r="P86">
        <v>345589.03</v>
      </c>
    </row>
    <row r="87" spans="1:16" x14ac:dyDescent="0.25">
      <c r="A87" t="s">
        <v>32</v>
      </c>
      <c r="B87" t="s">
        <v>17</v>
      </c>
      <c r="C87" t="s">
        <v>19</v>
      </c>
      <c r="D87">
        <v>2543</v>
      </c>
      <c r="E87">
        <v>2.7</v>
      </c>
      <c r="F87">
        <v>2475</v>
      </c>
      <c r="G87">
        <v>1136.6199999999999</v>
      </c>
      <c r="H87">
        <v>23.3</v>
      </c>
      <c r="I87">
        <v>871.79</v>
      </c>
      <c r="J87">
        <v>513.24</v>
      </c>
      <c r="K87">
        <v>75477.289999999994</v>
      </c>
      <c r="L87">
        <v>9744.64</v>
      </c>
      <c r="M87">
        <v>2157680.25</v>
      </c>
      <c r="N87">
        <v>1270269</v>
      </c>
      <c r="O87">
        <v>887411.25</v>
      </c>
      <c r="P87">
        <v>802189.32</v>
      </c>
    </row>
    <row r="88" spans="1:16" x14ac:dyDescent="0.25">
      <c r="A88" t="s">
        <v>32</v>
      </c>
      <c r="B88" t="s">
        <v>17</v>
      </c>
      <c r="C88" t="s">
        <v>20</v>
      </c>
      <c r="D88">
        <v>2235</v>
      </c>
      <c r="E88">
        <v>8</v>
      </c>
      <c r="F88">
        <v>2057</v>
      </c>
      <c r="G88">
        <v>1793.7</v>
      </c>
      <c r="H88">
        <v>34</v>
      </c>
      <c r="I88">
        <v>1183.8399999999999</v>
      </c>
      <c r="J88">
        <v>967.83</v>
      </c>
      <c r="K88">
        <v>40186.730000000003</v>
      </c>
      <c r="L88">
        <v>11271.24</v>
      </c>
      <c r="M88">
        <v>2435158.88</v>
      </c>
      <c r="N88">
        <v>1990826.31</v>
      </c>
      <c r="O88">
        <v>444332.57</v>
      </c>
      <c r="P88">
        <v>392874.6</v>
      </c>
    </row>
    <row r="89" spans="1:16" x14ac:dyDescent="0.25">
      <c r="A89" t="s">
        <v>32</v>
      </c>
      <c r="B89" t="s">
        <v>17</v>
      </c>
      <c r="C89" t="s">
        <v>21</v>
      </c>
      <c r="D89">
        <v>2131</v>
      </c>
      <c r="E89">
        <v>4.8</v>
      </c>
      <c r="F89">
        <v>2029</v>
      </c>
      <c r="G89">
        <v>506.21</v>
      </c>
      <c r="H89">
        <v>22.2</v>
      </c>
      <c r="I89">
        <v>393.83</v>
      </c>
      <c r="J89">
        <v>204.74</v>
      </c>
      <c r="K89">
        <v>44099.46</v>
      </c>
      <c r="L89">
        <v>8171.88</v>
      </c>
      <c r="M89">
        <v>799081.07</v>
      </c>
      <c r="N89">
        <v>415417.46</v>
      </c>
      <c r="O89">
        <v>383663.61</v>
      </c>
      <c r="P89">
        <v>331392.27</v>
      </c>
    </row>
    <row r="90" spans="1:16" x14ac:dyDescent="0.25">
      <c r="A90" t="s">
        <v>32</v>
      </c>
      <c r="B90" t="s">
        <v>17</v>
      </c>
      <c r="C90" t="s">
        <v>22</v>
      </c>
      <c r="D90">
        <v>2362</v>
      </c>
      <c r="E90">
        <v>2.1</v>
      </c>
      <c r="F90">
        <v>2313</v>
      </c>
      <c r="G90">
        <v>666.05</v>
      </c>
      <c r="H90">
        <v>26.9</v>
      </c>
      <c r="I90">
        <v>486.88</v>
      </c>
      <c r="J90">
        <v>312.18</v>
      </c>
      <c r="K90">
        <v>91182.26</v>
      </c>
      <c r="L90">
        <v>8839.6299999999992</v>
      </c>
      <c r="M90">
        <v>1126153.44</v>
      </c>
      <c r="N90">
        <v>722072.34</v>
      </c>
      <c r="O90">
        <v>404081.1</v>
      </c>
      <c r="P90">
        <v>304059.21000000002</v>
      </c>
    </row>
  </sheetData>
  <mergeCells count="4">
    <mergeCell ref="A4:U4"/>
    <mergeCell ref="A5:U5"/>
    <mergeCell ref="A27:L27"/>
    <mergeCell ref="A68:L68"/>
  </mergeCells>
  <pageMargins left="0.7" right="0.7" top="0.75" bottom="0.75" header="0.3" footer="0.3"/>
  <tableParts count="3">
    <tablePart r:id="rId1"/>
    <tablePart r:id="rId2"/>
    <tablePart r:id="rId3"/>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8EFB07-5901-466D-BD42-6BD8BFF4431D}">
  <dimension ref="A4:T113"/>
  <sheetViews>
    <sheetView topLeftCell="M86" zoomScaleNormal="100" workbookViewId="0">
      <selection activeCell="J102" sqref="J102"/>
    </sheetView>
  </sheetViews>
  <sheetFormatPr defaultRowHeight="15" x14ac:dyDescent="0.25"/>
  <cols>
    <col min="1" max="1" width="10" customWidth="1"/>
    <col min="2" max="2" width="9.42578125" customWidth="1"/>
    <col min="3" max="3" width="19.140625" customWidth="1"/>
    <col min="4" max="4" width="18.85546875" customWidth="1"/>
    <col min="5" max="5" width="18" customWidth="1"/>
    <col min="6" max="6" width="16.85546875" customWidth="1"/>
    <col min="7" max="7" width="16" customWidth="1"/>
    <col min="8" max="8" width="15" customWidth="1"/>
    <col min="9" max="9" width="27.85546875" customWidth="1"/>
    <col min="10" max="10" width="16.140625" customWidth="1"/>
    <col min="11" max="11" width="22.7109375" customWidth="1"/>
    <col min="12" max="12" width="26.5703125" customWidth="1"/>
    <col min="13" max="13" width="15.28515625" customWidth="1"/>
    <col min="14" max="14" width="12.7109375" customWidth="1"/>
    <col min="15" max="15" width="18.42578125" customWidth="1"/>
    <col min="16" max="16" width="15.7109375" customWidth="1"/>
    <col min="17" max="17" width="15" customWidth="1"/>
    <col min="18" max="18" width="14.28515625" customWidth="1"/>
    <col min="19" max="19" width="14.5703125" customWidth="1"/>
    <col min="20" max="20" width="13.7109375" customWidth="1"/>
  </cols>
  <sheetData>
    <row r="4" spans="1:17" x14ac:dyDescent="0.25">
      <c r="A4" s="34" t="s">
        <v>78</v>
      </c>
      <c r="B4" s="34"/>
      <c r="C4" s="34"/>
      <c r="D4" s="34"/>
      <c r="E4" s="34"/>
      <c r="F4" s="34"/>
      <c r="G4" s="34"/>
      <c r="H4" s="34"/>
      <c r="I4" s="34"/>
      <c r="J4" s="34"/>
      <c r="K4" s="34"/>
      <c r="L4" s="34"/>
      <c r="M4" s="34"/>
      <c r="N4" s="34"/>
      <c r="O4" s="34"/>
      <c r="P4" s="19"/>
      <c r="Q4" s="19"/>
    </row>
    <row r="5" spans="1:17" x14ac:dyDescent="0.25">
      <c r="A5" s="35" t="s">
        <v>77</v>
      </c>
      <c r="B5" s="35"/>
      <c r="C5" s="35"/>
      <c r="D5" s="35"/>
      <c r="E5" s="35"/>
      <c r="F5" s="35"/>
      <c r="G5" s="35"/>
      <c r="H5" s="35"/>
      <c r="I5" s="35"/>
      <c r="J5" s="35"/>
      <c r="K5" s="35"/>
      <c r="L5" s="35"/>
      <c r="M5" s="35"/>
      <c r="N5" s="35"/>
      <c r="O5" s="35"/>
      <c r="P5" s="35"/>
      <c r="Q5" s="35"/>
    </row>
    <row r="6" spans="1:17" x14ac:dyDescent="0.25">
      <c r="A6" s="35" t="s">
        <v>76</v>
      </c>
      <c r="B6" s="35"/>
      <c r="C6" s="35"/>
      <c r="D6" s="35"/>
      <c r="E6" s="35"/>
      <c r="F6" s="35"/>
      <c r="G6" s="35"/>
      <c r="H6" s="35"/>
      <c r="I6" s="35"/>
      <c r="J6" s="35"/>
      <c r="K6" s="35"/>
      <c r="L6" s="35"/>
      <c r="M6" s="35"/>
      <c r="N6" s="19"/>
      <c r="O6" s="19"/>
      <c r="P6" s="19"/>
      <c r="Q6" s="19"/>
    </row>
    <row r="7" spans="1:17" x14ac:dyDescent="0.25">
      <c r="A7" s="35" t="s">
        <v>79</v>
      </c>
      <c r="B7" s="35"/>
      <c r="C7" s="35"/>
      <c r="D7" s="35"/>
      <c r="E7" s="35"/>
      <c r="F7" s="35"/>
      <c r="G7" s="35"/>
      <c r="H7" s="35"/>
      <c r="I7" s="35"/>
      <c r="J7" s="35"/>
      <c r="K7" s="35"/>
      <c r="L7" s="35"/>
      <c r="M7" s="35"/>
      <c r="N7" s="35"/>
      <c r="O7" s="19"/>
      <c r="P7" s="19"/>
      <c r="Q7" s="19"/>
    </row>
    <row r="10" spans="1:17" x14ac:dyDescent="0.25">
      <c r="A10" t="s">
        <v>0</v>
      </c>
      <c r="B10" t="s">
        <v>1</v>
      </c>
      <c r="C10" t="s">
        <v>2</v>
      </c>
      <c r="D10" t="s">
        <v>3</v>
      </c>
      <c r="E10" t="s">
        <v>4</v>
      </c>
      <c r="F10" t="s">
        <v>5</v>
      </c>
      <c r="G10" t="s">
        <v>6</v>
      </c>
      <c r="H10" t="s">
        <v>7</v>
      </c>
      <c r="I10" t="s">
        <v>8</v>
      </c>
      <c r="J10" t="s">
        <v>9</v>
      </c>
      <c r="K10" t="s">
        <v>10</v>
      </c>
      <c r="L10" t="s">
        <v>11</v>
      </c>
      <c r="M10" t="s">
        <v>12</v>
      </c>
      <c r="N10" t="s">
        <v>13</v>
      </c>
      <c r="O10" t="s">
        <v>14</v>
      </c>
      <c r="P10" t="s">
        <v>15</v>
      </c>
    </row>
    <row r="11" spans="1:17" x14ac:dyDescent="0.25">
      <c r="A11" t="s">
        <v>29</v>
      </c>
      <c r="B11" t="s">
        <v>17</v>
      </c>
      <c r="C11" t="s">
        <v>18</v>
      </c>
      <c r="D11">
        <v>1157</v>
      </c>
      <c r="E11">
        <v>7.8</v>
      </c>
      <c r="F11">
        <v>1067</v>
      </c>
      <c r="G11">
        <v>908.53</v>
      </c>
      <c r="H11">
        <v>32</v>
      </c>
      <c r="I11">
        <v>617.79999999999995</v>
      </c>
      <c r="J11">
        <v>433.24</v>
      </c>
      <c r="K11">
        <v>21018.25</v>
      </c>
      <c r="L11">
        <v>12784.33</v>
      </c>
      <c r="M11">
        <v>659192.6</v>
      </c>
      <c r="N11">
        <v>462267.08</v>
      </c>
      <c r="O11">
        <v>196925.52</v>
      </c>
      <c r="P11">
        <v>163122.94</v>
      </c>
    </row>
    <row r="12" spans="1:17" x14ac:dyDescent="0.25">
      <c r="A12" t="s">
        <v>29</v>
      </c>
      <c r="B12" t="s">
        <v>17</v>
      </c>
      <c r="C12" t="s">
        <v>19</v>
      </c>
      <c r="D12">
        <v>1414</v>
      </c>
      <c r="E12">
        <v>5</v>
      </c>
      <c r="F12">
        <v>1344</v>
      </c>
      <c r="G12">
        <v>1124.8900000000001</v>
      </c>
      <c r="H12">
        <v>29.1</v>
      </c>
      <c r="I12">
        <v>797.55</v>
      </c>
      <c r="J12">
        <v>551.79999999999995</v>
      </c>
      <c r="K12">
        <v>52337.599999999999</v>
      </c>
      <c r="L12">
        <v>12810.11</v>
      </c>
      <c r="M12">
        <v>1071907.2</v>
      </c>
      <c r="N12">
        <v>741619.19999999995</v>
      </c>
      <c r="O12">
        <v>330288</v>
      </c>
      <c r="P12">
        <v>265140.28999999998</v>
      </c>
    </row>
    <row r="13" spans="1:17" x14ac:dyDescent="0.25">
      <c r="A13" t="s">
        <v>29</v>
      </c>
      <c r="B13" t="s">
        <v>17</v>
      </c>
      <c r="C13" t="s">
        <v>20</v>
      </c>
      <c r="D13">
        <v>1284</v>
      </c>
      <c r="E13">
        <v>7.1</v>
      </c>
      <c r="F13">
        <v>1193</v>
      </c>
      <c r="G13">
        <v>1823.86</v>
      </c>
      <c r="H13">
        <v>23.7</v>
      </c>
      <c r="I13">
        <v>1391.61</v>
      </c>
      <c r="J13">
        <v>972.03</v>
      </c>
      <c r="K13">
        <v>29598.6</v>
      </c>
      <c r="L13">
        <v>12184.42</v>
      </c>
      <c r="M13">
        <v>1660190.73</v>
      </c>
      <c r="N13">
        <v>1159631.79</v>
      </c>
      <c r="O13">
        <v>500558.94</v>
      </c>
      <c r="P13">
        <v>458775.92</v>
      </c>
    </row>
    <row r="14" spans="1:17" x14ac:dyDescent="0.25">
      <c r="A14" t="s">
        <v>29</v>
      </c>
      <c r="B14" t="s">
        <v>17</v>
      </c>
      <c r="C14" t="s">
        <v>21</v>
      </c>
      <c r="D14">
        <v>1690</v>
      </c>
      <c r="E14">
        <v>3.7</v>
      </c>
      <c r="F14">
        <v>1628</v>
      </c>
      <c r="G14">
        <v>520.49</v>
      </c>
      <c r="H14">
        <v>32.6</v>
      </c>
      <c r="I14">
        <v>350.81</v>
      </c>
      <c r="J14">
        <v>186.11</v>
      </c>
      <c r="K14">
        <v>48910.720000000001</v>
      </c>
      <c r="L14">
        <v>10856.82</v>
      </c>
      <c r="M14">
        <v>571118.68000000005</v>
      </c>
      <c r="N14">
        <v>302987.08</v>
      </c>
      <c r="O14">
        <v>268131.59999999998</v>
      </c>
      <c r="P14">
        <v>208364.06</v>
      </c>
    </row>
    <row r="15" spans="1:17" x14ac:dyDescent="0.25">
      <c r="A15" t="s">
        <v>29</v>
      </c>
      <c r="B15" t="s">
        <v>17</v>
      </c>
      <c r="C15" t="s">
        <v>22</v>
      </c>
      <c r="D15">
        <v>1295</v>
      </c>
      <c r="E15">
        <v>7.6</v>
      </c>
      <c r="F15">
        <v>1197</v>
      </c>
      <c r="G15">
        <v>678.27</v>
      </c>
      <c r="H15">
        <v>19.2</v>
      </c>
      <c r="I15">
        <v>548.04</v>
      </c>
      <c r="J15">
        <v>297</v>
      </c>
      <c r="K15">
        <v>32647.16</v>
      </c>
      <c r="L15">
        <v>12341.76</v>
      </c>
      <c r="M15">
        <v>656003.88</v>
      </c>
      <c r="N15">
        <v>355509</v>
      </c>
      <c r="O15">
        <v>300494.88</v>
      </c>
      <c r="P15">
        <v>255505.96</v>
      </c>
    </row>
    <row r="16" spans="1:17" x14ac:dyDescent="0.25">
      <c r="A16" t="s">
        <v>29</v>
      </c>
      <c r="B16" t="s">
        <v>23</v>
      </c>
      <c r="C16" t="s">
        <v>18</v>
      </c>
      <c r="D16">
        <v>1177</v>
      </c>
      <c r="E16">
        <v>8.6</v>
      </c>
      <c r="F16">
        <v>1076</v>
      </c>
      <c r="G16">
        <v>926.08</v>
      </c>
      <c r="H16">
        <v>15.2</v>
      </c>
      <c r="I16">
        <v>785.32</v>
      </c>
      <c r="J16">
        <v>430.17</v>
      </c>
      <c r="K16">
        <v>20677.990000000002</v>
      </c>
      <c r="L16">
        <v>11460.41</v>
      </c>
      <c r="M16">
        <v>845004.32</v>
      </c>
      <c r="N16">
        <v>462862.92</v>
      </c>
      <c r="O16">
        <v>382141.4</v>
      </c>
      <c r="P16">
        <v>350003</v>
      </c>
    </row>
    <row r="17" spans="1:16" x14ac:dyDescent="0.25">
      <c r="A17" t="s">
        <v>29</v>
      </c>
      <c r="B17" t="s">
        <v>23</v>
      </c>
      <c r="C17" t="s">
        <v>19</v>
      </c>
      <c r="D17">
        <v>859</v>
      </c>
      <c r="E17">
        <v>7.6</v>
      </c>
      <c r="F17">
        <v>794</v>
      </c>
      <c r="G17">
        <v>1130.94</v>
      </c>
      <c r="H17">
        <v>24.8</v>
      </c>
      <c r="I17">
        <v>850.47</v>
      </c>
      <c r="J17">
        <v>541.35</v>
      </c>
      <c r="K17">
        <v>15282.98</v>
      </c>
      <c r="L17">
        <v>8718.7800000000007</v>
      </c>
      <c r="M17">
        <v>675273.18</v>
      </c>
      <c r="N17">
        <v>429831.9</v>
      </c>
      <c r="O17">
        <v>245441.28</v>
      </c>
      <c r="P17">
        <v>221439.52</v>
      </c>
    </row>
    <row r="18" spans="1:16" x14ac:dyDescent="0.25">
      <c r="A18" t="s">
        <v>29</v>
      </c>
      <c r="B18" t="s">
        <v>23</v>
      </c>
      <c r="C18" t="s">
        <v>20</v>
      </c>
      <c r="D18">
        <v>1169</v>
      </c>
      <c r="E18">
        <v>5.3</v>
      </c>
      <c r="F18">
        <v>1108</v>
      </c>
      <c r="G18">
        <v>1851.49</v>
      </c>
      <c r="H18">
        <v>26.6</v>
      </c>
      <c r="I18">
        <v>1358.99</v>
      </c>
      <c r="J18">
        <v>953.5</v>
      </c>
      <c r="K18">
        <v>36154.43</v>
      </c>
      <c r="L18">
        <v>9840.27</v>
      </c>
      <c r="M18">
        <v>1505760.92</v>
      </c>
      <c r="N18">
        <v>1056478</v>
      </c>
      <c r="O18">
        <v>449282.92</v>
      </c>
      <c r="P18">
        <v>403288.22</v>
      </c>
    </row>
    <row r="19" spans="1:16" x14ac:dyDescent="0.25">
      <c r="A19" t="s">
        <v>29</v>
      </c>
      <c r="B19" t="s">
        <v>23</v>
      </c>
      <c r="C19" t="s">
        <v>21</v>
      </c>
      <c r="D19">
        <v>1145</v>
      </c>
      <c r="E19">
        <v>2.8</v>
      </c>
      <c r="F19">
        <v>1113</v>
      </c>
      <c r="G19">
        <v>514.11</v>
      </c>
      <c r="H19">
        <v>20</v>
      </c>
      <c r="I19">
        <v>411.29</v>
      </c>
      <c r="J19">
        <v>189.96</v>
      </c>
      <c r="K19">
        <v>23790.27</v>
      </c>
      <c r="L19">
        <v>8157.55</v>
      </c>
      <c r="M19">
        <v>457765.77</v>
      </c>
      <c r="N19">
        <v>211425.48</v>
      </c>
      <c r="O19">
        <v>246340.29</v>
      </c>
      <c r="P19">
        <v>214392.47</v>
      </c>
    </row>
    <row r="20" spans="1:16" x14ac:dyDescent="0.25">
      <c r="A20" t="s">
        <v>29</v>
      </c>
      <c r="B20" t="s">
        <v>23</v>
      </c>
      <c r="C20" t="s">
        <v>22</v>
      </c>
      <c r="D20">
        <v>994</v>
      </c>
      <c r="E20">
        <v>3.5</v>
      </c>
      <c r="F20">
        <v>960</v>
      </c>
      <c r="G20">
        <v>657.82</v>
      </c>
      <c r="H20">
        <v>18.7</v>
      </c>
      <c r="I20">
        <v>534.80999999999995</v>
      </c>
      <c r="J20">
        <v>316.14999999999998</v>
      </c>
      <c r="K20">
        <v>29348.799999999999</v>
      </c>
      <c r="L20">
        <v>11485.22</v>
      </c>
      <c r="M20">
        <v>513417.6</v>
      </c>
      <c r="N20">
        <v>303504</v>
      </c>
      <c r="O20">
        <v>209913.60000000001</v>
      </c>
      <c r="P20">
        <v>169079.58</v>
      </c>
    </row>
    <row r="21" spans="1:16" x14ac:dyDescent="0.25">
      <c r="A21" t="s">
        <v>29</v>
      </c>
      <c r="B21" t="s">
        <v>24</v>
      </c>
      <c r="C21" t="s">
        <v>18</v>
      </c>
      <c r="D21">
        <v>1428</v>
      </c>
      <c r="E21">
        <v>3.6</v>
      </c>
      <c r="F21">
        <v>1377</v>
      </c>
      <c r="G21">
        <v>888.48</v>
      </c>
      <c r="H21">
        <v>18.899999999999999</v>
      </c>
      <c r="I21">
        <v>720.56</v>
      </c>
      <c r="J21">
        <v>421.85</v>
      </c>
      <c r="K21">
        <v>29107.279999999999</v>
      </c>
      <c r="L21">
        <v>7577.82</v>
      </c>
      <c r="M21">
        <v>992211.12</v>
      </c>
      <c r="N21">
        <v>580887.44999999995</v>
      </c>
      <c r="O21">
        <v>411323.67</v>
      </c>
      <c r="P21">
        <v>374638.57</v>
      </c>
    </row>
    <row r="22" spans="1:16" x14ac:dyDescent="0.25">
      <c r="A22" t="s">
        <v>29</v>
      </c>
      <c r="B22" t="s">
        <v>24</v>
      </c>
      <c r="C22" t="s">
        <v>19</v>
      </c>
      <c r="D22">
        <v>1177</v>
      </c>
      <c r="E22">
        <v>5.9</v>
      </c>
      <c r="F22">
        <v>1108</v>
      </c>
      <c r="G22">
        <v>1113.74</v>
      </c>
      <c r="H22">
        <v>34.5</v>
      </c>
      <c r="I22">
        <v>729.5</v>
      </c>
      <c r="J22">
        <v>520.09</v>
      </c>
      <c r="K22">
        <v>42280.81</v>
      </c>
      <c r="L22">
        <v>8194.5400000000009</v>
      </c>
      <c r="M22">
        <v>808286</v>
      </c>
      <c r="N22">
        <v>576259.72</v>
      </c>
      <c r="O22">
        <v>232026.28</v>
      </c>
      <c r="P22">
        <v>181550.93</v>
      </c>
    </row>
    <row r="23" spans="1:16" x14ac:dyDescent="0.25">
      <c r="A23" t="s">
        <v>29</v>
      </c>
      <c r="B23" t="s">
        <v>24</v>
      </c>
      <c r="C23" t="s">
        <v>20</v>
      </c>
      <c r="D23">
        <v>1352</v>
      </c>
      <c r="E23">
        <v>5.0999999999999996</v>
      </c>
      <c r="F23">
        <v>1284</v>
      </c>
      <c r="G23">
        <v>1884.04</v>
      </c>
      <c r="H23">
        <v>24.4</v>
      </c>
      <c r="I23">
        <v>1424.33</v>
      </c>
      <c r="J23">
        <v>981.49</v>
      </c>
      <c r="K23">
        <v>27757.79</v>
      </c>
      <c r="L23">
        <v>7782.57</v>
      </c>
      <c r="M23">
        <v>1828839.72</v>
      </c>
      <c r="N23">
        <v>1260233.1599999999</v>
      </c>
      <c r="O23">
        <v>568606.56000000006</v>
      </c>
      <c r="P23">
        <v>533066.19999999995</v>
      </c>
    </row>
    <row r="24" spans="1:16" x14ac:dyDescent="0.25">
      <c r="A24" t="s">
        <v>29</v>
      </c>
      <c r="B24" t="s">
        <v>24</v>
      </c>
      <c r="C24" t="s">
        <v>21</v>
      </c>
      <c r="D24">
        <v>1054</v>
      </c>
      <c r="E24">
        <v>4.8</v>
      </c>
      <c r="F24">
        <v>1004</v>
      </c>
      <c r="G24">
        <v>526</v>
      </c>
      <c r="H24">
        <v>31.4</v>
      </c>
      <c r="I24">
        <v>360.84</v>
      </c>
      <c r="J24">
        <v>194.28</v>
      </c>
      <c r="K24">
        <v>18152.48</v>
      </c>
      <c r="L24">
        <v>10961.95</v>
      </c>
      <c r="M24">
        <v>362283.36</v>
      </c>
      <c r="N24">
        <v>195057.12</v>
      </c>
      <c r="O24">
        <v>167226.23999999999</v>
      </c>
      <c r="P24">
        <v>138111.81</v>
      </c>
    </row>
    <row r="25" spans="1:16" x14ac:dyDescent="0.25">
      <c r="A25" t="s">
        <v>29</v>
      </c>
      <c r="B25" t="s">
        <v>24</v>
      </c>
      <c r="C25" t="s">
        <v>22</v>
      </c>
      <c r="D25">
        <v>1306</v>
      </c>
      <c r="E25">
        <v>2.8</v>
      </c>
      <c r="F25">
        <v>1270</v>
      </c>
      <c r="G25">
        <v>659.57</v>
      </c>
      <c r="H25">
        <v>34.9</v>
      </c>
      <c r="I25">
        <v>429.38</v>
      </c>
      <c r="J25">
        <v>301.02999999999997</v>
      </c>
      <c r="K25">
        <v>49540.89</v>
      </c>
      <c r="L25">
        <v>10834.75</v>
      </c>
      <c r="M25">
        <v>545312.6</v>
      </c>
      <c r="N25">
        <v>382308.1</v>
      </c>
      <c r="O25">
        <v>163004.5</v>
      </c>
      <c r="P25">
        <v>102628.86</v>
      </c>
    </row>
    <row r="26" spans="1:16" x14ac:dyDescent="0.25">
      <c r="A26" t="s">
        <v>29</v>
      </c>
      <c r="B26" t="s">
        <v>25</v>
      </c>
      <c r="C26" t="s">
        <v>18</v>
      </c>
      <c r="D26">
        <v>1305</v>
      </c>
      <c r="E26">
        <v>5.2</v>
      </c>
      <c r="F26">
        <v>1238</v>
      </c>
      <c r="G26">
        <v>934.13</v>
      </c>
      <c r="H26">
        <v>25.5</v>
      </c>
      <c r="I26">
        <v>695.93</v>
      </c>
      <c r="J26">
        <v>427.78</v>
      </c>
      <c r="K26">
        <v>36907.53</v>
      </c>
      <c r="L26">
        <v>12230.92</v>
      </c>
      <c r="M26">
        <v>861561.34</v>
      </c>
      <c r="N26">
        <v>529591.64</v>
      </c>
      <c r="O26">
        <v>331969.7</v>
      </c>
      <c r="P26">
        <v>282831.25</v>
      </c>
    </row>
    <row r="27" spans="1:16" x14ac:dyDescent="0.25">
      <c r="A27" t="s">
        <v>29</v>
      </c>
      <c r="B27" t="s">
        <v>25</v>
      </c>
      <c r="C27" t="s">
        <v>19</v>
      </c>
      <c r="D27">
        <v>1432</v>
      </c>
      <c r="E27">
        <v>8.6</v>
      </c>
      <c r="F27">
        <v>1309</v>
      </c>
      <c r="G27">
        <v>1123.29</v>
      </c>
      <c r="H27">
        <v>29.8</v>
      </c>
      <c r="I27">
        <v>788.55</v>
      </c>
      <c r="J27">
        <v>539.27</v>
      </c>
      <c r="K27">
        <v>30406.57</v>
      </c>
      <c r="L27">
        <v>8660.64</v>
      </c>
      <c r="M27">
        <v>1032211.95</v>
      </c>
      <c r="N27">
        <v>705904.43</v>
      </c>
      <c r="O27">
        <v>326307.52</v>
      </c>
      <c r="P27">
        <v>287240.31</v>
      </c>
    </row>
    <row r="28" spans="1:16" x14ac:dyDescent="0.25">
      <c r="A28" t="s">
        <v>29</v>
      </c>
      <c r="B28" t="s">
        <v>25</v>
      </c>
      <c r="C28" t="s">
        <v>20</v>
      </c>
      <c r="D28">
        <v>1259</v>
      </c>
      <c r="E28">
        <v>2.5</v>
      </c>
      <c r="F28">
        <v>1228</v>
      </c>
      <c r="G28">
        <v>1845.85</v>
      </c>
      <c r="H28">
        <v>18.5</v>
      </c>
      <c r="I28">
        <v>1504.37</v>
      </c>
      <c r="J28">
        <v>937.91</v>
      </c>
      <c r="K28">
        <v>18986.060000000001</v>
      </c>
      <c r="L28">
        <v>9977.77</v>
      </c>
      <c r="M28">
        <v>1847366.36</v>
      </c>
      <c r="N28">
        <v>1151753.48</v>
      </c>
      <c r="O28">
        <v>695612.88</v>
      </c>
      <c r="P28">
        <v>666649.05000000005</v>
      </c>
    </row>
    <row r="29" spans="1:16" x14ac:dyDescent="0.25">
      <c r="A29" t="s">
        <v>29</v>
      </c>
      <c r="B29" t="s">
        <v>25</v>
      </c>
      <c r="C29" t="s">
        <v>21</v>
      </c>
      <c r="D29">
        <v>1138</v>
      </c>
      <c r="E29">
        <v>5.2</v>
      </c>
      <c r="F29">
        <v>1079</v>
      </c>
      <c r="G29">
        <v>490.59</v>
      </c>
      <c r="H29">
        <v>29.1</v>
      </c>
      <c r="I29">
        <v>347.83</v>
      </c>
      <c r="J29">
        <v>199.08</v>
      </c>
      <c r="K29">
        <v>40537.32</v>
      </c>
      <c r="L29">
        <v>12581.51</v>
      </c>
      <c r="M29">
        <v>375308.57</v>
      </c>
      <c r="N29">
        <v>214807.32</v>
      </c>
      <c r="O29">
        <v>160501.25</v>
      </c>
      <c r="P29">
        <v>107382.42</v>
      </c>
    </row>
    <row r="30" spans="1:16" x14ac:dyDescent="0.25">
      <c r="A30" t="s">
        <v>29</v>
      </c>
      <c r="B30" t="s">
        <v>25</v>
      </c>
      <c r="C30" t="s">
        <v>22</v>
      </c>
      <c r="D30">
        <v>1182</v>
      </c>
      <c r="E30">
        <v>8.5</v>
      </c>
      <c r="F30">
        <v>1082</v>
      </c>
      <c r="G30">
        <v>674.17</v>
      </c>
      <c r="H30">
        <v>28.2</v>
      </c>
      <c r="I30">
        <v>484.05</v>
      </c>
      <c r="J30">
        <v>311.63</v>
      </c>
      <c r="K30">
        <v>32805.43</v>
      </c>
      <c r="L30">
        <v>10495.09</v>
      </c>
      <c r="M30">
        <v>523742.1</v>
      </c>
      <c r="N30">
        <v>337183.66</v>
      </c>
      <c r="O30">
        <v>186558.44</v>
      </c>
      <c r="P30">
        <v>143257.92000000001</v>
      </c>
    </row>
    <row r="31" spans="1:16" x14ac:dyDescent="0.25">
      <c r="A31" t="s">
        <v>30</v>
      </c>
      <c r="B31" t="s">
        <v>17</v>
      </c>
      <c r="C31" t="s">
        <v>18</v>
      </c>
      <c r="D31">
        <v>1219</v>
      </c>
      <c r="E31">
        <v>4.2</v>
      </c>
      <c r="F31">
        <v>1168</v>
      </c>
      <c r="G31">
        <v>937.35</v>
      </c>
      <c r="H31">
        <v>8.3000000000000007</v>
      </c>
      <c r="I31">
        <v>859.55</v>
      </c>
      <c r="J31">
        <v>420.48</v>
      </c>
      <c r="K31">
        <v>45674.38</v>
      </c>
      <c r="L31">
        <v>10630.64</v>
      </c>
      <c r="M31">
        <v>1003954.4</v>
      </c>
      <c r="N31">
        <v>491120.64000000001</v>
      </c>
      <c r="O31">
        <v>512833.76</v>
      </c>
      <c r="P31">
        <v>456528.74</v>
      </c>
    </row>
    <row r="32" spans="1:16" x14ac:dyDescent="0.25">
      <c r="A32" t="s">
        <v>30</v>
      </c>
      <c r="B32" t="s">
        <v>17</v>
      </c>
      <c r="C32" t="s">
        <v>19</v>
      </c>
      <c r="D32">
        <v>1119</v>
      </c>
      <c r="E32">
        <v>6.9</v>
      </c>
      <c r="F32">
        <v>1042</v>
      </c>
      <c r="G32">
        <v>1086.76</v>
      </c>
      <c r="H32">
        <v>18.8</v>
      </c>
      <c r="I32">
        <v>882.45</v>
      </c>
      <c r="J32">
        <v>511.51</v>
      </c>
      <c r="K32">
        <v>48430.64</v>
      </c>
      <c r="L32">
        <v>10252.6</v>
      </c>
      <c r="M32">
        <v>919512.9</v>
      </c>
      <c r="N32">
        <v>532993.42000000004</v>
      </c>
      <c r="O32">
        <v>386519.48</v>
      </c>
      <c r="P32">
        <v>327836.24</v>
      </c>
    </row>
    <row r="33" spans="1:16" x14ac:dyDescent="0.25">
      <c r="A33" t="s">
        <v>30</v>
      </c>
      <c r="B33" t="s">
        <v>17</v>
      </c>
      <c r="C33" t="s">
        <v>20</v>
      </c>
      <c r="D33">
        <v>1424</v>
      </c>
      <c r="E33">
        <v>3.8</v>
      </c>
      <c r="F33">
        <v>1370</v>
      </c>
      <c r="G33">
        <v>1734.21</v>
      </c>
      <c r="H33">
        <v>11.4</v>
      </c>
      <c r="I33">
        <v>1536.51</v>
      </c>
      <c r="J33">
        <v>966.65</v>
      </c>
      <c r="K33">
        <v>25261.48</v>
      </c>
      <c r="L33">
        <v>12790.51</v>
      </c>
      <c r="M33">
        <v>2105018.7000000002</v>
      </c>
      <c r="N33">
        <v>1324310.5</v>
      </c>
      <c r="O33">
        <v>780708.2</v>
      </c>
      <c r="P33">
        <v>742656.21</v>
      </c>
    </row>
    <row r="34" spans="1:16" x14ac:dyDescent="0.25">
      <c r="A34" t="s">
        <v>30</v>
      </c>
      <c r="B34" t="s">
        <v>17</v>
      </c>
      <c r="C34" t="s">
        <v>21</v>
      </c>
      <c r="D34">
        <v>1521</v>
      </c>
      <c r="E34">
        <v>9</v>
      </c>
      <c r="F34">
        <v>1385</v>
      </c>
      <c r="G34">
        <v>520.75</v>
      </c>
      <c r="H34">
        <v>24</v>
      </c>
      <c r="I34">
        <v>395.77</v>
      </c>
      <c r="J34">
        <v>196.32</v>
      </c>
      <c r="K34">
        <v>53491.21</v>
      </c>
      <c r="L34">
        <v>8982.31</v>
      </c>
      <c r="M34">
        <v>548141.44999999995</v>
      </c>
      <c r="N34">
        <v>271903.2</v>
      </c>
      <c r="O34">
        <v>276238.25</v>
      </c>
      <c r="P34">
        <v>213764.73</v>
      </c>
    </row>
    <row r="35" spans="1:16" x14ac:dyDescent="0.25">
      <c r="A35" t="s">
        <v>30</v>
      </c>
      <c r="B35" t="s">
        <v>17</v>
      </c>
      <c r="C35" t="s">
        <v>22</v>
      </c>
      <c r="D35">
        <v>1888</v>
      </c>
      <c r="E35">
        <v>3.3</v>
      </c>
      <c r="F35">
        <v>1826</v>
      </c>
      <c r="G35">
        <v>653.58000000000004</v>
      </c>
      <c r="H35">
        <v>23.3</v>
      </c>
      <c r="I35">
        <v>501.3</v>
      </c>
      <c r="J35">
        <v>312.5</v>
      </c>
      <c r="K35">
        <v>61473.07</v>
      </c>
      <c r="L35">
        <v>10991.32</v>
      </c>
      <c r="M35">
        <v>915373.8</v>
      </c>
      <c r="N35">
        <v>570625</v>
      </c>
      <c r="O35">
        <v>344748.79999999999</v>
      </c>
      <c r="P35">
        <v>272284.40999999997</v>
      </c>
    </row>
    <row r="36" spans="1:16" x14ac:dyDescent="0.25">
      <c r="A36" t="s">
        <v>30</v>
      </c>
      <c r="B36" t="s">
        <v>23</v>
      </c>
      <c r="C36" t="s">
        <v>18</v>
      </c>
      <c r="D36">
        <v>1393</v>
      </c>
      <c r="E36">
        <v>4.3</v>
      </c>
      <c r="F36">
        <v>1334</v>
      </c>
      <c r="G36">
        <v>907.25</v>
      </c>
      <c r="H36">
        <v>12</v>
      </c>
      <c r="I36">
        <v>798.38</v>
      </c>
      <c r="J36">
        <v>421.42</v>
      </c>
      <c r="K36">
        <v>48899.88</v>
      </c>
      <c r="L36">
        <v>12217.53</v>
      </c>
      <c r="M36">
        <v>1065038.92</v>
      </c>
      <c r="N36">
        <v>562174.28</v>
      </c>
      <c r="O36">
        <v>502864.64000000001</v>
      </c>
      <c r="P36">
        <v>441747.23</v>
      </c>
    </row>
    <row r="37" spans="1:16" x14ac:dyDescent="0.25">
      <c r="A37" t="s">
        <v>30</v>
      </c>
      <c r="B37" t="s">
        <v>23</v>
      </c>
      <c r="C37" t="s">
        <v>19</v>
      </c>
      <c r="D37">
        <v>1165</v>
      </c>
      <c r="E37">
        <v>5.9</v>
      </c>
      <c r="F37">
        <v>1097</v>
      </c>
      <c r="G37">
        <v>1086.72</v>
      </c>
      <c r="H37">
        <v>21.3</v>
      </c>
      <c r="I37">
        <v>855.25</v>
      </c>
      <c r="J37">
        <v>558.47</v>
      </c>
      <c r="K37">
        <v>33371.17</v>
      </c>
      <c r="L37">
        <v>9229.84</v>
      </c>
      <c r="M37">
        <v>938209.25</v>
      </c>
      <c r="N37">
        <v>612641.59</v>
      </c>
      <c r="O37">
        <v>325567.65999999997</v>
      </c>
      <c r="P37">
        <v>282966.65000000002</v>
      </c>
    </row>
    <row r="38" spans="1:16" x14ac:dyDescent="0.25">
      <c r="A38" t="s">
        <v>30</v>
      </c>
      <c r="B38" t="s">
        <v>23</v>
      </c>
      <c r="C38" t="s">
        <v>20</v>
      </c>
      <c r="D38">
        <v>1576</v>
      </c>
      <c r="E38">
        <v>5.6</v>
      </c>
      <c r="F38">
        <v>1488</v>
      </c>
      <c r="G38">
        <v>1785.2</v>
      </c>
      <c r="H38">
        <v>13.1</v>
      </c>
      <c r="I38">
        <v>1551.34</v>
      </c>
      <c r="J38">
        <v>1022.88</v>
      </c>
      <c r="K38">
        <v>70358.28</v>
      </c>
      <c r="L38">
        <v>11117.13</v>
      </c>
      <c r="M38">
        <v>2308393.92</v>
      </c>
      <c r="N38">
        <v>1522045.44</v>
      </c>
      <c r="O38">
        <v>786348.48</v>
      </c>
      <c r="P38">
        <v>704873.07</v>
      </c>
    </row>
    <row r="39" spans="1:16" x14ac:dyDescent="0.25">
      <c r="A39" t="s">
        <v>30</v>
      </c>
      <c r="B39" t="s">
        <v>23</v>
      </c>
      <c r="C39" t="s">
        <v>21</v>
      </c>
      <c r="D39">
        <v>1115</v>
      </c>
      <c r="E39">
        <v>6.4</v>
      </c>
      <c r="F39">
        <v>1044</v>
      </c>
      <c r="G39">
        <v>488.4</v>
      </c>
      <c r="H39">
        <v>20.100000000000001</v>
      </c>
      <c r="I39">
        <v>390.23</v>
      </c>
      <c r="J39">
        <v>191.86</v>
      </c>
      <c r="K39">
        <v>42146.68</v>
      </c>
      <c r="L39">
        <v>8619.57</v>
      </c>
      <c r="M39">
        <v>407400.12</v>
      </c>
      <c r="N39">
        <v>200301.84</v>
      </c>
      <c r="O39">
        <v>207098.28</v>
      </c>
      <c r="P39">
        <v>156332.03</v>
      </c>
    </row>
    <row r="40" spans="1:16" x14ac:dyDescent="0.25">
      <c r="A40" t="s">
        <v>30</v>
      </c>
      <c r="B40" t="s">
        <v>23</v>
      </c>
      <c r="C40" t="s">
        <v>22</v>
      </c>
      <c r="D40">
        <v>1257</v>
      </c>
      <c r="E40">
        <v>6.9</v>
      </c>
      <c r="F40">
        <v>1171</v>
      </c>
      <c r="G40">
        <v>658.68</v>
      </c>
      <c r="H40">
        <v>13.8</v>
      </c>
      <c r="I40">
        <v>567.78</v>
      </c>
      <c r="J40">
        <v>321.61</v>
      </c>
      <c r="K40">
        <v>23433.98</v>
      </c>
      <c r="L40">
        <v>12852.31</v>
      </c>
      <c r="M40">
        <v>664870.38</v>
      </c>
      <c r="N40">
        <v>376605.31</v>
      </c>
      <c r="O40">
        <v>288265.07</v>
      </c>
      <c r="P40">
        <v>251978.78</v>
      </c>
    </row>
    <row r="41" spans="1:16" x14ac:dyDescent="0.25">
      <c r="A41" t="s">
        <v>30</v>
      </c>
      <c r="B41" t="s">
        <v>24</v>
      </c>
      <c r="C41" t="s">
        <v>18</v>
      </c>
      <c r="D41">
        <v>1261</v>
      </c>
      <c r="E41">
        <v>2.7</v>
      </c>
      <c r="F41">
        <v>1227</v>
      </c>
      <c r="G41">
        <v>877.28</v>
      </c>
      <c r="H41">
        <v>16</v>
      </c>
      <c r="I41">
        <v>736.92</v>
      </c>
      <c r="J41">
        <v>443.15</v>
      </c>
      <c r="K41">
        <v>56452.09</v>
      </c>
      <c r="L41">
        <v>12521.11</v>
      </c>
      <c r="M41">
        <v>904200.84</v>
      </c>
      <c r="N41">
        <v>543745.05000000005</v>
      </c>
      <c r="O41">
        <v>360455.79</v>
      </c>
      <c r="P41">
        <v>291482.59000000003</v>
      </c>
    </row>
    <row r="42" spans="1:16" x14ac:dyDescent="0.25">
      <c r="A42" t="s">
        <v>30</v>
      </c>
      <c r="B42" t="s">
        <v>24</v>
      </c>
      <c r="C42" t="s">
        <v>19</v>
      </c>
      <c r="D42">
        <v>1283</v>
      </c>
      <c r="E42">
        <v>5.5</v>
      </c>
      <c r="F42">
        <v>1213</v>
      </c>
      <c r="G42">
        <v>1105.75</v>
      </c>
      <c r="H42">
        <v>21.6</v>
      </c>
      <c r="I42">
        <v>866.91</v>
      </c>
      <c r="J42">
        <v>511.12</v>
      </c>
      <c r="K42">
        <v>46827.06</v>
      </c>
      <c r="L42">
        <v>10298.799999999999</v>
      </c>
      <c r="M42">
        <v>1051561.83</v>
      </c>
      <c r="N42">
        <v>619988.56000000006</v>
      </c>
      <c r="O42">
        <v>431573.27</v>
      </c>
      <c r="P42">
        <v>374447.41</v>
      </c>
    </row>
    <row r="43" spans="1:16" x14ac:dyDescent="0.25">
      <c r="A43" t="s">
        <v>30</v>
      </c>
      <c r="B43" t="s">
        <v>24</v>
      </c>
      <c r="C43" t="s">
        <v>20</v>
      </c>
      <c r="D43">
        <v>1322</v>
      </c>
      <c r="E43">
        <v>4.7</v>
      </c>
      <c r="F43">
        <v>1260</v>
      </c>
      <c r="G43">
        <v>1903.39</v>
      </c>
      <c r="H43">
        <v>16</v>
      </c>
      <c r="I43">
        <v>1598.85</v>
      </c>
      <c r="J43">
        <v>946.97</v>
      </c>
      <c r="K43">
        <v>56391.29</v>
      </c>
      <c r="L43">
        <v>10295.33</v>
      </c>
      <c r="M43">
        <v>2014551</v>
      </c>
      <c r="N43">
        <v>1193182.2</v>
      </c>
      <c r="O43">
        <v>821368.8</v>
      </c>
      <c r="P43">
        <v>754682.19</v>
      </c>
    </row>
    <row r="44" spans="1:16" x14ac:dyDescent="0.25">
      <c r="A44" t="s">
        <v>30</v>
      </c>
      <c r="B44" t="s">
        <v>24</v>
      </c>
      <c r="C44" t="s">
        <v>21</v>
      </c>
      <c r="D44">
        <v>1768</v>
      </c>
      <c r="E44">
        <v>7.5</v>
      </c>
      <c r="F44">
        <v>1636</v>
      </c>
      <c r="G44">
        <v>522.91999999999996</v>
      </c>
      <c r="H44">
        <v>10.5</v>
      </c>
      <c r="I44">
        <v>468.01</v>
      </c>
      <c r="J44">
        <v>202.36</v>
      </c>
      <c r="K44">
        <v>48528.55</v>
      </c>
      <c r="L44">
        <v>12638.37</v>
      </c>
      <c r="M44">
        <v>765664.36</v>
      </c>
      <c r="N44">
        <v>331060.96000000002</v>
      </c>
      <c r="O44">
        <v>434603.4</v>
      </c>
      <c r="P44">
        <v>373436.48</v>
      </c>
    </row>
    <row r="45" spans="1:16" x14ac:dyDescent="0.25">
      <c r="A45" t="s">
        <v>30</v>
      </c>
      <c r="B45" t="s">
        <v>24</v>
      </c>
      <c r="C45" t="s">
        <v>22</v>
      </c>
      <c r="D45">
        <v>996</v>
      </c>
      <c r="E45">
        <v>9</v>
      </c>
      <c r="F45">
        <v>907</v>
      </c>
      <c r="G45">
        <v>641.4</v>
      </c>
      <c r="H45">
        <v>16.7</v>
      </c>
      <c r="I45">
        <v>534.29</v>
      </c>
      <c r="J45">
        <v>300.85000000000002</v>
      </c>
      <c r="K45">
        <v>29570.45</v>
      </c>
      <c r="L45">
        <v>8317.27</v>
      </c>
      <c r="M45">
        <v>484601.03</v>
      </c>
      <c r="N45">
        <v>272870.95</v>
      </c>
      <c r="O45">
        <v>211730.08</v>
      </c>
      <c r="P45">
        <v>173842.35</v>
      </c>
    </row>
    <row r="46" spans="1:16" x14ac:dyDescent="0.25">
      <c r="A46" t="s">
        <v>30</v>
      </c>
      <c r="B46" t="s">
        <v>25</v>
      </c>
      <c r="C46" t="s">
        <v>18</v>
      </c>
      <c r="D46">
        <v>1429</v>
      </c>
      <c r="E46">
        <v>5.8</v>
      </c>
      <c r="F46">
        <v>1347</v>
      </c>
      <c r="G46">
        <v>911.46</v>
      </c>
      <c r="H46">
        <v>16</v>
      </c>
      <c r="I46">
        <v>765.63</v>
      </c>
      <c r="J46">
        <v>433.42</v>
      </c>
      <c r="K46">
        <v>40955.620000000003</v>
      </c>
      <c r="L46">
        <v>9269.7800000000007</v>
      </c>
      <c r="M46">
        <v>1031303.61</v>
      </c>
      <c r="N46">
        <v>583816.74</v>
      </c>
      <c r="O46">
        <v>447486.87</v>
      </c>
      <c r="P46">
        <v>397261.47</v>
      </c>
    </row>
    <row r="47" spans="1:16" x14ac:dyDescent="0.25">
      <c r="A47" t="s">
        <v>30</v>
      </c>
      <c r="B47" t="s">
        <v>25</v>
      </c>
      <c r="C47" t="s">
        <v>19</v>
      </c>
      <c r="D47">
        <v>1575</v>
      </c>
      <c r="E47">
        <v>2.2999999999999998</v>
      </c>
      <c r="F47">
        <v>1539</v>
      </c>
      <c r="G47">
        <v>1117.8800000000001</v>
      </c>
      <c r="H47">
        <v>20.5</v>
      </c>
      <c r="I47">
        <v>888.71</v>
      </c>
      <c r="J47">
        <v>517.76</v>
      </c>
      <c r="K47">
        <v>58812.32</v>
      </c>
      <c r="L47">
        <v>11378.75</v>
      </c>
      <c r="M47">
        <v>1367724.69</v>
      </c>
      <c r="N47">
        <v>796832.64</v>
      </c>
      <c r="O47">
        <v>570892.05000000005</v>
      </c>
      <c r="P47">
        <v>500700.98</v>
      </c>
    </row>
    <row r="48" spans="1:16" x14ac:dyDescent="0.25">
      <c r="A48" t="s">
        <v>30</v>
      </c>
      <c r="B48" t="s">
        <v>25</v>
      </c>
      <c r="C48" t="s">
        <v>20</v>
      </c>
      <c r="D48">
        <v>1760</v>
      </c>
      <c r="E48">
        <v>7.7</v>
      </c>
      <c r="F48">
        <v>1625</v>
      </c>
      <c r="G48">
        <v>1873.01</v>
      </c>
      <c r="H48">
        <v>18.3</v>
      </c>
      <c r="I48">
        <v>1530.25</v>
      </c>
      <c r="J48">
        <v>961.85</v>
      </c>
      <c r="K48">
        <v>78187.199999999997</v>
      </c>
      <c r="L48">
        <v>10224.31</v>
      </c>
      <c r="M48">
        <v>2486656.25</v>
      </c>
      <c r="N48">
        <v>1563006.25</v>
      </c>
      <c r="O48">
        <v>923650</v>
      </c>
      <c r="P48">
        <v>835238.49</v>
      </c>
    </row>
    <row r="49" spans="1:16" x14ac:dyDescent="0.25">
      <c r="A49" t="s">
        <v>30</v>
      </c>
      <c r="B49" t="s">
        <v>25</v>
      </c>
      <c r="C49" t="s">
        <v>21</v>
      </c>
      <c r="D49">
        <v>1698</v>
      </c>
      <c r="E49">
        <v>5.0999999999999996</v>
      </c>
      <c r="F49">
        <v>1612</v>
      </c>
      <c r="G49">
        <v>508.49</v>
      </c>
      <c r="H49">
        <v>22.5</v>
      </c>
      <c r="I49">
        <v>394.08</v>
      </c>
      <c r="J49">
        <v>202.48</v>
      </c>
      <c r="K49">
        <v>52261.95</v>
      </c>
      <c r="L49">
        <v>10013.1</v>
      </c>
      <c r="M49">
        <v>635256.96</v>
      </c>
      <c r="N49">
        <v>326397.76</v>
      </c>
      <c r="O49">
        <v>308859.2</v>
      </c>
      <c r="P49">
        <v>246584.15</v>
      </c>
    </row>
    <row r="50" spans="1:16" x14ac:dyDescent="0.25">
      <c r="A50" t="s">
        <v>30</v>
      </c>
      <c r="B50" t="s">
        <v>25</v>
      </c>
      <c r="C50" t="s">
        <v>22</v>
      </c>
      <c r="D50">
        <v>1508</v>
      </c>
      <c r="E50">
        <v>3.1</v>
      </c>
      <c r="F50">
        <v>1462</v>
      </c>
      <c r="G50">
        <v>669.93</v>
      </c>
      <c r="H50">
        <v>18.100000000000001</v>
      </c>
      <c r="I50">
        <v>548.66999999999996</v>
      </c>
      <c r="J50">
        <v>304.52999999999997</v>
      </c>
      <c r="K50">
        <v>43859.75</v>
      </c>
      <c r="L50">
        <v>12830.62</v>
      </c>
      <c r="M50">
        <v>802155.54</v>
      </c>
      <c r="N50">
        <v>445222.86</v>
      </c>
      <c r="O50">
        <v>356932.68</v>
      </c>
      <c r="P50">
        <v>300242.31</v>
      </c>
    </row>
    <row r="51" spans="1:16" x14ac:dyDescent="0.25">
      <c r="A51" t="s">
        <v>31</v>
      </c>
      <c r="B51" t="s">
        <v>17</v>
      </c>
      <c r="C51" t="s">
        <v>18</v>
      </c>
      <c r="D51">
        <v>1368</v>
      </c>
      <c r="E51">
        <v>8</v>
      </c>
      <c r="F51">
        <v>1259</v>
      </c>
      <c r="G51">
        <v>921.46</v>
      </c>
      <c r="H51">
        <v>22</v>
      </c>
      <c r="I51">
        <v>718.74</v>
      </c>
      <c r="J51">
        <v>457.39</v>
      </c>
      <c r="K51">
        <v>36115.589999999997</v>
      </c>
      <c r="L51">
        <v>9241.64</v>
      </c>
      <c r="M51">
        <v>904893.66</v>
      </c>
      <c r="N51">
        <v>575854.01</v>
      </c>
      <c r="O51">
        <v>329039.65000000002</v>
      </c>
      <c r="P51">
        <v>283682.42</v>
      </c>
    </row>
    <row r="52" spans="1:16" x14ac:dyDescent="0.25">
      <c r="A52" t="s">
        <v>31</v>
      </c>
      <c r="B52" t="s">
        <v>17</v>
      </c>
      <c r="C52" t="s">
        <v>19</v>
      </c>
      <c r="D52">
        <v>1862</v>
      </c>
      <c r="E52">
        <v>2.2999999999999998</v>
      </c>
      <c r="F52">
        <v>1820</v>
      </c>
      <c r="G52">
        <v>1134.03</v>
      </c>
      <c r="H52">
        <v>22.4</v>
      </c>
      <c r="I52">
        <v>880.01</v>
      </c>
      <c r="J52">
        <v>547.84</v>
      </c>
      <c r="K52">
        <v>31751.98</v>
      </c>
      <c r="L52">
        <v>10971.39</v>
      </c>
      <c r="M52">
        <v>1601618.2</v>
      </c>
      <c r="N52">
        <v>997068.80000000005</v>
      </c>
      <c r="O52">
        <v>604549.4</v>
      </c>
      <c r="P52">
        <v>561826.03</v>
      </c>
    </row>
    <row r="53" spans="1:16" x14ac:dyDescent="0.25">
      <c r="A53" t="s">
        <v>31</v>
      </c>
      <c r="B53" t="s">
        <v>17</v>
      </c>
      <c r="C53" t="s">
        <v>20</v>
      </c>
      <c r="D53">
        <v>2266</v>
      </c>
      <c r="E53">
        <v>6.4</v>
      </c>
      <c r="F53">
        <v>2121</v>
      </c>
      <c r="G53">
        <v>1861.38</v>
      </c>
      <c r="H53">
        <v>7</v>
      </c>
      <c r="I53">
        <v>1731.08</v>
      </c>
      <c r="J53">
        <v>966.85</v>
      </c>
      <c r="K53">
        <v>93307.94</v>
      </c>
      <c r="L53">
        <v>9940.23</v>
      </c>
      <c r="M53">
        <v>3671620.68</v>
      </c>
      <c r="N53">
        <v>2050688.85</v>
      </c>
      <c r="O53">
        <v>1620931.83</v>
      </c>
      <c r="P53">
        <v>1517683.66</v>
      </c>
    </row>
    <row r="54" spans="1:16" x14ac:dyDescent="0.25">
      <c r="A54" t="s">
        <v>31</v>
      </c>
      <c r="B54" t="s">
        <v>17</v>
      </c>
      <c r="C54" t="s">
        <v>21</v>
      </c>
      <c r="D54">
        <v>1173</v>
      </c>
      <c r="E54">
        <v>7.6</v>
      </c>
      <c r="F54">
        <v>1084</v>
      </c>
      <c r="G54">
        <v>513.66999999999996</v>
      </c>
      <c r="H54">
        <v>5.9</v>
      </c>
      <c r="I54">
        <v>483.36</v>
      </c>
      <c r="J54">
        <v>203.18</v>
      </c>
      <c r="K54">
        <v>27918.61</v>
      </c>
      <c r="L54">
        <v>9561.6299999999992</v>
      </c>
      <c r="M54">
        <v>523962.24</v>
      </c>
      <c r="N54">
        <v>220247.12</v>
      </c>
      <c r="O54">
        <v>303715.12</v>
      </c>
      <c r="P54">
        <v>266234.88</v>
      </c>
    </row>
    <row r="55" spans="1:16" x14ac:dyDescent="0.25">
      <c r="A55" t="s">
        <v>31</v>
      </c>
      <c r="B55" t="s">
        <v>17</v>
      </c>
      <c r="C55" t="s">
        <v>22</v>
      </c>
      <c r="D55">
        <v>1733</v>
      </c>
      <c r="E55">
        <v>2.6</v>
      </c>
      <c r="F55">
        <v>1688</v>
      </c>
      <c r="G55">
        <v>659.77</v>
      </c>
      <c r="H55">
        <v>8.4</v>
      </c>
      <c r="I55">
        <v>604.35</v>
      </c>
      <c r="J55">
        <v>317.14999999999998</v>
      </c>
      <c r="K55">
        <v>71269.95</v>
      </c>
      <c r="L55">
        <v>10908.41</v>
      </c>
      <c r="M55">
        <v>1020142.8</v>
      </c>
      <c r="N55">
        <v>535349.19999999995</v>
      </c>
      <c r="O55">
        <v>484793.59999999998</v>
      </c>
      <c r="P55">
        <v>402615.24</v>
      </c>
    </row>
    <row r="56" spans="1:16" x14ac:dyDescent="0.25">
      <c r="A56" t="s">
        <v>31</v>
      </c>
      <c r="B56" t="s">
        <v>23</v>
      </c>
      <c r="C56" t="s">
        <v>18</v>
      </c>
      <c r="D56">
        <v>1541</v>
      </c>
      <c r="E56">
        <v>5.2</v>
      </c>
      <c r="F56">
        <v>1461</v>
      </c>
      <c r="G56">
        <v>884.69</v>
      </c>
      <c r="H56">
        <v>7.9</v>
      </c>
      <c r="I56">
        <v>814.8</v>
      </c>
      <c r="J56">
        <v>460.28</v>
      </c>
      <c r="K56">
        <v>34856.370000000003</v>
      </c>
      <c r="L56">
        <v>8904.2999999999993</v>
      </c>
      <c r="M56">
        <v>1190422.8</v>
      </c>
      <c r="N56">
        <v>672469.08</v>
      </c>
      <c r="O56">
        <v>517953.72</v>
      </c>
      <c r="P56">
        <v>474193.05</v>
      </c>
    </row>
    <row r="57" spans="1:16" x14ac:dyDescent="0.25">
      <c r="A57" t="s">
        <v>31</v>
      </c>
      <c r="B57" t="s">
        <v>23</v>
      </c>
      <c r="C57" t="s">
        <v>19</v>
      </c>
      <c r="D57">
        <v>1709</v>
      </c>
      <c r="E57">
        <v>5.0999999999999996</v>
      </c>
      <c r="F57">
        <v>1622</v>
      </c>
      <c r="G57">
        <v>1154.08</v>
      </c>
      <c r="H57">
        <v>8.1999999999999993</v>
      </c>
      <c r="I57">
        <v>1059.45</v>
      </c>
      <c r="J57">
        <v>543.16</v>
      </c>
      <c r="K57">
        <v>43352.15</v>
      </c>
      <c r="L57">
        <v>10731.64</v>
      </c>
      <c r="M57">
        <v>1718427.9</v>
      </c>
      <c r="N57">
        <v>881005.52</v>
      </c>
      <c r="O57">
        <v>837422.38</v>
      </c>
      <c r="P57">
        <v>783338.59</v>
      </c>
    </row>
    <row r="58" spans="1:16" x14ac:dyDescent="0.25">
      <c r="A58" t="s">
        <v>31</v>
      </c>
      <c r="B58" t="s">
        <v>23</v>
      </c>
      <c r="C58" t="s">
        <v>20</v>
      </c>
      <c r="D58">
        <v>1366</v>
      </c>
      <c r="E58">
        <v>7.9</v>
      </c>
      <c r="F58">
        <v>1259</v>
      </c>
      <c r="G58">
        <v>1841.99</v>
      </c>
      <c r="H58">
        <v>10</v>
      </c>
      <c r="I58">
        <v>1657.79</v>
      </c>
      <c r="J58">
        <v>965.84</v>
      </c>
      <c r="K58">
        <v>28653.91</v>
      </c>
      <c r="L58">
        <v>9615.81</v>
      </c>
      <c r="M58">
        <v>2087157.61</v>
      </c>
      <c r="N58">
        <v>1215992.56</v>
      </c>
      <c r="O58">
        <v>871165.05</v>
      </c>
      <c r="P58">
        <v>832895.33</v>
      </c>
    </row>
    <row r="59" spans="1:16" x14ac:dyDescent="0.25">
      <c r="A59" t="s">
        <v>31</v>
      </c>
      <c r="B59" t="s">
        <v>23</v>
      </c>
      <c r="C59" t="s">
        <v>21</v>
      </c>
      <c r="D59">
        <v>1197</v>
      </c>
      <c r="E59">
        <v>4.0999999999999996</v>
      </c>
      <c r="F59">
        <v>1148</v>
      </c>
      <c r="G59">
        <v>507.58</v>
      </c>
      <c r="H59">
        <v>24.9</v>
      </c>
      <c r="I59">
        <v>381.19</v>
      </c>
      <c r="J59">
        <v>196.31</v>
      </c>
      <c r="K59">
        <v>53072.99</v>
      </c>
      <c r="L59">
        <v>11120.26</v>
      </c>
      <c r="M59">
        <v>437606.12</v>
      </c>
      <c r="N59">
        <v>225363.88</v>
      </c>
      <c r="O59">
        <v>212242.24</v>
      </c>
      <c r="P59">
        <v>148048.99</v>
      </c>
    </row>
    <row r="60" spans="1:16" x14ac:dyDescent="0.25">
      <c r="A60" t="s">
        <v>31</v>
      </c>
      <c r="B60" t="s">
        <v>23</v>
      </c>
      <c r="C60" t="s">
        <v>22</v>
      </c>
      <c r="D60">
        <v>1360</v>
      </c>
      <c r="E60">
        <v>7.2</v>
      </c>
      <c r="F60">
        <v>1263</v>
      </c>
      <c r="G60">
        <v>640.85</v>
      </c>
      <c r="H60">
        <v>18.7</v>
      </c>
      <c r="I60">
        <v>521.01</v>
      </c>
      <c r="J60">
        <v>309.68</v>
      </c>
      <c r="K60">
        <v>22401.01</v>
      </c>
      <c r="L60">
        <v>10835.24</v>
      </c>
      <c r="M60">
        <v>658035.63</v>
      </c>
      <c r="N60">
        <v>391125.84</v>
      </c>
      <c r="O60">
        <v>266909.78999999998</v>
      </c>
      <c r="P60">
        <v>233673.54</v>
      </c>
    </row>
    <row r="61" spans="1:16" x14ac:dyDescent="0.25">
      <c r="A61" t="s">
        <v>31</v>
      </c>
      <c r="B61" t="s">
        <v>24</v>
      </c>
      <c r="C61" t="s">
        <v>18</v>
      </c>
      <c r="D61">
        <v>956</v>
      </c>
      <c r="E61">
        <v>4.5</v>
      </c>
      <c r="F61">
        <v>913</v>
      </c>
      <c r="G61">
        <v>888.77</v>
      </c>
      <c r="H61">
        <v>17.100000000000001</v>
      </c>
      <c r="I61">
        <v>736.79</v>
      </c>
      <c r="J61">
        <v>454.89</v>
      </c>
      <c r="K61">
        <v>32598.2</v>
      </c>
      <c r="L61">
        <v>10914.9</v>
      </c>
      <c r="M61">
        <v>672689.27</v>
      </c>
      <c r="N61">
        <v>415314.57</v>
      </c>
      <c r="O61">
        <v>257374.7</v>
      </c>
      <c r="P61">
        <v>213861.6</v>
      </c>
    </row>
    <row r="62" spans="1:16" x14ac:dyDescent="0.25">
      <c r="A62" t="s">
        <v>31</v>
      </c>
      <c r="B62" t="s">
        <v>24</v>
      </c>
      <c r="C62" t="s">
        <v>19</v>
      </c>
      <c r="D62">
        <v>1425</v>
      </c>
      <c r="E62">
        <v>7.9</v>
      </c>
      <c r="F62">
        <v>1313</v>
      </c>
      <c r="G62">
        <v>1129.53</v>
      </c>
      <c r="H62">
        <v>18.2</v>
      </c>
      <c r="I62">
        <v>923.96</v>
      </c>
      <c r="J62">
        <v>545.64</v>
      </c>
      <c r="K62">
        <v>48232.61</v>
      </c>
      <c r="L62">
        <v>12468.72</v>
      </c>
      <c r="M62">
        <v>1213159.48</v>
      </c>
      <c r="N62">
        <v>716425.32</v>
      </c>
      <c r="O62">
        <v>496734.16</v>
      </c>
      <c r="P62">
        <v>436032.83</v>
      </c>
    </row>
    <row r="63" spans="1:16" x14ac:dyDescent="0.25">
      <c r="A63" t="s">
        <v>31</v>
      </c>
      <c r="B63" t="s">
        <v>24</v>
      </c>
      <c r="C63" t="s">
        <v>20</v>
      </c>
      <c r="D63">
        <v>1305</v>
      </c>
      <c r="E63">
        <v>2.6</v>
      </c>
      <c r="F63">
        <v>1272</v>
      </c>
      <c r="G63">
        <v>1806.34</v>
      </c>
      <c r="H63">
        <v>19.600000000000001</v>
      </c>
      <c r="I63">
        <v>1452.3</v>
      </c>
      <c r="J63">
        <v>982.07</v>
      </c>
      <c r="K63">
        <v>31128.57</v>
      </c>
      <c r="L63">
        <v>11611.15</v>
      </c>
      <c r="M63">
        <v>1847325.6</v>
      </c>
      <c r="N63">
        <v>1249193.04</v>
      </c>
      <c r="O63">
        <v>598132.56000000006</v>
      </c>
      <c r="P63">
        <v>555392.85</v>
      </c>
    </row>
    <row r="64" spans="1:16" x14ac:dyDescent="0.25">
      <c r="A64" t="s">
        <v>31</v>
      </c>
      <c r="B64" t="s">
        <v>24</v>
      </c>
      <c r="C64" t="s">
        <v>21</v>
      </c>
      <c r="D64">
        <v>1270</v>
      </c>
      <c r="E64">
        <v>8.8000000000000007</v>
      </c>
      <c r="F64">
        <v>1159</v>
      </c>
      <c r="G64">
        <v>487.8</v>
      </c>
      <c r="H64">
        <v>15.8</v>
      </c>
      <c r="I64">
        <v>410.73</v>
      </c>
      <c r="J64">
        <v>187.06</v>
      </c>
      <c r="K64">
        <v>39275.480000000003</v>
      </c>
      <c r="L64">
        <v>12524.18</v>
      </c>
      <c r="M64">
        <v>476036.07</v>
      </c>
      <c r="N64">
        <v>216802.54</v>
      </c>
      <c r="O64">
        <v>259233.53</v>
      </c>
      <c r="P64">
        <v>207433.87</v>
      </c>
    </row>
    <row r="65" spans="1:16" x14ac:dyDescent="0.25">
      <c r="A65" t="s">
        <v>31</v>
      </c>
      <c r="B65" t="s">
        <v>24</v>
      </c>
      <c r="C65" t="s">
        <v>22</v>
      </c>
      <c r="D65">
        <v>1495</v>
      </c>
      <c r="E65">
        <v>7.2</v>
      </c>
      <c r="F65">
        <v>1388</v>
      </c>
      <c r="G65">
        <v>676.56</v>
      </c>
      <c r="H65">
        <v>21.1</v>
      </c>
      <c r="I65">
        <v>533.80999999999995</v>
      </c>
      <c r="J65">
        <v>306.89999999999998</v>
      </c>
      <c r="K65">
        <v>37616.379999999997</v>
      </c>
      <c r="L65">
        <v>8133.43</v>
      </c>
      <c r="M65">
        <v>740928.28</v>
      </c>
      <c r="N65">
        <v>425977.2</v>
      </c>
      <c r="O65">
        <v>314951.08</v>
      </c>
      <c r="P65">
        <v>269201.27</v>
      </c>
    </row>
    <row r="66" spans="1:16" x14ac:dyDescent="0.25">
      <c r="A66" t="s">
        <v>31</v>
      </c>
      <c r="B66" t="s">
        <v>25</v>
      </c>
      <c r="C66" t="s">
        <v>18</v>
      </c>
      <c r="D66">
        <v>1336</v>
      </c>
      <c r="E66">
        <v>8</v>
      </c>
      <c r="F66">
        <v>1230</v>
      </c>
      <c r="G66">
        <v>949.6</v>
      </c>
      <c r="H66">
        <v>24.3</v>
      </c>
      <c r="I66">
        <v>718.85</v>
      </c>
      <c r="J66">
        <v>423.76</v>
      </c>
      <c r="K66">
        <v>49066.61</v>
      </c>
      <c r="L66">
        <v>12889.68</v>
      </c>
      <c r="M66">
        <v>884185.5</v>
      </c>
      <c r="N66">
        <v>521224.8</v>
      </c>
      <c r="O66">
        <v>362960.7</v>
      </c>
      <c r="P66">
        <v>301004.40999999997</v>
      </c>
    </row>
    <row r="67" spans="1:16" x14ac:dyDescent="0.25">
      <c r="A67" t="s">
        <v>31</v>
      </c>
      <c r="B67" t="s">
        <v>25</v>
      </c>
      <c r="C67" t="s">
        <v>19</v>
      </c>
      <c r="D67">
        <v>1881</v>
      </c>
      <c r="E67">
        <v>5.8</v>
      </c>
      <c r="F67">
        <v>1772</v>
      </c>
      <c r="G67">
        <v>1095.24</v>
      </c>
      <c r="H67">
        <v>5.3</v>
      </c>
      <c r="I67">
        <v>1037.19</v>
      </c>
      <c r="J67">
        <v>549.63</v>
      </c>
      <c r="K67">
        <v>53878.58</v>
      </c>
      <c r="L67">
        <v>11200.56</v>
      </c>
      <c r="M67">
        <v>1837900.68</v>
      </c>
      <c r="N67">
        <v>973944.36</v>
      </c>
      <c r="O67">
        <v>863956.32</v>
      </c>
      <c r="P67">
        <v>798877.18</v>
      </c>
    </row>
    <row r="68" spans="1:16" x14ac:dyDescent="0.25">
      <c r="A68" t="s">
        <v>31</v>
      </c>
      <c r="B68" t="s">
        <v>25</v>
      </c>
      <c r="C68" t="s">
        <v>20</v>
      </c>
      <c r="D68">
        <v>1404</v>
      </c>
      <c r="E68">
        <v>8.6</v>
      </c>
      <c r="F68">
        <v>1284</v>
      </c>
      <c r="G68">
        <v>1847.99</v>
      </c>
      <c r="H68">
        <v>21.4</v>
      </c>
      <c r="I68">
        <v>1452.52</v>
      </c>
      <c r="J68">
        <v>982.59</v>
      </c>
      <c r="K68">
        <v>25623.54</v>
      </c>
      <c r="L68">
        <v>8786.02</v>
      </c>
      <c r="M68">
        <v>1865035.68</v>
      </c>
      <c r="N68">
        <v>1261645.56</v>
      </c>
      <c r="O68">
        <v>603390.12</v>
      </c>
      <c r="P68">
        <v>568980.56000000006</v>
      </c>
    </row>
    <row r="69" spans="1:16" x14ac:dyDescent="0.25">
      <c r="A69" t="s">
        <v>31</v>
      </c>
      <c r="B69" t="s">
        <v>25</v>
      </c>
      <c r="C69" t="s">
        <v>21</v>
      </c>
      <c r="D69">
        <v>1944</v>
      </c>
      <c r="E69">
        <v>2.4</v>
      </c>
      <c r="F69">
        <v>1898</v>
      </c>
      <c r="G69">
        <v>507.05</v>
      </c>
      <c r="H69">
        <v>9.4</v>
      </c>
      <c r="I69">
        <v>459.39</v>
      </c>
      <c r="J69">
        <v>203.43</v>
      </c>
      <c r="K69">
        <v>77207.240000000005</v>
      </c>
      <c r="L69">
        <v>12501.63</v>
      </c>
      <c r="M69">
        <v>871922.22</v>
      </c>
      <c r="N69">
        <v>386110.14</v>
      </c>
      <c r="O69">
        <v>485812.08</v>
      </c>
      <c r="P69">
        <v>396103.21</v>
      </c>
    </row>
    <row r="70" spans="1:16" x14ac:dyDescent="0.25">
      <c r="A70" t="s">
        <v>31</v>
      </c>
      <c r="B70" t="s">
        <v>25</v>
      </c>
      <c r="C70" t="s">
        <v>22</v>
      </c>
      <c r="D70">
        <v>1559</v>
      </c>
      <c r="E70">
        <v>8.6</v>
      </c>
      <c r="F70">
        <v>1425</v>
      </c>
      <c r="G70">
        <v>642.65</v>
      </c>
      <c r="H70">
        <v>7.8</v>
      </c>
      <c r="I70">
        <v>592.52</v>
      </c>
      <c r="J70">
        <v>304.47000000000003</v>
      </c>
      <c r="K70">
        <v>37620.129999999997</v>
      </c>
      <c r="L70">
        <v>10209.44</v>
      </c>
      <c r="M70">
        <v>844341</v>
      </c>
      <c r="N70">
        <v>433869.75</v>
      </c>
      <c r="O70">
        <v>410471.25</v>
      </c>
      <c r="P70">
        <v>362641.68</v>
      </c>
    </row>
    <row r="71" spans="1:16" x14ac:dyDescent="0.25">
      <c r="A71" t="s">
        <v>32</v>
      </c>
      <c r="B71" t="s">
        <v>17</v>
      </c>
      <c r="C71" t="s">
        <v>18</v>
      </c>
      <c r="D71">
        <v>2709</v>
      </c>
      <c r="E71">
        <v>7.2</v>
      </c>
      <c r="F71">
        <v>2514</v>
      </c>
      <c r="G71">
        <v>875.24</v>
      </c>
      <c r="H71">
        <v>28.4</v>
      </c>
      <c r="I71">
        <v>626.66999999999996</v>
      </c>
      <c r="J71">
        <v>438.56</v>
      </c>
      <c r="K71">
        <v>117514.31</v>
      </c>
      <c r="L71">
        <v>9805.2000000000007</v>
      </c>
      <c r="M71">
        <v>1575448.38</v>
      </c>
      <c r="N71">
        <v>1102539.8400000001</v>
      </c>
      <c r="O71">
        <v>472908.54</v>
      </c>
      <c r="P71">
        <v>345589.03</v>
      </c>
    </row>
    <row r="72" spans="1:16" x14ac:dyDescent="0.25">
      <c r="A72" t="s">
        <v>32</v>
      </c>
      <c r="B72" t="s">
        <v>17</v>
      </c>
      <c r="C72" t="s">
        <v>19</v>
      </c>
      <c r="D72">
        <v>2543</v>
      </c>
      <c r="E72">
        <v>2.7</v>
      </c>
      <c r="F72">
        <v>2475</v>
      </c>
      <c r="G72">
        <v>1136.6199999999999</v>
      </c>
      <c r="H72">
        <v>23.3</v>
      </c>
      <c r="I72">
        <v>871.79</v>
      </c>
      <c r="J72">
        <v>513.24</v>
      </c>
      <c r="K72">
        <v>75477.289999999994</v>
      </c>
      <c r="L72">
        <v>9744.64</v>
      </c>
      <c r="M72">
        <v>2157680.25</v>
      </c>
      <c r="N72">
        <v>1270269</v>
      </c>
      <c r="O72">
        <v>887411.25</v>
      </c>
      <c r="P72">
        <v>802189.32</v>
      </c>
    </row>
    <row r="73" spans="1:16" x14ac:dyDescent="0.25">
      <c r="A73" t="s">
        <v>32</v>
      </c>
      <c r="B73" t="s">
        <v>17</v>
      </c>
      <c r="C73" t="s">
        <v>20</v>
      </c>
      <c r="D73">
        <v>2235</v>
      </c>
      <c r="E73">
        <v>8</v>
      </c>
      <c r="F73">
        <v>2057</v>
      </c>
      <c r="G73">
        <v>1793.7</v>
      </c>
      <c r="H73">
        <v>34</v>
      </c>
      <c r="I73">
        <v>1183.8399999999999</v>
      </c>
      <c r="J73">
        <v>967.83</v>
      </c>
      <c r="K73">
        <v>40186.730000000003</v>
      </c>
      <c r="L73">
        <v>11271.24</v>
      </c>
      <c r="M73">
        <v>2435158.88</v>
      </c>
      <c r="N73">
        <v>1990826.31</v>
      </c>
      <c r="O73">
        <v>444332.57</v>
      </c>
      <c r="P73">
        <v>392874.6</v>
      </c>
    </row>
    <row r="74" spans="1:16" x14ac:dyDescent="0.25">
      <c r="A74" t="s">
        <v>32</v>
      </c>
      <c r="B74" t="s">
        <v>17</v>
      </c>
      <c r="C74" t="s">
        <v>21</v>
      </c>
      <c r="D74">
        <v>2131</v>
      </c>
      <c r="E74">
        <v>4.8</v>
      </c>
      <c r="F74">
        <v>2029</v>
      </c>
      <c r="G74">
        <v>506.21</v>
      </c>
      <c r="H74">
        <v>22.2</v>
      </c>
      <c r="I74">
        <v>393.83</v>
      </c>
      <c r="J74">
        <v>204.74</v>
      </c>
      <c r="K74">
        <v>44099.46</v>
      </c>
      <c r="L74">
        <v>8171.88</v>
      </c>
      <c r="M74">
        <v>799081.07</v>
      </c>
      <c r="N74">
        <v>415417.46</v>
      </c>
      <c r="O74">
        <v>383663.61</v>
      </c>
      <c r="P74">
        <v>331392.27</v>
      </c>
    </row>
    <row r="75" spans="1:16" x14ac:dyDescent="0.25">
      <c r="A75" t="s">
        <v>32</v>
      </c>
      <c r="B75" t="s">
        <v>17</v>
      </c>
      <c r="C75" t="s">
        <v>22</v>
      </c>
      <c r="D75">
        <v>2362</v>
      </c>
      <c r="E75">
        <v>2.1</v>
      </c>
      <c r="F75">
        <v>2313</v>
      </c>
      <c r="G75">
        <v>666.05</v>
      </c>
      <c r="H75">
        <v>26.9</v>
      </c>
      <c r="I75">
        <v>486.88</v>
      </c>
      <c r="J75">
        <v>312.18</v>
      </c>
      <c r="K75">
        <v>91182.26</v>
      </c>
      <c r="L75">
        <v>8839.6299999999992</v>
      </c>
      <c r="M75">
        <v>1126153.44</v>
      </c>
      <c r="N75">
        <v>722072.34</v>
      </c>
      <c r="O75">
        <v>404081.1</v>
      </c>
      <c r="P75">
        <v>304059.21000000002</v>
      </c>
    </row>
    <row r="76" spans="1:16" x14ac:dyDescent="0.25">
      <c r="A76" t="s">
        <v>32</v>
      </c>
      <c r="B76" t="s">
        <v>23</v>
      </c>
      <c r="C76" t="s">
        <v>18</v>
      </c>
      <c r="D76">
        <v>1611</v>
      </c>
      <c r="E76">
        <v>7.4</v>
      </c>
      <c r="F76">
        <v>1492</v>
      </c>
      <c r="G76">
        <v>874.36</v>
      </c>
      <c r="H76">
        <v>16.399999999999999</v>
      </c>
      <c r="I76">
        <v>730.96</v>
      </c>
      <c r="J76">
        <v>443.8</v>
      </c>
      <c r="K76">
        <v>34176.92</v>
      </c>
      <c r="L76">
        <v>8687.73</v>
      </c>
      <c r="M76">
        <v>1090592.32</v>
      </c>
      <c r="N76">
        <v>662149.6</v>
      </c>
      <c r="O76">
        <v>428442.72</v>
      </c>
      <c r="P76">
        <v>385578.07</v>
      </c>
    </row>
    <row r="77" spans="1:16" x14ac:dyDescent="0.25">
      <c r="A77" t="s">
        <v>32</v>
      </c>
      <c r="B77" t="s">
        <v>23</v>
      </c>
      <c r="C77" t="s">
        <v>19</v>
      </c>
      <c r="D77">
        <v>2032</v>
      </c>
      <c r="E77">
        <v>8</v>
      </c>
      <c r="F77">
        <v>1870</v>
      </c>
      <c r="G77">
        <v>1071.26</v>
      </c>
      <c r="H77">
        <v>15.1</v>
      </c>
      <c r="I77">
        <v>909.5</v>
      </c>
      <c r="J77">
        <v>555.91</v>
      </c>
      <c r="K77">
        <v>39300.18</v>
      </c>
      <c r="L77">
        <v>8214.9599999999991</v>
      </c>
      <c r="M77">
        <v>1700765</v>
      </c>
      <c r="N77">
        <v>1039551.7</v>
      </c>
      <c r="O77">
        <v>661213.30000000005</v>
      </c>
      <c r="P77">
        <v>613698.16</v>
      </c>
    </row>
    <row r="78" spans="1:16" x14ac:dyDescent="0.25">
      <c r="A78" t="s">
        <v>32</v>
      </c>
      <c r="B78" t="s">
        <v>23</v>
      </c>
      <c r="C78" t="s">
        <v>20</v>
      </c>
      <c r="D78">
        <v>1680</v>
      </c>
      <c r="E78">
        <v>2.2000000000000002</v>
      </c>
      <c r="F78">
        <v>1644</v>
      </c>
      <c r="G78">
        <v>1772.13</v>
      </c>
      <c r="H78">
        <v>28.2</v>
      </c>
      <c r="I78">
        <v>1272.3900000000001</v>
      </c>
      <c r="J78">
        <v>939.73</v>
      </c>
      <c r="K78">
        <v>25948.959999999999</v>
      </c>
      <c r="L78">
        <v>11844.92</v>
      </c>
      <c r="M78">
        <v>2091809.16</v>
      </c>
      <c r="N78">
        <v>1544916.12</v>
      </c>
      <c r="O78">
        <v>546893.04</v>
      </c>
      <c r="P78">
        <v>509099.16</v>
      </c>
    </row>
    <row r="79" spans="1:16" x14ac:dyDescent="0.25">
      <c r="A79" t="s">
        <v>32</v>
      </c>
      <c r="B79" t="s">
        <v>23</v>
      </c>
      <c r="C79" t="s">
        <v>21</v>
      </c>
      <c r="D79">
        <v>1880</v>
      </c>
      <c r="E79">
        <v>5.7</v>
      </c>
      <c r="F79">
        <v>1773</v>
      </c>
      <c r="G79">
        <v>487.73</v>
      </c>
      <c r="H79">
        <v>29.8</v>
      </c>
      <c r="I79">
        <v>342.39</v>
      </c>
      <c r="J79">
        <v>185.4</v>
      </c>
      <c r="K79">
        <v>70255.520000000004</v>
      </c>
      <c r="L79">
        <v>10119.35</v>
      </c>
      <c r="M79">
        <v>607057.47</v>
      </c>
      <c r="N79">
        <v>328714.2</v>
      </c>
      <c r="O79">
        <v>278343.27</v>
      </c>
      <c r="P79">
        <v>197968.4</v>
      </c>
    </row>
    <row r="80" spans="1:16" x14ac:dyDescent="0.25">
      <c r="A80" t="s">
        <v>32</v>
      </c>
      <c r="B80" t="s">
        <v>23</v>
      </c>
      <c r="C80" t="s">
        <v>22</v>
      </c>
      <c r="D80">
        <v>2108</v>
      </c>
      <c r="E80">
        <v>5.5</v>
      </c>
      <c r="F80">
        <v>1993</v>
      </c>
      <c r="G80">
        <v>673.53</v>
      </c>
      <c r="H80">
        <v>17.2</v>
      </c>
      <c r="I80">
        <v>557.67999999999995</v>
      </c>
      <c r="J80">
        <v>307.94</v>
      </c>
      <c r="K80">
        <v>91408.09</v>
      </c>
      <c r="L80">
        <v>7738.51</v>
      </c>
      <c r="M80">
        <v>1111456.24</v>
      </c>
      <c r="N80">
        <v>613724.42000000004</v>
      </c>
      <c r="O80">
        <v>497731.82</v>
      </c>
      <c r="P80">
        <v>398585.22</v>
      </c>
    </row>
    <row r="81" spans="1:20" x14ac:dyDescent="0.25">
      <c r="A81" t="s">
        <v>32</v>
      </c>
      <c r="B81" t="s">
        <v>24</v>
      </c>
      <c r="C81" t="s">
        <v>18</v>
      </c>
      <c r="D81">
        <v>2082</v>
      </c>
      <c r="E81">
        <v>2.4</v>
      </c>
      <c r="F81">
        <v>2033</v>
      </c>
      <c r="G81">
        <v>909.92</v>
      </c>
      <c r="H81">
        <v>34.299999999999997</v>
      </c>
      <c r="I81">
        <v>597.82000000000005</v>
      </c>
      <c r="J81">
        <v>438.77</v>
      </c>
      <c r="K81">
        <v>61147.21</v>
      </c>
      <c r="L81">
        <v>9708.9</v>
      </c>
      <c r="M81">
        <v>1215368.06</v>
      </c>
      <c r="N81">
        <v>892019.41</v>
      </c>
      <c r="O81">
        <v>323348.65000000002</v>
      </c>
      <c r="P81">
        <v>252492.55</v>
      </c>
    </row>
    <row r="82" spans="1:20" x14ac:dyDescent="0.25">
      <c r="A82" t="s">
        <v>32</v>
      </c>
      <c r="B82" t="s">
        <v>24</v>
      </c>
      <c r="C82" t="s">
        <v>19</v>
      </c>
      <c r="D82">
        <v>1382</v>
      </c>
      <c r="E82">
        <v>2.5</v>
      </c>
      <c r="F82">
        <v>1348</v>
      </c>
      <c r="G82">
        <v>1130.44</v>
      </c>
      <c r="H82">
        <v>33.200000000000003</v>
      </c>
      <c r="I82">
        <v>755.13</v>
      </c>
      <c r="J82">
        <v>532.44000000000005</v>
      </c>
      <c r="K82">
        <v>24079.57</v>
      </c>
      <c r="L82">
        <v>10845.64</v>
      </c>
      <c r="M82">
        <v>1017915.24</v>
      </c>
      <c r="N82">
        <v>717729.12</v>
      </c>
      <c r="O82">
        <v>300186.12</v>
      </c>
      <c r="P82">
        <v>265260.90999999997</v>
      </c>
    </row>
    <row r="83" spans="1:20" x14ac:dyDescent="0.25">
      <c r="A83" t="s">
        <v>32</v>
      </c>
      <c r="B83" t="s">
        <v>24</v>
      </c>
      <c r="C83" t="s">
        <v>20</v>
      </c>
      <c r="D83">
        <v>2176</v>
      </c>
      <c r="E83">
        <v>9</v>
      </c>
      <c r="F83">
        <v>1981</v>
      </c>
      <c r="G83">
        <v>1840.93</v>
      </c>
      <c r="H83">
        <v>21.5</v>
      </c>
      <c r="I83">
        <v>1445.13</v>
      </c>
      <c r="J83">
        <v>978.8</v>
      </c>
      <c r="K83">
        <v>67274.75</v>
      </c>
      <c r="L83">
        <v>9995.44</v>
      </c>
      <c r="M83">
        <v>2862802.53</v>
      </c>
      <c r="N83">
        <v>1939002.8</v>
      </c>
      <c r="O83">
        <v>923799.73</v>
      </c>
      <c r="P83">
        <v>846529.54</v>
      </c>
    </row>
    <row r="84" spans="1:20" x14ac:dyDescent="0.25">
      <c r="A84" t="s">
        <v>32</v>
      </c>
      <c r="B84" t="s">
        <v>24</v>
      </c>
      <c r="C84" t="s">
        <v>21</v>
      </c>
      <c r="D84">
        <v>2054</v>
      </c>
      <c r="E84">
        <v>8</v>
      </c>
      <c r="F84">
        <v>1890</v>
      </c>
      <c r="G84">
        <v>509.25</v>
      </c>
      <c r="H84">
        <v>29</v>
      </c>
      <c r="I84">
        <v>361.57</v>
      </c>
      <c r="J84">
        <v>186.37</v>
      </c>
      <c r="K84">
        <v>70919.48</v>
      </c>
      <c r="L84">
        <v>11729.3</v>
      </c>
      <c r="M84">
        <v>683367.3</v>
      </c>
      <c r="N84">
        <v>352239.3</v>
      </c>
      <c r="O84">
        <v>331128</v>
      </c>
      <c r="P84">
        <v>248479.23</v>
      </c>
    </row>
    <row r="85" spans="1:20" x14ac:dyDescent="0.25">
      <c r="A85" t="s">
        <v>32</v>
      </c>
      <c r="B85" t="s">
        <v>24</v>
      </c>
      <c r="C85" t="s">
        <v>22</v>
      </c>
      <c r="D85">
        <v>1922</v>
      </c>
      <c r="E85">
        <v>5.2</v>
      </c>
      <c r="F85">
        <v>1823</v>
      </c>
      <c r="G85">
        <v>652.35</v>
      </c>
      <c r="H85">
        <v>21.8</v>
      </c>
      <c r="I85">
        <v>510.14</v>
      </c>
      <c r="J85">
        <v>298.54000000000002</v>
      </c>
      <c r="K85">
        <v>52815.96</v>
      </c>
      <c r="L85">
        <v>8022.97</v>
      </c>
      <c r="M85">
        <v>929985.22</v>
      </c>
      <c r="N85">
        <v>544238.42000000004</v>
      </c>
      <c r="O85">
        <v>385746.8</v>
      </c>
      <c r="P85">
        <v>324907.87</v>
      </c>
    </row>
    <row r="86" spans="1:20" x14ac:dyDescent="0.25">
      <c r="A86" t="s">
        <v>32</v>
      </c>
      <c r="B86" t="s">
        <v>25</v>
      </c>
      <c r="C86" t="s">
        <v>18</v>
      </c>
      <c r="D86">
        <v>1846</v>
      </c>
      <c r="E86">
        <v>3.1</v>
      </c>
      <c r="F86">
        <v>1789</v>
      </c>
      <c r="G86">
        <v>901.41</v>
      </c>
      <c r="H86">
        <v>22.5</v>
      </c>
      <c r="I86">
        <v>698.59</v>
      </c>
      <c r="J86">
        <v>448.56</v>
      </c>
      <c r="K86">
        <v>78804.91</v>
      </c>
      <c r="L86">
        <v>7869.23</v>
      </c>
      <c r="M86">
        <v>1249777.51</v>
      </c>
      <c r="N86">
        <v>802473.84</v>
      </c>
      <c r="O86">
        <v>447303.67</v>
      </c>
      <c r="P86">
        <v>360629.53</v>
      </c>
    </row>
    <row r="87" spans="1:20" x14ac:dyDescent="0.25">
      <c r="A87" t="s">
        <v>32</v>
      </c>
      <c r="B87" t="s">
        <v>25</v>
      </c>
      <c r="C87" t="s">
        <v>19</v>
      </c>
      <c r="D87">
        <v>2125</v>
      </c>
      <c r="E87">
        <v>5.9</v>
      </c>
      <c r="F87">
        <v>2000</v>
      </c>
      <c r="G87">
        <v>1065.6500000000001</v>
      </c>
      <c r="H87">
        <v>31.2</v>
      </c>
      <c r="I87">
        <v>733.17</v>
      </c>
      <c r="J87">
        <v>546.66</v>
      </c>
      <c r="K87">
        <v>69262.149999999994</v>
      </c>
      <c r="L87">
        <v>10588.73</v>
      </c>
      <c r="M87">
        <v>1466340</v>
      </c>
      <c r="N87">
        <v>1093320</v>
      </c>
      <c r="O87">
        <v>373020</v>
      </c>
      <c r="P87">
        <v>293169.12</v>
      </c>
    </row>
    <row r="88" spans="1:20" x14ac:dyDescent="0.25">
      <c r="A88" t="s">
        <v>32</v>
      </c>
      <c r="B88" t="s">
        <v>25</v>
      </c>
      <c r="C88" t="s">
        <v>20</v>
      </c>
      <c r="D88">
        <v>1939</v>
      </c>
      <c r="E88">
        <v>6.7</v>
      </c>
      <c r="F88">
        <v>1810</v>
      </c>
      <c r="G88">
        <v>1786.34</v>
      </c>
      <c r="H88">
        <v>22.1</v>
      </c>
      <c r="I88">
        <v>1391.56</v>
      </c>
      <c r="J88">
        <v>934.27</v>
      </c>
      <c r="K88">
        <v>72729.03</v>
      </c>
      <c r="L88">
        <v>12274.51</v>
      </c>
      <c r="M88">
        <v>2518723.6</v>
      </c>
      <c r="N88">
        <v>1691028.7</v>
      </c>
      <c r="O88">
        <v>827694.9</v>
      </c>
      <c r="P88">
        <v>742691.36</v>
      </c>
    </row>
    <row r="89" spans="1:20" x14ac:dyDescent="0.25">
      <c r="A89" t="s">
        <v>32</v>
      </c>
      <c r="B89" t="s">
        <v>25</v>
      </c>
      <c r="C89" t="s">
        <v>21</v>
      </c>
      <c r="D89">
        <v>1911</v>
      </c>
      <c r="E89">
        <v>3.5</v>
      </c>
      <c r="F89">
        <v>1845</v>
      </c>
      <c r="G89">
        <v>509</v>
      </c>
      <c r="H89">
        <v>26.6</v>
      </c>
      <c r="I89">
        <v>373.61</v>
      </c>
      <c r="J89">
        <v>191.65</v>
      </c>
      <c r="K89">
        <v>66315.69</v>
      </c>
      <c r="L89">
        <v>8733.35</v>
      </c>
      <c r="M89">
        <v>689310.45</v>
      </c>
      <c r="N89">
        <v>353594.25</v>
      </c>
      <c r="O89">
        <v>335716.2</v>
      </c>
      <c r="P89">
        <v>260667.16</v>
      </c>
    </row>
    <row r="90" spans="1:20" x14ac:dyDescent="0.25">
      <c r="A90" t="s">
        <v>32</v>
      </c>
      <c r="B90" t="s">
        <v>25</v>
      </c>
      <c r="C90" t="s">
        <v>22</v>
      </c>
      <c r="D90">
        <v>1260</v>
      </c>
      <c r="E90">
        <v>7.3</v>
      </c>
      <c r="F90">
        <v>1169</v>
      </c>
      <c r="G90">
        <v>630.05999999999995</v>
      </c>
      <c r="H90">
        <v>22.4</v>
      </c>
      <c r="I90">
        <v>488.93</v>
      </c>
      <c r="J90">
        <v>318.89999999999998</v>
      </c>
      <c r="K90">
        <v>40600.980000000003</v>
      </c>
      <c r="L90">
        <v>11939.72</v>
      </c>
      <c r="M90">
        <v>571559.17000000004</v>
      </c>
      <c r="N90">
        <v>372794.1</v>
      </c>
      <c r="O90">
        <v>198765.07</v>
      </c>
      <c r="P90">
        <v>146224.37</v>
      </c>
    </row>
    <row r="92" spans="1:20" x14ac:dyDescent="0.25">
      <c r="C92" s="37"/>
      <c r="D92" s="37"/>
      <c r="E92" s="37" t="s">
        <v>81</v>
      </c>
      <c r="F92" s="37"/>
    </row>
    <row r="93" spans="1:20" ht="15.75" x14ac:dyDescent="0.25">
      <c r="C93" s="56"/>
      <c r="D93" s="56"/>
      <c r="E93" s="56"/>
      <c r="F93" s="56"/>
      <c r="O93" s="70" t="s">
        <v>69</v>
      </c>
      <c r="P93" s="71"/>
      <c r="Q93" s="72"/>
      <c r="R93" s="72"/>
      <c r="S93" s="72"/>
      <c r="T93" s="73"/>
    </row>
    <row r="94" spans="1:20" ht="15.75" x14ac:dyDescent="0.25">
      <c r="C94" s="57" t="s">
        <v>35</v>
      </c>
      <c r="D94" s="57" t="s">
        <v>50</v>
      </c>
      <c r="E94" s="57" t="s">
        <v>54</v>
      </c>
      <c r="F94" s="57" t="s">
        <v>67</v>
      </c>
      <c r="G94" s="57" t="s">
        <v>40</v>
      </c>
      <c r="H94" s="57" t="s">
        <v>41</v>
      </c>
      <c r="I94" s="57" t="s">
        <v>82</v>
      </c>
      <c r="J94" s="57" t="s">
        <v>37</v>
      </c>
      <c r="K94" s="57" t="s">
        <v>36</v>
      </c>
      <c r="L94" s="57" t="s">
        <v>38</v>
      </c>
      <c r="M94" s="57" t="s">
        <v>34</v>
      </c>
      <c r="O94" s="74"/>
      <c r="P94" s="45"/>
      <c r="Q94" s="52" t="s">
        <v>71</v>
      </c>
      <c r="R94" s="52" t="s">
        <v>98</v>
      </c>
      <c r="S94" s="52" t="s">
        <v>84</v>
      </c>
      <c r="T94" s="75" t="s">
        <v>85</v>
      </c>
    </row>
    <row r="95" spans="1:20" ht="22.5" x14ac:dyDescent="0.25">
      <c r="C95" s="13">
        <v>20.761199999999999</v>
      </c>
      <c r="D95" s="13">
        <v>488.82900000000001</v>
      </c>
      <c r="E95" s="13">
        <f>SUM(Table7[Marketing_Spend_INR])</f>
        <v>3709083.2999999993</v>
      </c>
      <c r="F95" s="13">
        <f>SUM(Table7[Units_Sold_Net])</f>
        <v>116439</v>
      </c>
      <c r="G95" s="13">
        <f>SUM(Table7[Allocated_Fixed_Cost_INR])</f>
        <v>834624.54000000015</v>
      </c>
      <c r="H95" s="12">
        <f>AVERAGE(Table7[List_Price_INR])</f>
        <v>1002.6244999999996</v>
      </c>
      <c r="I95" s="12">
        <f>H95-(H95*C95/100)</f>
        <v>794.46762230599961</v>
      </c>
      <c r="J95" s="12">
        <f>I95*F95</f>
        <v>92507015.47368829</v>
      </c>
      <c r="K95" s="12">
        <f>D95*F95</f>
        <v>56918759.931000002</v>
      </c>
      <c r="L95" s="12">
        <f>J95-K95</f>
        <v>35588255.542688288</v>
      </c>
      <c r="M95" s="13">
        <f>L95-E95</f>
        <v>31879172.242688287</v>
      </c>
      <c r="O95" s="76"/>
      <c r="P95" s="48"/>
      <c r="Q95" s="42"/>
      <c r="R95" s="54" t="s">
        <v>68</v>
      </c>
      <c r="S95" s="54" t="s">
        <v>68</v>
      </c>
      <c r="T95" s="77" t="s">
        <v>68</v>
      </c>
    </row>
    <row r="96" spans="1:20" x14ac:dyDescent="0.25">
      <c r="C96" s="37"/>
      <c r="D96" s="56"/>
      <c r="E96" s="37"/>
      <c r="O96" s="78" t="s">
        <v>70</v>
      </c>
      <c r="P96" s="49"/>
      <c r="Q96" s="47"/>
      <c r="R96" s="47"/>
      <c r="S96" s="47"/>
      <c r="T96" s="79"/>
    </row>
    <row r="97" spans="1:20" x14ac:dyDescent="0.25">
      <c r="C97" s="58"/>
      <c r="D97" s="60" t="s">
        <v>83</v>
      </c>
      <c r="E97" s="61" t="s">
        <v>86</v>
      </c>
      <c r="F97" s="61" t="s">
        <v>84</v>
      </c>
      <c r="G97" s="61" t="s">
        <v>85</v>
      </c>
      <c r="O97" s="76"/>
      <c r="P97" s="48" t="s">
        <v>87</v>
      </c>
      <c r="Q97" s="43">
        <v>20.761199999999999</v>
      </c>
      <c r="R97" s="69">
        <v>25.761199999999999</v>
      </c>
      <c r="S97" s="69">
        <v>20.761199999999999</v>
      </c>
      <c r="T97" s="80">
        <v>17.760000000000002</v>
      </c>
    </row>
    <row r="98" spans="1:20" x14ac:dyDescent="0.25">
      <c r="C98" s="59" t="s">
        <v>35</v>
      </c>
      <c r="D98" s="66">
        <v>20.761199999999999</v>
      </c>
      <c r="E98" s="63">
        <f>D98+5</f>
        <v>25.761199999999999</v>
      </c>
      <c r="F98" s="85"/>
      <c r="G98" s="68">
        <f>D98-3</f>
        <v>17.761199999999999</v>
      </c>
      <c r="O98" s="76"/>
      <c r="P98" s="48" t="s">
        <v>88</v>
      </c>
      <c r="Q98" s="43">
        <v>488.82900000000001</v>
      </c>
      <c r="R98" s="69">
        <v>493.83</v>
      </c>
      <c r="S98" s="69">
        <v>537.71</v>
      </c>
      <c r="T98" s="80">
        <v>488.82900000000001</v>
      </c>
    </row>
    <row r="99" spans="1:20" x14ac:dyDescent="0.25">
      <c r="C99" s="59" t="s">
        <v>50</v>
      </c>
      <c r="D99" s="66">
        <v>488.82900000000001</v>
      </c>
      <c r="E99" s="63">
        <f>D99+5</f>
        <v>493.82900000000001</v>
      </c>
      <c r="F99" s="85">
        <f>D99+D99*0.1</f>
        <v>537.71190000000001</v>
      </c>
      <c r="G99" s="68"/>
      <c r="O99" s="76"/>
      <c r="P99" s="48" t="s">
        <v>89</v>
      </c>
      <c r="Q99" s="42">
        <v>3709083.3</v>
      </c>
      <c r="R99" s="53">
        <v>3857446.63</v>
      </c>
      <c r="S99" s="53">
        <v>3709083.3</v>
      </c>
      <c r="T99" s="81">
        <v>3338174.97</v>
      </c>
    </row>
    <row r="100" spans="1:20" x14ac:dyDescent="0.25">
      <c r="C100" s="59" t="s">
        <v>54</v>
      </c>
      <c r="D100" s="66">
        <v>3709083.3</v>
      </c>
      <c r="E100" s="63">
        <f>D100+(D100*4)/100</f>
        <v>3857446.6319999998</v>
      </c>
      <c r="F100" s="85"/>
      <c r="G100" s="68">
        <f>D100-D100*0.1</f>
        <v>3338174.9699999997</v>
      </c>
      <c r="O100" s="76"/>
      <c r="P100" s="48" t="s">
        <v>90</v>
      </c>
      <c r="Q100" s="42">
        <v>116439</v>
      </c>
      <c r="R100" s="53">
        <v>130411.68</v>
      </c>
      <c r="S100" s="53">
        <v>112945.83</v>
      </c>
      <c r="T100" s="81">
        <v>114110.22</v>
      </c>
    </row>
    <row r="101" spans="1:20" x14ac:dyDescent="0.25">
      <c r="C101" s="59" t="s">
        <v>67</v>
      </c>
      <c r="D101" s="66">
        <v>116439</v>
      </c>
      <c r="E101" s="63">
        <f>D101+D101*0.12</f>
        <v>130411.68</v>
      </c>
      <c r="F101" s="85">
        <f>D101-D101*0.03</f>
        <v>112945.83</v>
      </c>
      <c r="G101" s="68">
        <f>D101-D101*0.02</f>
        <v>114110.22</v>
      </c>
      <c r="O101" s="76"/>
      <c r="P101" s="48" t="s">
        <v>91</v>
      </c>
      <c r="Q101" s="42">
        <v>834624.54</v>
      </c>
      <c r="R101" s="53">
        <v>834624.54</v>
      </c>
      <c r="S101" s="53">
        <v>834624.54</v>
      </c>
      <c r="T101" s="81">
        <v>834624.54</v>
      </c>
    </row>
    <row r="102" spans="1:20" x14ac:dyDescent="0.25">
      <c r="C102" s="59" t="s">
        <v>40</v>
      </c>
      <c r="D102" s="66">
        <v>834624.54</v>
      </c>
      <c r="E102" s="63"/>
      <c r="F102" s="85"/>
      <c r="G102" s="68"/>
      <c r="O102" s="78" t="s">
        <v>72</v>
      </c>
      <c r="P102" s="49"/>
      <c r="Q102" s="47"/>
      <c r="R102" s="47"/>
      <c r="S102" s="47"/>
      <c r="T102" s="79"/>
    </row>
    <row r="103" spans="1:20" x14ac:dyDescent="0.25">
      <c r="C103" s="59" t="s">
        <v>41</v>
      </c>
      <c r="D103" s="67">
        <f>AVERAGE(Table7[List_Price_INR])</f>
        <v>1002.6244999999996</v>
      </c>
      <c r="E103" s="63"/>
      <c r="F103" s="85"/>
      <c r="G103" s="68"/>
      <c r="O103" s="76"/>
      <c r="P103" s="48" t="s">
        <v>92</v>
      </c>
      <c r="Q103" s="42">
        <v>1002.6245</v>
      </c>
      <c r="R103" s="42">
        <v>1002.6245</v>
      </c>
      <c r="S103" s="42">
        <v>1002.6245</v>
      </c>
      <c r="T103" s="82">
        <v>1002.6245</v>
      </c>
    </row>
    <row r="104" spans="1:20" x14ac:dyDescent="0.25">
      <c r="C104" s="59" t="s">
        <v>82</v>
      </c>
      <c r="D104" s="67">
        <f>D103-(D103*D98/100)</f>
        <v>794.46762230599961</v>
      </c>
      <c r="E104" s="63"/>
      <c r="F104" s="85"/>
      <c r="G104" s="68"/>
      <c r="O104" s="76"/>
      <c r="P104" s="48" t="s">
        <v>93</v>
      </c>
      <c r="Q104" s="42">
        <v>794.46762230599995</v>
      </c>
      <c r="R104" s="42">
        <v>744.33639730599998</v>
      </c>
      <c r="S104" s="42">
        <v>794.46762230599995</v>
      </c>
      <c r="T104" s="82">
        <v>824.55838879999999</v>
      </c>
    </row>
    <row r="105" spans="1:20" x14ac:dyDescent="0.25">
      <c r="C105" s="59" t="s">
        <v>37</v>
      </c>
      <c r="D105" s="67">
        <f>D104*D101</f>
        <v>92507015.47368829</v>
      </c>
      <c r="E105" s="63"/>
      <c r="F105" s="85"/>
      <c r="G105" s="68"/>
      <c r="O105" s="76"/>
      <c r="P105" s="48" t="s">
        <v>94</v>
      </c>
      <c r="Q105" s="42">
        <v>92507015.473688304</v>
      </c>
      <c r="R105" s="42">
        <v>97070160.057822898</v>
      </c>
      <c r="S105" s="42">
        <v>89731805.0094776</v>
      </c>
      <c r="T105" s="82">
        <v>94090539.148813501</v>
      </c>
    </row>
    <row r="106" spans="1:20" x14ac:dyDescent="0.25">
      <c r="C106" s="59" t="s">
        <v>36</v>
      </c>
      <c r="D106" s="67">
        <f>D99*D101</f>
        <v>56918759.931000002</v>
      </c>
      <c r="E106" s="63"/>
      <c r="F106" s="85"/>
      <c r="G106" s="68"/>
      <c r="O106" s="76"/>
      <c r="P106" s="48" t="s">
        <v>95</v>
      </c>
      <c r="Q106" s="42">
        <v>56918759.931000002</v>
      </c>
      <c r="R106" s="42">
        <v>64401199.9344</v>
      </c>
      <c r="S106" s="42">
        <v>60732102.249300003</v>
      </c>
      <c r="T106" s="82">
        <v>55780384.732380003</v>
      </c>
    </row>
    <row r="107" spans="1:20" x14ac:dyDescent="0.25">
      <c r="C107" s="59" t="s">
        <v>38</v>
      </c>
      <c r="D107" s="67">
        <f>D105-D106</f>
        <v>35588255.542688288</v>
      </c>
      <c r="E107" s="63"/>
      <c r="F107" s="85"/>
      <c r="G107" s="68"/>
      <c r="O107" s="76"/>
      <c r="P107" s="48" t="s">
        <v>96</v>
      </c>
      <c r="Q107" s="42">
        <v>35588255.542688303</v>
      </c>
      <c r="R107" s="42">
        <v>32668960.123422898</v>
      </c>
      <c r="S107" s="42">
        <v>28999702.760177601</v>
      </c>
      <c r="T107" s="82">
        <v>38310154.416433498</v>
      </c>
    </row>
    <row r="108" spans="1:20" ht="15.75" thickBot="1" x14ac:dyDescent="0.3">
      <c r="C108" s="59" t="s">
        <v>34</v>
      </c>
      <c r="D108" s="67">
        <f>D107-D100</f>
        <v>31879172.242688287</v>
      </c>
      <c r="E108" s="62"/>
      <c r="F108" s="64"/>
      <c r="G108" s="65"/>
      <c r="O108" s="83"/>
      <c r="P108" s="50" t="s">
        <v>97</v>
      </c>
      <c r="Q108" s="44">
        <v>31879172.242688298</v>
      </c>
      <c r="R108" s="44">
        <v>28811513.493422899</v>
      </c>
      <c r="S108" s="44">
        <v>25290619.4601776</v>
      </c>
      <c r="T108" s="84">
        <v>34971979.446433499</v>
      </c>
    </row>
    <row r="109" spans="1:20" x14ac:dyDescent="0.25">
      <c r="O109" s="36" t="s">
        <v>73</v>
      </c>
      <c r="P109" s="37"/>
      <c r="Q109" s="37"/>
      <c r="R109" s="37"/>
      <c r="S109" s="37"/>
      <c r="T109" s="38"/>
    </row>
    <row r="110" spans="1:20" x14ac:dyDescent="0.25">
      <c r="O110" s="36" t="s">
        <v>74</v>
      </c>
      <c r="P110" s="37"/>
      <c r="Q110" s="37"/>
      <c r="R110" s="37"/>
      <c r="S110" s="37"/>
      <c r="T110" s="38"/>
    </row>
    <row r="111" spans="1:20" x14ac:dyDescent="0.25">
      <c r="A111" s="19"/>
      <c r="B111" s="19"/>
      <c r="C111" s="19"/>
      <c r="D111" s="19"/>
      <c r="E111" s="19"/>
      <c r="F111" s="19"/>
      <c r="G111" s="19"/>
      <c r="H111" s="19"/>
      <c r="I111" s="19"/>
      <c r="J111" s="19"/>
      <c r="K111" s="19"/>
      <c r="L111" s="19"/>
      <c r="O111" s="39" t="s">
        <v>75</v>
      </c>
      <c r="P111" s="40"/>
      <c r="Q111" s="40"/>
      <c r="R111" s="40"/>
      <c r="S111" s="40"/>
      <c r="T111" s="41"/>
    </row>
    <row r="112" spans="1:20" x14ac:dyDescent="0.25">
      <c r="A112" s="55" t="s">
        <v>80</v>
      </c>
      <c r="B112" s="55"/>
      <c r="C112" s="55"/>
      <c r="D112" s="55"/>
      <c r="E112" s="55"/>
      <c r="F112" s="55"/>
      <c r="G112" s="55"/>
      <c r="H112" s="55"/>
      <c r="I112" s="55"/>
      <c r="J112" s="55"/>
      <c r="K112" s="55"/>
      <c r="L112" s="19"/>
    </row>
    <row r="113" spans="1:12" x14ac:dyDescent="0.25">
      <c r="A113" s="19"/>
      <c r="B113" s="19"/>
      <c r="C113" s="19"/>
      <c r="D113" s="19"/>
      <c r="E113" s="19"/>
      <c r="F113" s="19"/>
      <c r="G113" s="19"/>
      <c r="H113" s="19"/>
      <c r="I113" s="19"/>
      <c r="J113" s="19"/>
      <c r="K113" s="19"/>
      <c r="L113" s="19"/>
    </row>
  </sheetData>
  <scenarios current="0" sqref="D103:D108">
    <scenario name="Aggresive Growth" locked="1" count="5" user="BADAL LAD" comment="Created by BADAL LAD on 07-09-2026">
      <inputCells r="D98" val="25.7612" numFmtId="2"/>
      <inputCells r="D99" val="493.83" numFmtId="2"/>
      <inputCells r="D100" val="3857446.63"/>
      <inputCells r="D101" val="130411.68"/>
      <inputCells r="D102" val="834624.54"/>
    </scenario>
    <scenario name="Cost Pressure" locked="1" count="5" user="BADAL LAD" comment="Created by BADAL LAD on 07-09-2026">
      <inputCells r="D98" val="20.7612" numFmtId="2"/>
      <inputCells r="D99" val="537.71" numFmtId="2"/>
      <inputCells r="D100" val="3709083.3"/>
      <inputCells r="D101" val="112945.83"/>
      <inputCells r="D102" val="834624.54"/>
    </scenario>
    <scenario name="Efficiency Drive" locked="1" count="5" user="BADAL LAD" comment="Created by BADAL LAD on 07-09-2026">
      <inputCells r="D98" val="17.76" numFmtId="2"/>
      <inputCells r="D99" val="488.829" numFmtId="2"/>
      <inputCells r="D100" val="3338174.97"/>
      <inputCells r="D101" val="114110.22"/>
      <inputCells r="D102" val="834624.54"/>
    </scenario>
  </scenarios>
  <mergeCells count="4">
    <mergeCell ref="A4:O4"/>
    <mergeCell ref="A5:Q5"/>
    <mergeCell ref="A6:M6"/>
    <mergeCell ref="A7:N7"/>
  </mergeCells>
  <pageMargins left="0.7" right="0.7" top="0.75" bottom="0.75" header="0.3" footer="0.3"/>
  <pageSetup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FAD6FC-261D-48CD-AAFD-BBFDDE4333BA}">
  <sheetPr>
    <outlinePr summaryBelow="0"/>
  </sheetPr>
  <dimension ref="B1:G20"/>
  <sheetViews>
    <sheetView showGridLines="0" tabSelected="1" zoomScale="87" workbookViewId="0">
      <selection activeCell="G32" sqref="G32"/>
    </sheetView>
  </sheetViews>
  <sheetFormatPr defaultRowHeight="15" outlineLevelRow="1" outlineLevelCol="1" x14ac:dyDescent="0.25"/>
  <cols>
    <col min="3" max="3" width="7.42578125" bestFit="1" customWidth="1"/>
    <col min="4" max="7" width="14" bestFit="1" customWidth="1" outlineLevel="1"/>
  </cols>
  <sheetData>
    <row r="1" spans="2:7" ht="15.75" thickBot="1" x14ac:dyDescent="0.3"/>
    <row r="2" spans="2:7" ht="15.75" x14ac:dyDescent="0.25">
      <c r="B2" s="46" t="s">
        <v>69</v>
      </c>
      <c r="C2" s="46"/>
      <c r="D2" s="51"/>
      <c r="E2" s="51"/>
      <c r="F2" s="51"/>
      <c r="G2" s="51"/>
    </row>
    <row r="3" spans="2:7" ht="15.75" collapsed="1" x14ac:dyDescent="0.25">
      <c r="B3" s="45"/>
      <c r="C3" s="45"/>
      <c r="D3" s="52" t="s">
        <v>71</v>
      </c>
      <c r="E3" s="52" t="s">
        <v>98</v>
      </c>
      <c r="F3" s="52" t="s">
        <v>84</v>
      </c>
      <c r="G3" s="52" t="s">
        <v>85</v>
      </c>
    </row>
    <row r="4" spans="2:7" ht="22.5" hidden="1" outlineLevel="1" x14ac:dyDescent="0.25">
      <c r="B4" s="48"/>
      <c r="C4" s="48"/>
      <c r="D4" s="42"/>
      <c r="E4" s="54" t="s">
        <v>68</v>
      </c>
      <c r="F4" s="54" t="s">
        <v>68</v>
      </c>
      <c r="G4" s="54" t="s">
        <v>68</v>
      </c>
    </row>
    <row r="5" spans="2:7" x14ac:dyDescent="0.25">
      <c r="B5" s="49" t="s">
        <v>70</v>
      </c>
      <c r="C5" s="49"/>
      <c r="D5" s="47"/>
      <c r="E5" s="47"/>
      <c r="F5" s="47"/>
      <c r="G5" s="47"/>
    </row>
    <row r="6" spans="2:7" outlineLevel="1" x14ac:dyDescent="0.25">
      <c r="B6" s="48"/>
      <c r="C6" s="48" t="s">
        <v>87</v>
      </c>
      <c r="D6" s="43">
        <v>20.761199999999999</v>
      </c>
      <c r="E6" s="69">
        <v>25.761199999999999</v>
      </c>
      <c r="F6" s="69">
        <v>20.761199999999999</v>
      </c>
      <c r="G6" s="69">
        <v>17.760000000000002</v>
      </c>
    </row>
    <row r="7" spans="2:7" outlineLevel="1" x14ac:dyDescent="0.25">
      <c r="B7" s="48"/>
      <c r="C7" s="48" t="s">
        <v>88</v>
      </c>
      <c r="D7" s="43">
        <v>488.82900000000001</v>
      </c>
      <c r="E7" s="69">
        <v>493.83</v>
      </c>
      <c r="F7" s="69">
        <v>537.71</v>
      </c>
      <c r="G7" s="69">
        <v>488.82900000000001</v>
      </c>
    </row>
    <row r="8" spans="2:7" outlineLevel="1" x14ac:dyDescent="0.25">
      <c r="B8" s="48"/>
      <c r="C8" s="48" t="s">
        <v>89</v>
      </c>
      <c r="D8" s="42">
        <v>3709083.3</v>
      </c>
      <c r="E8" s="53">
        <v>3857446.63</v>
      </c>
      <c r="F8" s="53">
        <v>3709083.3</v>
      </c>
      <c r="G8" s="53">
        <v>3338174.97</v>
      </c>
    </row>
    <row r="9" spans="2:7" outlineLevel="1" x14ac:dyDescent="0.25">
      <c r="B9" s="48"/>
      <c r="C9" s="48" t="s">
        <v>90</v>
      </c>
      <c r="D9" s="42">
        <v>116439</v>
      </c>
      <c r="E9" s="53">
        <v>130411.68</v>
      </c>
      <c r="F9" s="53">
        <v>112945.83</v>
      </c>
      <c r="G9" s="53">
        <v>114110.22</v>
      </c>
    </row>
    <row r="10" spans="2:7" outlineLevel="1" x14ac:dyDescent="0.25">
      <c r="B10" s="48"/>
      <c r="C10" s="48" t="s">
        <v>91</v>
      </c>
      <c r="D10" s="42">
        <v>834624.54</v>
      </c>
      <c r="E10" s="53">
        <v>834624.54</v>
      </c>
      <c r="F10" s="53">
        <v>834624.54</v>
      </c>
      <c r="G10" s="53">
        <v>834624.54</v>
      </c>
    </row>
    <row r="11" spans="2:7" x14ac:dyDescent="0.25">
      <c r="B11" s="49" t="s">
        <v>72</v>
      </c>
      <c r="C11" s="49"/>
      <c r="D11" s="47"/>
      <c r="E11" s="47"/>
      <c r="F11" s="47"/>
      <c r="G11" s="47"/>
    </row>
    <row r="12" spans="2:7" outlineLevel="1" x14ac:dyDescent="0.25">
      <c r="B12" s="48"/>
      <c r="C12" s="48" t="s">
        <v>92</v>
      </c>
      <c r="D12" s="42">
        <v>1002.6245</v>
      </c>
      <c r="E12" s="42">
        <v>1002.6245</v>
      </c>
      <c r="F12" s="42">
        <v>1002.6245</v>
      </c>
      <c r="G12" s="42">
        <v>1002.6245</v>
      </c>
    </row>
    <row r="13" spans="2:7" outlineLevel="1" x14ac:dyDescent="0.25">
      <c r="B13" s="48"/>
      <c r="C13" s="48" t="s">
        <v>93</v>
      </c>
      <c r="D13" s="42">
        <v>794.46762230599995</v>
      </c>
      <c r="E13" s="42">
        <v>744.33639730599998</v>
      </c>
      <c r="F13" s="42">
        <v>794.46762230599995</v>
      </c>
      <c r="G13" s="42">
        <v>824.55838879999999</v>
      </c>
    </row>
    <row r="14" spans="2:7" outlineLevel="1" x14ac:dyDescent="0.25">
      <c r="B14" s="48"/>
      <c r="C14" s="48" t="s">
        <v>94</v>
      </c>
      <c r="D14" s="42">
        <v>92507015.473688304</v>
      </c>
      <c r="E14" s="42">
        <v>97070160.057822898</v>
      </c>
      <c r="F14" s="42">
        <v>89731805.0094776</v>
      </c>
      <c r="G14" s="42">
        <v>94090539.148813501</v>
      </c>
    </row>
    <row r="15" spans="2:7" outlineLevel="1" x14ac:dyDescent="0.25">
      <c r="B15" s="48"/>
      <c r="C15" s="48" t="s">
        <v>95</v>
      </c>
      <c r="D15" s="42">
        <v>56918759.931000002</v>
      </c>
      <c r="E15" s="42">
        <v>64401199.9344</v>
      </c>
      <c r="F15" s="42">
        <v>60732102.249300003</v>
      </c>
      <c r="G15" s="42">
        <v>55780384.732380003</v>
      </c>
    </row>
    <row r="16" spans="2:7" outlineLevel="1" x14ac:dyDescent="0.25">
      <c r="B16" s="48"/>
      <c r="C16" s="48" t="s">
        <v>96</v>
      </c>
      <c r="D16" s="42">
        <v>35588255.542688303</v>
      </c>
      <c r="E16" s="42">
        <v>32668960.123422898</v>
      </c>
      <c r="F16" s="42">
        <v>28999702.760177601</v>
      </c>
      <c r="G16" s="42">
        <v>38310154.416433498</v>
      </c>
    </row>
    <row r="17" spans="2:7" ht="15.75" outlineLevel="1" thickBot="1" x14ac:dyDescent="0.3">
      <c r="B17" s="50"/>
      <c r="C17" s="50" t="s">
        <v>97</v>
      </c>
      <c r="D17" s="44">
        <v>31879172.242688298</v>
      </c>
      <c r="E17" s="44">
        <v>28811513.493422899</v>
      </c>
      <c r="F17" s="44">
        <v>25290619.4601776</v>
      </c>
      <c r="G17" s="44">
        <v>34971979.446433499</v>
      </c>
    </row>
    <row r="18" spans="2:7" x14ac:dyDescent="0.25">
      <c r="B18" t="s">
        <v>73</v>
      </c>
    </row>
    <row r="19" spans="2:7" x14ac:dyDescent="0.25">
      <c r="B19" t="s">
        <v>74</v>
      </c>
    </row>
    <row r="20" spans="2:7" x14ac:dyDescent="0.25">
      <c r="B20"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 Set</vt:lpstr>
      <vt:lpstr>Table Que</vt:lpstr>
      <vt:lpstr>Goal Que</vt:lpstr>
      <vt:lpstr>Scenario Que</vt:lpstr>
      <vt:lpstr>Scenario 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Nachiket Dixit</dc:creator>
  <cp:lastModifiedBy>BADAL LAD</cp:lastModifiedBy>
  <dcterms:created xsi:type="dcterms:W3CDTF">2026-09-03T11:02:31Z</dcterms:created>
  <dcterms:modified xsi:type="dcterms:W3CDTF">2026-09-07T13:42:24Z</dcterms:modified>
</cp:coreProperties>
</file>