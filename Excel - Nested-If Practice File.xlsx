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lass-UpGrad\Excle\"/>
    </mc:Choice>
  </mc:AlternateContent>
  <xr:revisionPtr revIDLastSave="0" documentId="13_ncr:1_{AD0E9097-AB61-4F0F-8618-0F6B9D5528C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tions" sheetId="1" r:id="rId1"/>
    <sheet name="Beginner" sheetId="2" r:id="rId2"/>
    <sheet name="Intermediate" sheetId="3" r:id="rId3"/>
    <sheet name="Advanced" sheetId="4" r:id="rId4"/>
    <sheet name="Practice Tip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2" l="1"/>
  <c r="E63" i="4"/>
  <c r="E64" i="4"/>
  <c r="E65" i="4"/>
  <c r="E66" i="4"/>
  <c r="E67" i="4"/>
  <c r="E68" i="4"/>
  <c r="E62" i="4"/>
  <c r="E52" i="4"/>
  <c r="E53" i="4"/>
  <c r="E54" i="4"/>
  <c r="E55" i="4"/>
  <c r="E56" i="4"/>
  <c r="E57" i="4"/>
  <c r="E51" i="4"/>
  <c r="D30" i="4"/>
  <c r="D31" i="4"/>
  <c r="D32" i="4"/>
  <c r="D33" i="4"/>
  <c r="D34" i="4"/>
  <c r="D35" i="4"/>
  <c r="D29" i="4"/>
  <c r="D41" i="4"/>
  <c r="D42" i="4"/>
  <c r="D43" i="4"/>
  <c r="D44" i="4"/>
  <c r="D45" i="4"/>
  <c r="D46" i="4"/>
  <c r="D40" i="4"/>
  <c r="E19" i="4"/>
  <c r="E20" i="4"/>
  <c r="E21" i="4"/>
  <c r="E22" i="4"/>
  <c r="E23" i="4"/>
  <c r="E24" i="4"/>
  <c r="E18" i="4"/>
  <c r="E8" i="4"/>
  <c r="E9" i="4"/>
  <c r="E10" i="4"/>
  <c r="E11" i="4"/>
  <c r="E12" i="4"/>
  <c r="E13" i="4"/>
  <c r="E7" i="4"/>
  <c r="D74" i="3"/>
  <c r="D75" i="3"/>
  <c r="D76" i="3"/>
  <c r="D77" i="3"/>
  <c r="D78" i="3"/>
  <c r="D79" i="3"/>
  <c r="D73" i="3"/>
  <c r="D63" i="3"/>
  <c r="D64" i="3"/>
  <c r="D65" i="3"/>
  <c r="D66" i="3"/>
  <c r="D67" i="3"/>
  <c r="D68" i="3"/>
  <c r="D62" i="3"/>
  <c r="C63" i="3"/>
  <c r="C64" i="3"/>
  <c r="C65" i="3"/>
  <c r="C66" i="3"/>
  <c r="C67" i="3"/>
  <c r="C68" i="3"/>
  <c r="C62" i="3"/>
  <c r="D52" i="3"/>
  <c r="D53" i="3"/>
  <c r="D54" i="3"/>
  <c r="D55" i="3"/>
  <c r="D56" i="3"/>
  <c r="D57" i="3"/>
  <c r="D51" i="3"/>
  <c r="D41" i="3"/>
  <c r="D42" i="3"/>
  <c r="D43" i="3"/>
  <c r="D44" i="3"/>
  <c r="D45" i="3"/>
  <c r="D46" i="3"/>
  <c r="D40" i="3"/>
  <c r="D30" i="3"/>
  <c r="D31" i="3"/>
  <c r="D32" i="3"/>
  <c r="D33" i="3"/>
  <c r="D34" i="3"/>
  <c r="D35" i="3"/>
  <c r="D29" i="3"/>
  <c r="D19" i="3"/>
  <c r="D20" i="3"/>
  <c r="D21" i="3"/>
  <c r="D22" i="3"/>
  <c r="D23" i="3"/>
  <c r="D24" i="3"/>
  <c r="D18" i="3"/>
  <c r="D8" i="3"/>
  <c r="D9" i="3"/>
  <c r="D10" i="3"/>
  <c r="D11" i="3"/>
  <c r="D12" i="3"/>
  <c r="D13" i="3"/>
  <c r="D7" i="3"/>
  <c r="C72" i="2" a="1"/>
  <c r="C73" i="2"/>
  <c r="C74" i="2"/>
  <c r="C75" i="2"/>
  <c r="C76" i="2"/>
  <c r="C77" i="2"/>
  <c r="C78" i="2"/>
  <c r="C62" i="2"/>
  <c r="C63" i="2"/>
  <c r="C64" i="2"/>
  <c r="C65" i="2"/>
  <c r="C66" i="2"/>
  <c r="C67" i="2"/>
  <c r="C61" i="2"/>
  <c r="D52" i="2"/>
  <c r="D53" i="2"/>
  <c r="D54" i="2"/>
  <c r="D55" i="2"/>
  <c r="D56" i="2"/>
  <c r="D51" i="2"/>
  <c r="C41" i="2"/>
  <c r="C42" i="2"/>
  <c r="C43" i="2"/>
  <c r="C44" i="2"/>
  <c r="C45" i="2"/>
  <c r="C46" i="2"/>
  <c r="C40" i="2"/>
  <c r="C30" i="2"/>
  <c r="C31" i="2"/>
  <c r="C32" i="2"/>
  <c r="C33" i="2"/>
  <c r="C34" i="2"/>
  <c r="C35" i="2"/>
  <c r="C29" i="2"/>
  <c r="C19" i="2"/>
  <c r="C20" i="2"/>
  <c r="C21" i="2"/>
  <c r="C22" i="2"/>
  <c r="C23" i="2"/>
  <c r="C24" i="2"/>
  <c r="C18" i="2"/>
  <c r="C8" i="2"/>
  <c r="C9" i="2"/>
  <c r="C10" i="2"/>
  <c r="C11" i="2"/>
  <c r="C12" i="2"/>
  <c r="C13" i="2"/>
  <c r="C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<sst xmlns="http://schemas.openxmlformats.org/spreadsheetml/2006/main" count="366" uniqueCount="313">
  <si>
    <t>NESTED IF FUNCTION – HANDS-ON PRACTICE WORKBOOK</t>
  </si>
  <si>
    <t>Welcome to Nested IF Practice</t>
  </si>
  <si>
    <t>This workbook contains 20 hands-on practice questions on the Nested IF function in Excel.</t>
  </si>
  <si>
    <t>What is a Nested IF?</t>
  </si>
  <si>
    <t>A Nested IF is when you place one IF function inside another IF function. This lets you test multiple conditions in sequence.</t>
  </si>
  <si>
    <t>Basic structure:  =IF(condition1, result1, IF(condition2, result2, IF(condition3, result3, result4)))</t>
  </si>
  <si>
    <t>How to use this workbook:</t>
  </si>
  <si>
    <t>1. Go to the Beginner, Intermediate, or Advanced sheet.</t>
  </si>
  <si>
    <t>2. Read the question carefully.</t>
  </si>
  <si>
    <t>3. Look at the sample data provided.</t>
  </si>
  <si>
    <t>4. In the yellow-highlighted cells, write your own Nested IF formula.</t>
  </si>
  <si>
    <t>5. Copy the formula down for all data rows if needed.</t>
  </si>
  <si>
    <t>6. Test by changing the input values (blue text cells) to see if your formula still works correctly.</t>
  </si>
  <si>
    <t>Important Rules:</t>
  </si>
  <si>
    <t>• Do NOT look for answers or solutions online while practicing.</t>
  </si>
  <si>
    <t>• No hints or answer keys are provided in this file – solve everything yourself.</t>
  </si>
  <si>
    <t>• Start with Beginner questions, then move to Intermediate, and finally Advanced.</t>
  </si>
  <si>
    <t>• Try different edge cases (exact boundary values, zeros, very high numbers).</t>
  </si>
  <si>
    <t>Level Guide:</t>
  </si>
  <si>
    <t>• Beginner (Q1–Q7)     : Single variable, 3–4 possible outcomes, basic nesting.</t>
  </si>
  <si>
    <t>• Intermediate (Q8–Q14): Two variables or deeper nesting / combined conditions.</t>
  </si>
  <si>
    <t>• Advanced (Q15–Q20)   : Complex multi-criteria decision trees, 4+ levels of nesting.</t>
  </si>
  <si>
    <t>Tips for success:</t>
  </si>
  <si>
    <t>• Always start from the highest (or most important) condition and work downward.</t>
  </si>
  <si>
    <t>• Make sure every IF has both a value_if_true and a value_if_false (or another nested IF).</t>
  </si>
  <si>
    <t>• Use absolute references ($) only when the comparison value should stay fixed.</t>
  </si>
  <si>
    <t>• After writing the formula, drag the fill handle to apply it to other rows.</t>
  </si>
  <si>
    <t>BEGINNER LEVEL – Nested IF Practice (Questions 1–7)</t>
  </si>
  <si>
    <t>Write Nested IF formulas in the yellow cells. No answers or hints are provided. Practice until the results match the required logic.</t>
  </si>
  <si>
    <t>Q1. Student Grade Assignment</t>
  </si>
  <si>
    <t>Requirement: In column C, write a Nested IF formula that returns the grade based on Score in column B:  A if Score ≥ 90,  B if Score ≥ 80,  C if Score ≥ 70,  D if Score ≥ 60,  otherwise F.  Copy the formula down.</t>
  </si>
  <si>
    <t>Student</t>
  </si>
  <si>
    <t>Score</t>
  </si>
  <si>
    <t>Grade (Your Formula)</t>
  </si>
  <si>
    <t>Aarav</t>
  </si>
  <si>
    <t>Priya</t>
  </si>
  <si>
    <t>Rohan</t>
  </si>
  <si>
    <t>Sneha</t>
  </si>
  <si>
    <t>Vikram</t>
  </si>
  <si>
    <t>Ananya</t>
  </si>
  <si>
    <t>Karan</t>
  </si>
  <si>
    <t>Q2. Purchase Discount Percentage</t>
  </si>
  <si>
    <t>Requirement: In column C, write a Nested IF that returns the discount % based on Amount in column B:  15% if Amount ≥ 5000,  10% if Amount ≥ 2000,  5% if Amount ≥ 1000,  otherwise 0%.  Enter the result as a percentage (or decimal). Copy down.</t>
  </si>
  <si>
    <t>Customer</t>
  </si>
  <si>
    <t>Purchase Amount</t>
  </si>
  <si>
    <t>Discount % (Your Formula)</t>
  </si>
  <si>
    <t>Meera</t>
  </si>
  <si>
    <t>Arjun</t>
  </si>
  <si>
    <t>Neha</t>
  </si>
  <si>
    <t>Rahul</t>
  </si>
  <si>
    <t>Isha</t>
  </si>
  <si>
    <t>Dev</t>
  </si>
  <si>
    <t>Pooja</t>
  </si>
  <si>
    <t>Q3. Age Group Classification</t>
  </si>
  <si>
    <t>Requirement: In column C, write a Nested IF that classifies Age (column B):  Child if Age &lt; 13,  Teen if Age is between 13 and 19 (inclusive),  Adult if Age is between 20 and 59 (inclusive),  Senior if Age ≥ 60. Copy the formula down.</t>
  </si>
  <si>
    <t>Name</t>
  </si>
  <si>
    <t>Age</t>
  </si>
  <si>
    <t>Age Group (Your Formula)</t>
  </si>
  <si>
    <t>Kabir</t>
  </si>
  <si>
    <t>Diya</t>
  </si>
  <si>
    <t>Aryan</t>
  </si>
  <si>
    <t>Sanya</t>
  </si>
  <si>
    <t>Ramesh</t>
  </si>
  <si>
    <t>Tara</t>
  </si>
  <si>
    <t>Om</t>
  </si>
  <si>
    <t>Q4. Temperature Category</t>
  </si>
  <si>
    <t>Requirement: In column C, write a Nested IF based on Temperature (°C) in column B:  Hot if Temp &gt; 30,  Warm if Temp is between 20 and 30 (inclusive),  Cool if Temp is between 10 and 19 (inclusive),  Cold if Temp &lt; 10. Copy down.</t>
  </si>
  <si>
    <t>City</t>
  </si>
  <si>
    <t>Temperature (°C)</t>
  </si>
  <si>
    <t>Category (Your Formula)</t>
  </si>
  <si>
    <t>Delhi</t>
  </si>
  <si>
    <t>Shimla</t>
  </si>
  <si>
    <t>Mumbai</t>
  </si>
  <si>
    <t>Leh</t>
  </si>
  <si>
    <t>Chennai</t>
  </si>
  <si>
    <t>Bangalore</t>
  </si>
  <si>
    <t>Manali</t>
  </si>
  <si>
    <t>Q5. Sales Performance Status</t>
  </si>
  <si>
    <t>Requirement: In column D, write a Nested IF that compares Actual Sales (column B) with Target (column C):  Exceeded if Actual &gt; Target,  Met if Actual = Target,  Below if Actual &lt; Target. Copy the formula down.</t>
  </si>
  <si>
    <t>Salesperson</t>
  </si>
  <si>
    <t>Actual Sales</t>
  </si>
  <si>
    <t>Target</t>
  </si>
  <si>
    <t>Status (Your Formula)</t>
  </si>
  <si>
    <t>Nikhil</t>
  </si>
  <si>
    <t>Shreya</t>
  </si>
  <si>
    <t>Amit</t>
  </si>
  <si>
    <t>Riya</t>
  </si>
  <si>
    <t>Varun</t>
  </si>
  <si>
    <t>Kavya</t>
  </si>
  <si>
    <t>Q6. BMI Category</t>
  </si>
  <si>
    <t>Requirement: In column C, write a Nested IF based on BMI value in column B:  Underweight if BMI &lt; 18.5,  Normal if BMI is between 18.5 and 24.9 (inclusive),  Overweight if BMI is between 25 and 29.9 (inclusive),  Obese if BMI ≥ 30. Copy down.</t>
  </si>
  <si>
    <t>Person</t>
  </si>
  <si>
    <t>BMI</t>
  </si>
  <si>
    <t>Suresh</t>
  </si>
  <si>
    <t>Lakshmi</t>
  </si>
  <si>
    <t>Manoj</t>
  </si>
  <si>
    <t>Geeta</t>
  </si>
  <si>
    <t>Farhan</t>
  </si>
  <si>
    <t>Nisha</t>
  </si>
  <si>
    <t>Raj</t>
  </si>
  <si>
    <t>Q7. Shipping Fee by Weight</t>
  </si>
  <si>
    <t>Requirement: In column C, write a Nested IF that returns the shipping fee based on Weight (kg) in column B:  ₹50 if Weight ≤ 1,  ₹80 if Weight ≤ 3,  ₹120 if Weight ≤ 5,  ₹200 if Weight &gt; 5. Copy the formula down.</t>
  </si>
  <si>
    <t>Order ID</t>
  </si>
  <si>
    <t>Weight (kg)</t>
  </si>
  <si>
    <t>Shipping Fee (Your Formula)</t>
  </si>
  <si>
    <t>ORD-101</t>
  </si>
  <si>
    <t>ORD-102</t>
  </si>
  <si>
    <t>ORD-103</t>
  </si>
  <si>
    <t>ORD-104</t>
  </si>
  <si>
    <t>ORD-105</t>
  </si>
  <si>
    <t>ORD-106</t>
  </si>
  <si>
    <t>ORD-107</t>
  </si>
  <si>
    <t>INTERMEDIATE LEVEL – Nested IF Practice (Questions 8–14)</t>
  </si>
  <si>
    <t>These questions involve two variables or deeper nesting. Write Nested IF formulas in the yellow cells. No answers or hints provided.</t>
  </si>
  <si>
    <t>Q8. Final Grade with Attendance Condition</t>
  </si>
  <si>
    <t>Requirement: In column D, write a Nested IF. First check Attendance % (column C). If Attendance &lt; 75, return "Fail - Low Attendance". Otherwise use Score (column B):  A if Score ≥ 90,  B if Score ≥ 80,  C if Score ≥ 70,  D if Score ≥ 60,  else F. Copy down.</t>
  </si>
  <si>
    <t>Attendance %</t>
  </si>
  <si>
    <t>Final Grade (Your Formula)</t>
  </si>
  <si>
    <t>Aditi</t>
  </si>
  <si>
    <t>Harsh</t>
  </si>
  <si>
    <t>Yash</t>
  </si>
  <si>
    <t>Pari</t>
  </si>
  <si>
    <t>Veer</t>
  </si>
  <si>
    <t>Mira</t>
  </si>
  <si>
    <t>Q9. Employee Bonus Calculation</t>
  </si>
  <si>
    <t>Requirement: In column D, write a Nested IF for Bonus. If Years of Service (column C) &lt; 2, Bonus = 0. Else based on Sales (column B):  ₹25000 if Sales ≥ 500000,  ₹15000 if Sales ≥ 300000,  ₹8000 if Sales ≥ 150000,  otherwise ₹3000. Copy down.</t>
  </si>
  <si>
    <t>Employee</t>
  </si>
  <si>
    <t>Sales</t>
  </si>
  <si>
    <t>Years of Service</t>
  </si>
  <si>
    <t>Bonus (Your Formula)</t>
  </si>
  <si>
    <t>Sanjay</t>
  </si>
  <si>
    <t>Kriti</t>
  </si>
  <si>
    <t>Aman</t>
  </si>
  <si>
    <t>Divya</t>
  </si>
  <si>
    <t>Rohit</t>
  </si>
  <si>
    <t>Vivek</t>
  </si>
  <si>
    <t>Q10. Credit Card Approval Decision</t>
  </si>
  <si>
    <t>Requirement: In column D, write a Nested IF. If Credit Score (column C) &lt; 650, return "Rejected". Else based on Monthly Income (column B):  "Premium Card" if Income ≥ 80000,  "Gold Card" if Income ≥ 50000,  "Silver Card" if Income ≥ 30000,  otherwise "Basic Card". Copy down.</t>
  </si>
  <si>
    <t>Applicant</t>
  </si>
  <si>
    <t>Monthly Income</t>
  </si>
  <si>
    <t>Credit Score</t>
  </si>
  <si>
    <t>Decision (Your Formula)</t>
  </si>
  <si>
    <t>Ankit</t>
  </si>
  <si>
    <t>Ravi</t>
  </si>
  <si>
    <t>Sonal</t>
  </si>
  <si>
    <t>Deepak</t>
  </si>
  <si>
    <t>Naina</t>
  </si>
  <si>
    <t>Kunal</t>
  </si>
  <si>
    <t>Q11. Hotel Room Rate by Season and Room Type</t>
  </si>
  <si>
    <t>Requirement: In column D, write a Nested IF. First check Season (column B). If Season = "Peak", then: Suite = 12000, Deluxe = 8000, Standard = 5000. If Season = "Off-Peak": Suite = 8000, Deluxe = 5500, Standard = 3500. For any other season return "Invalid Season". Use Room Type from column C. Copy down.</t>
  </si>
  <si>
    <t>Booking ID</t>
  </si>
  <si>
    <t>Season</t>
  </si>
  <si>
    <t>Room Type</t>
  </si>
  <si>
    <t>Rate (Your Formula)</t>
  </si>
  <si>
    <t>BKG-201</t>
  </si>
  <si>
    <t>Peak</t>
  </si>
  <si>
    <t>Suite</t>
  </si>
  <si>
    <t>BKG-202</t>
  </si>
  <si>
    <t>Deluxe</t>
  </si>
  <si>
    <t>BKG-203</t>
  </si>
  <si>
    <t>Off-Peak</t>
  </si>
  <si>
    <t>Standard</t>
  </si>
  <si>
    <t>BKG-204</t>
  </si>
  <si>
    <t>BKG-205</t>
  </si>
  <si>
    <t>BKG-206</t>
  </si>
  <si>
    <t>BKG-207</t>
  </si>
  <si>
    <t>Monsoon</t>
  </si>
  <si>
    <t>Q12. Employee Level Classification</t>
  </si>
  <si>
    <t>Requirement: In column D, write a Nested IF. If Performance Score (column C) &lt; 60, return "Needs Improvement". Else based on Years of Service (column B):  "Senior" if Years ≥ 8,  "Mid-Level" if Years ≥ 4,  "Junior" if Years ≥ 1,  otherwise "Trainee". Copy down.</t>
  </si>
  <si>
    <t>Performance Score</t>
  </si>
  <si>
    <t>Level (Your Formula)</t>
  </si>
  <si>
    <t>Alok</t>
  </si>
  <si>
    <t>Bhavna</t>
  </si>
  <si>
    <t>Chetan</t>
  </si>
  <si>
    <t>Disha</t>
  </si>
  <si>
    <t>Eshan</t>
  </si>
  <si>
    <t>Fatima</t>
  </si>
  <si>
    <t>Gaurav</t>
  </si>
  <si>
    <t>Q13. Simplified Income Tax Rate</t>
  </si>
  <si>
    <t>Requirement: In column C, write a Nested IF that returns the tax rate based on Annual Income (column B):  0% if Income ≤ 300000,  5% if Income ≤ 600000,  10% if Income ≤ 900000,  15% if Income ≤ 1200000,  20% if Income &gt; 1200000. Return the rate as a percentage or decimal. Copy down.</t>
  </si>
  <si>
    <t>Taxpayer</t>
  </si>
  <si>
    <t>Annual Income</t>
  </si>
  <si>
    <t>Mr. Sharma</t>
  </si>
  <si>
    <t>Ms. Patel</t>
  </si>
  <si>
    <t>Mr. Khan</t>
  </si>
  <si>
    <t>Ms. Reddy</t>
  </si>
  <si>
    <t>Mr. Gupta</t>
  </si>
  <si>
    <t>Ms. Joshi</t>
  </si>
  <si>
    <t>Mr. Nair</t>
  </si>
  <si>
    <t>Q14. Loyalty Tier Assignment</t>
  </si>
  <si>
    <t>Requirement: In column D, write a Nested IF. If Purchase Frequency (column C) &lt; 3, return "Inactive". Else based on Loyalty Points (column B):  "Platinum" if Points ≥ 10000,  "Gold" if Points ≥ 5000,  "Silver" if Points ≥ 2000,  otherwise "Bronze". Copy down.</t>
  </si>
  <si>
    <t>Member</t>
  </si>
  <si>
    <t>Loyalty Points</t>
  </si>
  <si>
    <t>Purchase Frequency</t>
  </si>
  <si>
    <t>Tier (Your Formula)</t>
  </si>
  <si>
    <t>Rina</t>
  </si>
  <si>
    <t>Sameer</t>
  </si>
  <si>
    <t>Tanya</t>
  </si>
  <si>
    <t>Uday</t>
  </si>
  <si>
    <t>Vani</t>
  </si>
  <si>
    <t>Wasim</t>
  </si>
  <si>
    <t>Zara</t>
  </si>
  <si>
    <t>ADVANCED LEVEL – Nested IF Practice (Questions 15–20)</t>
  </si>
  <si>
    <t>Complex multi-criteria logic requiring deeper nesting or multi-variable decision trees. Write Nested IF formulas in the yellow cells. No answers or hints.</t>
  </si>
  <si>
    <t>Q15. Project Priority Matrix</t>
  </si>
  <si>
    <t>Requirement: In column E, write a Nested IF for Priority. First check Urgency (column B). If Urgency = "High": then if Impact (column C) = "High" return "Critical", if Impact = "Medium" return "High", else "Medium". If Urgency = "Medium": then if Impact = "High" return "High", else "Medium". If Urgency = "Low": return "Low" regardless of Impact. For any other Urgency return "Review". Use Effort (column D) is provided only as extra info – do not use it in the formula. Copy down.</t>
  </si>
  <si>
    <t>Project</t>
  </si>
  <si>
    <t>Urgency</t>
  </si>
  <si>
    <t>Impact</t>
  </si>
  <si>
    <t>Effort</t>
  </si>
  <si>
    <t>Priority (Your Formula)</t>
  </si>
  <si>
    <t>Website Redesign</t>
  </si>
  <si>
    <t>High</t>
  </si>
  <si>
    <t>Bug Fix Sprint</t>
  </si>
  <si>
    <t>Medium</t>
  </si>
  <si>
    <t>Low</t>
  </si>
  <si>
    <t>Feature X</t>
  </si>
  <si>
    <t>Documentation</t>
  </si>
  <si>
    <t>Security Audit</t>
  </si>
  <si>
    <t>UI Polish</t>
  </si>
  <si>
    <t>Server Upgrade</t>
  </si>
  <si>
    <t>Q16. Dynamic Discount by Customer Type, Order Value &amp; Region</t>
  </si>
  <si>
    <t>Requirement: In column E, write a Nested IF for Discount %. Logic: If Customer Type (column B) = "VIP": then if Order Value (column C) ≥ 10000 return 20%, else 15%. If Customer Type = "Regular": then if Region (column D) = "North" or "South" and Order Value ≥ 5000 return 10%, else if Order Value ≥ 5000 return 8%, otherwise 5%. If Customer Type = "New": return 3% regardless of other values. For any other type return 0%. Copy down.</t>
  </si>
  <si>
    <t>Customer Type</t>
  </si>
  <si>
    <t>Order Value</t>
  </si>
  <si>
    <t>Region</t>
  </si>
  <si>
    <t>ORD-501</t>
  </si>
  <si>
    <t>VIP</t>
  </si>
  <si>
    <t>West</t>
  </si>
  <si>
    <t>ORD-502</t>
  </si>
  <si>
    <t>North</t>
  </si>
  <si>
    <t>ORD-503</t>
  </si>
  <si>
    <t>Regular</t>
  </si>
  <si>
    <t>ORD-504</t>
  </si>
  <si>
    <t>East</t>
  </si>
  <si>
    <t>ORD-505</t>
  </si>
  <si>
    <t>South</t>
  </si>
  <si>
    <t>ORD-506</t>
  </si>
  <si>
    <t>New</t>
  </si>
  <si>
    <t>ORD-507</t>
  </si>
  <si>
    <t>Q17. Risk Level Assessment</t>
  </si>
  <si>
    <t>Requirement: In column D, write a Nested IF for Risk Level using Likelihood (column B) and Severity (column C). Both are scores 1–5. Logic: If Likelihood ≥ 4 AND Severity ≥ 4 return "Extreme". Else if Likelihood ≥ 4 OR Severity ≥ 4 return "High". Else if Likelihood ≥ 3 AND Severity ≥ 3 return "Medium". Else if Likelihood ≥ 2 OR Severity ≥ 2 return "Low". Otherwise return "Negligible". (You may nest multiple IFs; AND/OR can be used inside conditions.) Copy down.</t>
  </si>
  <si>
    <t>Risk Item</t>
  </si>
  <si>
    <t>Likelihood (1-5)</t>
  </si>
  <si>
    <t>Severity (1-5)</t>
  </si>
  <si>
    <t>Risk Level (Your Formula)</t>
  </si>
  <si>
    <t>Data Breach</t>
  </si>
  <si>
    <t>Server Downtime</t>
  </si>
  <si>
    <t>Minor UI Bug</t>
  </si>
  <si>
    <t>Compliance Gap</t>
  </si>
  <si>
    <t>Staff Turnover</t>
  </si>
  <si>
    <t>Power Outage</t>
  </si>
  <si>
    <t>Typo in Report</t>
  </si>
  <si>
    <t>Q18. Progressive Commission with Role Multiplier</t>
  </si>
  <si>
    <t>Requirement: In column D, write a Nested IF for Commission Amount. First determine base rate from Sales (column B):  12% if Sales ≥ 1000000,  9% if Sales ≥ 500000,  6% if Sales ≥ 200000,  3% otherwise. Then multiply the result by a Role factor from column C: Manager = 1.5, Team Lead = 1.2, Executive = 1.0. Final commission = Sales × base rate × role factor. Copy down.</t>
  </si>
  <si>
    <t>Role</t>
  </si>
  <si>
    <t>Commission (Your Formula)</t>
  </si>
  <si>
    <t>Pranav</t>
  </si>
  <si>
    <t>Manager</t>
  </si>
  <si>
    <t>Team Lead</t>
  </si>
  <si>
    <t>Imran</t>
  </si>
  <si>
    <t>Executive</t>
  </si>
  <si>
    <t>Jyoti</t>
  </si>
  <si>
    <t>Leena</t>
  </si>
  <si>
    <t>Mohit</t>
  </si>
  <si>
    <t>Q19. Project Status Decision</t>
  </si>
  <si>
    <t>Requirement: In column E, write a Nested IF for Status. Logic order: If Progress % (column B) ≥ 100 return "Completed". Else if Days Overdue (column C) &gt; 0 return "Delayed". Else if Budget Used % (column D) &gt; 100 return "Over Budget". Else if Progress % ≥ 75 return "On Track". Else if Progress % ≥ 40 return "In Progress". Otherwise return "Just Started". Copy down.</t>
  </si>
  <si>
    <t>Progress %</t>
  </si>
  <si>
    <t>Days Overdue</t>
  </si>
  <si>
    <t>Budget Used %</t>
  </si>
  <si>
    <t>Mobile App</t>
  </si>
  <si>
    <t>CRM Upgrade</t>
  </si>
  <si>
    <t>Marketing Site</t>
  </si>
  <si>
    <t>API Gateway</t>
  </si>
  <si>
    <t>Data Migration</t>
  </si>
  <si>
    <t>Security Patch</t>
  </si>
  <si>
    <t>Analytics Dash</t>
  </si>
  <si>
    <t>Q20. Inventory Reorder Decision</t>
  </si>
  <si>
    <t>Requirement: In column E, write a Nested IF for Action. Logic: If Current Stock (column B) ≤ Reorder Level (column C) then: if Lead Time Days (column D) &gt; 14 return "Urgent Order", else return "Place Order". Else if Current Stock ≤ (Reorder Level × 1.5) return "Monitor Closely". Else return "Stock OK". Copy down.</t>
  </si>
  <si>
    <t>Item</t>
  </si>
  <si>
    <t>Current Stock</t>
  </si>
  <si>
    <t>Reorder Level</t>
  </si>
  <si>
    <t>Lead Time (Days)</t>
  </si>
  <si>
    <t>Action (Your Formula)</t>
  </si>
  <si>
    <t>Widget A</t>
  </si>
  <si>
    <t>Widget B</t>
  </si>
  <si>
    <t>Widget C</t>
  </si>
  <si>
    <t>Widget D</t>
  </si>
  <si>
    <t>Widget E</t>
  </si>
  <si>
    <t>Widget F</t>
  </si>
  <si>
    <t>Widget G</t>
  </si>
  <si>
    <t>PRACTICE TIPS &amp; SELF-CHECK GUIDE</t>
  </si>
  <si>
    <t>How to verify your Nested IF formulas yourself (without looking up answers):</t>
  </si>
  <si>
    <t>1. After writing a formula, change the blue input values one by one and observe whether the result updates correctly according to the stated rules.</t>
  </si>
  <si>
    <t>2. Test boundary values (exact threshold numbers such as 90, 80, 1000, etc.) carefully – decide whether ≥ or &gt; is required by reading the question again.</t>
  </si>
  <si>
    <t>3. Count the number of closing parentheses. Every IF you open must be closed.</t>
  </si>
  <si>
    <t>4. Start writing the formula from the most important / highest condition and nest the next condition in the value_if_false part.</t>
  </si>
  <si>
    <t>5. For multi-variable questions, decide the order of checks first on paper, then translate into nested IFs.</t>
  </si>
  <si>
    <t>6. If a formula becomes very long, break the logic into smaller pieces on paper before typing.</t>
  </si>
  <si>
    <t>7. Use the Evaluate Formula tool (Formulas tab → Evaluate Formula) to step through your nested IF and see which condition is being tested.</t>
  </si>
  <si>
    <t>Common mistakes to avoid:</t>
  </si>
  <si>
    <t>• Forgetting the final value_if_false (the last else).</t>
  </si>
  <si>
    <t>• Mixing up the order of conditions (e.g., checking lower ranges before higher ones).</t>
  </si>
  <si>
    <t>• Using = instead of &gt;= when the question says “≥”.</t>
  </si>
  <si>
    <t>• Not putting quotes around text results ("A", "Hot", "Rejected", etc.).</t>
  </si>
  <si>
    <t>• Incorrect nesting depth or missing parentheses.</t>
  </si>
  <si>
    <t>Suggested practice order:</t>
  </si>
  <si>
    <t>Beginner sheet → Intermediate sheet → Advanced sheet.</t>
  </si>
  <si>
    <t>Spend enough time on each level before moving up. Mastery comes from writing and testing many formulas yourself.</t>
  </si>
  <si>
    <t>This workbook contains exactly 20 questions with no solutions or hints included.</t>
  </si>
  <si>
    <t>Good luck and enjoy practicing Nested IF functions!</t>
  </si>
  <si>
    <t>Tax Rate (in Percentage)</t>
  </si>
  <si>
    <t>Tax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</si>
</sst>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₹&quot;\ #,##0.00"/>
  </numFmts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Arial"/>
    </font>
    <font>
      <b/>
      <sz val="14"/>
      <color rgb="FF1F4E79"/>
      <name val="Arial"/>
    </font>
    <font>
      <sz val="10"/>
      <name val="Arial"/>
    </font>
    <font>
      <b/>
      <sz val="10"/>
      <name val="Arial"/>
    </font>
    <font>
      <b/>
      <sz val="11"/>
      <color rgb="FF1F4E79"/>
      <name val="Arial"/>
    </font>
    <font>
      <i/>
      <sz val="10"/>
      <name val="Arial"/>
    </font>
    <font>
      <b/>
      <sz val="11"/>
      <name val="Arial"/>
    </font>
    <font>
      <b/>
      <sz val="12"/>
      <color rgb="FFFFFFFF"/>
      <name val="Arial"/>
    </font>
    <font>
      <sz val="10"/>
      <color rgb="FF0000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48235"/>
      </patternFill>
    </fill>
    <fill>
      <patternFill patternType="solid">
        <fgColor rgb="FFE2EFDA"/>
      </patternFill>
    </fill>
    <fill>
      <patternFill patternType="solid">
        <fgColor rgb="FFD6DCE4"/>
      </patternFill>
    </fill>
    <fill>
      <patternFill patternType="solid">
        <fgColor rgb="FFFFFF99"/>
      </patternFill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C00000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8" fillId="9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8" fillId="7" borderId="1" xfId="0" applyNumberFormat="1" applyFont="1" applyFill="1" applyBorder="1" applyAlignment="1">
      <alignment horizontal="center" vertical="center" wrapText="1"/>
    </xf>
    <xf numFmtId="165" fontId="0" fillId="6" borderId="1" xfId="0" applyNumberForma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0" fontId="8" fillId="3" borderId="1" xfId="0" applyNumberFormat="1" applyFont="1" applyFill="1" applyBorder="1" applyAlignment="1">
      <alignment horizontal="center" vertical="center" wrapText="1"/>
    </xf>
    <xf numFmtId="10" fontId="0" fillId="6" borderId="1" xfId="0" applyNumberFormat="1" applyFill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65" fontId="8" fillId="3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/>
    <xf numFmtId="0" fontId="7" fillId="5" borderId="0" xfId="0" applyFont="1" applyFill="1"/>
    <xf numFmtId="0" fontId="3" fillId="0" borderId="0" xfId="0" applyFont="1" applyAlignment="1">
      <alignment horizontal="left" vertical="top" wrapText="1"/>
    </xf>
    <xf numFmtId="0" fontId="6" fillId="4" borderId="0" xfId="0" applyFont="1" applyFill="1" applyAlignment="1">
      <alignment horizontal="left" vertical="center"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opLeftCell="A4" workbookViewId="0">
      <selection sqref="A1:G1"/>
    </sheetView>
  </sheetViews>
  <sheetFormatPr defaultRowHeight="15" x14ac:dyDescent="0.25"/>
  <cols>
    <col min="1" max="1" width="100" customWidth="1"/>
    <col min="2" max="7" width="12" customWidth="1"/>
  </cols>
  <sheetData>
    <row r="1" spans="1:7" ht="35.1" customHeight="1" x14ac:dyDescent="0.25">
      <c r="A1" s="23" t="s">
        <v>0</v>
      </c>
      <c r="B1" s="16"/>
      <c r="C1" s="16"/>
      <c r="D1" s="16"/>
      <c r="E1" s="16"/>
      <c r="F1" s="16"/>
      <c r="G1" s="16"/>
    </row>
    <row r="3" spans="1:7" ht="21.95" customHeight="1" x14ac:dyDescent="0.25">
      <c r="A3" s="24" t="s">
        <v>1</v>
      </c>
      <c r="B3" s="16"/>
      <c r="C3" s="16"/>
      <c r="D3" s="16"/>
      <c r="E3" s="16"/>
      <c r="F3" s="16"/>
      <c r="G3" s="16"/>
    </row>
    <row r="4" spans="1:7" x14ac:dyDescent="0.25">
      <c r="A4" s="21" t="s">
        <v>2</v>
      </c>
      <c r="B4" s="16"/>
      <c r="C4" s="16"/>
      <c r="D4" s="16"/>
      <c r="E4" s="16"/>
      <c r="F4" s="16"/>
      <c r="G4" s="16"/>
    </row>
    <row r="5" spans="1:7" x14ac:dyDescent="0.25">
      <c r="A5" s="21"/>
      <c r="B5" s="16"/>
      <c r="C5" s="16"/>
      <c r="D5" s="16"/>
      <c r="E5" s="16"/>
      <c r="F5" s="16"/>
      <c r="G5" s="16"/>
    </row>
    <row r="6" spans="1:7" x14ac:dyDescent="0.25">
      <c r="A6" s="22" t="s">
        <v>3</v>
      </c>
      <c r="B6" s="16"/>
      <c r="C6" s="16"/>
      <c r="D6" s="16"/>
      <c r="E6" s="16"/>
      <c r="F6" s="16"/>
      <c r="G6" s="16"/>
    </row>
    <row r="7" spans="1:7" x14ac:dyDescent="0.25">
      <c r="A7" s="21" t="s">
        <v>4</v>
      </c>
      <c r="B7" s="16"/>
      <c r="C7" s="16"/>
      <c r="D7" s="16"/>
      <c r="E7" s="16"/>
      <c r="F7" s="16"/>
      <c r="G7" s="16"/>
    </row>
    <row r="8" spans="1:7" x14ac:dyDescent="0.25">
      <c r="A8" s="21" t="s">
        <v>5</v>
      </c>
      <c r="B8" s="16"/>
      <c r="C8" s="16"/>
      <c r="D8" s="16"/>
      <c r="E8" s="16"/>
      <c r="F8" s="16"/>
      <c r="G8" s="16"/>
    </row>
    <row r="9" spans="1:7" x14ac:dyDescent="0.25">
      <c r="A9" s="21"/>
      <c r="B9" s="16"/>
      <c r="C9" s="16"/>
      <c r="D9" s="16"/>
      <c r="E9" s="16"/>
      <c r="F9" s="16"/>
      <c r="G9" s="16"/>
    </row>
    <row r="10" spans="1:7" x14ac:dyDescent="0.25">
      <c r="A10" s="22" t="s">
        <v>6</v>
      </c>
      <c r="B10" s="16"/>
      <c r="C10" s="16"/>
      <c r="D10" s="16"/>
      <c r="E10" s="16"/>
      <c r="F10" s="16"/>
      <c r="G10" s="16"/>
    </row>
    <row r="11" spans="1:7" x14ac:dyDescent="0.25">
      <c r="A11" s="21" t="s">
        <v>7</v>
      </c>
      <c r="B11" s="16"/>
      <c r="C11" s="16"/>
      <c r="D11" s="16"/>
      <c r="E11" s="16"/>
      <c r="F11" s="16"/>
      <c r="G11" s="16"/>
    </row>
    <row r="12" spans="1:7" x14ac:dyDescent="0.25">
      <c r="A12" s="21" t="s">
        <v>8</v>
      </c>
      <c r="B12" s="16"/>
      <c r="C12" s="16"/>
      <c r="D12" s="16"/>
      <c r="E12" s="16"/>
      <c r="F12" s="16"/>
      <c r="G12" s="16"/>
    </row>
    <row r="13" spans="1:7" x14ac:dyDescent="0.25">
      <c r="A13" s="21" t="s">
        <v>9</v>
      </c>
      <c r="B13" s="16"/>
      <c r="C13" s="16"/>
      <c r="D13" s="16"/>
      <c r="E13" s="16"/>
      <c r="F13" s="16"/>
      <c r="G13" s="16"/>
    </row>
    <row r="14" spans="1:7" x14ac:dyDescent="0.25">
      <c r="A14" s="21" t="s">
        <v>10</v>
      </c>
      <c r="B14" s="16"/>
      <c r="C14" s="16"/>
      <c r="D14" s="16"/>
      <c r="E14" s="16"/>
      <c r="F14" s="16"/>
      <c r="G14" s="16"/>
    </row>
    <row r="15" spans="1:7" x14ac:dyDescent="0.25">
      <c r="A15" s="21" t="s">
        <v>11</v>
      </c>
      <c r="B15" s="16"/>
      <c r="C15" s="16"/>
      <c r="D15" s="16"/>
      <c r="E15" s="16"/>
      <c r="F15" s="16"/>
      <c r="G15" s="16"/>
    </row>
    <row r="16" spans="1:7" x14ac:dyDescent="0.25">
      <c r="A16" s="21" t="s">
        <v>12</v>
      </c>
      <c r="B16" s="16"/>
      <c r="C16" s="16"/>
      <c r="D16" s="16"/>
      <c r="E16" s="16"/>
      <c r="F16" s="16"/>
      <c r="G16" s="16"/>
    </row>
    <row r="17" spans="1:7" x14ac:dyDescent="0.25">
      <c r="A17" s="21"/>
      <c r="B17" s="16"/>
      <c r="C17" s="16"/>
      <c r="D17" s="16"/>
      <c r="E17" s="16"/>
      <c r="F17" s="16"/>
      <c r="G17" s="16"/>
    </row>
    <row r="18" spans="1:7" x14ac:dyDescent="0.25">
      <c r="A18" s="22" t="s">
        <v>13</v>
      </c>
      <c r="B18" s="16"/>
      <c r="C18" s="16"/>
      <c r="D18" s="16"/>
      <c r="E18" s="16"/>
      <c r="F18" s="16"/>
      <c r="G18" s="16"/>
    </row>
    <row r="19" spans="1:7" x14ac:dyDescent="0.25">
      <c r="A19" s="20" t="s">
        <v>14</v>
      </c>
      <c r="B19" s="16"/>
      <c r="C19" s="16"/>
      <c r="D19" s="16"/>
      <c r="E19" s="16"/>
      <c r="F19" s="16"/>
      <c r="G19" s="16"/>
    </row>
    <row r="20" spans="1:7" x14ac:dyDescent="0.25">
      <c r="A20" s="20" t="s">
        <v>15</v>
      </c>
      <c r="B20" s="16"/>
      <c r="C20" s="16"/>
      <c r="D20" s="16"/>
      <c r="E20" s="16"/>
      <c r="F20" s="16"/>
      <c r="G20" s="16"/>
    </row>
    <row r="21" spans="1:7" x14ac:dyDescent="0.25">
      <c r="A21" s="20" t="s">
        <v>16</v>
      </c>
      <c r="B21" s="16"/>
      <c r="C21" s="16"/>
      <c r="D21" s="16"/>
      <c r="E21" s="16"/>
      <c r="F21" s="16"/>
      <c r="G21" s="16"/>
    </row>
    <row r="22" spans="1:7" x14ac:dyDescent="0.25">
      <c r="A22" s="20" t="s">
        <v>17</v>
      </c>
      <c r="B22" s="16"/>
      <c r="C22" s="16"/>
      <c r="D22" s="16"/>
      <c r="E22" s="16"/>
      <c r="F22" s="16"/>
      <c r="G22" s="16"/>
    </row>
    <row r="23" spans="1:7" x14ac:dyDescent="0.25">
      <c r="A23" s="21"/>
      <c r="B23" s="16"/>
      <c r="C23" s="16"/>
      <c r="D23" s="16"/>
      <c r="E23" s="16"/>
      <c r="F23" s="16"/>
      <c r="G23" s="16"/>
    </row>
    <row r="24" spans="1:7" x14ac:dyDescent="0.25">
      <c r="A24" s="22" t="s">
        <v>18</v>
      </c>
      <c r="B24" s="16"/>
      <c r="C24" s="16"/>
      <c r="D24" s="16"/>
      <c r="E24" s="16"/>
      <c r="F24" s="16"/>
      <c r="G24" s="16"/>
    </row>
    <row r="25" spans="1:7" x14ac:dyDescent="0.25">
      <c r="A25" s="20" t="s">
        <v>19</v>
      </c>
      <c r="B25" s="16"/>
      <c r="C25" s="16"/>
      <c r="D25" s="16"/>
      <c r="E25" s="16"/>
      <c r="F25" s="16"/>
      <c r="G25" s="16"/>
    </row>
    <row r="26" spans="1:7" x14ac:dyDescent="0.25">
      <c r="A26" s="20" t="s">
        <v>20</v>
      </c>
      <c r="B26" s="16"/>
      <c r="C26" s="16"/>
      <c r="D26" s="16"/>
      <c r="E26" s="16"/>
      <c r="F26" s="16"/>
      <c r="G26" s="16"/>
    </row>
    <row r="27" spans="1:7" x14ac:dyDescent="0.25">
      <c r="A27" s="20" t="s">
        <v>21</v>
      </c>
      <c r="B27" s="16"/>
      <c r="C27" s="16"/>
      <c r="D27" s="16"/>
      <c r="E27" s="16"/>
      <c r="F27" s="16"/>
      <c r="G27" s="16"/>
    </row>
    <row r="28" spans="1:7" x14ac:dyDescent="0.25">
      <c r="A28" s="21"/>
      <c r="B28" s="16"/>
      <c r="C28" s="16"/>
      <c r="D28" s="16"/>
      <c r="E28" s="16"/>
      <c r="F28" s="16"/>
      <c r="G28" s="16"/>
    </row>
    <row r="29" spans="1:7" x14ac:dyDescent="0.25">
      <c r="A29" s="22" t="s">
        <v>22</v>
      </c>
      <c r="B29" s="16"/>
      <c r="C29" s="16"/>
      <c r="D29" s="16"/>
      <c r="E29" s="16"/>
      <c r="F29" s="16"/>
      <c r="G29" s="16"/>
    </row>
    <row r="30" spans="1:7" x14ac:dyDescent="0.25">
      <c r="A30" s="20" t="s">
        <v>23</v>
      </c>
      <c r="B30" s="16"/>
      <c r="C30" s="16"/>
      <c r="D30" s="16"/>
      <c r="E30" s="16"/>
      <c r="F30" s="16"/>
      <c r="G30" s="16"/>
    </row>
    <row r="31" spans="1:7" x14ac:dyDescent="0.25">
      <c r="A31" s="20" t="s">
        <v>24</v>
      </c>
      <c r="B31" s="16"/>
      <c r="C31" s="16"/>
      <c r="D31" s="16"/>
      <c r="E31" s="16"/>
      <c r="F31" s="16"/>
      <c r="G31" s="16"/>
    </row>
    <row r="32" spans="1:7" x14ac:dyDescent="0.25">
      <c r="A32" s="20" t="s">
        <v>25</v>
      </c>
      <c r="B32" s="16"/>
      <c r="C32" s="16"/>
      <c r="D32" s="16"/>
      <c r="E32" s="16"/>
      <c r="F32" s="16"/>
      <c r="G32" s="16"/>
    </row>
    <row r="33" spans="1:7" x14ac:dyDescent="0.25">
      <c r="A33" s="20" t="s">
        <v>26</v>
      </c>
      <c r="B33" s="16"/>
      <c r="C33" s="16"/>
      <c r="D33" s="16"/>
      <c r="E33" s="16"/>
      <c r="F33" s="16"/>
      <c r="G33" s="16"/>
    </row>
  </sheetData>
  <mergeCells count="32">
    <mergeCell ref="A33:G33"/>
    <mergeCell ref="A5:G5"/>
    <mergeCell ref="A23:G23"/>
    <mergeCell ref="A1:G1"/>
    <mergeCell ref="A6:G6"/>
    <mergeCell ref="A16:G16"/>
    <mergeCell ref="A7:G7"/>
    <mergeCell ref="A25:G25"/>
    <mergeCell ref="A18:G18"/>
    <mergeCell ref="A3:G3"/>
    <mergeCell ref="A21:G21"/>
    <mergeCell ref="A12:G12"/>
    <mergeCell ref="A4:G4"/>
    <mergeCell ref="A20:G20"/>
    <mergeCell ref="A29:G29"/>
    <mergeCell ref="A19:G19"/>
    <mergeCell ref="A32:G32"/>
    <mergeCell ref="A14:G14"/>
    <mergeCell ref="A17:G17"/>
    <mergeCell ref="A8:G8"/>
    <mergeCell ref="A22:G22"/>
    <mergeCell ref="A31:G31"/>
    <mergeCell ref="A30:G30"/>
    <mergeCell ref="A10:G10"/>
    <mergeCell ref="A28:G28"/>
    <mergeCell ref="A13:G13"/>
    <mergeCell ref="A9:G9"/>
    <mergeCell ref="A24:G24"/>
    <mergeCell ref="A15:G15"/>
    <mergeCell ref="A11:G11"/>
    <mergeCell ref="A27:G27"/>
    <mergeCell ref="A26:G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8"/>
  <sheetViews>
    <sheetView tabSelected="1" zoomScale="131" zoomScaleNormal="154" workbookViewId="0">
      <selection activeCell="K5" sqref="K5"/>
    </sheetView>
  </sheetViews>
  <sheetFormatPr defaultRowHeight="15" x14ac:dyDescent="0.25"/>
  <cols>
    <col min="1" max="2" width="18" customWidth="1"/>
    <col min="3" max="3" width="28" customWidth="1"/>
    <col min="4" max="4" width="22" customWidth="1"/>
    <col min="5" max="8" width="12" customWidth="1"/>
  </cols>
  <sheetData>
    <row r="1" spans="1:13" ht="30" customHeight="1" x14ac:dyDescent="0.25">
      <c r="A1" s="15" t="s">
        <v>27</v>
      </c>
      <c r="B1" s="16"/>
      <c r="C1" s="16"/>
      <c r="D1" s="16"/>
      <c r="E1" s="16"/>
      <c r="F1" s="16"/>
      <c r="G1" s="16"/>
      <c r="H1" s="16"/>
    </row>
    <row r="2" spans="1:13" ht="24.95" customHeight="1" x14ac:dyDescent="0.25">
      <c r="A2" s="19" t="s">
        <v>28</v>
      </c>
      <c r="B2" s="16"/>
      <c r="C2" s="16"/>
      <c r="D2" s="16"/>
      <c r="E2" s="16"/>
      <c r="F2" s="16"/>
      <c r="G2" s="16"/>
      <c r="H2" s="16"/>
    </row>
    <row r="4" spans="1:13" x14ac:dyDescent="0.25">
      <c r="A4" s="17" t="s">
        <v>29</v>
      </c>
      <c r="B4" s="16"/>
      <c r="C4" s="16"/>
      <c r="D4" s="16"/>
      <c r="E4" s="16"/>
      <c r="F4" s="16"/>
      <c r="G4" s="16"/>
      <c r="H4" s="16"/>
    </row>
    <row r="5" spans="1:13" ht="35.1" customHeight="1" x14ac:dyDescent="0.25">
      <c r="A5" s="18" t="s">
        <v>30</v>
      </c>
      <c r="B5" s="16"/>
      <c r="C5" s="16"/>
      <c r="D5" s="16"/>
      <c r="E5" s="16"/>
      <c r="F5" s="16"/>
      <c r="G5" s="16"/>
      <c r="H5" s="16"/>
    </row>
    <row r="6" spans="1:13" ht="15.75" x14ac:dyDescent="0.25">
      <c r="A6" s="10" t="s">
        <v>31</v>
      </c>
      <c r="B6" s="10" t="s">
        <v>32</v>
      </c>
      <c r="C6" s="10" t="s">
        <v>33</v>
      </c>
    </row>
    <row r="7" spans="1:13" x14ac:dyDescent="0.25">
      <c r="A7" s="3" t="s">
        <v>34</v>
      </c>
      <c r="B7" s="4">
        <v>92</v>
      </c>
      <c r="C7" s="5" t="str">
        <f>IF(B7&gt;=90,"A",IF(B7&gt;=80,"B",IF(B7&gt;=70,"C",IF(B7&gt;=60,"D",IF(B7&lt;60,"F")))))</f>
        <v>A</v>
      </c>
    </row>
    <row r="8" spans="1:13" x14ac:dyDescent="0.25">
      <c r="A8" s="3" t="s">
        <v>35</v>
      </c>
      <c r="B8" s="4">
        <v>85</v>
      </c>
      <c r="C8" s="5" t="str">
        <f t="shared" ref="C8:C13" si="0">IF(B8&gt;=90,"A",IF(B8&gt;=80,"B",IF(B8&gt;=70,"C",IF(B8&gt;=60,"D",IF(B8&lt;60,"F")))))</f>
        <v>B</v>
      </c>
      <c r="L8">
        <v>7</v>
      </c>
    </row>
    <row r="9" spans="1:13" x14ac:dyDescent="0.25">
      <c r="A9" s="3" t="s">
        <v>36</v>
      </c>
      <c r="B9" s="4">
        <v>73</v>
      </c>
      <c r="C9" s="5" t="str">
        <f t="shared" si="0"/>
        <v>C</v>
      </c>
      <c r="L9">
        <v>8</v>
      </c>
    </row>
    <row r="10" spans="1:13" x14ac:dyDescent="0.25">
      <c r="A10" s="3" t="s">
        <v>37</v>
      </c>
      <c r="B10" s="4">
        <v>68</v>
      </c>
      <c r="C10" s="5" t="str">
        <f t="shared" si="0"/>
        <v>D</v>
      </c>
      <c r="L10">
        <v>15</v>
      </c>
    </row>
    <row r="11" spans="1:13" x14ac:dyDescent="0.25">
      <c r="A11" s="3" t="s">
        <v>38</v>
      </c>
      <c r="B11" s="4">
        <v>55</v>
      </c>
      <c r="C11" s="5" t="str">
        <f t="shared" si="0"/>
        <v>F</v>
      </c>
      <c r="L11">
        <v>45</v>
      </c>
      <c r="M11">
        <f>MEDIAN(L8:L13)</f>
        <v>30</v>
      </c>
    </row>
    <row r="12" spans="1:13" x14ac:dyDescent="0.25">
      <c r="A12" s="3" t="s">
        <v>39</v>
      </c>
      <c r="B12" s="4">
        <v>90</v>
      </c>
      <c r="C12" s="5" t="str">
        <f t="shared" si="0"/>
        <v>A</v>
      </c>
      <c r="L12">
        <v>48</v>
      </c>
    </row>
    <row r="13" spans="1:13" x14ac:dyDescent="0.25">
      <c r="A13" s="3" t="s">
        <v>40</v>
      </c>
      <c r="B13" s="4">
        <v>79</v>
      </c>
      <c r="C13" s="5" t="str">
        <f t="shared" si="0"/>
        <v>C</v>
      </c>
      <c r="L13">
        <v>73</v>
      </c>
    </row>
    <row r="15" spans="1:13" x14ac:dyDescent="0.25">
      <c r="A15" s="17" t="s">
        <v>41</v>
      </c>
      <c r="B15" s="16"/>
      <c r="C15" s="16"/>
      <c r="D15" s="16"/>
      <c r="E15" s="16"/>
      <c r="F15" s="16"/>
      <c r="G15" s="16"/>
      <c r="H15" s="16"/>
    </row>
    <row r="16" spans="1:13" ht="39.950000000000003" customHeight="1" x14ac:dyDescent="0.25">
      <c r="A16" s="18" t="s">
        <v>42</v>
      </c>
      <c r="B16" s="16"/>
      <c r="C16" s="16"/>
      <c r="D16" s="16"/>
      <c r="E16" s="16"/>
      <c r="F16" s="16"/>
      <c r="G16" s="16"/>
      <c r="H16" s="16"/>
    </row>
    <row r="17" spans="1:8" ht="31.5" x14ac:dyDescent="0.25">
      <c r="A17" s="10" t="s">
        <v>43</v>
      </c>
      <c r="B17" s="10" t="s">
        <v>44</v>
      </c>
      <c r="C17" s="11" t="s">
        <v>45</v>
      </c>
    </row>
    <row r="18" spans="1:8" x14ac:dyDescent="0.25">
      <c r="A18" s="3" t="s">
        <v>46</v>
      </c>
      <c r="B18" s="6">
        <v>6200</v>
      </c>
      <c r="C18" s="12" t="str">
        <f>IF(B18&gt;=5000,"15",IF(B18&gt;=2000,"10",IF(B18&gt;=1000,"5",IF(B18&lt;1000,"0"))))</f>
        <v>15</v>
      </c>
    </row>
    <row r="19" spans="1:8" x14ac:dyDescent="0.25">
      <c r="A19" s="3" t="s">
        <v>47</v>
      </c>
      <c r="B19" s="6">
        <v>3500</v>
      </c>
      <c r="C19" s="12" t="str">
        <f t="shared" ref="C19:C24" si="1">IF(B19&gt;=5000,"15",IF(B19&gt;=2000,"10",IF(B19&gt;=1000,"5",IF(B19&lt;1000,"0"))))</f>
        <v>10</v>
      </c>
    </row>
    <row r="20" spans="1:8" x14ac:dyDescent="0.25">
      <c r="A20" s="3" t="s">
        <v>48</v>
      </c>
      <c r="B20" s="6">
        <v>1500</v>
      </c>
      <c r="C20" s="12" t="str">
        <f t="shared" si="1"/>
        <v>5</v>
      </c>
    </row>
    <row r="21" spans="1:8" x14ac:dyDescent="0.25">
      <c r="A21" s="3" t="s">
        <v>49</v>
      </c>
      <c r="B21" s="6">
        <v>800</v>
      </c>
      <c r="C21" s="12" t="str">
        <f t="shared" si="1"/>
        <v>0</v>
      </c>
    </row>
    <row r="22" spans="1:8" x14ac:dyDescent="0.25">
      <c r="A22" s="3" t="s">
        <v>50</v>
      </c>
      <c r="B22" s="6">
        <v>5000</v>
      </c>
      <c r="C22" s="12" t="str">
        <f t="shared" si="1"/>
        <v>15</v>
      </c>
    </row>
    <row r="23" spans="1:8" x14ac:dyDescent="0.25">
      <c r="A23" s="3" t="s">
        <v>51</v>
      </c>
      <c r="B23" s="6">
        <v>2100</v>
      </c>
      <c r="C23" s="12" t="str">
        <f t="shared" si="1"/>
        <v>10</v>
      </c>
    </row>
    <row r="24" spans="1:8" x14ac:dyDescent="0.25">
      <c r="A24" s="3" t="s">
        <v>52</v>
      </c>
      <c r="B24" s="6">
        <v>999</v>
      </c>
      <c r="C24" s="12" t="str">
        <f t="shared" si="1"/>
        <v>0</v>
      </c>
    </row>
    <row r="26" spans="1:8" x14ac:dyDescent="0.25">
      <c r="A26" s="17" t="s">
        <v>53</v>
      </c>
      <c r="B26" s="16"/>
      <c r="C26" s="16"/>
      <c r="D26" s="16"/>
      <c r="E26" s="16"/>
      <c r="F26" s="16"/>
      <c r="G26" s="16"/>
      <c r="H26" s="16"/>
    </row>
    <row r="27" spans="1:8" ht="39.950000000000003" customHeight="1" x14ac:dyDescent="0.25">
      <c r="A27" s="18" t="s">
        <v>54</v>
      </c>
      <c r="B27" s="16"/>
      <c r="C27" s="16"/>
      <c r="D27" s="16"/>
      <c r="E27" s="16"/>
      <c r="F27" s="16"/>
      <c r="G27" s="16"/>
      <c r="H27" s="16"/>
    </row>
    <row r="28" spans="1:8" ht="31.5" x14ac:dyDescent="0.25">
      <c r="A28" s="10" t="s">
        <v>55</v>
      </c>
      <c r="B28" s="10" t="s">
        <v>56</v>
      </c>
      <c r="C28" s="10" t="s">
        <v>57</v>
      </c>
    </row>
    <row r="29" spans="1:8" x14ac:dyDescent="0.25">
      <c r="A29" s="3" t="s">
        <v>58</v>
      </c>
      <c r="B29" s="4">
        <v>8</v>
      </c>
      <c r="C29" s="5" t="str">
        <f>IF(B29&lt;13,"Child",IF(AND(B29&gt;=13,B29&lt;=19),"Teen",IF(AND(B29&gt;=20,B29&lt;=59),"Adult","Senior")))</f>
        <v>Child</v>
      </c>
    </row>
    <row r="30" spans="1:8" x14ac:dyDescent="0.25">
      <c r="A30" s="3" t="s">
        <v>59</v>
      </c>
      <c r="B30" s="4">
        <v>15</v>
      </c>
      <c r="C30" s="5" t="str">
        <f t="shared" ref="C30:C35" si="2">IF(B30&lt;13,"Child",IF(AND(B30&gt;=13,B30&lt;=19),"Teen",IF(AND(B30&gt;=20,B30&lt;=59),"Adult","Senior")))</f>
        <v>Teen</v>
      </c>
    </row>
    <row r="31" spans="1:8" x14ac:dyDescent="0.25">
      <c r="A31" s="3" t="s">
        <v>60</v>
      </c>
      <c r="B31" s="4">
        <v>22</v>
      </c>
      <c r="C31" s="5" t="str">
        <f t="shared" si="2"/>
        <v>Adult</v>
      </c>
    </row>
    <row r="32" spans="1:8" x14ac:dyDescent="0.25">
      <c r="A32" s="3" t="s">
        <v>61</v>
      </c>
      <c r="B32" s="4">
        <v>45</v>
      </c>
      <c r="C32" s="5" t="str">
        <f t="shared" si="2"/>
        <v>Adult</v>
      </c>
    </row>
    <row r="33" spans="1:8" x14ac:dyDescent="0.25">
      <c r="A33" s="3" t="s">
        <v>62</v>
      </c>
      <c r="B33" s="4">
        <v>67</v>
      </c>
      <c r="C33" s="5" t="str">
        <f t="shared" si="2"/>
        <v>Senior</v>
      </c>
    </row>
    <row r="34" spans="1:8" x14ac:dyDescent="0.25">
      <c r="A34" s="3" t="s">
        <v>63</v>
      </c>
      <c r="B34" s="4">
        <v>13</v>
      </c>
      <c r="C34" s="5" t="str">
        <f t="shared" si="2"/>
        <v>Teen</v>
      </c>
    </row>
    <row r="35" spans="1:8" x14ac:dyDescent="0.25">
      <c r="A35" s="3" t="s">
        <v>64</v>
      </c>
      <c r="B35" s="4">
        <v>59</v>
      </c>
      <c r="C35" s="5" t="str">
        <f t="shared" si="2"/>
        <v>Adult</v>
      </c>
    </row>
    <row r="37" spans="1:8" x14ac:dyDescent="0.25">
      <c r="A37" s="17" t="s">
        <v>65</v>
      </c>
      <c r="B37" s="16"/>
      <c r="C37" s="16"/>
      <c r="D37" s="16"/>
      <c r="E37" s="16"/>
      <c r="F37" s="16"/>
      <c r="G37" s="16"/>
      <c r="H37" s="16"/>
    </row>
    <row r="38" spans="1:8" ht="39.950000000000003" customHeight="1" x14ac:dyDescent="0.25">
      <c r="A38" s="18" t="s">
        <v>66</v>
      </c>
      <c r="B38" s="16"/>
      <c r="C38" s="16"/>
      <c r="D38" s="16"/>
      <c r="E38" s="16"/>
      <c r="F38" s="16"/>
      <c r="G38" s="16"/>
      <c r="H38" s="16"/>
    </row>
    <row r="39" spans="1:8" ht="31.5" x14ac:dyDescent="0.25">
      <c r="A39" s="10" t="s">
        <v>67</v>
      </c>
      <c r="B39" s="10" t="s">
        <v>68</v>
      </c>
      <c r="C39" s="10" t="s">
        <v>69</v>
      </c>
    </row>
    <row r="40" spans="1:8" x14ac:dyDescent="0.25">
      <c r="A40" s="3" t="s">
        <v>70</v>
      </c>
      <c r="B40" s="4">
        <v>38</v>
      </c>
      <c r="C40" s="5" t="str">
        <f>IF(B40&gt;30,"Hot",IF(AND(B40&gt;=20,B40&lt;=30),"Warm",IF(AND(B40&gt;=10,B40&lt;=19),"Cool","Cold")))</f>
        <v>Hot</v>
      </c>
    </row>
    <row r="41" spans="1:8" x14ac:dyDescent="0.25">
      <c r="A41" s="3" t="s">
        <v>71</v>
      </c>
      <c r="B41" s="4">
        <v>12</v>
      </c>
      <c r="C41" s="5" t="str">
        <f t="shared" ref="C41:C46" si="3">IF(B41&gt;30,"Hot",IF(AND(B41&gt;=20,B41&lt;=30),"Warm",IF(AND(B41&gt;=10,B41&lt;=19),"Cool","Cold")))</f>
        <v>Cool</v>
      </c>
    </row>
    <row r="42" spans="1:8" x14ac:dyDescent="0.25">
      <c r="A42" s="3" t="s">
        <v>72</v>
      </c>
      <c r="B42" s="4">
        <v>28</v>
      </c>
      <c r="C42" s="5" t="str">
        <f t="shared" si="3"/>
        <v>Warm</v>
      </c>
    </row>
    <row r="43" spans="1:8" x14ac:dyDescent="0.25">
      <c r="A43" s="3" t="s">
        <v>73</v>
      </c>
      <c r="B43" s="4">
        <v>5</v>
      </c>
      <c r="C43" s="5" t="str">
        <f t="shared" si="3"/>
        <v>Cold</v>
      </c>
    </row>
    <row r="44" spans="1:8" x14ac:dyDescent="0.25">
      <c r="A44" s="3" t="s">
        <v>74</v>
      </c>
      <c r="B44" s="4">
        <v>33</v>
      </c>
      <c r="C44" s="5" t="str">
        <f t="shared" si="3"/>
        <v>Hot</v>
      </c>
    </row>
    <row r="45" spans="1:8" x14ac:dyDescent="0.25">
      <c r="A45" s="3" t="s">
        <v>75</v>
      </c>
      <c r="B45" s="4">
        <v>22</v>
      </c>
      <c r="C45" s="5" t="str">
        <f t="shared" si="3"/>
        <v>Warm</v>
      </c>
    </row>
    <row r="46" spans="1:8" x14ac:dyDescent="0.25">
      <c r="A46" s="3" t="s">
        <v>76</v>
      </c>
      <c r="B46" s="4">
        <v>9</v>
      </c>
      <c r="C46" s="5" t="str">
        <f t="shared" si="3"/>
        <v>Cold</v>
      </c>
    </row>
    <row r="48" spans="1:8" x14ac:dyDescent="0.25">
      <c r="A48" s="17" t="s">
        <v>77</v>
      </c>
      <c r="B48" s="16"/>
      <c r="C48" s="16"/>
      <c r="D48" s="16"/>
      <c r="E48" s="16"/>
      <c r="F48" s="16"/>
      <c r="G48" s="16"/>
      <c r="H48" s="16"/>
    </row>
    <row r="49" spans="1:8" ht="39.950000000000003" customHeight="1" x14ac:dyDescent="0.25">
      <c r="A49" s="18" t="s">
        <v>78</v>
      </c>
      <c r="B49" s="16"/>
      <c r="C49" s="16"/>
      <c r="D49" s="16"/>
      <c r="E49" s="16"/>
      <c r="F49" s="16"/>
      <c r="G49" s="16"/>
      <c r="H49" s="16"/>
    </row>
    <row r="50" spans="1:8" ht="31.5" x14ac:dyDescent="0.25">
      <c r="A50" s="10" t="s">
        <v>79</v>
      </c>
      <c r="B50" s="10" t="s">
        <v>80</v>
      </c>
      <c r="C50" s="10" t="s">
        <v>81</v>
      </c>
      <c r="D50" s="10" t="s">
        <v>82</v>
      </c>
    </row>
    <row r="51" spans="1:8" x14ac:dyDescent="0.25">
      <c r="A51" s="3" t="s">
        <v>83</v>
      </c>
      <c r="B51" s="6">
        <v>125000</v>
      </c>
      <c r="C51" s="6">
        <v>100000</v>
      </c>
      <c r="D51" s="5" t="str">
        <f>IF(B51&gt;C51,"Exceeded",IF(B51=C51,"Met",IF(B51&lt;C51,"Below")))</f>
        <v>Exceeded</v>
      </c>
    </row>
    <row r="52" spans="1:8" x14ac:dyDescent="0.25">
      <c r="A52" s="3" t="s">
        <v>84</v>
      </c>
      <c r="B52" s="6">
        <v>85000</v>
      </c>
      <c r="C52" s="6">
        <v>85000</v>
      </c>
      <c r="D52" s="5" t="str">
        <f t="shared" ref="D52:D56" si="4">IF(B52&gt;C52,"Exceeded",IF(B52=C52,"Met",IF(B52&lt;C52,"Below")))</f>
        <v>Met</v>
      </c>
    </row>
    <row r="53" spans="1:8" x14ac:dyDescent="0.25">
      <c r="A53" s="3" t="s">
        <v>85</v>
      </c>
      <c r="B53" s="6">
        <v>72000</v>
      </c>
      <c r="C53" s="6">
        <v>90000</v>
      </c>
      <c r="D53" s="5" t="str">
        <f t="shared" si="4"/>
        <v>Below</v>
      </c>
    </row>
    <row r="54" spans="1:8" x14ac:dyDescent="0.25">
      <c r="A54" s="3" t="s">
        <v>86</v>
      </c>
      <c r="B54" s="6">
        <v>150000</v>
      </c>
      <c r="C54" s="6">
        <v>120000</v>
      </c>
      <c r="D54" s="5" t="str">
        <f t="shared" si="4"/>
        <v>Exceeded</v>
      </c>
    </row>
    <row r="55" spans="1:8" x14ac:dyDescent="0.25">
      <c r="A55" s="3" t="s">
        <v>87</v>
      </c>
      <c r="B55" s="6">
        <v>95000</v>
      </c>
      <c r="C55" s="6">
        <v>95000</v>
      </c>
      <c r="D55" s="5" t="str">
        <f t="shared" si="4"/>
        <v>Met</v>
      </c>
    </row>
    <row r="56" spans="1:8" x14ac:dyDescent="0.25">
      <c r="A56" s="3" t="s">
        <v>88</v>
      </c>
      <c r="B56" s="6">
        <v>60000</v>
      </c>
      <c r="C56" s="6">
        <v>75000</v>
      </c>
      <c r="D56" s="5" t="str">
        <f t="shared" si="4"/>
        <v>Below</v>
      </c>
    </row>
    <row r="58" spans="1:8" x14ac:dyDescent="0.25">
      <c r="A58" s="17" t="s">
        <v>89</v>
      </c>
      <c r="B58" s="16"/>
      <c r="C58" s="16"/>
      <c r="D58" s="16"/>
      <c r="E58" s="16"/>
      <c r="F58" s="16"/>
      <c r="G58" s="16"/>
      <c r="H58" s="16"/>
    </row>
    <row r="59" spans="1:8" ht="39.950000000000003" customHeight="1" x14ac:dyDescent="0.25">
      <c r="A59" s="18" t="s">
        <v>90</v>
      </c>
      <c r="B59" s="16"/>
      <c r="C59" s="16"/>
      <c r="D59" s="16"/>
      <c r="E59" s="16"/>
      <c r="F59" s="16"/>
      <c r="G59" s="16"/>
      <c r="H59" s="16"/>
    </row>
    <row r="60" spans="1:8" ht="31.5" x14ac:dyDescent="0.25">
      <c r="A60" s="10" t="s">
        <v>91</v>
      </c>
      <c r="B60" s="10" t="s">
        <v>92</v>
      </c>
      <c r="C60" s="10" t="s">
        <v>69</v>
      </c>
    </row>
    <row r="61" spans="1:8" x14ac:dyDescent="0.25">
      <c r="A61" s="3" t="s">
        <v>93</v>
      </c>
      <c r="B61" s="13">
        <v>17.2</v>
      </c>
      <c r="C61" s="5" t="str">
        <f>IF(B61&lt;18.5,"Underweight",IF(AND(B61&gt;= 18.5,B61&lt;25),"Normal",IF(AND(B61&gt;=25,B61&lt;30),"Overweight","Obese")))</f>
        <v>Underweight</v>
      </c>
    </row>
    <row r="62" spans="1:8" x14ac:dyDescent="0.25">
      <c r="A62" s="3" t="s">
        <v>94</v>
      </c>
      <c r="B62" s="13">
        <v>22.5</v>
      </c>
      <c r="C62" s="5" t="str">
        <f t="shared" ref="C62:C67" si="5">IF(B62&lt;18.5,"Underweight",IF(AND(B62&gt;= 18.5,B62&lt;25),"Normal",IF(AND(B62&gt;=25,B62&lt;30),"Overweight","Obese")))</f>
        <v>Normal</v>
      </c>
    </row>
    <row r="63" spans="1:8" x14ac:dyDescent="0.25">
      <c r="A63" s="3" t="s">
        <v>95</v>
      </c>
      <c r="B63" s="13">
        <v>27.8</v>
      </c>
      <c r="C63" s="5" t="str">
        <f t="shared" si="5"/>
        <v>Overweight</v>
      </c>
    </row>
    <row r="64" spans="1:8" x14ac:dyDescent="0.25">
      <c r="A64" s="3" t="s">
        <v>96</v>
      </c>
      <c r="B64" s="13">
        <v>31.4</v>
      </c>
      <c r="C64" s="5" t="str">
        <f t="shared" si="5"/>
        <v>Obese</v>
      </c>
    </row>
    <row r="65" spans="1:8" x14ac:dyDescent="0.25">
      <c r="A65" s="3" t="s">
        <v>97</v>
      </c>
      <c r="B65" s="13">
        <v>18.5</v>
      </c>
      <c r="C65" s="5" t="str">
        <f t="shared" si="5"/>
        <v>Normal</v>
      </c>
    </row>
    <row r="66" spans="1:8" x14ac:dyDescent="0.25">
      <c r="A66" s="3" t="s">
        <v>98</v>
      </c>
      <c r="B66" s="13">
        <v>24.9</v>
      </c>
      <c r="C66" s="5" t="str">
        <f t="shared" si="5"/>
        <v>Normal</v>
      </c>
    </row>
    <row r="67" spans="1:8" x14ac:dyDescent="0.25">
      <c r="A67" s="3" t="s">
        <v>99</v>
      </c>
      <c r="B67" s="13">
        <v>29.9</v>
      </c>
      <c r="C67" s="5" t="str">
        <f t="shared" si="5"/>
        <v>Overweight</v>
      </c>
    </row>
    <row r="69" spans="1:8" x14ac:dyDescent="0.25">
      <c r="A69" s="17" t="s">
        <v>100</v>
      </c>
      <c r="B69" s="16"/>
      <c r="C69" s="16"/>
      <c r="D69" s="16"/>
      <c r="E69" s="16"/>
      <c r="F69" s="16"/>
      <c r="G69" s="16"/>
      <c r="H69" s="16"/>
    </row>
    <row r="70" spans="1:8" ht="39.950000000000003" customHeight="1" x14ac:dyDescent="0.25">
      <c r="A70" s="18" t="s">
        <v>101</v>
      </c>
      <c r="B70" s="16"/>
      <c r="C70" s="16"/>
      <c r="D70" s="16"/>
      <c r="E70" s="16"/>
      <c r="F70" s="16"/>
      <c r="G70" s="16"/>
      <c r="H70" s="16"/>
    </row>
    <row r="71" spans="1:8" ht="31.5" x14ac:dyDescent="0.25">
      <c r="A71" s="10" t="s">
        <v>102</v>
      </c>
      <c r="B71" s="10" t="s">
        <v>103</v>
      </c>
      <c r="C71" s="14" t="s">
        <v>104</v>
      </c>
    </row>
    <row r="72" spans="1:8" x14ac:dyDescent="0.25">
      <c r="A72" s="3" t="s">
        <v>105</v>
      </c>
      <c r="B72" s="13">
        <v>0.8</v>
      </c>
      <c r="C72" s="9" cm="1">
        <f t="array" ref="C72">IF(B72&lt;=1,50,B72IF(B72&lt;=3,80,IF(B72&lt;=5,120,IF(B72&gt;5,200))))</f>
        <v>50</v>
      </c>
    </row>
    <row r="73" spans="1:8" x14ac:dyDescent="0.25">
      <c r="A73" s="3" t="s">
        <v>106</v>
      </c>
      <c r="B73" s="13">
        <v>2.5</v>
      </c>
      <c r="C73" s="9">
        <f t="shared" ref="C73:C78" si="6">IF(B73&lt;=1,50,IF(B73&lt;=3,80,IF(B73&lt;=5,120,IF(B73&gt;5,200))))</f>
        <v>80</v>
      </c>
    </row>
    <row r="74" spans="1:8" x14ac:dyDescent="0.25">
      <c r="A74" s="3" t="s">
        <v>107</v>
      </c>
      <c r="B74" s="13">
        <v>4.2</v>
      </c>
      <c r="C74" s="9">
        <f t="shared" si="6"/>
        <v>120</v>
      </c>
    </row>
    <row r="75" spans="1:8" x14ac:dyDescent="0.25">
      <c r="A75" s="3" t="s">
        <v>108</v>
      </c>
      <c r="B75" s="13">
        <v>6</v>
      </c>
      <c r="C75" s="9">
        <f t="shared" si="6"/>
        <v>200</v>
      </c>
    </row>
    <row r="76" spans="1:8" x14ac:dyDescent="0.25">
      <c r="A76" s="3" t="s">
        <v>109</v>
      </c>
      <c r="B76" s="13">
        <v>1</v>
      </c>
      <c r="C76" s="9">
        <f t="shared" si="6"/>
        <v>50</v>
      </c>
    </row>
    <row r="77" spans="1:8" x14ac:dyDescent="0.25">
      <c r="A77" s="3" t="s">
        <v>110</v>
      </c>
      <c r="B77" s="13">
        <v>3</v>
      </c>
      <c r="C77" s="9">
        <f t="shared" si="6"/>
        <v>80</v>
      </c>
    </row>
    <row r="78" spans="1:8" x14ac:dyDescent="0.25">
      <c r="A78" s="3" t="s">
        <v>111</v>
      </c>
      <c r="B78" s="13">
        <v>5.0999999999999996</v>
      </c>
      <c r="C78" s="9">
        <f t="shared" si="6"/>
        <v>200</v>
      </c>
    </row>
  </sheetData>
  <sortState xmlns:xlrd2="http://schemas.microsoft.com/office/spreadsheetml/2017/richdata2" ref="L8:L13">
    <sortCondition ref="L8:L13"/>
  </sortState>
  <mergeCells count="16">
    <mergeCell ref="A1:H1"/>
    <mergeCell ref="A4:H4"/>
    <mergeCell ref="A48:H48"/>
    <mergeCell ref="A26:H26"/>
    <mergeCell ref="A70:H70"/>
    <mergeCell ref="A69:H69"/>
    <mergeCell ref="A15:H15"/>
    <mergeCell ref="A59:H59"/>
    <mergeCell ref="A38:H38"/>
    <mergeCell ref="A2:H2"/>
    <mergeCell ref="A16:H16"/>
    <mergeCell ref="A49:H49"/>
    <mergeCell ref="A5:H5"/>
    <mergeCell ref="A37:H37"/>
    <mergeCell ref="A27:H27"/>
    <mergeCell ref="A58:H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9"/>
  <sheetViews>
    <sheetView topLeftCell="A66" zoomScale="159" workbookViewId="0">
      <selection activeCell="F75" sqref="F75"/>
    </sheetView>
  </sheetViews>
  <sheetFormatPr defaultRowHeight="15" x14ac:dyDescent="0.25"/>
  <cols>
    <col min="1" max="2" width="18" customWidth="1"/>
    <col min="3" max="3" width="20" customWidth="1"/>
    <col min="4" max="4" width="26" customWidth="1"/>
    <col min="5" max="8" width="12" customWidth="1"/>
  </cols>
  <sheetData>
    <row r="1" spans="1:8" ht="30" customHeight="1" x14ac:dyDescent="0.25">
      <c r="A1" s="25" t="s">
        <v>112</v>
      </c>
      <c r="B1" s="16"/>
      <c r="C1" s="16"/>
      <c r="D1" s="16"/>
      <c r="E1" s="16"/>
      <c r="F1" s="16"/>
      <c r="G1" s="16"/>
      <c r="H1" s="16"/>
    </row>
    <row r="2" spans="1:8" ht="24.95" customHeight="1" x14ac:dyDescent="0.25">
      <c r="A2" s="26" t="s">
        <v>113</v>
      </c>
      <c r="B2" s="16"/>
      <c r="C2" s="16"/>
      <c r="D2" s="16"/>
      <c r="E2" s="16"/>
      <c r="F2" s="16"/>
      <c r="G2" s="16"/>
      <c r="H2" s="16"/>
    </row>
    <row r="4" spans="1:8" x14ac:dyDescent="0.25">
      <c r="A4" s="17" t="s">
        <v>114</v>
      </c>
      <c r="B4" s="16"/>
      <c r="C4" s="16"/>
      <c r="D4" s="16"/>
      <c r="E4" s="16"/>
      <c r="F4" s="16"/>
      <c r="G4" s="16"/>
      <c r="H4" s="16"/>
    </row>
    <row r="5" spans="1:8" ht="45" customHeight="1" x14ac:dyDescent="0.25">
      <c r="A5" s="18" t="s">
        <v>115</v>
      </c>
      <c r="B5" s="16"/>
      <c r="C5" s="16"/>
      <c r="D5" s="16"/>
      <c r="E5" s="16"/>
      <c r="F5" s="16"/>
      <c r="G5" s="16"/>
      <c r="H5" s="16"/>
    </row>
    <row r="6" spans="1:8" ht="31.5" x14ac:dyDescent="0.25">
      <c r="A6" s="7" t="s">
        <v>31</v>
      </c>
      <c r="B6" s="7" t="s">
        <v>32</v>
      </c>
      <c r="C6" s="7" t="s">
        <v>116</v>
      </c>
      <c r="D6" s="7" t="s">
        <v>117</v>
      </c>
    </row>
    <row r="7" spans="1:8" x14ac:dyDescent="0.25">
      <c r="A7" s="3" t="s">
        <v>118</v>
      </c>
      <c r="B7" s="4">
        <v>95</v>
      </c>
      <c r="C7" s="4">
        <v>88</v>
      </c>
      <c r="D7" s="5" t="str">
        <f>IF(AND(B7&gt;=90,C7&gt;=75),"A",IF(AND(B7&gt;=80,C7&gt;=75),"B",IF(AND(B7&gt;=70,C7&gt;=75),"C",IF(AND(B7&gt;=60,C7&gt;=75),"D","Fail"))))</f>
        <v>A</v>
      </c>
    </row>
    <row r="8" spans="1:8" x14ac:dyDescent="0.25">
      <c r="A8" s="3" t="s">
        <v>119</v>
      </c>
      <c r="B8" s="4">
        <v>82</v>
      </c>
      <c r="C8" s="4">
        <v>70</v>
      </c>
      <c r="D8" s="5" t="str">
        <f t="shared" ref="D8:D13" si="0">IF(AND(B8&gt;=90,C8&gt;=75),"A",IF(AND(B8&gt;=80,C8&gt;=75),"B",IF(AND(B8&gt;=70,C8&gt;=75),"C",IF(AND(B8&gt;=60,C8&gt;=75),"D","Fail"))))</f>
        <v>Fail</v>
      </c>
    </row>
    <row r="9" spans="1:8" x14ac:dyDescent="0.25">
      <c r="A9" s="3" t="s">
        <v>50</v>
      </c>
      <c r="B9" s="4">
        <v>76</v>
      </c>
      <c r="C9" s="4">
        <v>92</v>
      </c>
      <c r="D9" s="5" t="str">
        <f t="shared" si="0"/>
        <v>C</v>
      </c>
    </row>
    <row r="10" spans="1:8" x14ac:dyDescent="0.25">
      <c r="A10" s="3" t="s">
        <v>120</v>
      </c>
      <c r="B10" s="4">
        <v>65</v>
      </c>
      <c r="C10" s="4">
        <v>80</v>
      </c>
      <c r="D10" s="5" t="str">
        <f t="shared" si="0"/>
        <v>D</v>
      </c>
    </row>
    <row r="11" spans="1:8" x14ac:dyDescent="0.25">
      <c r="A11" s="3" t="s">
        <v>121</v>
      </c>
      <c r="B11" s="4">
        <v>55</v>
      </c>
      <c r="C11" s="4">
        <v>85</v>
      </c>
      <c r="D11" s="5" t="str">
        <f t="shared" si="0"/>
        <v>Fail</v>
      </c>
    </row>
    <row r="12" spans="1:8" x14ac:dyDescent="0.25">
      <c r="A12" s="3" t="s">
        <v>122</v>
      </c>
      <c r="B12" s="4">
        <v>91</v>
      </c>
      <c r="C12" s="4">
        <v>74</v>
      </c>
      <c r="D12" s="5" t="str">
        <f t="shared" si="0"/>
        <v>Fail</v>
      </c>
    </row>
    <row r="13" spans="1:8" x14ac:dyDescent="0.25">
      <c r="A13" s="3" t="s">
        <v>123</v>
      </c>
      <c r="B13" s="4">
        <v>88</v>
      </c>
      <c r="C13" s="4">
        <v>95</v>
      </c>
      <c r="D13" s="5" t="str">
        <f t="shared" si="0"/>
        <v>B</v>
      </c>
    </row>
    <row r="15" spans="1:8" x14ac:dyDescent="0.25">
      <c r="A15" s="17" t="s">
        <v>124</v>
      </c>
      <c r="B15" s="16"/>
      <c r="C15" s="16"/>
      <c r="D15" s="16"/>
      <c r="E15" s="16"/>
      <c r="F15" s="16"/>
      <c r="G15" s="16"/>
      <c r="H15" s="16"/>
    </row>
    <row r="16" spans="1:8" ht="45" customHeight="1" x14ac:dyDescent="0.25">
      <c r="A16" s="18" t="s">
        <v>125</v>
      </c>
      <c r="B16" s="16"/>
      <c r="C16" s="16"/>
      <c r="D16" s="16"/>
      <c r="E16" s="16"/>
      <c r="F16" s="16"/>
      <c r="G16" s="16"/>
      <c r="H16" s="16"/>
    </row>
    <row r="17" spans="1:8" ht="15.75" x14ac:dyDescent="0.25">
      <c r="A17" s="7" t="s">
        <v>126</v>
      </c>
      <c r="B17" s="7" t="s">
        <v>127</v>
      </c>
      <c r="C17" s="7" t="s">
        <v>128</v>
      </c>
      <c r="D17" s="8" t="s">
        <v>129</v>
      </c>
    </row>
    <row r="18" spans="1:8" x14ac:dyDescent="0.25">
      <c r="A18" s="3" t="s">
        <v>130</v>
      </c>
      <c r="B18" s="6">
        <v>620000</v>
      </c>
      <c r="C18" s="4">
        <v>5</v>
      </c>
      <c r="D18" s="9">
        <f>IF(AND(B18&gt;=500000,C18&gt;=2),25000,IF(AND(B18&gt;=300000,C18&gt;=2),15000,IF(AND(B18&gt;=150000,C18&gt;=2),8000,IF(AND(B18&lt;150000,C18&gt;=2),3000,0))))</f>
        <v>25000</v>
      </c>
    </row>
    <row r="19" spans="1:8" x14ac:dyDescent="0.25">
      <c r="A19" s="3" t="s">
        <v>131</v>
      </c>
      <c r="B19" s="6">
        <v>280000</v>
      </c>
      <c r="C19" s="4">
        <v>3</v>
      </c>
      <c r="D19" s="9">
        <f t="shared" ref="D19:D24" si="1">IF(AND(B19&gt;=500000,C19&gt;=2),25000,IF(AND(B19&gt;=300000,C19&gt;=2),15000,IF(AND(B19&gt;=150000,C19&gt;=2),8000,IF(AND(B19&lt;150000,C19&gt;=2),3000,0))))</f>
        <v>8000</v>
      </c>
    </row>
    <row r="20" spans="1:8" x14ac:dyDescent="0.25">
      <c r="A20" s="3" t="s">
        <v>132</v>
      </c>
      <c r="B20" s="6">
        <v>180000</v>
      </c>
      <c r="C20" s="4">
        <v>1</v>
      </c>
      <c r="D20" s="9">
        <f t="shared" si="1"/>
        <v>0</v>
      </c>
    </row>
    <row r="21" spans="1:8" x14ac:dyDescent="0.25">
      <c r="A21" s="3" t="s">
        <v>133</v>
      </c>
      <c r="B21" s="6">
        <v>450000</v>
      </c>
      <c r="C21" s="4">
        <v>4</v>
      </c>
      <c r="D21" s="9">
        <f t="shared" si="1"/>
        <v>15000</v>
      </c>
    </row>
    <row r="22" spans="1:8" x14ac:dyDescent="0.25">
      <c r="A22" s="3" t="s">
        <v>134</v>
      </c>
      <c r="B22" s="6">
        <v>120000</v>
      </c>
      <c r="C22" s="4">
        <v>6</v>
      </c>
      <c r="D22" s="9">
        <f t="shared" si="1"/>
        <v>3000</v>
      </c>
    </row>
    <row r="23" spans="1:8" x14ac:dyDescent="0.25">
      <c r="A23" s="3" t="s">
        <v>37</v>
      </c>
      <c r="B23" s="6">
        <v>310000</v>
      </c>
      <c r="C23" s="4">
        <v>2</v>
      </c>
      <c r="D23" s="9">
        <f t="shared" si="1"/>
        <v>15000</v>
      </c>
    </row>
    <row r="24" spans="1:8" x14ac:dyDescent="0.25">
      <c r="A24" s="3" t="s">
        <v>135</v>
      </c>
      <c r="B24" s="6">
        <v>550000</v>
      </c>
      <c r="C24" s="4">
        <v>1</v>
      </c>
      <c r="D24" s="9">
        <f t="shared" si="1"/>
        <v>0</v>
      </c>
    </row>
    <row r="26" spans="1:8" x14ac:dyDescent="0.25">
      <c r="A26" s="17" t="s">
        <v>136</v>
      </c>
      <c r="B26" s="16"/>
      <c r="C26" s="16"/>
      <c r="D26" s="16"/>
      <c r="E26" s="16"/>
      <c r="F26" s="16"/>
      <c r="G26" s="16"/>
      <c r="H26" s="16"/>
    </row>
    <row r="27" spans="1:8" ht="45" customHeight="1" x14ac:dyDescent="0.25">
      <c r="A27" s="18" t="s">
        <v>137</v>
      </c>
      <c r="B27" s="16"/>
      <c r="C27" s="16"/>
      <c r="D27" s="16"/>
      <c r="E27" s="16"/>
      <c r="F27" s="16"/>
      <c r="G27" s="16"/>
      <c r="H27" s="16"/>
    </row>
    <row r="28" spans="1:8" ht="31.5" x14ac:dyDescent="0.25">
      <c r="A28" s="7" t="s">
        <v>138</v>
      </c>
      <c r="B28" s="7" t="s">
        <v>139</v>
      </c>
      <c r="C28" s="7" t="s">
        <v>140</v>
      </c>
      <c r="D28" s="7" t="s">
        <v>141</v>
      </c>
    </row>
    <row r="29" spans="1:8" x14ac:dyDescent="0.25">
      <c r="A29" s="3" t="s">
        <v>142</v>
      </c>
      <c r="B29" s="6">
        <v>95000</v>
      </c>
      <c r="C29" s="4">
        <v>780</v>
      </c>
      <c r="D29" s="5" t="str">
        <f>IF(AND(B29&gt;=80000,C29&gt;=650),"Premium Card",IF(AND(B29&gt;= 50000,C29&gt;=650),"Gold Card",IF(AND(B29&gt;=30000,C29&gt;=650),"Silver Card",IF(AND(B29&lt;30000,C29&gt;=650),"Basic Card","Rejected"))))</f>
        <v>Premium Card</v>
      </c>
    </row>
    <row r="30" spans="1:8" x14ac:dyDescent="0.25">
      <c r="A30" s="3" t="s">
        <v>52</v>
      </c>
      <c r="B30" s="6">
        <v>62000</v>
      </c>
      <c r="C30" s="4">
        <v>710</v>
      </c>
      <c r="D30" s="5" t="str">
        <f t="shared" ref="D30:D35" si="2">IF(AND(B30&gt;=80000,C30&gt;=650),"Premium Card",IF(AND(B30&gt;= 50000,C30&gt;=650),"Gold Card",IF(AND(B30&gt;=30000,C30&gt;=650),"Silver Card",IF(AND(B30&lt;30000,C30&gt;=650),"Basic Card","Rejected"))))</f>
        <v>Gold Card</v>
      </c>
    </row>
    <row r="31" spans="1:8" x14ac:dyDescent="0.25">
      <c r="A31" s="3" t="s">
        <v>143</v>
      </c>
      <c r="B31" s="6">
        <v>45000</v>
      </c>
      <c r="C31" s="4">
        <v>680</v>
      </c>
      <c r="D31" s="5" t="str">
        <f t="shared" si="2"/>
        <v>Silver Card</v>
      </c>
    </row>
    <row r="32" spans="1:8" x14ac:dyDescent="0.25">
      <c r="A32" s="3" t="s">
        <v>144</v>
      </c>
      <c r="B32" s="6">
        <v>28000</v>
      </c>
      <c r="C32" s="4">
        <v>720</v>
      </c>
      <c r="D32" s="5" t="str">
        <f t="shared" si="2"/>
        <v>Basic Card</v>
      </c>
    </row>
    <row r="33" spans="1:8" x14ac:dyDescent="0.25">
      <c r="A33" s="3" t="s">
        <v>145</v>
      </c>
      <c r="B33" s="6">
        <v>110000</v>
      </c>
      <c r="C33" s="4">
        <v>640</v>
      </c>
      <c r="D33" s="5" t="str">
        <f t="shared" si="2"/>
        <v>Rejected</v>
      </c>
    </row>
    <row r="34" spans="1:8" x14ac:dyDescent="0.25">
      <c r="A34" s="3" t="s">
        <v>146</v>
      </c>
      <c r="B34" s="6">
        <v>55000</v>
      </c>
      <c r="C34" s="4">
        <v>690</v>
      </c>
      <c r="D34" s="5" t="str">
        <f t="shared" si="2"/>
        <v>Gold Card</v>
      </c>
    </row>
    <row r="35" spans="1:8" x14ac:dyDescent="0.25">
      <c r="A35" s="3" t="s">
        <v>147</v>
      </c>
      <c r="B35" s="6">
        <v>32000</v>
      </c>
      <c r="C35" s="4">
        <v>655</v>
      </c>
      <c r="D35" s="5" t="str">
        <f t="shared" si="2"/>
        <v>Silver Card</v>
      </c>
    </row>
    <row r="37" spans="1:8" x14ac:dyDescent="0.25">
      <c r="A37" s="17" t="s">
        <v>148</v>
      </c>
      <c r="B37" s="16"/>
      <c r="C37" s="16"/>
      <c r="D37" s="16"/>
      <c r="E37" s="16"/>
      <c r="F37" s="16"/>
      <c r="G37" s="16"/>
      <c r="H37" s="16"/>
    </row>
    <row r="38" spans="1:8" ht="50.1" customHeight="1" x14ac:dyDescent="0.25">
      <c r="A38" s="18" t="s">
        <v>149</v>
      </c>
      <c r="B38" s="16"/>
      <c r="C38" s="16"/>
      <c r="D38" s="16"/>
      <c r="E38" s="16"/>
      <c r="F38" s="16"/>
      <c r="G38" s="16"/>
      <c r="H38" s="16"/>
    </row>
    <row r="39" spans="1:8" ht="15.75" x14ac:dyDescent="0.25">
      <c r="A39" s="7" t="s">
        <v>150</v>
      </c>
      <c r="B39" s="7" t="s">
        <v>151</v>
      </c>
      <c r="C39" s="7" t="s">
        <v>152</v>
      </c>
      <c r="D39" s="7" t="s">
        <v>153</v>
      </c>
    </row>
    <row r="40" spans="1:8" x14ac:dyDescent="0.25">
      <c r="A40" s="3" t="s">
        <v>154</v>
      </c>
      <c r="B40" s="4" t="s">
        <v>155</v>
      </c>
      <c r="C40" s="4" t="s">
        <v>156</v>
      </c>
      <c r="D40" s="5">
        <f>IF(B40="Peak", IF(C40="Suite",12000, IF(C40="Deluxe",8000, IF(C40="Standard",5000))), IF(B40="Off-Peak", IF(C40="Suite",8000, IF(C40="Deluxe",5500, IF(C40="Standard",3500))), "Invalid Season"))</f>
        <v>12000</v>
      </c>
    </row>
    <row r="41" spans="1:8" x14ac:dyDescent="0.25">
      <c r="A41" s="3" t="s">
        <v>157</v>
      </c>
      <c r="B41" s="4" t="s">
        <v>155</v>
      </c>
      <c r="C41" s="4" t="s">
        <v>158</v>
      </c>
      <c r="D41" s="5">
        <f t="shared" ref="D41:D46" si="3">IF(B41="Peak", IF(C41="Suite",12000, IF(C41="Deluxe",8000, IF(C41="Standard",5000))), IF(B41="Off-Peak", IF(C41="Suite",8000, IF(C41="Deluxe",5500, IF(C41="Standard",3500))), "Invalid Season"))</f>
        <v>8000</v>
      </c>
    </row>
    <row r="42" spans="1:8" x14ac:dyDescent="0.25">
      <c r="A42" s="3" t="s">
        <v>159</v>
      </c>
      <c r="B42" s="4" t="s">
        <v>160</v>
      </c>
      <c r="C42" s="4" t="s">
        <v>161</v>
      </c>
      <c r="D42" s="5">
        <f t="shared" si="3"/>
        <v>3500</v>
      </c>
    </row>
    <row r="43" spans="1:8" x14ac:dyDescent="0.25">
      <c r="A43" s="3" t="s">
        <v>162</v>
      </c>
      <c r="B43" s="4" t="s">
        <v>155</v>
      </c>
      <c r="C43" s="4" t="s">
        <v>161</v>
      </c>
      <c r="D43" s="5">
        <f t="shared" si="3"/>
        <v>5000</v>
      </c>
    </row>
    <row r="44" spans="1:8" x14ac:dyDescent="0.25">
      <c r="A44" s="3" t="s">
        <v>163</v>
      </c>
      <c r="B44" s="4" t="s">
        <v>160</v>
      </c>
      <c r="C44" s="4" t="s">
        <v>156</v>
      </c>
      <c r="D44" s="5">
        <f t="shared" si="3"/>
        <v>8000</v>
      </c>
    </row>
    <row r="45" spans="1:8" x14ac:dyDescent="0.25">
      <c r="A45" s="3" t="s">
        <v>164</v>
      </c>
      <c r="B45" s="4" t="s">
        <v>160</v>
      </c>
      <c r="C45" s="4" t="s">
        <v>158</v>
      </c>
      <c r="D45" s="5">
        <f t="shared" si="3"/>
        <v>5500</v>
      </c>
    </row>
    <row r="46" spans="1:8" x14ac:dyDescent="0.25">
      <c r="A46" s="3" t="s">
        <v>165</v>
      </c>
      <c r="B46" s="4" t="s">
        <v>166</v>
      </c>
      <c r="C46" s="4" t="s">
        <v>158</v>
      </c>
      <c r="D46" s="5" t="str">
        <f t="shared" si="3"/>
        <v>Invalid Season</v>
      </c>
    </row>
    <row r="48" spans="1:8" x14ac:dyDescent="0.25">
      <c r="A48" s="17" t="s">
        <v>167</v>
      </c>
      <c r="B48" s="16"/>
      <c r="C48" s="16"/>
      <c r="D48" s="16"/>
      <c r="E48" s="16"/>
      <c r="F48" s="16"/>
      <c r="G48" s="16"/>
      <c r="H48" s="16"/>
    </row>
    <row r="49" spans="1:8" ht="45" customHeight="1" x14ac:dyDescent="0.25">
      <c r="A49" s="18" t="s">
        <v>168</v>
      </c>
      <c r="B49" s="16"/>
      <c r="C49" s="16"/>
      <c r="D49" s="16"/>
      <c r="E49" s="16"/>
      <c r="F49" s="16"/>
      <c r="G49" s="16"/>
      <c r="H49" s="16"/>
    </row>
    <row r="50" spans="1:8" ht="31.5" x14ac:dyDescent="0.25">
      <c r="A50" s="7" t="s">
        <v>126</v>
      </c>
      <c r="B50" s="7" t="s">
        <v>128</v>
      </c>
      <c r="C50" s="7" t="s">
        <v>169</v>
      </c>
      <c r="D50" s="7" t="s">
        <v>170</v>
      </c>
    </row>
    <row r="51" spans="1:8" x14ac:dyDescent="0.25">
      <c r="A51" s="3" t="s">
        <v>171</v>
      </c>
      <c r="B51" s="4">
        <v>10</v>
      </c>
      <c r="C51" s="4">
        <v>85</v>
      </c>
      <c r="D51" s="5" t="str">
        <f>IF(AND(B51&gt;=8,C51&gt;=60),"Senior", IF(AND(B51&gt;=4,C51&gt;=60),"Mid-Level",IF(AND(B51&gt;=1,C51&gt;=60),"Junior",IF(AND(B51&lt;1,C51&gt;=60),"Trainee","Need Improvement"))))</f>
        <v>Senior</v>
      </c>
    </row>
    <row r="52" spans="1:8" x14ac:dyDescent="0.25">
      <c r="A52" s="3" t="s">
        <v>172</v>
      </c>
      <c r="B52" s="4">
        <v>5</v>
      </c>
      <c r="C52" s="4">
        <v>78</v>
      </c>
      <c r="D52" s="5" t="str">
        <f t="shared" ref="D52:D57" si="4">IF(AND(B52&gt;=8,C52&gt;=60),"Senior", IF(AND(B52&gt;=4,C52&gt;=60),"Mid-Level",IF(AND(B52&gt;=1,C52&gt;=60),"Junior",IF(AND(B52&lt;1,C52&gt;=60),"Trainee","Need Improvement"))))</f>
        <v>Mid-Level</v>
      </c>
    </row>
    <row r="53" spans="1:8" x14ac:dyDescent="0.25">
      <c r="A53" s="3" t="s">
        <v>173</v>
      </c>
      <c r="B53" s="4">
        <v>2</v>
      </c>
      <c r="C53" s="4">
        <v>92</v>
      </c>
      <c r="D53" s="5" t="str">
        <f t="shared" si="4"/>
        <v>Junior</v>
      </c>
    </row>
    <row r="54" spans="1:8" x14ac:dyDescent="0.25">
      <c r="A54" s="3" t="s">
        <v>174</v>
      </c>
      <c r="B54" s="4">
        <v>0</v>
      </c>
      <c r="C54" s="4">
        <v>88</v>
      </c>
      <c r="D54" s="5" t="str">
        <f t="shared" si="4"/>
        <v>Trainee</v>
      </c>
    </row>
    <row r="55" spans="1:8" x14ac:dyDescent="0.25">
      <c r="A55" s="3" t="s">
        <v>175</v>
      </c>
      <c r="B55" s="4">
        <v>7</v>
      </c>
      <c r="C55" s="4">
        <v>55</v>
      </c>
      <c r="D55" s="5" t="str">
        <f t="shared" si="4"/>
        <v>Need Improvement</v>
      </c>
    </row>
    <row r="56" spans="1:8" x14ac:dyDescent="0.25">
      <c r="A56" s="3" t="s">
        <v>176</v>
      </c>
      <c r="B56" s="4">
        <v>4</v>
      </c>
      <c r="C56" s="4">
        <v>70</v>
      </c>
      <c r="D56" s="5" t="str">
        <f t="shared" si="4"/>
        <v>Mid-Level</v>
      </c>
    </row>
    <row r="57" spans="1:8" x14ac:dyDescent="0.25">
      <c r="A57" s="3" t="s">
        <v>177</v>
      </c>
      <c r="B57" s="4">
        <v>9</v>
      </c>
      <c r="C57" s="4">
        <v>65</v>
      </c>
      <c r="D57" s="5" t="str">
        <f t="shared" si="4"/>
        <v>Senior</v>
      </c>
    </row>
    <row r="59" spans="1:8" x14ac:dyDescent="0.25">
      <c r="A59" s="17" t="s">
        <v>178</v>
      </c>
      <c r="B59" s="16"/>
      <c r="C59" s="16"/>
      <c r="D59" s="16"/>
      <c r="E59" s="16"/>
      <c r="F59" s="16"/>
      <c r="G59" s="16"/>
      <c r="H59" s="16"/>
    </row>
    <row r="60" spans="1:8" ht="45" customHeight="1" x14ac:dyDescent="0.25">
      <c r="A60" s="18" t="s">
        <v>179</v>
      </c>
      <c r="B60" s="16"/>
      <c r="C60" s="16"/>
      <c r="D60" s="16"/>
      <c r="E60" s="16"/>
      <c r="F60" s="16"/>
      <c r="G60" s="16"/>
      <c r="H60" s="16"/>
    </row>
    <row r="61" spans="1:8" ht="31.5" x14ac:dyDescent="0.25">
      <c r="A61" s="7" t="s">
        <v>180</v>
      </c>
      <c r="B61" s="7" t="s">
        <v>181</v>
      </c>
      <c r="C61" s="7" t="s">
        <v>311</v>
      </c>
      <c r="D61" s="8" t="s">
        <v>312</v>
      </c>
    </row>
    <row r="62" spans="1:8" x14ac:dyDescent="0.25">
      <c r="A62" s="3" t="s">
        <v>182</v>
      </c>
      <c r="B62" s="6">
        <v>250000</v>
      </c>
      <c r="C62" s="5" t="str">
        <f>IF(B62&lt;=300000,"0%",IF(B62&lt;=600000,"5%", IF(B62&lt;=900000,"10%", IF(B62&lt;=1200000,"15%", IF(B62&gt;1200000,"20%")))))</f>
        <v>0%</v>
      </c>
      <c r="D62" s="9">
        <f>B62*(C62/100)</f>
        <v>0</v>
      </c>
    </row>
    <row r="63" spans="1:8" x14ac:dyDescent="0.25">
      <c r="A63" s="3" t="s">
        <v>183</v>
      </c>
      <c r="B63" s="6">
        <v>450000</v>
      </c>
      <c r="C63" s="5" t="str">
        <f t="shared" ref="C63:C68" si="5">IF(B63&lt;=300000,"0%",IF(B63&lt;=600000,"5%", IF(B63&lt;=900000,"10%", IF(B63&lt;=1200000,"15%", IF(B63&gt;1200000,"20%")))))</f>
        <v>5%</v>
      </c>
      <c r="D63" s="9">
        <f t="shared" ref="D63:D68" si="6">B63*(C63/100)</f>
        <v>225</v>
      </c>
    </row>
    <row r="64" spans="1:8" x14ac:dyDescent="0.25">
      <c r="A64" s="3" t="s">
        <v>184</v>
      </c>
      <c r="B64" s="6">
        <v>750000</v>
      </c>
      <c r="C64" s="5" t="str">
        <f t="shared" si="5"/>
        <v>10%</v>
      </c>
      <c r="D64" s="9">
        <f t="shared" si="6"/>
        <v>750</v>
      </c>
    </row>
    <row r="65" spans="1:8" x14ac:dyDescent="0.25">
      <c r="A65" s="3" t="s">
        <v>185</v>
      </c>
      <c r="B65" s="6">
        <v>1050000</v>
      </c>
      <c r="C65" s="5" t="str">
        <f t="shared" si="5"/>
        <v>15%</v>
      </c>
      <c r="D65" s="9">
        <f t="shared" si="6"/>
        <v>1575</v>
      </c>
    </row>
    <row r="66" spans="1:8" x14ac:dyDescent="0.25">
      <c r="A66" s="3" t="s">
        <v>186</v>
      </c>
      <c r="B66" s="6">
        <v>1500000</v>
      </c>
      <c r="C66" s="5" t="str">
        <f t="shared" si="5"/>
        <v>20%</v>
      </c>
      <c r="D66" s="9">
        <f t="shared" si="6"/>
        <v>3000</v>
      </c>
    </row>
    <row r="67" spans="1:8" x14ac:dyDescent="0.25">
      <c r="A67" s="3" t="s">
        <v>187</v>
      </c>
      <c r="B67" s="6">
        <v>600000</v>
      </c>
      <c r="C67" s="5" t="str">
        <f t="shared" si="5"/>
        <v>5%</v>
      </c>
      <c r="D67" s="9">
        <f t="shared" si="6"/>
        <v>300</v>
      </c>
    </row>
    <row r="68" spans="1:8" x14ac:dyDescent="0.25">
      <c r="A68" s="3" t="s">
        <v>188</v>
      </c>
      <c r="B68" s="6">
        <v>900000</v>
      </c>
      <c r="C68" s="5" t="str">
        <f t="shared" si="5"/>
        <v>10%</v>
      </c>
      <c r="D68" s="9">
        <f t="shared" si="6"/>
        <v>900</v>
      </c>
    </row>
    <row r="70" spans="1:8" x14ac:dyDescent="0.25">
      <c r="A70" s="17" t="s">
        <v>189</v>
      </c>
      <c r="B70" s="16"/>
      <c r="C70" s="16"/>
      <c r="D70" s="16"/>
      <c r="E70" s="16"/>
      <c r="F70" s="16"/>
      <c r="G70" s="16"/>
      <c r="H70" s="16"/>
    </row>
    <row r="71" spans="1:8" ht="45" customHeight="1" x14ac:dyDescent="0.25">
      <c r="A71" s="18" t="s">
        <v>190</v>
      </c>
      <c r="B71" s="16"/>
      <c r="C71" s="16"/>
      <c r="D71" s="16"/>
      <c r="E71" s="16"/>
      <c r="F71" s="16"/>
      <c r="G71" s="16"/>
      <c r="H71" s="16"/>
    </row>
    <row r="72" spans="1:8" ht="31.5" x14ac:dyDescent="0.25">
      <c r="A72" s="7" t="s">
        <v>191</v>
      </c>
      <c r="B72" s="7" t="s">
        <v>192</v>
      </c>
      <c r="C72" s="7" t="s">
        <v>193</v>
      </c>
      <c r="D72" s="7" t="s">
        <v>194</v>
      </c>
    </row>
    <row r="73" spans="1:8" x14ac:dyDescent="0.25">
      <c r="A73" s="3" t="s">
        <v>195</v>
      </c>
      <c r="B73" s="6">
        <v>12500</v>
      </c>
      <c r="C73" s="4">
        <v>8</v>
      </c>
      <c r="D73" s="5" t="str">
        <f>IF(AND(B73&gt;=10000,C73&gt;=3),"Platinum", IF(AND(B73&gt;=5000,C73&gt;=3),"Gold", IF(AND(B73&gt;= 2000,C73&gt;=3),"Silver", IF(AND(B73&lt;2000,C73&gt;=3),"Bronze","Inactive"))))</f>
        <v>Platinum</v>
      </c>
    </row>
    <row r="74" spans="1:8" x14ac:dyDescent="0.25">
      <c r="A74" s="3" t="s">
        <v>196</v>
      </c>
      <c r="B74" s="6">
        <v>6800</v>
      </c>
      <c r="C74" s="4">
        <v>5</v>
      </c>
      <c r="D74" s="5" t="str">
        <f t="shared" ref="D74:D79" si="7">IF(AND(B74&gt;=10000,C74&gt;=3),"Platinum", IF(AND(B74&gt;=5000,C74&gt;=3),"Gold", IF(AND(B74&gt;= 2000,C74&gt;=3),"Silver", IF(AND(B74&lt;2000,C74&gt;=3),"Bronze","Inactive"))))</f>
        <v>Gold</v>
      </c>
    </row>
    <row r="75" spans="1:8" x14ac:dyDescent="0.25">
      <c r="A75" s="3" t="s">
        <v>197</v>
      </c>
      <c r="B75" s="6">
        <v>3200</v>
      </c>
      <c r="C75" s="4">
        <v>4</v>
      </c>
      <c r="D75" s="5" t="str">
        <f t="shared" si="7"/>
        <v>Silver</v>
      </c>
    </row>
    <row r="76" spans="1:8" x14ac:dyDescent="0.25">
      <c r="A76" s="3" t="s">
        <v>198</v>
      </c>
      <c r="B76" s="6">
        <v>1500</v>
      </c>
      <c r="C76" s="4">
        <v>6</v>
      </c>
      <c r="D76" s="5" t="str">
        <f t="shared" si="7"/>
        <v>Bronze</v>
      </c>
    </row>
    <row r="77" spans="1:8" x14ac:dyDescent="0.25">
      <c r="A77" s="3" t="s">
        <v>199</v>
      </c>
      <c r="B77" s="6">
        <v>9000</v>
      </c>
      <c r="C77" s="4">
        <v>2</v>
      </c>
      <c r="D77" s="5" t="str">
        <f t="shared" si="7"/>
        <v>Inactive</v>
      </c>
    </row>
    <row r="78" spans="1:8" x14ac:dyDescent="0.25">
      <c r="A78" s="3" t="s">
        <v>200</v>
      </c>
      <c r="B78" s="6">
        <v>2100</v>
      </c>
      <c r="C78" s="4">
        <v>3</v>
      </c>
      <c r="D78" s="5" t="str">
        <f t="shared" si="7"/>
        <v>Silver</v>
      </c>
    </row>
    <row r="79" spans="1:8" x14ac:dyDescent="0.25">
      <c r="A79" s="3" t="s">
        <v>201</v>
      </c>
      <c r="B79" s="6">
        <v>15000</v>
      </c>
      <c r="C79" s="4">
        <v>10</v>
      </c>
      <c r="D79" s="5" t="str">
        <f t="shared" si="7"/>
        <v>Platinum</v>
      </c>
    </row>
  </sheetData>
  <mergeCells count="16">
    <mergeCell ref="A71:H71"/>
    <mergeCell ref="A60:H60"/>
    <mergeCell ref="A49:H49"/>
    <mergeCell ref="A5:H5"/>
    <mergeCell ref="A37:H37"/>
    <mergeCell ref="A27:H27"/>
    <mergeCell ref="A1:H1"/>
    <mergeCell ref="A4:H4"/>
    <mergeCell ref="A48:H48"/>
    <mergeCell ref="A26:H26"/>
    <mergeCell ref="A70:H70"/>
    <mergeCell ref="A15:H15"/>
    <mergeCell ref="A59:H59"/>
    <mergeCell ref="A38:H38"/>
    <mergeCell ref="A2:H2"/>
    <mergeCell ref="A16:H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8"/>
  <sheetViews>
    <sheetView zoomScale="144" zoomScaleNormal="160" workbookViewId="0">
      <selection activeCell="G7" sqref="G7"/>
    </sheetView>
  </sheetViews>
  <sheetFormatPr defaultRowHeight="15" x14ac:dyDescent="0.25"/>
  <cols>
    <col min="1" max="1" width="18" customWidth="1"/>
    <col min="2" max="3" width="16" customWidth="1"/>
    <col min="4" max="4" width="18" customWidth="1"/>
    <col min="5" max="5" width="26" customWidth="1"/>
    <col min="6" max="8" width="12" customWidth="1"/>
  </cols>
  <sheetData>
    <row r="1" spans="1:8" ht="30" customHeight="1" x14ac:dyDescent="0.25">
      <c r="A1" s="27" t="s">
        <v>202</v>
      </c>
      <c r="B1" s="16"/>
      <c r="C1" s="16"/>
      <c r="D1" s="16"/>
      <c r="E1" s="16"/>
      <c r="F1" s="16"/>
      <c r="G1" s="16"/>
      <c r="H1" s="16"/>
    </row>
    <row r="2" spans="1:8" ht="24.95" customHeight="1" x14ac:dyDescent="0.25">
      <c r="A2" s="28" t="s">
        <v>203</v>
      </c>
      <c r="B2" s="16"/>
      <c r="C2" s="16"/>
      <c r="D2" s="16"/>
      <c r="E2" s="16"/>
      <c r="F2" s="16"/>
      <c r="G2" s="16"/>
      <c r="H2" s="16"/>
    </row>
    <row r="4" spans="1:8" x14ac:dyDescent="0.25">
      <c r="A4" s="17" t="s">
        <v>204</v>
      </c>
      <c r="B4" s="16"/>
      <c r="C4" s="16"/>
      <c r="D4" s="16"/>
      <c r="E4" s="16"/>
      <c r="F4" s="16"/>
      <c r="G4" s="16"/>
      <c r="H4" s="16"/>
    </row>
    <row r="5" spans="1:8" ht="60" customHeight="1" x14ac:dyDescent="0.25">
      <c r="A5" s="18" t="s">
        <v>205</v>
      </c>
      <c r="B5" s="16"/>
      <c r="C5" s="16"/>
      <c r="D5" s="16"/>
      <c r="E5" s="16"/>
      <c r="F5" s="16"/>
      <c r="G5" s="16"/>
      <c r="H5" s="16"/>
    </row>
    <row r="6" spans="1:8" ht="31.5" x14ac:dyDescent="0.25">
      <c r="A6" s="1" t="s">
        <v>206</v>
      </c>
      <c r="B6" s="1" t="s">
        <v>207</v>
      </c>
      <c r="C6" s="1" t="s">
        <v>208</v>
      </c>
      <c r="D6" s="1" t="s">
        <v>209</v>
      </c>
      <c r="E6" s="1" t="s">
        <v>210</v>
      </c>
      <c r="F6" s="1"/>
    </row>
    <row r="7" spans="1:8" x14ac:dyDescent="0.25">
      <c r="A7" s="3" t="s">
        <v>211</v>
      </c>
      <c r="B7" s="4" t="s">
        <v>212</v>
      </c>
      <c r="C7" s="4" t="s">
        <v>212</v>
      </c>
      <c r="D7" s="4" t="s">
        <v>212</v>
      </c>
      <c r="E7" s="5" t="str">
        <f>IF(B7="High", IF(C7="High","Critical",IF(C7="Medium","High","Medium")), IF(B7="Medium", IF(C7="High","High", "Medium"), IF(B7="Low","Low","Review")))</f>
        <v>Critical</v>
      </c>
      <c r="F7" s="2"/>
    </row>
    <row r="8" spans="1:8" x14ac:dyDescent="0.25">
      <c r="A8" s="3" t="s">
        <v>213</v>
      </c>
      <c r="B8" s="4" t="s">
        <v>212</v>
      </c>
      <c r="C8" s="4" t="s">
        <v>214</v>
      </c>
      <c r="D8" s="4" t="s">
        <v>215</v>
      </c>
      <c r="E8" s="5" t="str">
        <f t="shared" ref="E8:E13" si="0">IF(B8="High", IF(C8="High","Critical",IF(C8="Medium","High","Medium")), IF(B8="Medium", IF(C8="High","High", "Medium"), IF(B8="Low","Low","Review")))</f>
        <v>High</v>
      </c>
      <c r="F8" s="2"/>
    </row>
    <row r="9" spans="1:8" x14ac:dyDescent="0.25">
      <c r="A9" s="3" t="s">
        <v>216</v>
      </c>
      <c r="B9" s="4" t="s">
        <v>214</v>
      </c>
      <c r="C9" s="4" t="s">
        <v>212</v>
      </c>
      <c r="D9" s="4" t="s">
        <v>214</v>
      </c>
      <c r="E9" s="5" t="str">
        <f t="shared" si="0"/>
        <v>High</v>
      </c>
      <c r="F9" s="2"/>
    </row>
    <row r="10" spans="1:8" x14ac:dyDescent="0.25">
      <c r="A10" s="3" t="s">
        <v>217</v>
      </c>
      <c r="B10" s="4" t="s">
        <v>215</v>
      </c>
      <c r="C10" s="4" t="s">
        <v>215</v>
      </c>
      <c r="D10" s="4" t="s">
        <v>215</v>
      </c>
      <c r="E10" s="5" t="str">
        <f t="shared" si="0"/>
        <v>Low</v>
      </c>
      <c r="F10" s="2"/>
    </row>
    <row r="11" spans="1:8" x14ac:dyDescent="0.25">
      <c r="A11" s="3" t="s">
        <v>218</v>
      </c>
      <c r="B11" s="4" t="s">
        <v>212</v>
      </c>
      <c r="C11" s="4" t="s">
        <v>215</v>
      </c>
      <c r="D11" s="4" t="s">
        <v>212</v>
      </c>
      <c r="E11" s="5" t="str">
        <f t="shared" si="0"/>
        <v>Medium</v>
      </c>
      <c r="F11" s="2"/>
    </row>
    <row r="12" spans="1:8" x14ac:dyDescent="0.25">
      <c r="A12" s="3" t="s">
        <v>219</v>
      </c>
      <c r="B12" s="4" t="s">
        <v>214</v>
      </c>
      <c r="C12" s="4" t="s">
        <v>214</v>
      </c>
      <c r="D12" s="4" t="s">
        <v>215</v>
      </c>
      <c r="E12" s="5" t="str">
        <f t="shared" si="0"/>
        <v>Medium</v>
      </c>
      <c r="F12" s="2"/>
    </row>
    <row r="13" spans="1:8" x14ac:dyDescent="0.25">
      <c r="A13" s="3" t="s">
        <v>220</v>
      </c>
      <c r="B13" s="4" t="s">
        <v>215</v>
      </c>
      <c r="C13" s="4" t="s">
        <v>212</v>
      </c>
      <c r="D13" s="4" t="s">
        <v>212</v>
      </c>
      <c r="E13" s="5" t="str">
        <f t="shared" si="0"/>
        <v>Low</v>
      </c>
      <c r="F13" s="2"/>
    </row>
    <row r="15" spans="1:8" x14ac:dyDescent="0.25">
      <c r="A15" s="17" t="s">
        <v>221</v>
      </c>
      <c r="B15" s="16"/>
      <c r="C15" s="16"/>
      <c r="D15" s="16"/>
      <c r="E15" s="16"/>
      <c r="F15" s="16"/>
      <c r="G15" s="16"/>
      <c r="H15" s="16"/>
    </row>
    <row r="16" spans="1:8" ht="65.099999999999994" customHeight="1" x14ac:dyDescent="0.25">
      <c r="A16" s="18" t="s">
        <v>222</v>
      </c>
      <c r="B16" s="16"/>
      <c r="C16" s="16"/>
      <c r="D16" s="16"/>
      <c r="E16" s="16"/>
      <c r="F16" s="16"/>
      <c r="G16" s="16"/>
      <c r="H16" s="16"/>
    </row>
    <row r="17" spans="1:8" ht="31.5" x14ac:dyDescent="0.25">
      <c r="A17" s="1" t="s">
        <v>102</v>
      </c>
      <c r="B17" s="1" t="s">
        <v>223</v>
      </c>
      <c r="C17" s="1" t="s">
        <v>224</v>
      </c>
      <c r="D17" s="1" t="s">
        <v>225</v>
      </c>
      <c r="E17" s="1" t="s">
        <v>45</v>
      </c>
    </row>
    <row r="18" spans="1:8" x14ac:dyDescent="0.25">
      <c r="A18" s="3" t="s">
        <v>226</v>
      </c>
      <c r="B18" s="4" t="s">
        <v>227</v>
      </c>
      <c r="C18" s="6">
        <v>15000</v>
      </c>
      <c r="D18" s="4" t="s">
        <v>228</v>
      </c>
      <c r="E18" s="5" t="str">
        <f>IF(B18="VIP",IF(C18&gt;=10000,"20%","15%"),IF(B18="Regular",IF(AND(OR(D18="North",D18="South"),C18&gt;=5000),"10%",IF(C18&gt;=5000,"8%","5%")),IF(B18="New","3%","0%")))</f>
        <v>20%</v>
      </c>
    </row>
    <row r="19" spans="1:8" x14ac:dyDescent="0.25">
      <c r="A19" s="3" t="s">
        <v>229</v>
      </c>
      <c r="B19" s="4" t="s">
        <v>227</v>
      </c>
      <c r="C19" s="6">
        <v>8000</v>
      </c>
      <c r="D19" s="4" t="s">
        <v>230</v>
      </c>
      <c r="E19" s="5" t="str">
        <f t="shared" ref="E19:E24" si="1">IF(B19="VIP",IF(C19&gt;=10000,"20%","15%"),IF(B19="Regular",IF(AND(OR(D19="North",D19="South"),C19&gt;=5000),"10%",IF(C19&gt;=5000,"8%","5%")),IF(B19="New","3%","0%")))</f>
        <v>15%</v>
      </c>
    </row>
    <row r="20" spans="1:8" x14ac:dyDescent="0.25">
      <c r="A20" s="3" t="s">
        <v>231</v>
      </c>
      <c r="B20" s="4" t="s">
        <v>232</v>
      </c>
      <c r="C20" s="6">
        <v>7000</v>
      </c>
      <c r="D20" s="4" t="s">
        <v>230</v>
      </c>
      <c r="E20" s="5" t="str">
        <f t="shared" si="1"/>
        <v>10%</v>
      </c>
    </row>
    <row r="21" spans="1:8" x14ac:dyDescent="0.25">
      <c r="A21" s="3" t="s">
        <v>233</v>
      </c>
      <c r="B21" s="4" t="s">
        <v>232</v>
      </c>
      <c r="C21" s="6">
        <v>6000</v>
      </c>
      <c r="D21" s="4" t="s">
        <v>234</v>
      </c>
      <c r="E21" s="5" t="str">
        <f t="shared" si="1"/>
        <v>8%</v>
      </c>
    </row>
    <row r="22" spans="1:8" x14ac:dyDescent="0.25">
      <c r="A22" s="3" t="s">
        <v>235</v>
      </c>
      <c r="B22" s="4" t="s">
        <v>232</v>
      </c>
      <c r="C22" s="6">
        <v>3000</v>
      </c>
      <c r="D22" s="4" t="s">
        <v>236</v>
      </c>
      <c r="E22" s="5" t="str">
        <f t="shared" si="1"/>
        <v>5%</v>
      </c>
    </row>
    <row r="23" spans="1:8" x14ac:dyDescent="0.25">
      <c r="A23" s="3" t="s">
        <v>237</v>
      </c>
      <c r="B23" s="4" t="s">
        <v>238</v>
      </c>
      <c r="C23" s="6">
        <v>12000</v>
      </c>
      <c r="D23" s="4" t="s">
        <v>228</v>
      </c>
      <c r="E23" s="5" t="str">
        <f t="shared" si="1"/>
        <v>3%</v>
      </c>
    </row>
    <row r="24" spans="1:8" x14ac:dyDescent="0.25">
      <c r="A24" s="3" t="s">
        <v>239</v>
      </c>
      <c r="B24" s="4" t="s">
        <v>232</v>
      </c>
      <c r="C24" s="6">
        <v>5500</v>
      </c>
      <c r="D24" s="4" t="s">
        <v>236</v>
      </c>
      <c r="E24" s="5" t="str">
        <f t="shared" si="1"/>
        <v>10%</v>
      </c>
    </row>
    <row r="26" spans="1:8" x14ac:dyDescent="0.25">
      <c r="A26" s="17" t="s">
        <v>240</v>
      </c>
      <c r="B26" s="16"/>
      <c r="C26" s="16"/>
      <c r="D26" s="16"/>
      <c r="E26" s="16"/>
      <c r="F26" s="16"/>
      <c r="G26" s="16"/>
      <c r="H26" s="16"/>
    </row>
    <row r="27" spans="1:8" ht="60" customHeight="1" x14ac:dyDescent="0.25">
      <c r="A27" s="18" t="s">
        <v>241</v>
      </c>
      <c r="B27" s="16"/>
      <c r="C27" s="16"/>
      <c r="D27" s="16"/>
      <c r="E27" s="16"/>
      <c r="F27" s="16"/>
      <c r="G27" s="16"/>
      <c r="H27" s="16"/>
    </row>
    <row r="28" spans="1:8" ht="31.5" x14ac:dyDescent="0.25">
      <c r="A28" s="1" t="s">
        <v>242</v>
      </c>
      <c r="B28" s="1" t="s">
        <v>243</v>
      </c>
      <c r="C28" s="1" t="s">
        <v>244</v>
      </c>
      <c r="D28" s="1" t="s">
        <v>245</v>
      </c>
    </row>
    <row r="29" spans="1:8" x14ac:dyDescent="0.25">
      <c r="A29" s="3" t="s">
        <v>246</v>
      </c>
      <c r="B29" s="4">
        <v>5</v>
      </c>
      <c r="C29" s="4">
        <v>5</v>
      </c>
      <c r="D29" s="5" t="str">
        <f>IF(AND(B29&gt;=4,C29&gt;=4),"Extreme",IF(OR(B29&gt;=4,C29&gt;=4),"High", IF(AND(B29&gt;=3, C29&gt;=3),"Medium", IF(OR(B29&gt;=2,C29&gt;=2),"Low","Negligible"))))</f>
        <v>Extreme</v>
      </c>
    </row>
    <row r="30" spans="1:8" x14ac:dyDescent="0.25">
      <c r="A30" s="3" t="s">
        <v>247</v>
      </c>
      <c r="B30" s="4">
        <v>4</v>
      </c>
      <c r="C30" s="4">
        <v>3</v>
      </c>
      <c r="D30" s="5" t="str">
        <f t="shared" ref="D30:D35" si="2">IF(AND(B30&gt;=4,C30&gt;=4),"Extreme",IF(OR(B30&gt;=4,C30&gt;=4),"High", IF(AND(B30&gt;=3, C30&gt;=3),"Medium", IF(OR(B30&gt;=2,C30&gt;=2),"Low","Negligible"))))</f>
        <v>High</v>
      </c>
    </row>
    <row r="31" spans="1:8" x14ac:dyDescent="0.25">
      <c r="A31" s="3" t="s">
        <v>248</v>
      </c>
      <c r="B31" s="4">
        <v>2</v>
      </c>
      <c r="C31" s="4">
        <v>1</v>
      </c>
      <c r="D31" s="5" t="str">
        <f t="shared" si="2"/>
        <v>Low</v>
      </c>
    </row>
    <row r="32" spans="1:8" x14ac:dyDescent="0.25">
      <c r="A32" s="3" t="s">
        <v>249</v>
      </c>
      <c r="B32" s="4">
        <v>3</v>
      </c>
      <c r="C32" s="4">
        <v>4</v>
      </c>
      <c r="D32" s="5" t="str">
        <f t="shared" si="2"/>
        <v>High</v>
      </c>
    </row>
    <row r="33" spans="1:8" x14ac:dyDescent="0.25">
      <c r="A33" s="3" t="s">
        <v>250</v>
      </c>
      <c r="B33" s="4">
        <v>3</v>
      </c>
      <c r="C33" s="4">
        <v>3</v>
      </c>
      <c r="D33" s="5" t="str">
        <f t="shared" si="2"/>
        <v>Medium</v>
      </c>
    </row>
    <row r="34" spans="1:8" x14ac:dyDescent="0.25">
      <c r="A34" s="3" t="s">
        <v>251</v>
      </c>
      <c r="B34" s="4">
        <v>1</v>
      </c>
      <c r="C34" s="4">
        <v>4</v>
      </c>
      <c r="D34" s="5" t="str">
        <f t="shared" si="2"/>
        <v>High</v>
      </c>
    </row>
    <row r="35" spans="1:8" x14ac:dyDescent="0.25">
      <c r="A35" s="3" t="s">
        <v>252</v>
      </c>
      <c r="B35" s="4">
        <v>1</v>
      </c>
      <c r="C35" s="4">
        <v>1</v>
      </c>
      <c r="D35" s="5" t="str">
        <f t="shared" si="2"/>
        <v>Negligible</v>
      </c>
    </row>
    <row r="37" spans="1:8" x14ac:dyDescent="0.25">
      <c r="A37" s="17" t="s">
        <v>253</v>
      </c>
      <c r="B37" s="16"/>
      <c r="C37" s="16"/>
      <c r="D37" s="16"/>
      <c r="E37" s="16"/>
      <c r="F37" s="16"/>
      <c r="G37" s="16"/>
      <c r="H37" s="16"/>
    </row>
    <row r="38" spans="1:8" ht="54.95" customHeight="1" x14ac:dyDescent="0.25">
      <c r="A38" s="18" t="s">
        <v>254</v>
      </c>
      <c r="B38" s="16"/>
      <c r="C38" s="16"/>
      <c r="D38" s="16"/>
      <c r="E38" s="16"/>
      <c r="F38" s="16"/>
      <c r="G38" s="16"/>
      <c r="H38" s="16"/>
    </row>
    <row r="39" spans="1:8" ht="31.5" x14ac:dyDescent="0.25">
      <c r="A39" s="1" t="s">
        <v>79</v>
      </c>
      <c r="B39" s="1" t="s">
        <v>127</v>
      </c>
      <c r="C39" s="1" t="s">
        <v>255</v>
      </c>
      <c r="D39" s="1" t="s">
        <v>256</v>
      </c>
    </row>
    <row r="40" spans="1:8" x14ac:dyDescent="0.25">
      <c r="A40" s="3" t="s">
        <v>257</v>
      </c>
      <c r="B40" s="6">
        <v>1250000</v>
      </c>
      <c r="C40" s="4" t="s">
        <v>258</v>
      </c>
      <c r="D40" s="5">
        <f>B40*IF(B40&gt;=1000000, "12%", IF(B40&gt;= 500000,"9%", IF(B40&gt;=200000,"6%", "3%"))) * IF(C40="Manager","1.5", IF(C40="Team Lead","1.2", IF(C40="Executive", "1.0")))</f>
        <v>225000</v>
      </c>
    </row>
    <row r="41" spans="1:8" x14ac:dyDescent="0.25">
      <c r="A41" s="3" t="s">
        <v>144</v>
      </c>
      <c r="B41" s="6">
        <v>650000</v>
      </c>
      <c r="C41" s="4" t="s">
        <v>259</v>
      </c>
      <c r="D41" s="5">
        <f t="shared" ref="D41:D46" si="3">B41*IF(B41&gt;=1000000, "12%", IF(B41&gt;= 500000,"9%", IF(B41&gt;=200000,"6%", "3%"))) * IF(C41="Manager","1.5", IF(C41="Team Lead","1.2", IF(C41="Executive", "1.0")))</f>
        <v>70200</v>
      </c>
    </row>
    <row r="42" spans="1:8" x14ac:dyDescent="0.25">
      <c r="A42" s="3" t="s">
        <v>260</v>
      </c>
      <c r="B42" s="6">
        <v>320000</v>
      </c>
      <c r="C42" s="4" t="s">
        <v>261</v>
      </c>
      <c r="D42" s="5">
        <f t="shared" si="3"/>
        <v>19200</v>
      </c>
    </row>
    <row r="43" spans="1:8" x14ac:dyDescent="0.25">
      <c r="A43" s="3" t="s">
        <v>262</v>
      </c>
      <c r="B43" s="6">
        <v>180000</v>
      </c>
      <c r="C43" s="4" t="s">
        <v>261</v>
      </c>
      <c r="D43" s="5">
        <f t="shared" si="3"/>
        <v>5400</v>
      </c>
    </row>
    <row r="44" spans="1:8" x14ac:dyDescent="0.25">
      <c r="A44" s="3" t="s">
        <v>40</v>
      </c>
      <c r="B44" s="6">
        <v>900000</v>
      </c>
      <c r="C44" s="4" t="s">
        <v>258</v>
      </c>
      <c r="D44" s="5">
        <f t="shared" si="3"/>
        <v>121500</v>
      </c>
    </row>
    <row r="45" spans="1:8" x14ac:dyDescent="0.25">
      <c r="A45" s="3" t="s">
        <v>263</v>
      </c>
      <c r="B45" s="6">
        <v>480000</v>
      </c>
      <c r="C45" s="4" t="s">
        <v>259</v>
      </c>
      <c r="D45" s="5">
        <f t="shared" si="3"/>
        <v>34560</v>
      </c>
    </row>
    <row r="46" spans="1:8" x14ac:dyDescent="0.25">
      <c r="A46" s="3" t="s">
        <v>264</v>
      </c>
      <c r="B46" s="6">
        <v>1100000</v>
      </c>
      <c r="C46" s="4" t="s">
        <v>259</v>
      </c>
      <c r="D46" s="5">
        <f t="shared" si="3"/>
        <v>158400</v>
      </c>
    </row>
    <row r="48" spans="1:8" x14ac:dyDescent="0.25">
      <c r="A48" s="17" t="s">
        <v>265</v>
      </c>
      <c r="B48" s="16"/>
      <c r="C48" s="16"/>
      <c r="D48" s="16"/>
      <c r="E48" s="16"/>
      <c r="F48" s="16"/>
      <c r="G48" s="16"/>
      <c r="H48" s="16"/>
    </row>
    <row r="49" spans="1:8" ht="54.95" customHeight="1" x14ac:dyDescent="0.25">
      <c r="A49" s="18" t="s">
        <v>266</v>
      </c>
      <c r="B49" s="16"/>
      <c r="C49" s="16"/>
      <c r="D49" s="16"/>
      <c r="E49" s="16"/>
      <c r="F49" s="16"/>
      <c r="G49" s="16"/>
      <c r="H49" s="16"/>
    </row>
    <row r="50" spans="1:8" ht="31.5" x14ac:dyDescent="0.25">
      <c r="A50" s="1" t="s">
        <v>206</v>
      </c>
      <c r="B50" s="1" t="s">
        <v>267</v>
      </c>
      <c r="C50" s="1" t="s">
        <v>268</v>
      </c>
      <c r="D50" s="1" t="s">
        <v>269</v>
      </c>
      <c r="E50" s="1" t="s">
        <v>82</v>
      </c>
    </row>
    <row r="51" spans="1:8" x14ac:dyDescent="0.25">
      <c r="A51" s="3" t="s">
        <v>270</v>
      </c>
      <c r="B51" s="4">
        <v>100</v>
      </c>
      <c r="C51" s="4">
        <v>0</v>
      </c>
      <c r="D51" s="4">
        <v>95</v>
      </c>
      <c r="E51" s="5" t="str">
        <f>IF(B51&gt;=100, "Completed", IF(C51&gt;0,"Delayed", IF(D51&gt;100,"Over Buget", IF(D51&gt;75,"On Track", IF(B51&gt;=40,"In Progress","Just Started")))))</f>
        <v>Completed</v>
      </c>
    </row>
    <row r="52" spans="1:8" x14ac:dyDescent="0.25">
      <c r="A52" s="3" t="s">
        <v>271</v>
      </c>
      <c r="B52" s="4">
        <v>80</v>
      </c>
      <c r="C52" s="4">
        <v>5</v>
      </c>
      <c r="D52" s="4">
        <v>70</v>
      </c>
      <c r="E52" s="5" t="str">
        <f t="shared" ref="E52:E57" si="4">IF(B52&gt;=100, "Completed", IF(C52&gt;0,"Delayed", IF(D52&gt;100,"Over Buget", IF(D52&gt;75,"On Track", IF(B52&gt;=40,"In Progress","Just Started")))))</f>
        <v>Delayed</v>
      </c>
    </row>
    <row r="53" spans="1:8" x14ac:dyDescent="0.25">
      <c r="A53" s="3" t="s">
        <v>272</v>
      </c>
      <c r="B53" s="4">
        <v>60</v>
      </c>
      <c r="C53" s="4">
        <v>0</v>
      </c>
      <c r="D53" s="4">
        <v>110</v>
      </c>
      <c r="E53" s="5" t="str">
        <f t="shared" si="4"/>
        <v>Over Buget</v>
      </c>
    </row>
    <row r="54" spans="1:8" x14ac:dyDescent="0.25">
      <c r="A54" s="3" t="s">
        <v>273</v>
      </c>
      <c r="B54" s="4">
        <v>85</v>
      </c>
      <c r="C54" s="4">
        <v>0</v>
      </c>
      <c r="D54" s="4">
        <v>80</v>
      </c>
      <c r="E54" s="5" t="str">
        <f t="shared" si="4"/>
        <v>On Track</v>
      </c>
    </row>
    <row r="55" spans="1:8" x14ac:dyDescent="0.25">
      <c r="A55" s="3" t="s">
        <v>274</v>
      </c>
      <c r="B55" s="4">
        <v>30</v>
      </c>
      <c r="C55" s="4">
        <v>0</v>
      </c>
      <c r="D55" s="4">
        <v>45</v>
      </c>
      <c r="E55" s="5" t="str">
        <f t="shared" si="4"/>
        <v>Just Started</v>
      </c>
    </row>
    <row r="56" spans="1:8" x14ac:dyDescent="0.25">
      <c r="A56" s="3" t="s">
        <v>275</v>
      </c>
      <c r="B56" s="4">
        <v>100</v>
      </c>
      <c r="C56" s="4">
        <v>2</v>
      </c>
      <c r="D56" s="4">
        <v>60</v>
      </c>
      <c r="E56" s="5" t="str">
        <f t="shared" si="4"/>
        <v>Completed</v>
      </c>
    </row>
    <row r="57" spans="1:8" x14ac:dyDescent="0.25">
      <c r="A57" s="3" t="s">
        <v>276</v>
      </c>
      <c r="B57" s="4">
        <v>50</v>
      </c>
      <c r="C57" s="4">
        <v>0</v>
      </c>
      <c r="D57" s="4">
        <v>55</v>
      </c>
      <c r="E57" s="5" t="str">
        <f t="shared" si="4"/>
        <v>In Progress</v>
      </c>
    </row>
    <row r="59" spans="1:8" x14ac:dyDescent="0.25">
      <c r="A59" s="17" t="s">
        <v>277</v>
      </c>
      <c r="B59" s="16"/>
      <c r="C59" s="16"/>
      <c r="D59" s="16"/>
      <c r="E59" s="16"/>
      <c r="F59" s="16"/>
      <c r="G59" s="16"/>
      <c r="H59" s="16"/>
    </row>
    <row r="60" spans="1:8" ht="50.1" customHeight="1" x14ac:dyDescent="0.25">
      <c r="A60" s="18" t="s">
        <v>278</v>
      </c>
      <c r="B60" s="16"/>
      <c r="C60" s="16"/>
      <c r="D60" s="16"/>
      <c r="E60" s="16"/>
      <c r="F60" s="16"/>
      <c r="G60" s="16"/>
      <c r="H60" s="16"/>
    </row>
    <row r="61" spans="1:8" ht="31.5" x14ac:dyDescent="0.25">
      <c r="A61" s="1" t="s">
        <v>279</v>
      </c>
      <c r="B61" s="1" t="s">
        <v>280</v>
      </c>
      <c r="C61" s="1" t="s">
        <v>281</v>
      </c>
      <c r="D61" s="1" t="s">
        <v>282</v>
      </c>
      <c r="E61" s="1" t="s">
        <v>283</v>
      </c>
    </row>
    <row r="62" spans="1:8" x14ac:dyDescent="0.25">
      <c r="A62" s="3" t="s">
        <v>284</v>
      </c>
      <c r="B62" s="4">
        <v>45</v>
      </c>
      <c r="C62" s="4">
        <v>50</v>
      </c>
      <c r="D62" s="4">
        <v>20</v>
      </c>
      <c r="E62" s="5" t="str">
        <f>IF(B62&lt;=C62,IF(D62&gt;14, "Urgent Order", "Place Order"),IF(B62&lt;=(C62*1.5),"Monitor Closely", "Stock Ok"))</f>
        <v>Urgent Order</v>
      </c>
    </row>
    <row r="63" spans="1:8" x14ac:dyDescent="0.25">
      <c r="A63" s="3" t="s">
        <v>285</v>
      </c>
      <c r="B63" s="4">
        <v>120</v>
      </c>
      <c r="C63" s="4">
        <v>80</v>
      </c>
      <c r="D63" s="4">
        <v>10</v>
      </c>
      <c r="E63" s="5" t="str">
        <f t="shared" ref="E63:E68" si="5">IF(B63&lt;=C63,IF(D63&gt;14, "Urgent Order", "Place Order"),IF(B63&lt;=(C63*1.5),"Monitor Closely", "Stock Ok"))</f>
        <v>Monitor Closely</v>
      </c>
    </row>
    <row r="64" spans="1:8" x14ac:dyDescent="0.25">
      <c r="A64" s="3" t="s">
        <v>286</v>
      </c>
      <c r="B64" s="4">
        <v>90</v>
      </c>
      <c r="C64" s="4">
        <v>100</v>
      </c>
      <c r="D64" s="4">
        <v>7</v>
      </c>
      <c r="E64" s="5" t="str">
        <f t="shared" si="5"/>
        <v>Place Order</v>
      </c>
    </row>
    <row r="65" spans="1:5" x14ac:dyDescent="0.25">
      <c r="A65" s="3" t="s">
        <v>287</v>
      </c>
      <c r="B65" s="4">
        <v>200</v>
      </c>
      <c r="C65" s="4">
        <v>150</v>
      </c>
      <c r="D65" s="4">
        <v>25</v>
      </c>
      <c r="E65" s="5" t="str">
        <f t="shared" si="5"/>
        <v>Monitor Closely</v>
      </c>
    </row>
    <row r="66" spans="1:5" x14ac:dyDescent="0.25">
      <c r="A66" s="3" t="s">
        <v>288</v>
      </c>
      <c r="B66" s="4">
        <v>75</v>
      </c>
      <c r="C66" s="4">
        <v>50</v>
      </c>
      <c r="D66" s="4">
        <v>5</v>
      </c>
      <c r="E66" s="5" t="str">
        <f t="shared" si="5"/>
        <v>Monitor Closely</v>
      </c>
    </row>
    <row r="67" spans="1:5" x14ac:dyDescent="0.25">
      <c r="A67" s="3" t="s">
        <v>289</v>
      </c>
      <c r="B67" s="4">
        <v>30</v>
      </c>
      <c r="C67" s="4">
        <v>40</v>
      </c>
      <c r="D67" s="4">
        <v>18</v>
      </c>
      <c r="E67" s="5" t="str">
        <f t="shared" si="5"/>
        <v>Urgent Order</v>
      </c>
    </row>
    <row r="68" spans="1:5" x14ac:dyDescent="0.25">
      <c r="A68" s="3" t="s">
        <v>290</v>
      </c>
      <c r="B68" s="4">
        <v>160</v>
      </c>
      <c r="C68" s="4">
        <v>100</v>
      </c>
      <c r="D68" s="4">
        <v>12</v>
      </c>
      <c r="E68" s="5" t="str">
        <f t="shared" si="5"/>
        <v>Stock Ok</v>
      </c>
    </row>
  </sheetData>
  <mergeCells count="14">
    <mergeCell ref="A59:H59"/>
    <mergeCell ref="A38:H38"/>
    <mergeCell ref="A2:H2"/>
    <mergeCell ref="A16:H16"/>
    <mergeCell ref="A60:H60"/>
    <mergeCell ref="A49:H49"/>
    <mergeCell ref="A5:H5"/>
    <mergeCell ref="A37:H37"/>
    <mergeCell ref="A27:H27"/>
    <mergeCell ref="A1:H1"/>
    <mergeCell ref="A4:H4"/>
    <mergeCell ref="A48:H48"/>
    <mergeCell ref="A26:H26"/>
    <mergeCell ref="A15:H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workbookViewId="0">
      <selection sqref="A1:F1"/>
    </sheetView>
  </sheetViews>
  <sheetFormatPr defaultRowHeight="15" x14ac:dyDescent="0.25"/>
  <cols>
    <col min="1" max="1" width="110" customWidth="1"/>
  </cols>
  <sheetData>
    <row r="1" spans="1:6" ht="30" customHeight="1" x14ac:dyDescent="0.25">
      <c r="A1" s="23" t="s">
        <v>291</v>
      </c>
      <c r="B1" s="16"/>
      <c r="C1" s="16"/>
      <c r="D1" s="16"/>
      <c r="E1" s="16"/>
      <c r="F1" s="16"/>
    </row>
    <row r="3" spans="1:6" x14ac:dyDescent="0.25">
      <c r="A3" s="21"/>
      <c r="B3" s="16"/>
      <c r="C3" s="16"/>
      <c r="D3" s="16"/>
      <c r="E3" s="16"/>
      <c r="F3" s="16"/>
    </row>
    <row r="4" spans="1:6" x14ac:dyDescent="0.25">
      <c r="A4" s="22" t="s">
        <v>292</v>
      </c>
      <c r="B4" s="16"/>
      <c r="C4" s="16"/>
      <c r="D4" s="16"/>
      <c r="E4" s="16"/>
      <c r="F4" s="16"/>
    </row>
    <row r="5" spans="1:6" x14ac:dyDescent="0.25">
      <c r="A5" s="21"/>
      <c r="B5" s="16"/>
      <c r="C5" s="16"/>
      <c r="D5" s="16"/>
      <c r="E5" s="16"/>
      <c r="F5" s="16"/>
    </row>
    <row r="6" spans="1:6" x14ac:dyDescent="0.25">
      <c r="A6" s="21" t="s">
        <v>293</v>
      </c>
      <c r="B6" s="16"/>
      <c r="C6" s="16"/>
      <c r="D6" s="16"/>
      <c r="E6" s="16"/>
      <c r="F6" s="16"/>
    </row>
    <row r="7" spans="1:6" x14ac:dyDescent="0.25">
      <c r="A7" s="21" t="s">
        <v>294</v>
      </c>
      <c r="B7" s="16"/>
      <c r="C7" s="16"/>
      <c r="D7" s="16"/>
      <c r="E7" s="16"/>
      <c r="F7" s="16"/>
    </row>
    <row r="8" spans="1:6" x14ac:dyDescent="0.25">
      <c r="A8" s="21" t="s">
        <v>295</v>
      </c>
      <c r="B8" s="16"/>
      <c r="C8" s="16"/>
      <c r="D8" s="16"/>
      <c r="E8" s="16"/>
      <c r="F8" s="16"/>
    </row>
    <row r="9" spans="1:6" x14ac:dyDescent="0.25">
      <c r="A9" s="21" t="s">
        <v>296</v>
      </c>
      <c r="B9" s="16"/>
      <c r="C9" s="16"/>
      <c r="D9" s="16"/>
      <c r="E9" s="16"/>
      <c r="F9" s="16"/>
    </row>
    <row r="10" spans="1:6" x14ac:dyDescent="0.25">
      <c r="A10" s="21" t="s">
        <v>297</v>
      </c>
      <c r="B10" s="16"/>
      <c r="C10" s="16"/>
      <c r="D10" s="16"/>
      <c r="E10" s="16"/>
      <c r="F10" s="16"/>
    </row>
    <row r="11" spans="1:6" x14ac:dyDescent="0.25">
      <c r="A11" s="21" t="s">
        <v>298</v>
      </c>
      <c r="B11" s="16"/>
      <c r="C11" s="16"/>
      <c r="D11" s="16"/>
      <c r="E11" s="16"/>
      <c r="F11" s="16"/>
    </row>
    <row r="12" spans="1:6" x14ac:dyDescent="0.25">
      <c r="A12" s="21" t="s">
        <v>299</v>
      </c>
      <c r="B12" s="16"/>
      <c r="C12" s="16"/>
      <c r="D12" s="16"/>
      <c r="E12" s="16"/>
      <c r="F12" s="16"/>
    </row>
    <row r="13" spans="1:6" x14ac:dyDescent="0.25">
      <c r="A13" s="21"/>
      <c r="B13" s="16"/>
      <c r="C13" s="16"/>
      <c r="D13" s="16"/>
      <c r="E13" s="16"/>
      <c r="F13" s="16"/>
    </row>
    <row r="14" spans="1:6" x14ac:dyDescent="0.25">
      <c r="A14" s="22" t="s">
        <v>300</v>
      </c>
      <c r="B14" s="16"/>
      <c r="C14" s="16"/>
      <c r="D14" s="16"/>
      <c r="E14" s="16"/>
      <c r="F14" s="16"/>
    </row>
    <row r="15" spans="1:6" x14ac:dyDescent="0.25">
      <c r="A15" s="21" t="s">
        <v>301</v>
      </c>
      <c r="B15" s="16"/>
      <c r="C15" s="16"/>
      <c r="D15" s="16"/>
      <c r="E15" s="16"/>
      <c r="F15" s="16"/>
    </row>
    <row r="16" spans="1:6" x14ac:dyDescent="0.25">
      <c r="A16" s="21" t="s">
        <v>302</v>
      </c>
      <c r="B16" s="16"/>
      <c r="C16" s="16"/>
      <c r="D16" s="16"/>
      <c r="E16" s="16"/>
      <c r="F16" s="16"/>
    </row>
    <row r="17" spans="1:6" x14ac:dyDescent="0.25">
      <c r="A17" s="21" t="s">
        <v>303</v>
      </c>
      <c r="B17" s="16"/>
      <c r="C17" s="16"/>
      <c r="D17" s="16"/>
      <c r="E17" s="16"/>
      <c r="F17" s="16"/>
    </row>
    <row r="18" spans="1:6" x14ac:dyDescent="0.25">
      <c r="A18" s="21" t="s">
        <v>304</v>
      </c>
      <c r="B18" s="16"/>
      <c r="C18" s="16"/>
      <c r="D18" s="16"/>
      <c r="E18" s="16"/>
      <c r="F18" s="16"/>
    </row>
    <row r="19" spans="1:6" x14ac:dyDescent="0.25">
      <c r="A19" s="21" t="s">
        <v>305</v>
      </c>
      <c r="B19" s="16"/>
      <c r="C19" s="16"/>
      <c r="D19" s="16"/>
      <c r="E19" s="16"/>
      <c r="F19" s="16"/>
    </row>
    <row r="20" spans="1:6" x14ac:dyDescent="0.25">
      <c r="A20" s="21"/>
      <c r="B20" s="16"/>
      <c r="C20" s="16"/>
      <c r="D20" s="16"/>
      <c r="E20" s="16"/>
      <c r="F20" s="16"/>
    </row>
    <row r="21" spans="1:6" x14ac:dyDescent="0.25">
      <c r="A21" s="22" t="s">
        <v>306</v>
      </c>
      <c r="B21" s="16"/>
      <c r="C21" s="16"/>
      <c r="D21" s="16"/>
      <c r="E21" s="16"/>
      <c r="F21" s="16"/>
    </row>
    <row r="22" spans="1:6" x14ac:dyDescent="0.25">
      <c r="A22" s="21" t="s">
        <v>307</v>
      </c>
      <c r="B22" s="16"/>
      <c r="C22" s="16"/>
      <c r="D22" s="16"/>
      <c r="E22" s="16"/>
      <c r="F22" s="16"/>
    </row>
    <row r="23" spans="1:6" x14ac:dyDescent="0.25">
      <c r="A23" s="21" t="s">
        <v>308</v>
      </c>
      <c r="B23" s="16"/>
      <c r="C23" s="16"/>
      <c r="D23" s="16"/>
      <c r="E23" s="16"/>
      <c r="F23" s="16"/>
    </row>
    <row r="24" spans="1:6" x14ac:dyDescent="0.25">
      <c r="A24" s="21"/>
      <c r="B24" s="16"/>
      <c r="C24" s="16"/>
      <c r="D24" s="16"/>
      <c r="E24" s="16"/>
      <c r="F24" s="16"/>
    </row>
    <row r="25" spans="1:6" x14ac:dyDescent="0.25">
      <c r="A25" s="21" t="s">
        <v>309</v>
      </c>
      <c r="B25" s="16"/>
      <c r="C25" s="16"/>
      <c r="D25" s="16"/>
      <c r="E25" s="16"/>
      <c r="F25" s="16"/>
    </row>
    <row r="26" spans="1:6" x14ac:dyDescent="0.25">
      <c r="A26" s="21" t="s">
        <v>310</v>
      </c>
      <c r="B26" s="16"/>
      <c r="C26" s="16"/>
      <c r="D26" s="16"/>
      <c r="E26" s="16"/>
      <c r="F26" s="16"/>
    </row>
  </sheetData>
  <mergeCells count="25">
    <mergeCell ref="A1:F1"/>
    <mergeCell ref="A6:F6"/>
    <mergeCell ref="A7:F7"/>
    <mergeCell ref="A25:F25"/>
    <mergeCell ref="A26:F26"/>
    <mergeCell ref="A14:F14"/>
    <mergeCell ref="A5:F5"/>
    <mergeCell ref="A23:F23"/>
    <mergeCell ref="A8:F8"/>
    <mergeCell ref="A22:F22"/>
    <mergeCell ref="A17:F17"/>
    <mergeCell ref="A20:F20"/>
    <mergeCell ref="A10:F10"/>
    <mergeCell ref="A13:F13"/>
    <mergeCell ref="A19:F19"/>
    <mergeCell ref="A9:F9"/>
    <mergeCell ref="A3:F3"/>
    <mergeCell ref="A21:F21"/>
    <mergeCell ref="A4:F4"/>
    <mergeCell ref="A15:F15"/>
    <mergeCell ref="A24:F24"/>
    <mergeCell ref="A11:F11"/>
    <mergeCell ref="A16:F16"/>
    <mergeCell ref="A12:F12"/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Beginner</vt:lpstr>
      <vt:lpstr>Intermediate</vt:lpstr>
      <vt:lpstr>Advanced</vt:lpstr>
      <vt:lpstr>Practice Tips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BADAL LAD</cp:lastModifiedBy>
  <dcterms:created xsi:type="dcterms:W3CDTF">2026-08-06T11:05:16Z</dcterms:created>
  <dcterms:modified xsi:type="dcterms:W3CDTF">2026-08-10T11:40:37Z</dcterms:modified>
</cp:coreProperties>
</file>